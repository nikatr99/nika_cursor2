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5"/>
    <sheet state="visible" name="DTC - P&amp;L" sheetId="2" r:id="rId6"/>
    <sheet state="visible" name="AMAZON - P&amp;L" sheetId="3" r:id="rId7"/>
    <sheet state="visible" name="App - P&amp;L" sheetId="4" r:id="rId8"/>
    <sheet state="visible" name="Digital Marketplaces - P&amp;L" sheetId="5" r:id="rId9"/>
    <sheet state="visible" name="PP - Results" sheetId="6" r:id="rId10"/>
    <sheet state="visible" name="PP - Data" sheetId="7" r:id="rId11"/>
    <sheet state="visible" name="Data - P&amp;L" sheetId="8" r:id="rId12"/>
    <sheet state="hidden" name="SupermetricsQueries" sheetId="9" r:id="rId13"/>
    <sheet state="hidden" name="Forecast" sheetId="10" r:id="rId14"/>
    <sheet state="hidden" name="Working Copy B2B - P&amp;L" sheetId="11" r:id="rId15"/>
    <sheet state="hidden" name="B2B - P&amp;L" sheetId="12" r:id="rId16"/>
    <sheet state="hidden" name="Ziga - TEST by prod." sheetId="13" r:id="rId17"/>
  </sheets>
  <definedNames>
    <definedName name="zsupermetrics_ru0GDtbZzDLHQOQtJJ6K08MvUDyyp7">#REF!</definedName>
    <definedName localSheetId="7" name="zsupermetrics_DQl8lUbpTRu3fayaJJi7lVfOGKjNU4">'Data - P&amp;L'!$A$3:$A$4</definedName>
    <definedName localSheetId="7"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7"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7" name="zsupermetrics_xwoIpANxRm908eDp5oKTwQpEI8gvD4">#REF!</definedName>
    <definedName localSheetId="7" name="zsupermetrics_n3GtLgiKpTmd2pYmQNMuq6TPD0qE0b">'Data - P&amp;L'!$B$4:$B$5</definedName>
    <definedName localSheetId="7" name="rdataslayer_42b112e4e4be4305bb4c1be75e2dd549">'Data - P&amp;L'!$B$2:$C$3</definedName>
    <definedName name="zsupermetrics_9i4W4hgd80uRpQLMeX0eRnESN8gjyv">#REF!</definedName>
    <definedName name="zsupermetrics_5bmwtOpHUbSYmDMeuCPkrxaojTprPP">#REF!</definedName>
    <definedName localSheetId="7" name="rdataslayer_3753ddf3234e496aa261974a0222e193">'Data - P&amp;L'!$H$2:$I$2</definedName>
    <definedName name="zsupermetrics_SGBxROnInO9rFyh3H7j2Lldx0Bdc5v">#REF!</definedName>
    <definedName name="zsupermetrics_pxuhRTEmIU93xSgKclyxajD0fCZ6rF">#REF!</definedName>
    <definedName localSheetId="7" name="zsupermetrics_ru0GDtbZzDLHQOQtJJ6K08MvUDyyp7">'Data - P&amp;L'!$B$4:$B$5</definedName>
    <definedName localSheetId="7" name="zsupermetrics_qWp7V908pNEYMtfv8QZvSTeDnBAHOU">'Data - P&amp;L'!$B$5:$C$13</definedName>
    <definedName name="rdataslayer_4a0f150f4f2f4e4f85c890c75b7a1fa4">#REF!</definedName>
    <definedName localSheetId="5"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7" name="zsupermetrics_9i4W4hgd80uRpQLMeX0eRnESN8gjyv">'Data - P&amp;L'!$C$13</definedName>
    <definedName name="zsupermetrics_lx4cNai7gT6tH4j08ZRkI21Qlpjioi">#REF!</definedName>
    <definedName name="rdataslayer_d70e473bcafe40a3aa834ce157fb2ba3">#REF!</definedName>
    <definedName localSheetId="7" name="zsupermetrics_NugLlrQxlKiqhxQae8EFpITBm1pLCj">'Data - P&amp;L'!$B$6:$C$13</definedName>
    <definedName name="zsupermetrics_8xojRjNDjo2jWHGDWjFEhflhyIq3Hq">Summary!$K$8:$K$31</definedName>
    <definedName name="zsupermetrics_FEamnpN5FsVYF0RtUTXAwunZ388Tkc">Forecast!$A$113:$C$141</definedName>
    <definedName name="rdataslayer_3753ddf3234e496aa261974a0222e193">#REF!</definedName>
    <definedName localSheetId="7" name="zsupermetrics_iNpyVy90bWCI0yUaFQpxOtzWMa6sW4">'Data - P&amp;L'!$A$2:$A$3</definedName>
    <definedName localSheetId="7" name="rdataslayer_4a0f150f4f2f4e4f85c890c75b7a1fa4">'Data - P&amp;L'!$D$2:$E$3</definedName>
    <definedName name="zsupermetrics_BioPyGBzcBsy60UCQmPcTuFReEmghI">#REF!</definedName>
    <definedName name="zsupermetrics_qWp7V908pNEYMtfv8QZvSTeDnBAHOU">#REF!</definedName>
    <definedName localSheetId="7" name="zsupermetrics_wbYMmT0YL9bAN0yhimW0ziPFnia9Dx">'Data - P&amp;L'!$A$2:$A$3</definedName>
    <definedName localSheetId="7" name="zsupermetrics_4VkB7ij7WO0JjKBEgvjB2GHjSy2Egm">'Data - P&amp;L'!$B$4:$C$10</definedName>
    <definedName localSheetId="7" name="zsupermetrics_lx4cNai7gT6tH4j08ZRkI21Qlpjioi">'Data - P&amp;L'!$B$4:$C$13</definedName>
    <definedName name="rdataslayer_42b112e4e4be4305bb4c1be75e2dd549">#REF!</definedName>
    <definedName name="rdataslayer_adf57e64065742daa5b4161161b1c3ca">#REF!</definedName>
    <definedName localSheetId="7" name="rdataslayer_adf57e64065742daa5b4161161b1c3ca">'Data - P&amp;L'!$B$4:$D$5</definedName>
    <definedName name="zsupermetrics_NugLlrQxlKiqhxQae8EFpITBm1pLCj">#REF!</definedName>
    <definedName name="zsupermetrics_xwoIpANxRm908eDp5oKTwQpEI8gvD4">#REF!</definedName>
    <definedName localSheetId="7" name="zsupermetrics_YsFuuYtr8vOdNXCCPiFJIO38NP4b2T">'Data - P&amp;L'!$B$4:$C$13</definedName>
    <definedName localSheetId="7" name="rdataslayer_d70e473bcafe40a3aa834ce157fb2ba3">'Data - P&amp;L'!$C$8:$D$9</definedName>
    <definedName localSheetId="7"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tc={147bc309-c48c-40a0-8e5f-c8c42aea583b}</author>
    <author>tc={5548d9d3-2709-4f09-920e-59c0a4772b73}</author>
    <author>tc={6608ae49-7d75-4da8-a2ab-2ed414f4acb2}</author>
  </authors>
  <commentList>
    <comment authorId="0" xr:uid="{147bc309-c48c-40a0-8e5f-c8c42aea583b}" ref="J91">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Tole v rumenem se lahko izbriše, ker ni advertising za app. Tukaj je $0.
Assigned to 
</t>
      </text>
    </comment>
    <comment authorId="1" xr:uid="{5548d9d3-2709-4f09-920e-59c0a4772b73}" ref="D59">
      <text>
        <t xml:space="preserve">[Threaded comment]
 Your version of Excel allows you to read this threaded comment; however, any edits to it will get removed if the file is opened in a newer version of Excel. Learn more: https://go.microsoft.com/fwlink/?linkid=870924
Comment:
	@petar.jakovski@mybirdbuddy.com - Is this number correct? It seems high when compared to revenue.
Assigned to 
</t>
      </text>
    </comment>
    <comment authorId="2" xr:uid="{6608ae49-7d75-4da8-a2ab-2ed414f4acb2}" ref="V80">
      <text>
        <t xml:space="preserve">[Threaded comment]
 Your version of Excel allows you to read this threaded comment; however, any edits to it will get removed if the file is opened in a newer version of Excel. Learn more: https://go.microsoft.com/fwlink/?linkid=870924
Comment:
	Wrong data? @petar.jakovski@mybirdbuddy.com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<sst xmlns="http://schemas.openxmlformats.org/spreadsheetml/2006/main" count="2963" uniqueCount="1415">
  <si>
    <t>WED</t>
  </si>
  <si>
    <t>THU</t>
  </si>
  <si>
    <t>FRI</t>
  </si>
  <si>
    <t>SAT</t>
  </si>
  <si>
    <t>SUN</t>
  </si>
  <si>
    <t>MON</t>
  </si>
  <si>
    <t>TUE</t>
  </si>
  <si>
    <t>Weekend Work</t>
  </si>
  <si>
    <t>Notes</t>
  </si>
  <si>
    <t>A/B Testing - PRO + Seeds</t>
  </si>
  <si>
    <t>WERCS approved</t>
  </si>
  <si>
    <t xml:space="preserve">WVFRM Podcast
</t>
  </si>
  <si>
    <t>10% off on Amazon (Pet Tech week)</t>
  </si>
  <si>
    <t>Spring Content Email #1</t>
  </si>
  <si>
    <t>Amazon SKU3 listing back live</t>
  </si>
  <si>
    <t>Spring Content Email #2</t>
  </si>
  <si>
    <t>Spring Content Email #3</t>
  </si>
  <si>
    <t>Spring Sales Email #4 (3in1)</t>
  </si>
  <si>
    <t>HBF Pre-sales Advertising</t>
  </si>
  <si>
    <t>DTC Revenue</t>
  </si>
  <si>
    <t xml:space="preserve">   - Hardware</t>
  </si>
  <si>
    <t xml:space="preserve">   - Add-ons</t>
  </si>
  <si>
    <t xml:space="preserve">   - Merch</t>
  </si>
  <si>
    <t xml:space="preserve">   - Seeds</t>
  </si>
  <si>
    <t xml:space="preserve">   - Yearly Pro Subscription</t>
  </si>
  <si>
    <t xml:space="preserve">   - Taxes</t>
  </si>
  <si>
    <t xml:space="preserve">   - Shipping</t>
  </si>
  <si>
    <t>Amazon Revenue</t>
  </si>
  <si>
    <t xml:space="preserve">   - Tax</t>
  </si>
  <si>
    <t xml:space="preserve">   - Gift Wrap</t>
  </si>
  <si>
    <t>Digital Marketplaces Revenue</t>
  </si>
  <si>
    <t>Rachio</t>
  </si>
  <si>
    <t>Weatherflow</t>
  </si>
  <si>
    <t>Total Revenue</t>
  </si>
  <si>
    <t>B2B Revenue</t>
  </si>
  <si>
    <t>Best Buy</t>
  </si>
  <si>
    <t>Target</t>
  </si>
  <si>
    <t>App Revenue</t>
  </si>
  <si>
    <t xml:space="preserve">  - Google Store</t>
  </si>
  <si>
    <t xml:space="preserve">  - Apple Store</t>
  </si>
  <si>
    <t xml:space="preserve">  - Comission</t>
  </si>
  <si>
    <t xml:space="preserve">  - Tax</t>
  </si>
  <si>
    <t>DTC Orders</t>
  </si>
  <si>
    <t xml:space="preserve">   - Hardware (units sold)</t>
  </si>
  <si>
    <t xml:space="preserve">   - Add-ons (units sold)</t>
  </si>
  <si>
    <t xml:space="preserve">   - Merch (units sold)</t>
  </si>
  <si>
    <t xml:space="preserve">   - Seeds (units sold)</t>
  </si>
  <si>
    <t xml:space="preserve">   - BB 1 year Pro Subscription</t>
  </si>
  <si>
    <t>Amazon Orders</t>
  </si>
  <si>
    <t>Digital Marketplaces Orders</t>
  </si>
  <si>
    <t>Rachio Orders</t>
  </si>
  <si>
    <t>Weatherflow Orders</t>
  </si>
  <si>
    <t>Total Orders</t>
  </si>
  <si>
    <t>B2B Orders</t>
  </si>
  <si>
    <t>App Orders</t>
  </si>
  <si>
    <t>Meta Spend EUR</t>
  </si>
  <si>
    <t>Currency rate</t>
  </si>
  <si>
    <t>Meta Spend</t>
  </si>
  <si>
    <t>Google Spend</t>
  </si>
  <si>
    <t>Bing Spend</t>
  </si>
  <si>
    <t>TikTok Spend</t>
  </si>
  <si>
    <t>Amazon Spend</t>
  </si>
  <si>
    <t>Nextdoor Spend</t>
  </si>
  <si>
    <t>IndieGoGo Spend</t>
  </si>
  <si>
    <t>Affiliate Fees</t>
  </si>
  <si>
    <t>Rachio Fees</t>
  </si>
  <si>
    <t>Weatherflow Fees</t>
  </si>
  <si>
    <t>Total DTC Spend</t>
  </si>
  <si>
    <t>Total Spend</t>
  </si>
  <si>
    <t>App Spend</t>
  </si>
  <si>
    <t>Apple Spend</t>
  </si>
  <si>
    <t>Total APP Spend</t>
  </si>
  <si>
    <t>Blended ROAS</t>
  </si>
  <si>
    <t>wROAS</t>
  </si>
  <si>
    <t>aROAS</t>
  </si>
  <si>
    <t>appROAS</t>
  </si>
  <si>
    <t>Blended Spend per Unit</t>
  </si>
  <si>
    <t>wSPU</t>
  </si>
  <si>
    <t>aSPU</t>
  </si>
  <si>
    <t>appCAC</t>
  </si>
  <si>
    <t>Web CR</t>
  </si>
  <si>
    <t>Web AOV</t>
  </si>
  <si>
    <t>fAOV</t>
  </si>
  <si>
    <t>rAOV</t>
  </si>
  <si>
    <t>Customers</t>
  </si>
  <si>
    <t>Returning</t>
  </si>
  <si>
    <t>First-time</t>
  </si>
  <si>
    <t>Goal</t>
  </si>
  <si>
    <t>% of Goal</t>
  </si>
  <si>
    <t>Revenue</t>
  </si>
  <si>
    <t>Spend</t>
  </si>
  <si>
    <t>ROAS</t>
  </si>
  <si>
    <t>Spend per Unit</t>
  </si>
  <si>
    <t xml:space="preserve"> </t>
  </si>
  <si>
    <t>CR</t>
  </si>
  <si>
    <t>AOV</t>
  </si>
  <si>
    <t>Orders</t>
  </si>
  <si>
    <t>Units Sold</t>
  </si>
  <si>
    <t>SBF UNITS SOLD</t>
  </si>
  <si>
    <t>HBF UNITS SOLD</t>
  </si>
  <si>
    <t>CAC per Unit</t>
  </si>
  <si>
    <t>First-time customers</t>
  </si>
  <si>
    <t>Returning customers</t>
  </si>
  <si>
    <t>Revenue per unit</t>
  </si>
  <si>
    <t>MAY</t>
  </si>
  <si>
    <t>DAY</t>
  </si>
  <si>
    <t>COMMENT</t>
  </si>
  <si>
    <t>Meta</t>
  </si>
  <si>
    <t>Google</t>
  </si>
  <si>
    <t>TikTok</t>
  </si>
  <si>
    <t>Bing</t>
  </si>
  <si>
    <t>Email</t>
  </si>
  <si>
    <t>Nextdoor</t>
  </si>
  <si>
    <t>-</t>
  </si>
  <si>
    <t>Affiliates (Refersion)</t>
  </si>
  <si>
    <t>All</t>
  </si>
  <si>
    <t>Media Cost</t>
  </si>
  <si>
    <t>Affiliate Fee (20%)</t>
  </si>
  <si>
    <t>Revenue Woocommerce (Platform)</t>
  </si>
  <si>
    <t>SUM</t>
  </si>
  <si>
    <t>Orders Woocommerce (Platform)</t>
  </si>
  <si>
    <t>Breakdown</t>
  </si>
  <si>
    <t>Units Sold (Gross)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</si>
  <si>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</si>
  <si>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</si>
  <si>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</si>
  <si>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</si>
  <si>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</si>
  <si>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</si>
  <si>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</si>
  <si>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t>SUM (SKU 5 - SKU 6)</t>
  </si>
  <si>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</si>
  <si>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</si>
  <si>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</si>
  <si>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</si>
  <si>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</si>
  <si>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</si>
  <si>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</si>
  <si>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</si>
  <si>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</si>
  <si>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</si>
  <si>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SUM (Add-ons)</t>
  </si>
  <si>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</si>
  <si>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</si>
  <si>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</si>
  <si>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</si>
  <si>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</si>
  <si>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</si>
  <si>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</si>
  <si>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</si>
  <si>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SUM (Seeds)</t>
  </si>
  <si>
    <t>Merch Units Sold (Gross)</t>
  </si>
  <si>
    <t>Merch Units</t>
  </si>
  <si>
    <t>First-time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</si>
  <si>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</si>
  <si>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</si>
  <si>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</si>
  <si>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</si>
  <si>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</si>
  <si>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</si>
  <si>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</si>
  <si>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</si>
  <si>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</si>
  <si>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</si>
  <si>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</si>
  <si>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</si>
  <si>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</si>
  <si>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</si>
  <si>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Returning Customers</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</si>
  <si>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</si>
  <si>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</si>
  <si>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</si>
  <si>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</si>
  <si>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</si>
  <si>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</si>
  <si>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</si>
  <si>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</si>
  <si>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</si>
  <si>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</si>
  <si>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</si>
  <si>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</si>
  <si>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</si>
  <si>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</si>
  <si>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Seasonal Curation - </t>
    </r>
    <r>
      <rPr>
        <rFont val="Arial"/>
        <b/>
        <color theme="1"/>
        <sz val="12.0"/>
      </rPr>
      <t>8lb</t>
    </r>
  </si>
  <si>
    <r>
      <rPr>
        <rFont val="Arial"/>
        <color theme="1"/>
        <sz val="12.0"/>
      </rPr>
      <t xml:space="preserve">Seasonal Curation - </t>
    </r>
    <r>
      <rPr>
        <rFont val="Arial"/>
        <b/>
        <color theme="1"/>
        <sz val="12.0"/>
      </rPr>
      <t>20lb</t>
    </r>
  </si>
  <si>
    <r>
      <rPr>
        <rFont val="Arial"/>
        <color theme="1"/>
        <sz val="12.0"/>
      </rPr>
      <t xml:space="preserve">Buddy Bites - </t>
    </r>
    <r>
      <rPr>
        <rFont val="Arial"/>
        <b/>
        <color theme="1"/>
        <sz val="12.0"/>
      </rPr>
      <t>8lb</t>
    </r>
  </si>
  <si>
    <r>
      <rPr>
        <rFont val="Arial"/>
        <color theme="1"/>
        <sz val="12.0"/>
      </rPr>
      <t xml:space="preserve">Buddy Bites - </t>
    </r>
    <r>
      <rPr>
        <rFont val="Arial"/>
        <b/>
        <color theme="1"/>
        <sz val="12.0"/>
      </rPr>
      <t>20lb</t>
    </r>
  </si>
  <si>
    <r>
      <rPr>
        <rFont val="Arial"/>
        <color theme="1"/>
        <sz val="12.0"/>
      </rPr>
      <t xml:space="preserve">Snack n' Soar - </t>
    </r>
    <r>
      <rPr>
        <rFont val="Arial"/>
        <b/>
        <color theme="1"/>
        <sz val="12.0"/>
      </rPr>
      <t>8lb</t>
    </r>
  </si>
  <si>
    <r>
      <rPr>
        <rFont val="Arial"/>
        <color theme="1"/>
        <sz val="12.0"/>
      </rPr>
      <t xml:space="preserve">Snack n' Soar - </t>
    </r>
    <r>
      <rPr>
        <rFont val="Arial"/>
        <b/>
        <color theme="1"/>
        <sz val="12.0"/>
      </rPr>
      <t>20lb</t>
    </r>
  </si>
  <si>
    <r>
      <rPr>
        <rFont val="Arial"/>
        <color theme="1"/>
        <sz val="12.0"/>
      </rPr>
      <t xml:space="preserve">Avian Choice - </t>
    </r>
    <r>
      <rPr>
        <rFont val="Arial"/>
        <b/>
        <color theme="1"/>
        <sz val="12.0"/>
      </rPr>
      <t>8lb</t>
    </r>
  </si>
  <si>
    <r>
      <rPr>
        <rFont val="Arial"/>
        <color theme="1"/>
        <sz val="12.0"/>
      </rPr>
      <t xml:space="preserve">Avian Choice - </t>
    </r>
    <r>
      <rPr>
        <rFont val="Arial"/>
        <b/>
        <color theme="1"/>
        <sz val="12.0"/>
      </rPr>
      <t>20lb</t>
    </r>
  </si>
  <si>
    <t>Units Sold (Net)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</si>
  <si>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</si>
  <si>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</si>
  <si>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</si>
  <si>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</si>
  <si>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SKU 5 - </t>
    </r>
    <r>
      <rPr>
        <rFont val="Arial"/>
        <b/>
        <color theme="1"/>
        <sz val="12.0"/>
      </rPr>
      <t>HBF</t>
    </r>
  </si>
  <si>
    <r>
      <rPr>
        <rFont val="Arial"/>
        <color theme="1"/>
        <sz val="12.0"/>
      </rPr>
      <t xml:space="preserve">SKU 6 - </t>
    </r>
    <r>
      <rPr>
        <rFont val="Arial"/>
        <b/>
        <color theme="1"/>
        <sz val="12.0"/>
      </rPr>
      <t>HBF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</si>
  <si>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</si>
  <si>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</si>
  <si>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</si>
  <si>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</si>
  <si>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</si>
  <si>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</si>
  <si>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</si>
  <si>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</si>
  <si>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t>Units Sold by Country (Gross)</t>
  </si>
  <si>
    <t>US &amp; CA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</si>
  <si>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</si>
  <si>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</si>
  <si>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</si>
  <si>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</si>
  <si>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</si>
  <si>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</si>
  <si>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Main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</si>
  <si>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</si>
  <si>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</si>
  <si>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</si>
  <si>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</si>
  <si>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</si>
  <si>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</si>
  <si>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SUM (SKU 1 + SKU 2)</t>
  </si>
  <si>
    <t>SUM (SKU 3 + SKU 4)</t>
  </si>
  <si>
    <t>US &amp; CA - Add-ons</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</si>
  <si>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</si>
  <si>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</si>
  <si>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</si>
  <si>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</si>
  <si>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</si>
  <si>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</si>
  <si>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</si>
  <si>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</si>
  <si>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</si>
  <si>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</si>
  <si>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</si>
  <si>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</si>
  <si>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</si>
  <si>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</si>
  <si>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</si>
  <si>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</si>
  <si>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</si>
  <si>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</si>
  <si>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</si>
  <si>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</si>
  <si>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</si>
  <si>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</si>
  <si>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</si>
  <si>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</si>
  <si>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</si>
  <si>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</si>
  <si>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</si>
  <si>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</si>
  <si>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</si>
  <si>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</si>
  <si>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</si>
  <si>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</si>
  <si>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</si>
  <si>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</si>
  <si>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</si>
  <si>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</si>
  <si>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</si>
  <si>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</si>
  <si>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</si>
  <si>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</si>
  <si>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Europe</t>
    </r>
    <r>
      <rPr>
        <rFont val="Arial"/>
        <color theme="1"/>
        <sz val="12.0"/>
      </rPr>
      <t xml:space="preserve"> - Add-ons</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</si>
  <si>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</si>
  <si>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</si>
  <si>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</si>
  <si>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</si>
  <si>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r>
      <rPr>
        <rFont val="Arial"/>
        <color theme="1"/>
        <sz val="12.0"/>
      </rPr>
      <t xml:space="preserve"> </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</si>
  <si>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</si>
  <si>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</si>
  <si>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</si>
  <si>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Merch - US &amp; CA</t>
  </si>
  <si>
    <t>Units - Cancelled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</si>
  <si>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</si>
  <si>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</si>
  <si>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</si>
  <si>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</si>
  <si>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</si>
  <si>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</si>
  <si>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</si>
  <si>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</si>
  <si>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</si>
  <si>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</si>
  <si>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</si>
  <si>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</si>
  <si>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</si>
  <si>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</si>
  <si>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</si>
  <si>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</si>
  <si>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</si>
  <si>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</si>
  <si>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</si>
  <si>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</si>
  <si>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TOF </t>
    </r>
    <r>
      <rPr>
        <rFont val="Arial"/>
        <b/>
        <color theme="1"/>
        <sz val="12.0"/>
      </rPr>
      <t>(BB pro)</t>
    </r>
  </si>
  <si>
    <t>Europe - Add-ons</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</si>
  <si>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</si>
  <si>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</si>
  <si>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</si>
  <si>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</si>
  <si>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</si>
  <si>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</si>
  <si>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</si>
  <si>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</si>
  <si>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Revenue - Cancelled by country (Gross)</t>
  </si>
  <si>
    <t>Total - US &amp; CA</t>
  </si>
  <si>
    <t>SUM - US &amp; CA</t>
  </si>
  <si>
    <t>Hardware - Europe</t>
  </si>
  <si>
    <t>Shipping - Europe</t>
  </si>
  <si>
    <t xml:space="preserve">VAT - Europe </t>
  </si>
  <si>
    <t>SUM - Europe</t>
  </si>
  <si>
    <t>Units - Return for Refund by country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</si>
  <si>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</si>
  <si>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</si>
  <si>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</si>
  <si>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</si>
  <si>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</si>
  <si>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</si>
  <si>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</si>
  <si>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</si>
  <si>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</si>
  <si>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</si>
  <si>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</si>
  <si>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</si>
  <si>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</si>
  <si>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</si>
  <si>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</si>
  <si>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</si>
  <si>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</si>
  <si>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</si>
  <si>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</si>
  <si>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</si>
  <si>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</si>
  <si>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</si>
  <si>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</si>
  <si>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</si>
  <si>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</si>
  <si>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</si>
  <si>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</si>
  <si>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</si>
  <si>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Refund - US &amp; CA</t>
  </si>
  <si>
    <t>Orders Return for Refund - Europe</t>
  </si>
  <si>
    <t>Revenue - Returned for Refund by country (Gross)</t>
  </si>
  <si>
    <t>Units - Return for Replacement (Replacement Units &amp; Claims) by country</t>
  </si>
  <si>
    <t>karotenoid</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</si>
  <si>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</si>
  <si>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</si>
  <si>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</si>
  <si>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</si>
  <si>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</si>
  <si>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</si>
  <si>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US &amp; CA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</si>
  <si>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</si>
  <si>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 xml:space="preserve">Yellow </t>
    </r>
  </si>
  <si>
    <t xml:space="preserve">Camera module </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</si>
  <si>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</si>
  <si>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</si>
  <si>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</si>
  <si>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</si>
  <si>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SKU 5 - </t>
    </r>
    <r>
      <rPr>
        <rFont val="Arial"/>
        <b/>
        <color theme="1"/>
        <sz val="12.0"/>
      </rPr>
      <t>HBF</t>
    </r>
  </si>
  <si>
    <r>
      <rPr>
        <rFont val="Arial"/>
        <color theme="1"/>
        <sz val="12.0"/>
      </rPr>
      <t xml:space="preserve">   SKU 6 - </t>
    </r>
    <r>
      <rPr>
        <rFont val="Arial"/>
        <b/>
        <color theme="1"/>
        <sz val="12.0"/>
      </rPr>
      <t>HBF w/ Solar</t>
    </r>
  </si>
  <si>
    <t>Europe (EU, UK, NOR, SWI) - Housing/Camera</t>
  </si>
  <si>
    <r>
      <rPr>
        <rFont val="Arial"/>
        <color theme="1"/>
        <sz val="12.0"/>
      </rPr>
      <t xml:space="preserve">Housing - </t>
    </r>
    <r>
      <rPr>
        <rFont val="Arial"/>
        <b/>
        <color theme="1"/>
        <sz val="12.0"/>
      </rPr>
      <t>Blue</t>
    </r>
  </si>
  <si>
    <r>
      <rPr>
        <rFont val="Arial"/>
        <color theme="1"/>
        <sz val="12.0"/>
      </rPr>
      <t xml:space="preserve">Housing - </t>
    </r>
    <r>
      <rPr>
        <rFont val="Arial"/>
        <b/>
        <color theme="1"/>
        <sz val="12.0"/>
      </rPr>
      <t>Yellow</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</si>
  <si>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</si>
  <si>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</si>
  <si>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</si>
  <si>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</si>
  <si>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</si>
  <si>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</si>
  <si>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</si>
  <si>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</si>
  <si>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</si>
  <si>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</si>
  <si>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</si>
  <si>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</si>
  <si>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</si>
  <si>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</si>
  <si>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r>
      <rPr>
        <rFont val="Arial"/>
        <color theme="1"/>
        <sz val="12.0"/>
      </rPr>
      <t xml:space="preserve">   Solar Roof </t>
    </r>
    <r>
      <rPr>
        <rFont val="Arial"/>
        <b/>
        <color theme="1"/>
        <sz val="12.0"/>
      </rPr>
      <t>(HBF)</t>
    </r>
  </si>
  <si>
    <r>
      <rPr>
        <rFont val="Arial"/>
        <color theme="1"/>
        <sz val="12.0"/>
      </rPr>
      <t xml:space="preserve">   Housing - only </t>
    </r>
    <r>
      <rPr>
        <rFont val="Arial"/>
        <b/>
        <color theme="1"/>
        <sz val="12.0"/>
      </rPr>
      <t>(HBF)</t>
    </r>
  </si>
  <si>
    <t>Orders Return for Replacement - US &amp; CA</t>
  </si>
  <si>
    <t>Orders Return for Replacement - Europe</t>
  </si>
  <si>
    <t>Undeliverables</t>
  </si>
  <si>
    <t>Orders - Undelivered - US &amp; CA</t>
  </si>
  <si>
    <t>Orders - Undelivered - Europe</t>
  </si>
  <si>
    <t>Chargebacks</t>
  </si>
  <si>
    <t xml:space="preserve">Number of Chargebacks </t>
  </si>
  <si>
    <t>Gross Cost</t>
  </si>
  <si>
    <t>Media Spend</t>
  </si>
  <si>
    <t>Media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</si>
  <si>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</si>
  <si>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</si>
  <si>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t>COGS Hummingbird feeder</t>
  </si>
  <si>
    <t xml:space="preserve">COGS Hummingbird feeder with Solar Roof </t>
  </si>
  <si>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</si>
  <si>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</si>
  <si>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</si>
  <si>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</si>
  <si>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</si>
  <si>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t>COGS Solar Roof Hummingbird feeder</t>
  </si>
  <si>
    <t>COGS Housing Hummingbird feeder</t>
  </si>
  <si>
    <r>
      <rPr>
        <rFont val="Arial"/>
        <b/>
        <color theme="1"/>
        <sz val="12.0"/>
      </rPr>
      <t>COGS Merch</t>
    </r>
    <r>
      <rPr>
        <rFont val="Arial"/>
        <b val="0"/>
        <color theme="1"/>
        <sz val="12.0"/>
      </rPr>
      <t xml:space="preserve"> (Average)</t>
    </r>
  </si>
  <si>
    <t>COGS Seeds</t>
  </si>
  <si>
    <r>
      <rPr>
        <rFont val="Arial"/>
        <b/>
        <color theme="1"/>
        <sz val="12.0"/>
      </rPr>
      <t>Processing Fee</t>
    </r>
    <r>
      <rPr>
        <rFont val="Arial"/>
        <b val="0"/>
        <color theme="1"/>
        <sz val="12.0"/>
      </rPr>
      <t xml:space="preserve"> (2,90%) </t>
    </r>
    <r>
      <rPr>
        <rFont val="Arial"/>
        <b val="0"/>
        <color theme="1"/>
        <sz val="10.0"/>
      </rPr>
      <t>stripe vs. affirm %</t>
    </r>
  </si>
  <si>
    <r>
      <rPr>
        <rFont val="Arial"/>
        <b/>
        <color theme="1"/>
        <sz val="12.0"/>
      </rPr>
      <t xml:space="preserve">Transaction Fee </t>
    </r>
    <r>
      <rPr>
        <rFont val="Arial"/>
        <b val="0"/>
        <color theme="1"/>
        <sz val="12.0"/>
      </rPr>
      <t xml:space="preserve">($0.30) </t>
    </r>
    <r>
      <rPr>
        <rFont val="Arial"/>
        <b val="0"/>
        <color theme="1"/>
        <sz val="10.0"/>
      </rPr>
      <t>stripe vs. affirm %</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</si>
  <si>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</si>
  <si>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</si>
  <si>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</si>
  <si>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</si>
  <si>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Outbound Shipping - Merch</t>
    </r>
    <r>
      <rPr>
        <rFont val="Arial"/>
        <b val="0"/>
        <color theme="1"/>
        <sz val="12.0"/>
      </rPr>
      <t xml:space="preserve"> (Average)</t>
    </r>
  </si>
  <si>
    <t>Outbound Shipping - Seeds</t>
  </si>
  <si>
    <r>
      <rPr>
        <rFont val="Arial"/>
        <b/>
        <color theme="1"/>
        <sz val="12.0"/>
      </rPr>
      <t>(All sales) US VAT</t>
    </r>
    <r>
      <rPr>
        <rFont val="Arial"/>
        <b val="0"/>
        <color theme="1"/>
        <sz val="12.0"/>
      </rPr>
      <t xml:space="preserve"> (Woo)</t>
    </r>
  </si>
  <si>
    <r>
      <rPr>
        <rFont val="Arial"/>
        <b/>
        <color theme="1"/>
        <sz val="12.0"/>
      </rPr>
      <t xml:space="preserve">(All sales) Europe VAT </t>
    </r>
    <r>
      <rPr>
        <rFont val="Arial"/>
        <b val="0"/>
        <color theme="1"/>
        <sz val="12.0"/>
      </rPr>
      <t>(EU, UK, NOR, SWI) - 22%</t>
    </r>
  </si>
  <si>
    <t>Total Cost</t>
  </si>
  <si>
    <t>Gross Revenue</t>
  </si>
  <si>
    <t>Gross Sales Profit</t>
  </si>
  <si>
    <t>Gross Sales Margin</t>
  </si>
  <si>
    <t>Daily ROAS</t>
  </si>
  <si>
    <t>Gross Complaints</t>
  </si>
  <si>
    <t xml:space="preserve">Cancellations </t>
  </si>
  <si>
    <t>COGS Bird Buddy ($86.90)</t>
  </si>
  <si>
    <t>COGS Bird Buddy with Solar Roof ($97.61)</t>
  </si>
  <si>
    <t>COGS Wall Mount ($5.49)</t>
  </si>
  <si>
    <t>COGS Suet Ball ($1.19)</t>
  </si>
  <si>
    <t>COGS 3-in-1 Nutrition Set ($6.66)</t>
  </si>
  <si>
    <t>COGS Solar Roof Single ($13.44)</t>
  </si>
  <si>
    <t>COGS Perch Extender ($6.00)</t>
  </si>
  <si>
    <t>Inbound Shipping BB units ($11.94)</t>
  </si>
  <si>
    <t xml:space="preserve">Outbound Shipping BB units </t>
  </si>
  <si>
    <t>Inbound Shipping Add-ons ($1.44)</t>
  </si>
  <si>
    <t>Outbound Shipping Add-ons ($6.16)</t>
  </si>
  <si>
    <t>Cancellations value</t>
  </si>
  <si>
    <r>
      <rPr>
        <rFont val="Arial"/>
        <b/>
        <color theme="1"/>
        <sz val="12.0"/>
      </rPr>
      <t xml:space="preserve">Returns for Refund </t>
    </r>
    <r>
      <rPr>
        <rFont val="Arial"/>
        <b val="0"/>
        <color theme="1"/>
        <sz val="12.0"/>
      </rPr>
      <t>(25% adjusted)</t>
    </r>
  </si>
  <si>
    <t xml:space="preserve">COGS Bird Buddy ($86.90) </t>
  </si>
  <si>
    <t xml:space="preserve">COGS Bird Buddy with Solar Roof ($97.61) </t>
  </si>
  <si>
    <t xml:space="preserve">COGS Wall Mount ($5.49) </t>
  </si>
  <si>
    <t xml:space="preserve">COGS Suet Ball ($1.19) </t>
  </si>
  <si>
    <t>30 days return shipping</t>
  </si>
  <si>
    <t>Refunds value</t>
  </si>
  <si>
    <r>
      <rPr>
        <rFont val="Arial"/>
        <b/>
        <color theme="1"/>
        <sz val="12.0"/>
      </rPr>
      <t xml:space="preserve">Returns for Replacements and Claims </t>
    </r>
    <r>
      <rPr>
        <rFont val="Arial"/>
        <b val="0"/>
        <color theme="1"/>
        <sz val="12.0"/>
      </rPr>
      <t>(10% adjusted)</t>
    </r>
  </si>
  <si>
    <t>COGS Housing</t>
  </si>
  <si>
    <t>COGS Camera Module</t>
  </si>
  <si>
    <t>Inbound Shipping Housing</t>
  </si>
  <si>
    <t>Inbound Shipping Camera Module</t>
  </si>
  <si>
    <t>Return Shipping</t>
  </si>
  <si>
    <t xml:space="preserve">   - Returns for Replacement and Claims (New Items, 100%)</t>
  </si>
  <si>
    <t xml:space="preserve">   - COGS Bird Buddy ($86.90)</t>
  </si>
  <si>
    <t xml:space="preserve">   - COGS Bird Buddy with Solar Roof ($97.61)</t>
  </si>
  <si>
    <t xml:space="preserve">   - COGS Hummingbird feeder</t>
  </si>
  <si>
    <t xml:space="preserve">   - COGS Hummingbird feeder with Solar Roof </t>
  </si>
  <si>
    <t xml:space="preserve">   - COGS Wall Mount ($5.49)</t>
  </si>
  <si>
    <t xml:space="preserve">   - COGS Suet Ball ($1.19)</t>
  </si>
  <si>
    <t xml:space="preserve">   - COGS 3-in-1 Nutrition Set ($6.66)</t>
  </si>
  <si>
    <t xml:space="preserve">   - COGS Solar Roof Single ($13.44)</t>
  </si>
  <si>
    <t xml:space="preserve">   - COGS Perch Extender ($6.00)</t>
  </si>
  <si>
    <t xml:space="preserve">   - COGS Housing</t>
  </si>
  <si>
    <t xml:space="preserve">   - COGS Camera Module</t>
  </si>
  <si>
    <t xml:space="preserve">   - COGS Solar Roof Hummingbird feeder</t>
  </si>
  <si>
    <t xml:space="preserve">   - COGS Housing Hummingbird feeder</t>
  </si>
  <si>
    <t xml:space="preserve">   - Inbound Shipping BB units ($11.94)</t>
  </si>
  <si>
    <t xml:space="preserve">   - Outbound Shipping BB units </t>
  </si>
  <si>
    <t xml:space="preserve">   - Inbound Shipping Add-ons ($1.44)</t>
  </si>
  <si>
    <t xml:space="preserve">   - Outbound Shipping Add-ons ($6.16)</t>
  </si>
  <si>
    <t xml:space="preserve">   - Inbound Shipping Housing</t>
  </si>
  <si>
    <t xml:space="preserve">   - Outbound Shipping Housing</t>
  </si>
  <si>
    <t xml:space="preserve">   - Inbound Shipping Camera Module</t>
  </si>
  <si>
    <t xml:space="preserve">   - Outbound Shipping Camera Module</t>
  </si>
  <si>
    <t>Outbound Shipping Cost</t>
  </si>
  <si>
    <t>Chargebacks fee</t>
  </si>
  <si>
    <t>Compensations</t>
  </si>
  <si>
    <t>Cash Out</t>
  </si>
  <si>
    <t>NET Sales Profit</t>
  </si>
  <si>
    <t>Net Sales Margin</t>
  </si>
  <si>
    <t>Gross profit per order</t>
  </si>
  <si>
    <t>Net profit per order</t>
  </si>
  <si>
    <t>Gross profit per feeder</t>
  </si>
  <si>
    <t>Net profit per feeder</t>
  </si>
  <si>
    <t>Amazon (market place)</t>
  </si>
  <si>
    <t>Amazon Platform Fee (15 %)</t>
  </si>
  <si>
    <t>Hardware</t>
  </si>
  <si>
    <t>Addons</t>
  </si>
  <si>
    <t xml:space="preserve">Tax </t>
  </si>
  <si>
    <t xml:space="preserve">Shipping </t>
  </si>
  <si>
    <t>Gift Wrap Price</t>
  </si>
  <si>
    <t>All Amazon</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</si>
  <si>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</si>
  <si>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</si>
  <si>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</si>
  <si>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</si>
  <si>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</si>
  <si>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</si>
  <si>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</si>
  <si>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</si>
  <si>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</si>
  <si>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</si>
  <si>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</si>
  <si>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</si>
  <si>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</si>
  <si>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</si>
  <si>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</si>
  <si>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</si>
  <si>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</si>
  <si>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</si>
  <si>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</si>
  <si>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</si>
  <si>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by country (Gross) - Only selling in US</t>
  </si>
  <si>
    <t>Bird Buddy - Blue - AMAZON.US</t>
  </si>
  <si>
    <r>
      <rPr>
        <rFont val="Arial"/>
        <color theme="1"/>
        <sz val="13.0"/>
      </rPr>
      <t xml:space="preserve">Bird Buddy - Yellow - </t>
    </r>
    <r>
      <rPr>
        <rFont val="Arial"/>
        <color rgb="FF000000"/>
        <sz val="13.0"/>
      </rPr>
      <t>AMAZON.US</t>
    </r>
  </si>
  <si>
    <t>Bird Buddy with Solar Roof Blue - AMAZON.US</t>
  </si>
  <si>
    <t>Bird Buddy with Solar Roof Yellow - AMAZON.US</t>
  </si>
  <si>
    <t>Bird Buddy - AMAZON.EU</t>
  </si>
  <si>
    <t>Bird Buddy with Solar Roof - AMAZON.EU</t>
  </si>
  <si>
    <t>Bird Buddy - AMAZON (OTHER1)</t>
  </si>
  <si>
    <t>Bird Buddy with Solar Roof - AMAZON (OTHER1)</t>
  </si>
  <si>
    <t>All Bird Buddy</t>
  </si>
  <si>
    <t>All Bird Buddy with Solar Roof</t>
  </si>
  <si>
    <r>
      <rPr>
        <rFont val="Arial"/>
        <color theme="1"/>
        <sz val="13.0"/>
      </rPr>
      <t xml:space="preserve">Wall Mount - </t>
    </r>
    <r>
      <rPr>
        <rFont val="Arial"/>
        <color rgb="FF000000"/>
        <sz val="13.0"/>
      </rPr>
      <t>AMAZON.US</t>
    </r>
  </si>
  <si>
    <r>
      <rPr>
        <rFont val="Arial"/>
        <color theme="1"/>
        <sz val="13.0"/>
      </rPr>
      <t xml:space="preserve">Fence Mount - </t>
    </r>
    <r>
      <rPr>
        <rFont val="Arial"/>
        <color rgb="FF000000"/>
        <sz val="13.0"/>
      </rPr>
      <t>AMAZON.US</t>
    </r>
  </si>
  <si>
    <t>Suet Ball Holder - AMAZON.US</t>
  </si>
  <si>
    <r>
      <rPr>
        <rFont val="Arial"/>
        <color theme="1"/>
        <sz val="13.0"/>
      </rPr>
      <t xml:space="preserve">3-in-1 Nutrition Set - </t>
    </r>
    <r>
      <rPr>
        <rFont val="Arial"/>
        <color rgb="FF000000"/>
        <sz val="13.0"/>
      </rPr>
      <t>AMAZON.US</t>
    </r>
  </si>
  <si>
    <r>
      <rPr>
        <rFont val="Arial"/>
        <color theme="1"/>
        <sz val="13.0"/>
      </rPr>
      <t xml:space="preserve">Solar Roof Single - </t>
    </r>
    <r>
      <rPr>
        <rFont val="Arial"/>
        <color rgb="FF000000"/>
        <sz val="13.0"/>
      </rPr>
      <t>AMAZON.US</t>
    </r>
  </si>
  <si>
    <r>
      <rPr>
        <rFont val="Arial"/>
        <color theme="1"/>
        <sz val="13.0"/>
      </rPr>
      <t xml:space="preserve">All </t>
    </r>
    <r>
      <rPr>
        <rFont val="Arial"/>
        <color rgb="FF000000"/>
        <sz val="13.0"/>
      </rPr>
      <t>AMAZON.US</t>
    </r>
  </si>
  <si>
    <t>Wall Mount - AMAZON.EU</t>
  </si>
  <si>
    <t>Fence Mount - AMAZON.EU</t>
  </si>
  <si>
    <t>Suet Ball Holder - AMAZON.EU</t>
  </si>
  <si>
    <t>3-in-1 Nutrition Set - AMAZON.EU</t>
  </si>
  <si>
    <t>Solar Roof Single - AMAZON.EU</t>
  </si>
  <si>
    <t>All AMAZON.EU</t>
  </si>
  <si>
    <t>Wall Mount - AMAZON (OTHER1)</t>
  </si>
  <si>
    <t>Fence Mount - AMAZON (OTHER1)</t>
  </si>
  <si>
    <t>Suet Ball Holder - AMAZON (OTHER1)</t>
  </si>
  <si>
    <t>3-in-1 Nutrition Set - AMAZON (OTHER1)</t>
  </si>
  <si>
    <t>Solar Roof Single - AMAZON (OTHER1)</t>
  </si>
  <si>
    <t>All AMAZON (OTHER1)</t>
  </si>
  <si>
    <t>Revenue by country (Gross) - Only selling in US</t>
  </si>
  <si>
    <r>
      <rPr>
        <rFont val="Arial"/>
        <color theme="1"/>
        <sz val="12.0"/>
      </rPr>
      <t xml:space="preserve">Bird Buddy - </t>
    </r>
    <r>
      <rPr>
        <rFont val="Arial"/>
        <color rgb="FF000000"/>
        <sz val="12.0"/>
      </rPr>
      <t>AMAZON.US</t>
    </r>
  </si>
  <si>
    <t>Bird Buddy with Solar Roof - AMAZON.US</t>
  </si>
  <si>
    <r>
      <rPr>
        <rFont val="Arial"/>
        <color theme="1"/>
        <sz val="12.0"/>
      </rPr>
      <t xml:space="preserve">Wall Mount - </t>
    </r>
    <r>
      <rPr>
        <rFont val="Arial"/>
        <color rgb="FF000000"/>
        <sz val="12.0"/>
      </rPr>
      <t>AMAZON.US</t>
    </r>
  </si>
  <si>
    <r>
      <rPr>
        <rFont val="Arial"/>
        <color theme="1"/>
        <sz val="12.0"/>
      </rPr>
      <t xml:space="preserve">Fence Mount - </t>
    </r>
    <r>
      <rPr>
        <rFont val="Arial"/>
        <color rgb="FF000000"/>
        <sz val="12.0"/>
      </rPr>
      <t>AMAZON.US</t>
    </r>
  </si>
  <si>
    <r>
      <rPr>
        <rFont val="Arial"/>
        <color theme="1"/>
        <sz val="12.0"/>
      </rPr>
      <t xml:space="preserve">3-in-1 Nutrition Set - </t>
    </r>
    <r>
      <rPr>
        <rFont val="Arial"/>
        <color rgb="FF000000"/>
        <sz val="12.0"/>
      </rPr>
      <t>AMAZON.US</t>
    </r>
  </si>
  <si>
    <r>
      <rPr>
        <rFont val="Arial"/>
        <color theme="1"/>
        <sz val="12.0"/>
      </rPr>
      <t xml:space="preserve">Solar Roof Single - </t>
    </r>
    <r>
      <rPr>
        <rFont val="Arial"/>
        <color rgb="FF000000"/>
        <sz val="12.0"/>
      </rPr>
      <t>AMAZON.US</t>
    </r>
  </si>
  <si>
    <r>
      <rPr>
        <rFont val="Arial"/>
        <color theme="1"/>
        <sz val="12.0"/>
      </rPr>
      <t xml:space="preserve">All </t>
    </r>
    <r>
      <rPr>
        <rFont val="Arial"/>
        <color rgb="FF000000"/>
        <sz val="12.0"/>
      </rPr>
      <t>AMAZON.US</t>
    </r>
  </si>
  <si>
    <t>Units Cancelled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</si>
  <si>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</si>
  <si>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</si>
  <si>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</si>
  <si>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</si>
  <si>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</si>
  <si>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</si>
  <si>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</si>
  <si>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</si>
  <si>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</si>
  <si>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</si>
  <si>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Returned for Refund (Gross)</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</si>
  <si>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</si>
  <si>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</si>
  <si>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</si>
  <si>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</si>
  <si>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</si>
  <si>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</si>
  <si>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</si>
  <si>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</si>
  <si>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</si>
  <si>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</si>
  <si>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t>
  </si>
  <si>
    <t>Hardware - AMAZON.US</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</si>
  <si>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</si>
  <si>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</si>
  <si>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</si>
  <si>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</si>
  <si>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</si>
  <si>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</si>
  <si>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Shipping - </t>
    </r>
    <r>
      <rPr>
        <rFont val="Arial"/>
        <color rgb="FF000000"/>
        <sz val="12.0"/>
      </rPr>
      <t>AMAZON.US</t>
    </r>
  </si>
  <si>
    <t>Taxes - AMAZON.US</t>
  </si>
  <si>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</si>
  <si>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</si>
  <si>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</si>
  <si>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</si>
  <si>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</si>
  <si>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</si>
  <si>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</si>
  <si>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</si>
  <si>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</si>
  <si>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</si>
  <si>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</si>
  <si>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</si>
  <si>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</si>
  <si>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Parts</t>
  </si>
  <si>
    <t>Housing - Blue</t>
  </si>
  <si>
    <t>Housing - Yellow</t>
  </si>
  <si>
    <t>Camera Module</t>
  </si>
  <si>
    <t>Orders Replaced NA</t>
  </si>
  <si>
    <t>Number of chargebacks</t>
  </si>
  <si>
    <t>Platform Fees</t>
  </si>
  <si>
    <t>Outbound Shipping BB units (FBA Fee + Outbound Shipping)</t>
  </si>
  <si>
    <t>Inbound Shipping Add-ons ($2.27)</t>
  </si>
  <si>
    <t>Outbound Shipping Add-ons (FBA Fee + Outbound Shipping)</t>
  </si>
  <si>
    <t>Storage Fee ($0.24)</t>
  </si>
  <si>
    <t>(All sales) US VAT (AMZN)</t>
  </si>
  <si>
    <t>(All sales) Shipping</t>
  </si>
  <si>
    <t>(All sales) Gift Wrap</t>
  </si>
  <si>
    <t>ALL</t>
  </si>
  <si>
    <t>Total Complaints</t>
  </si>
  <si>
    <t>Cancellations (Ex. "Refunds")</t>
  </si>
  <si>
    <t>Returns for Refund (Ex. "Return") (56% adjusted)</t>
  </si>
  <si>
    <t>Removal Fee</t>
  </si>
  <si>
    <t>Returns for Replacement and Claims (46% adjusted)</t>
  </si>
  <si>
    <t>Returns for Replacement and Claims (New Items, 100%)</t>
  </si>
  <si>
    <t>Chargebacks Fee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</si>
  <si>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</si>
  <si>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</si>
  <si>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</si>
  <si>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</si>
  <si>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</si>
  <si>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</si>
  <si>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</si>
  <si>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</si>
  <si>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</si>
  <si>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</si>
  <si>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</si>
  <si>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</si>
  <si>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</si>
  <si>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</si>
  <si>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</si>
  <si>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</si>
  <si>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</si>
  <si>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</si>
  <si>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</si>
  <si>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</si>
  <si>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</si>
  <si>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</si>
  <si>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</si>
  <si>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</si>
  <si>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</si>
  <si>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</si>
  <si>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</si>
  <si>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For summary</t>
  </si>
  <si>
    <t>Apple</t>
  </si>
  <si>
    <t xml:space="preserve">Rachio (Shopify) </t>
  </si>
  <si>
    <t xml:space="preserve">  - Shipping</t>
  </si>
  <si>
    <t>Rachio Fees (20%)</t>
  </si>
  <si>
    <t>Units Sold (Gross) - Rachio</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</si>
  <si>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</si>
  <si>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</si>
  <si>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</si>
  <si>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</si>
  <si>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</si>
  <si>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</si>
  <si>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</si>
  <si>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</si>
  <si>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</si>
  <si>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</si>
  <si>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Rachio</t>
  </si>
  <si>
    <t>Units Cancelled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</si>
  <si>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</si>
  <si>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</si>
  <si>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</si>
  <si>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</si>
  <si>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</si>
  <si>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</si>
  <si>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</si>
  <si>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</si>
  <si>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</si>
  <si>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</si>
  <si>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Rachio</t>
  </si>
  <si>
    <t xml:space="preserve">Hardware </t>
  </si>
  <si>
    <t xml:space="preserve">Taxes </t>
  </si>
  <si>
    <t>All NA</t>
  </si>
  <si>
    <t>All EU</t>
  </si>
  <si>
    <t>Units Refund (Gross)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</si>
  <si>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</si>
  <si>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</si>
  <si>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</si>
  <si>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</si>
  <si>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</si>
  <si>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</si>
  <si>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</si>
  <si>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</si>
  <si>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</si>
  <si>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</si>
  <si>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Orders Return for Refund </t>
  </si>
  <si>
    <t>Revenue Refunded (Gross) - Rachio</t>
  </si>
  <si>
    <t>RETURN (Replacement Units &amp; Claims) - Rachio</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</si>
  <si>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</si>
  <si>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</si>
  <si>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</si>
  <si>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</si>
  <si>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</si>
  <si>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</si>
  <si>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</si>
  <si>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</si>
  <si>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</si>
  <si>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</si>
  <si>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 xml:space="preserve">Weatherflow (Shopify) </t>
  </si>
  <si>
    <t>Weatherflow Fees (15%)</t>
  </si>
  <si>
    <t>Units Sold (Gross) - Weatherflow</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</si>
  <si>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</si>
  <si>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</si>
  <si>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</si>
  <si>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</si>
  <si>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</si>
  <si>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</si>
  <si>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</si>
  <si>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</si>
  <si>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</si>
  <si>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</si>
  <si>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Weatherflow</t>
  </si>
  <si>
    <t>Units Cancelled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</si>
  <si>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</si>
  <si>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</si>
  <si>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</si>
  <si>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</si>
  <si>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</si>
  <si>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</si>
  <si>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</si>
  <si>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</si>
  <si>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</si>
  <si>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</si>
  <si>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Weatherflow</t>
  </si>
  <si>
    <t>Units Refund (Gross)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</si>
  <si>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</si>
  <si>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</si>
  <si>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</si>
  <si>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</si>
  <si>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</si>
  <si>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</si>
  <si>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</si>
  <si>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</si>
  <si>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</si>
  <si>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</si>
  <si>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Weatherflow</t>
  </si>
  <si>
    <t>RETURN (Replacement Units &amp; Claims) - Weatherflow</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</si>
  <si>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</si>
  <si>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</si>
  <si>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</si>
  <si>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</si>
  <si>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</si>
  <si>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</si>
  <si>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</si>
  <si>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</si>
  <si>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</si>
  <si>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</si>
  <si>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Units Sold (Gross) Total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</si>
  <si>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</si>
  <si>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</si>
  <si>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</si>
  <si>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</si>
  <si>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</si>
  <si>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</si>
  <si>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</si>
  <si>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</si>
  <si>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</si>
  <si>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</si>
  <si>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Marketplace Fees</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</si>
  <si>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</si>
  <si>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</si>
  <si>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</si>
  <si>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</si>
  <si>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</si>
  <si>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</si>
  <si>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</si>
  <si>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</si>
  <si>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</si>
  <si>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</si>
  <si>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</si>
  <si>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r>
      <rPr>
        <rFont val="Arial"/>
        <b/>
        <color theme="1"/>
        <sz val="12.0"/>
      </rPr>
      <t>(All sales) US VAT</t>
    </r>
    <r>
      <rPr>
        <rFont val="Arial"/>
        <b val="0"/>
        <color theme="1"/>
        <sz val="12.0"/>
      </rPr>
      <t xml:space="preserve"> (Rachio)</t>
    </r>
  </si>
  <si>
    <r>
      <rPr>
        <rFont val="Arial"/>
        <b/>
        <color theme="1"/>
        <sz val="12.0"/>
      </rPr>
      <t xml:space="preserve">(All sales) US VAT </t>
    </r>
    <r>
      <rPr>
        <rFont val="Arial"/>
        <b val="0"/>
        <color theme="1"/>
        <sz val="12.0"/>
      </rPr>
      <t xml:space="preserve">(Weatherflow) </t>
    </r>
  </si>
  <si>
    <t>Cancellations</t>
  </si>
  <si>
    <t xml:space="preserve">  COGS Bird Buddy ($86.90)</t>
  </si>
  <si>
    <t xml:space="preserve">  COGS Bird Buddy with Solar Roof ($97.61)</t>
  </si>
  <si>
    <t xml:space="preserve">  COGS Wall Mount ($5.49)</t>
  </si>
  <si>
    <t xml:space="preserve">  COGS Suet Ball ($1.19)</t>
  </si>
  <si>
    <t xml:space="preserve">  COGS 3-in-1 Nutrition Set ($6.66)</t>
  </si>
  <si>
    <t xml:space="preserve">  COGS Solar Roof Single ($13.44)</t>
  </si>
  <si>
    <t xml:space="preserve">  COGS Perch Extender ($6.00)</t>
  </si>
  <si>
    <t xml:space="preserve">  Inbound Shipping BB units ($11.94)</t>
  </si>
  <si>
    <t xml:space="preserve">  Outbound Shipping BB units </t>
  </si>
  <si>
    <t xml:space="preserve">  Cancellations value</t>
  </si>
  <si>
    <r>
      <rPr>
        <rFont val="Arial"/>
        <b/>
        <color theme="1"/>
        <sz val="12.0"/>
      </rPr>
      <t xml:space="preserve">Returns for Refund </t>
    </r>
    <r>
      <rPr>
        <rFont val="Arial"/>
        <b val="0"/>
        <color theme="1"/>
        <sz val="12.0"/>
      </rPr>
      <t>(25% adjusted)</t>
    </r>
  </si>
  <si>
    <r>
      <rPr>
        <rFont val="Arial"/>
        <b/>
        <color theme="1"/>
        <sz val="12.0"/>
      </rPr>
      <t xml:space="preserve">Returns for Replacements and Claims </t>
    </r>
    <r>
      <rPr>
        <rFont val="Arial"/>
        <b val="0"/>
        <color theme="1"/>
        <sz val="12.0"/>
      </rPr>
      <t>(10% adjusted)</t>
    </r>
  </si>
  <si>
    <t>Total Cash Out</t>
  </si>
  <si>
    <r>
      <rPr>
        <rFont val="Arial"/>
        <b/>
        <color rgb="FF000000"/>
        <sz val="12.0"/>
      </rPr>
      <t xml:space="preserve">Gross Revenue </t>
    </r>
    <r>
      <rPr>
        <rFont val="Arial"/>
        <b/>
        <color rgb="FF000000"/>
        <sz val="12.0"/>
      </rPr>
      <t>Total</t>
    </r>
  </si>
  <si>
    <r>
      <rPr>
        <rFont val="Arial"/>
        <b/>
        <color rgb="FF000000"/>
        <sz val="12.0"/>
      </rPr>
      <t xml:space="preserve">Gross Sales Profit </t>
    </r>
    <r>
      <rPr>
        <rFont val="Arial"/>
        <b/>
        <color rgb="FF000000"/>
        <sz val="12.0"/>
      </rPr>
      <t>Total</t>
    </r>
  </si>
  <si>
    <t>Gross Sales Margin Total</t>
  </si>
  <si>
    <t>Number of participants</t>
  </si>
  <si>
    <t>Engagement Rate</t>
  </si>
  <si>
    <t>Are you a new or existing customer?</t>
  </si>
  <si>
    <t>New customer</t>
  </si>
  <si>
    <t>Existing customer</t>
  </si>
  <si>
    <t>New Customers</t>
  </si>
  <si>
    <t>Who is this for?</t>
  </si>
  <si>
    <t>Just me</t>
  </si>
  <si>
    <t>My parents</t>
  </si>
  <si>
    <t>Spouse</t>
  </si>
  <si>
    <t>I will use with my family</t>
  </si>
  <si>
    <t>Where did you hear about Bird Buddy?</t>
  </si>
  <si>
    <t>Facebook / Instagram</t>
  </si>
  <si>
    <t>I saw an ad</t>
  </si>
  <si>
    <t>I saw a post about Bird Buddy on my friend's feed</t>
  </si>
  <si>
    <t>I saw an organic post from Bird Buddy</t>
  </si>
  <si>
    <t>Friends / Family</t>
  </si>
  <si>
    <t>TV / Radio</t>
  </si>
  <si>
    <t>Blog / Article</t>
  </si>
  <si>
    <t>Reddit</t>
  </si>
  <si>
    <t>Google, Youtube</t>
  </si>
  <si>
    <t>Yahoo, Bing</t>
  </si>
  <si>
    <t>Existing Customers</t>
  </si>
  <si>
    <t>Post-purchase Survey</t>
  </si>
  <si>
    <t>Total</t>
  </si>
  <si>
    <t>%</t>
  </si>
  <si>
    <t>Total submissions:</t>
  </si>
  <si>
    <t>% Are you a new or existing customer?</t>
  </si>
  <si>
    <t>% Who is this for?</t>
  </si>
  <si>
    <t>% Where did you hear about Bird Buddy?</t>
  </si>
  <si>
    <t>Where on Facebook/Instagram have you heard about Bird Buddy?</t>
  </si>
  <si>
    <t>% Where on Facebook/Instagram have you heard about Bird Buddy?</t>
  </si>
  <si>
    <t>Business Metrics</t>
  </si>
  <si>
    <t>Source</t>
  </si>
  <si>
    <t>COGS</t>
  </si>
  <si>
    <t>Attachment Rates</t>
  </si>
  <si>
    <t>Marketing Averages (per first-time order)</t>
  </si>
  <si>
    <t>Fees</t>
  </si>
  <si>
    <t>VAT Averages</t>
  </si>
  <si>
    <t>30 Day Returns</t>
  </si>
  <si>
    <t>Digital Market Places &amp; B2B</t>
  </si>
  <si>
    <t>Bird Buddy</t>
  </si>
  <si>
    <t>Solar Roof</t>
  </si>
  <si>
    <t>Stripe Processing Fee</t>
  </si>
  <si>
    <t>Europe</t>
  </si>
  <si>
    <t>US Shipping</t>
  </si>
  <si>
    <t>Average % tax</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</si>
  <si>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</si>
  <si>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</si>
  <si>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</si>
  <si>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</si>
  <si>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</si>
  <si>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</si>
  <si>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</si>
  <si>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</si>
  <si>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</si>
  <si>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</si>
  <si>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</si>
  <si>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</si>
  <si>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</si>
  <si>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</si>
  <si>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</si>
  <si>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</si>
  <si>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</si>
  <si>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</si>
  <si>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</si>
  <si>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</si>
  <si>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3-in-1 Nutrition Set</t>
  </si>
  <si>
    <t>Processing Fee (2,90%)</t>
  </si>
  <si>
    <t>Solar Roof Duty</t>
  </si>
  <si>
    <t>Perch Extender</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</si>
  <si>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</si>
  <si>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</si>
  <si>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</si>
  <si>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</si>
  <si>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</si>
  <si>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</si>
  <si>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</si>
  <si>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</si>
  <si>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</si>
  <si>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</si>
  <si>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</si>
  <si>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</si>
  <si>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</si>
  <si>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</si>
  <si>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</si>
  <si>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</si>
  <si>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</si>
  <si>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</si>
  <si>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</si>
  <si>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</si>
  <si>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</si>
  <si>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</si>
  <si>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Merch</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</si>
  <si>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</si>
  <si>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</si>
  <si>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</si>
  <si>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</si>
  <si>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</si>
  <si>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</si>
  <si>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</si>
  <si>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</si>
  <si>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</si>
  <si>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</si>
  <si>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</si>
  <si>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</si>
  <si>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</si>
  <si>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</si>
  <si>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</si>
  <si>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</si>
  <si>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</si>
  <si>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</si>
  <si>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</si>
  <si>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</si>
  <si>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</si>
  <si>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</si>
  <si>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</si>
  <si>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</si>
  <si>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</si>
  <si>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</si>
  <si>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</si>
  <si>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</si>
  <si>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</si>
  <si>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</si>
  <si>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</si>
  <si>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</si>
  <si>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</si>
  <si>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</si>
  <si>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</si>
  <si>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</si>
  <si>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</si>
  <si>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</si>
  <si>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</si>
  <si>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</si>
  <si>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</si>
  <si>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</si>
  <si>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</si>
  <si>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</si>
  <si>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</si>
  <si>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</si>
  <si>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</si>
  <si>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</si>
  <si>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</si>
  <si>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</si>
  <si>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</si>
  <si>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</si>
  <si>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</si>
  <si>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</si>
  <si>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</si>
  <si>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</si>
  <si>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</si>
  <si>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</si>
  <si>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</si>
  <si>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</si>
  <si>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</si>
  <si>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</si>
  <si>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</si>
  <si>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</si>
  <si>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</si>
  <si>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</si>
  <si>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</si>
  <si>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</si>
  <si>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</si>
  <si>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</si>
  <si>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</si>
  <si>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</si>
  <si>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</si>
  <si>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</si>
  <si>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</si>
  <si>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</si>
  <si>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</si>
  <si>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</si>
  <si>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</si>
  <si>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</si>
  <si>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</si>
  <si>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</si>
  <si>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</si>
  <si>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</si>
  <si>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</si>
  <si>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</si>
  <si>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</si>
  <si>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</si>
  <si>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</si>
  <si>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</si>
  <si>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</si>
  <si>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</si>
  <si>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</si>
  <si>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</si>
  <si>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</si>
  <si>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</si>
  <si>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</si>
  <si>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</si>
  <si>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</si>
  <si>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</si>
  <si>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</si>
  <si>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</si>
  <si>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</si>
  <si>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</si>
  <si>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</si>
  <si>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</si>
  <si>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</si>
  <si>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</si>
  <si>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</si>
  <si>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</si>
  <si>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</si>
  <si>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</si>
  <si>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</si>
  <si>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</si>
  <si>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</si>
  <si>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</si>
  <si>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</si>
  <si>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</si>
  <si>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</si>
  <si>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</si>
  <si>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</si>
  <si>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</si>
  <si>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</si>
  <si>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</si>
  <si>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</si>
  <si>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</si>
  <si>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</si>
  <si>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</si>
  <si>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</si>
  <si>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</si>
  <si>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</si>
  <si>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</si>
  <si>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</si>
  <si>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</si>
  <si>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</si>
  <si>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</si>
  <si>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</si>
  <si>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</si>
  <si>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</si>
  <si>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</si>
  <si>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</si>
  <si>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</si>
  <si>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</si>
  <si>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</si>
  <si>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</si>
  <si>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</si>
  <si>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</si>
  <si>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</si>
  <si>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</si>
  <si>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</si>
  <si>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</si>
  <si>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</si>
  <si>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</si>
  <si>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</si>
  <si>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</si>
  <si>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</si>
  <si>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</si>
  <si>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</si>
  <si>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</si>
  <si>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</si>
  <si>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</si>
  <si>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</si>
  <si>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</si>
  <si>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</si>
  <si>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</si>
  <si>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</si>
  <si>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</si>
  <si>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</si>
  <si>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</si>
  <si>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</si>
  <si>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</si>
  <si>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</si>
  <si>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</si>
  <si>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</si>
  <si>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</si>
  <si>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</si>
  <si>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</si>
  <si>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</si>
  <si>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</si>
  <si>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</si>
  <si>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</si>
  <si>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</si>
  <si>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</si>
  <si>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</si>
  <si>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</si>
  <si>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</si>
  <si>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</si>
  <si>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</si>
  <si>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</si>
  <si>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</si>
  <si>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</si>
  <si>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</si>
  <si>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</si>
  <si>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</si>
  <si>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</si>
  <si>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</si>
  <si>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</si>
  <si>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</si>
  <si>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</si>
  <si>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</si>
  <si>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</si>
  <si>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</si>
  <si>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TOTAL</t>
  </si>
  <si>
    <t>INVESTMENTS</t>
  </si>
  <si>
    <t>INVESTMENT PLAN</t>
  </si>
  <si>
    <t>TRAFFIC (Sessions GA4)</t>
  </si>
  <si>
    <t>TRAFFIC PLAN</t>
  </si>
  <si>
    <t>Date</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</si>
  <si>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</si>
  <si>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</si>
  <si>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</si>
  <si>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</si>
  <si>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</si>
  <si>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</si>
  <si>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</si>
  <si>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</si>
  <si>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</si>
  <si>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</si>
  <si>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</si>
  <si>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</si>
  <si>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</si>
  <si>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</si>
  <si>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</si>
  <si>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</si>
  <si>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</si>
  <si>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</si>
  <si>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</si>
  <si>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</si>
  <si>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</si>
  <si>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</si>
  <si>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</si>
  <si>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</si>
  <si>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</si>
  <si>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</si>
  <si>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</si>
  <si>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</si>
  <si>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</si>
  <si>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</si>
  <si>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</si>
  <si>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</si>
  <si>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</si>
  <si>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</si>
  <si>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</si>
  <si>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</si>
  <si>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</si>
  <si>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</si>
  <si>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</si>
  <si>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</si>
  <si>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</si>
  <si>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</si>
  <si>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</si>
  <si>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</si>
  <si>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</si>
  <si>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</si>
  <si>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</si>
  <si>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</si>
  <si>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</si>
  <si>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</si>
  <si>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</si>
  <si>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</si>
  <si>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</si>
  <si>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</si>
  <si>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</si>
  <si>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</si>
  <si>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</si>
  <si>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</si>
  <si>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</si>
  <si>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</si>
  <si>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</si>
  <si>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</si>
  <si>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</si>
  <si>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</si>
  <si>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</si>
  <si>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</si>
  <si>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</si>
  <si>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</si>
  <si>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</si>
  <si>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</si>
  <si>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</si>
  <si>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</si>
  <si>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</si>
  <si>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</si>
  <si>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</si>
  <si>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</si>
  <si>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</si>
  <si>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</si>
  <si>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</si>
  <si>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</si>
  <si>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</si>
  <si>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</si>
  <si>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</si>
  <si>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</si>
  <si>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</si>
  <si>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</si>
  <si>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</si>
  <si>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</si>
  <si>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</si>
  <si>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</si>
  <si>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</si>
  <si>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</si>
  <si>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</si>
  <si>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</si>
  <si>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</si>
  <si>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</si>
  <si>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</si>
  <si>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</si>
  <si>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</si>
  <si>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</si>
  <si>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</si>
  <si>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</si>
  <si>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</si>
  <si>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</si>
  <si>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</si>
  <si>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</si>
  <si>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</si>
  <si>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</si>
  <si>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</si>
  <si>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</si>
  <si>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</si>
  <si>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</si>
  <si>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</si>
  <si>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</si>
  <si>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</si>
  <si>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</si>
  <si>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</si>
  <si>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</si>
  <si>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</si>
  <si>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</si>
  <si>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</si>
  <si>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</si>
  <si>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</si>
  <si>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</si>
  <si>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</si>
  <si>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</si>
  <si>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</si>
  <si>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</si>
  <si>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</si>
  <si>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</si>
  <si>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</si>
  <si>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</si>
  <si>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</si>
  <si>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</si>
  <si>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</si>
  <si>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</si>
  <si>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</si>
  <si>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</si>
  <si>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</si>
  <si>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</si>
  <si>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</si>
  <si>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</si>
  <si>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</si>
  <si>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</si>
  <si>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</si>
  <si>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</si>
  <si>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</si>
  <si>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</si>
  <si>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</si>
  <si>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</si>
  <si>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</si>
  <si>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</si>
  <si>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</si>
  <si>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</si>
  <si>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</si>
  <si>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</si>
  <si>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</si>
  <si>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</si>
  <si>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</si>
  <si>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</si>
  <si>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</si>
  <si>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</si>
  <si>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</si>
  <si>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</si>
  <si>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</si>
  <si>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</si>
  <si>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</si>
  <si>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</si>
  <si>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</si>
  <si>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</si>
  <si>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</si>
  <si>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</si>
  <si>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</si>
  <si>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</si>
  <si>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</si>
  <si>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</si>
  <si>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</si>
  <si>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</si>
  <si>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</si>
  <si>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</si>
  <si>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</si>
  <si>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</si>
  <si>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</si>
  <si>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</si>
  <si>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</si>
  <si>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</si>
  <si>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</si>
  <si>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</si>
  <si>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</si>
  <si>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</si>
  <si>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</si>
  <si>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</si>
  <si>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</si>
  <si>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</si>
  <si>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</si>
  <si>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</si>
  <si>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</si>
  <si>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</si>
  <si>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</si>
  <si>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</si>
  <si>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</si>
  <si>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</si>
  <si>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</si>
  <si>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Revenue Cancelled by country (Gross) - Shopify</t>
  </si>
  <si>
    <t>Hardware - NA</t>
  </si>
  <si>
    <t>Shipping - NA</t>
  </si>
  <si>
    <t>Taxes - NA</t>
  </si>
  <si>
    <t>Revenue Refunded by country (Gross) - Shopify</t>
  </si>
  <si>
    <t>Cost</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</si>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</sst>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mmm yyyy"/>
    <numFmt numFmtId="165" formatCode="M/d/yyyy"/>
    <numFmt numFmtId="166" formatCode="&quot;$&quot;#,##0.00"/>
    <numFmt numFmtId="167" formatCode="_(&quot;$&quot;* #,##0.00_);_(&quot;$&quot;* \(#,##0.00\);_(&quot;$&quot;* &quot;-&quot;??_);_(@_)"/>
    <numFmt numFmtId="168" formatCode="_-[$$-409]* #,##0.00_ ;_-[$$-409]* \-#,##0.00\ ;_-[$$-409]* &quot;-&quot;??_ ;_-@_ "/>
    <numFmt numFmtId="169" formatCode="[$€]#,##0.00"/>
    <numFmt numFmtId="170" formatCode="#,##0.0000"/>
    <numFmt numFmtId="171" formatCode="mmm yyyy"/>
    <numFmt numFmtId="172" formatCode="&quot;$&quot;#,##0"/>
    <numFmt numFmtId="173" formatCode="_-[$€-2]\ * #,##0.00_-;\-[$€-2]\ * #,##0.00_-;_-[$€-2]\ * &quot;-&quot;??_-;_-@"/>
    <numFmt numFmtId="174" formatCode="_-[$$-409]* #,##0.00_ ;_-[$$-409]* \-#,##0.00\ ;_-[$$-409]* &quot;-&quot;??.00_ ;_-@_ "/>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80">
    <font>
      <sz val="10.0"/>
      <color rgb="FF000000"/>
      <name val="Arial"/>
      <scheme val="minor"/>
    </font>
    <font>
      <color theme="1"/>
      <name val="Arial"/>
    </font>
    <font>
      <color theme="1"/>
      <name val="Arial"/>
      <scheme val="minor"/>
    </font>
    <font>
      <sz val="10.0"/>
      <color rgb="FF202223"/>
      <name val="Arial"/>
      <scheme val="minor"/>
    </font>
    <font>
      <i/>
      <sz val="9.0"/>
      <color theme="1"/>
      <name val="Arial"/>
      <scheme val="minor"/>
    </font>
    <font>
      <sz val="10.0"/>
      <color theme="1"/>
      <name val="Arial"/>
      <scheme val="minor"/>
    </font>
    <font>
      <sz val="9.0"/>
      <color rgb="FFEFEFEF"/>
      <name val="Arial"/>
    </font>
    <font>
      <color rgb="FFFFFFFF"/>
      <name val="Arial"/>
      <scheme val="minor"/>
    </font>
    <font>
      <sz val="9.0"/>
      <color rgb="FFB7B7B7"/>
      <name val="Arial"/>
    </font>
    <font>
      <sz val="9.0"/>
      <color rgb="FFFFFFFF"/>
      <name val="Arial"/>
      <scheme val="minor"/>
    </font>
    <font>
      <color theme="1"/>
      <name val="Google Sans"/>
    </font>
    <font>
      <color rgb="FFD9D9D9"/>
      <name val="Arial"/>
      <scheme val="minor"/>
    </font>
    <font>
      <sz val="8.0"/>
      <color rgb="FF333333"/>
      <name val="Latoregular"/>
    </font>
    <font>
      <sz val="10.0"/>
      <color rgb="FF212B36"/>
      <name val="-apple-system"/>
    </font>
    <font>
      <sz val="12.0"/>
      <color rgb="FFFFFFFF"/>
      <name val="Arial"/>
    </font>
    <font>
      <sz val="12.0"/>
      <color theme="1"/>
      <name val="Arial"/>
    </font>
    <font>
      <b/>
      <i/>
      <sz val="12.0"/>
      <color theme="1"/>
      <name val="Arial"/>
    </font>
    <font>
      <b/>
      <sz val="12.0"/>
      <color theme="1"/>
      <name val="Arial"/>
    </font>
    <font>
      <b/>
      <i/>
      <sz val="10.0"/>
      <color rgb="FFFFFFFF"/>
      <name val="Arial"/>
    </font>
    <font>
      <sz val="10.0"/>
      <color rgb="FFFFFFFF"/>
      <name val="Arial"/>
    </font>
    <font>
      <sz val="12.0"/>
      <color rgb="FF000000"/>
      <name val="Arial"/>
    </font>
    <font>
      <i/>
      <color theme="1"/>
      <name val="Arial"/>
    </font>
    <font>
      <b/>
      <sz val="12.0"/>
      <color rgb="FFFFFFFF"/>
      <name val="Arial"/>
    </font>
    <font>
      <sz val="12.0"/>
      <color theme="1"/>
      <name val="Arial"/>
      <scheme val="minor"/>
    </font>
    <font>
      <sz val="12.0"/>
      <color rgb="FF202223"/>
      <name val="Arial"/>
    </font>
    <font>
      <sz val="11.0"/>
      <color rgb="FF202223"/>
      <name val="Arial"/>
    </font>
    <font>
      <b/>
      <sz val="12.0"/>
      <color theme="1"/>
      <name val="Arial"/>
      <scheme val="minor"/>
    </font>
    <font>
      <sz val="12.0"/>
      <color rgb="FF202223"/>
      <name val="Arial"/>
      <scheme val="minor"/>
    </font>
    <font>
      <b/>
      <sz val="13.0"/>
      <color rgb="FFFFFFFF"/>
      <name val="Arial"/>
    </font>
    <font>
      <sz val="13.0"/>
      <color theme="1"/>
      <name val="Arial"/>
    </font>
    <font>
      <sz val="12.0"/>
      <color rgb="FF000000"/>
      <name val="Inherit"/>
    </font>
    <font>
      <sz val="12.0"/>
      <color rgb="FF3F3F3F"/>
      <name val="Arial"/>
      <scheme val="minor"/>
    </font>
    <font>
      <i/>
      <sz val="12.0"/>
      <color theme="1"/>
      <name val="Arial"/>
    </font>
    <font>
      <b/>
      <sz val="12.0"/>
      <color rgb="FF000000"/>
      <name val="Arial"/>
    </font>
    <font>
      <sz val="13.0"/>
      <color rgb="FFFFFFFF"/>
      <name val="Arial"/>
    </font>
    <font>
      <sz val="13.0"/>
      <color rgb="FF000000"/>
      <name val="Inherit"/>
    </font>
    <font>
      <sz val="13.0"/>
      <color theme="1"/>
      <name val="Arial"/>
      <scheme val="minor"/>
    </font>
    <font>
      <color theme="0"/>
      <name val="Arial"/>
      <scheme val="minor"/>
    </font>
    <font>
      <sz val="10.0"/>
      <color theme="1"/>
      <name val="Arial"/>
    </font>
    <font>
      <b/>
      <sz val="14.0"/>
      <color rgb="FFFFFFFF"/>
      <name val="Unbounded"/>
    </font>
    <font>
      <b/>
      <color theme="1"/>
      <name val="Arial"/>
      <scheme val="minor"/>
    </font>
    <font>
      <b/>
      <sz val="14.0"/>
      <color rgb="FF434343"/>
      <name val="Unbounded"/>
    </font>
    <font>
      <b/>
      <color rgb="FFFFFFFF"/>
      <name val="Arial"/>
      <scheme val="minor"/>
    </font>
    <font>
      <b/>
      <color rgb="FFFFFFFF"/>
      <name val="Arial"/>
    </font>
    <font>
      <b/>
      <color rgb="FF000000"/>
      <name val="Arial"/>
    </font>
    <font>
      <b/>
      <sz val="20.0"/>
      <color rgb="FF434343"/>
      <name val="Unbounded"/>
    </font>
    <font>
      <b/>
      <sz val="20.0"/>
      <color rgb="FFFFFFFF"/>
      <name val="Unbounded"/>
    </font>
    <font>
      <u/>
      <color rgb="FF0000FF"/>
    </font>
    <font/>
    <font>
      <color rgb="FFFFFFFF"/>
      <name val="Arial"/>
    </font>
    <font>
      <color rgb="FF000000"/>
      <name val="Arial"/>
      <scheme val="minor"/>
    </font>
    <font>
      <i/>
      <sz val="8.0"/>
      <color theme="1"/>
      <name val="Arial"/>
      <scheme val="minor"/>
    </font>
    <font>
      <u/>
      <color rgb="FF0000FF"/>
      <name val="Arial"/>
    </font>
    <font>
      <i/>
      <color theme="1"/>
      <name val="Arial"/>
      <scheme val="minor"/>
    </font>
    <font>
      <u/>
      <color rgb="FF0000FF"/>
    </font>
    <font>
      <i/>
      <sz val="8.0"/>
      <color rgb="FF000000"/>
      <name val="Arial"/>
      <scheme val="minor"/>
    </font>
    <font>
      <color rgb="FFF6B26B"/>
      <name val="Arial"/>
      <scheme val="minor"/>
    </font>
    <font>
      <b/>
      <sz val="9.0"/>
      <color theme="1"/>
      <name val="Arial"/>
      <scheme val="minor"/>
    </font>
    <font>
      <u/>
      <color rgb="FF0000FF"/>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8.0"/>
      <color theme="1"/>
      <name val="Arial"/>
      <scheme val="minor"/>
    </font>
    <font>
      <b/>
      <sz val="8.0"/>
      <color theme="1"/>
      <name val="Arial"/>
    </font>
    <font>
      <sz val="8.0"/>
      <color rgb="FF000000"/>
      <name val="Calibri"/>
    </font>
  </fonts>
  <fills count="53">
    <fill>
      <patternFill patternType="none"/>
    </fill>
    <fill>
      <patternFill patternType="lightGray"/>
    </fill>
    <fill>
      <patternFill patternType="solid">
        <fgColor rgb="FFD9D9D9"/>
        <bgColor rgb="FFD9D9D9"/>
      </patternFill>
    </fill>
    <fill>
      <patternFill patternType="solid">
        <fgColor rgb="FFEFEFEF"/>
        <bgColor rgb="FFEFEFEF"/>
      </patternFill>
    </fill>
    <fill>
      <patternFill patternType="solid">
        <fgColor rgb="FFF3F3F3"/>
        <bgColor rgb="FFF3F3F3"/>
      </patternFill>
    </fill>
    <fill>
      <patternFill patternType="solid">
        <fgColor rgb="FFCCCCCC"/>
        <bgColor rgb="FFCCCCCC"/>
      </patternFill>
    </fill>
    <fill>
      <patternFill patternType="solid">
        <fgColor rgb="FFB6D7A8"/>
        <bgColor rgb="FFB6D7A8"/>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FFFFFF"/>
        <bgColor rgb="FFFFFFFF"/>
      </patternFill>
    </fill>
    <fill>
      <patternFill patternType="solid">
        <fgColor rgb="FF1F3864"/>
        <bgColor rgb="FF1F3864"/>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B7B7B7"/>
        <bgColor rgb="FFB7B7B7"/>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3F3F3F"/>
        <bgColor rgb="FF3F3F3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FEF2CB"/>
        <bgColor rgb="FFFEF2CB"/>
      </patternFill>
    </fill>
    <fill>
      <patternFill patternType="solid">
        <fgColor rgb="FFFFE598"/>
        <bgColor rgb="FFFFE598"/>
      </patternFill>
    </fill>
    <fill>
      <patternFill patternType="solid">
        <fgColor rgb="FFB4A7D6"/>
        <bgColor rgb="FFB4A7D6"/>
      </patternFill>
    </fill>
    <fill>
      <patternFill patternType="solid">
        <fgColor rgb="FFC9DAF8"/>
        <bgColor rgb="FFC9DAF8"/>
      </patternFill>
    </fill>
    <fill>
      <patternFill patternType="solid">
        <fgColor rgb="FF6D9EEB"/>
        <bgColor rgb="FF6D9EEB"/>
      </patternFill>
    </fill>
    <fill>
      <patternFill patternType="solid">
        <fgColor rgb="FFD9D2E9"/>
        <bgColor rgb="FFD9D2E9"/>
      </patternFill>
    </fill>
    <fill>
      <patternFill patternType="solid">
        <fgColor rgb="FFF5CBCC"/>
        <bgColor rgb="FFF5CBCC"/>
      </patternFill>
    </fill>
    <fill>
      <patternFill patternType="solid">
        <fgColor rgb="FFFFD966"/>
        <bgColor rgb="FFFFD966"/>
      </patternFill>
    </fill>
    <fill>
      <patternFill patternType="solid">
        <fgColor rgb="FFFBCBCE"/>
        <bgColor rgb="FFFBCBCE"/>
      </patternFill>
    </fill>
    <fill>
      <patternFill patternType="solid">
        <fgColor rgb="FFFFFF00"/>
        <bgColor rgb="FFFFFF00"/>
      </patternFill>
    </fill>
    <fill>
      <patternFill patternType="solid">
        <fgColor rgb="FFDADADA"/>
        <bgColor rgb="FFDADADA"/>
      </patternFill>
    </fill>
    <fill>
      <patternFill patternType="solid">
        <fgColor rgb="FFCFE2F3"/>
        <bgColor rgb="FFCFE2F3"/>
      </patternFill>
    </fill>
    <fill>
      <patternFill patternType="solid">
        <fgColor rgb="FFFCE5CD"/>
        <bgColor rgb="FFFCE5CD"/>
      </patternFill>
    </fill>
    <fill>
      <patternFill patternType="solid">
        <fgColor rgb="FFD9EAD3"/>
        <bgColor rgb="FFD9EAD3"/>
      </patternFill>
    </fill>
    <fill>
      <patternFill patternType="solid">
        <fgColor rgb="FF93C47D"/>
        <bgColor rgb="FF93C47D"/>
      </patternFill>
    </fill>
    <fill>
      <patternFill patternType="solid">
        <fgColor rgb="FF999999"/>
        <bgColor rgb="FF999999"/>
      </patternFill>
    </fill>
    <fill>
      <patternFill patternType="solid">
        <fgColor rgb="FF434343"/>
        <bgColor rgb="FF434343"/>
      </patternFill>
    </fill>
    <fill>
      <patternFill patternType="solid">
        <fgColor rgb="FFFFF3CC"/>
        <bgColor rgb="FFFFF3CC"/>
      </patternFill>
    </fill>
    <fill>
      <patternFill patternType="solid">
        <fgColor rgb="FF4A86E8"/>
        <bgColor rgb="FF4A86E8"/>
      </patternFill>
    </fill>
    <fill>
      <patternFill patternType="solid">
        <fgColor theme="0"/>
        <bgColor theme="0"/>
      </patternFill>
    </fill>
    <fill>
      <patternFill patternType="solid">
        <fgColor rgb="FF9CC2E5"/>
        <bgColor rgb="FF9CC2E5"/>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DBDBDB"/>
        <bgColor rgb="FFDBDBDB"/>
      </patternFill>
    </fill>
  </fills>
  <borders count="53">
    <border/>
    <border>
      <top style="thin">
        <color rgb="FF000000"/>
      </top>
    </border>
    <border>
      <top style="medium">
        <color rgb="FF666666"/>
      </top>
    </border>
    <border>
      <bottom style="thin">
        <color rgb="FFB7B7B7"/>
      </bottom>
    </border>
    <border>
      <right style="thin">
        <color rgb="FF000000"/>
      </right>
    </border>
    <border>
      <left style="thick">
        <color rgb="FF000000"/>
      </left>
    </border>
    <border>
      <left style="thin">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left style="thick">
        <color rgb="FF000000"/>
      </left>
      <top style="thin">
        <color rgb="FF000000"/>
      </top>
    </border>
    <border>
      <left style="thick">
        <color rgb="FF000000"/>
      </left>
      <bottom style="thin">
        <color rgb="FF000000"/>
      </bottom>
    </border>
    <border>
      <right style="thin">
        <color rgb="FF000000"/>
      </right>
      <top style="thick">
        <color rgb="FF000000"/>
      </top>
    </border>
    <border>
      <top style="thick">
        <color rgb="FF000000"/>
      </top>
    </border>
    <border>
      <left style="thick">
        <color rgb="FF000000"/>
      </left>
      <top style="thick">
        <color rgb="FF000000"/>
      </top>
    </border>
    <border>
      <right style="thin">
        <color rgb="FF000000"/>
      </right>
      <bottom style="thick">
        <color rgb="FF000000"/>
      </bottom>
    </border>
    <border>
      <bottom style="thick">
        <color rgb="FF000000"/>
      </bottom>
    </border>
    <border>
      <left style="thick">
        <color rgb="FF000000"/>
      </left>
      <bottom style="thick">
        <color rgb="FF000000"/>
      </bottom>
    </border>
    <border>
      <left style="thin">
        <color rgb="FF000000"/>
      </left>
      <top style="thick">
        <color rgb="FF000000"/>
      </top>
    </border>
    <border>
      <left style="medium">
        <color rgb="FF434343"/>
      </left>
    </border>
    <border>
      <left style="medium">
        <color rgb="FF434343"/>
      </left>
      <bottom style="thin">
        <color rgb="FF000000"/>
      </bottom>
    </border>
    <border>
      <top style="thin">
        <color rgb="FFB7B7B7"/>
      </top>
    </border>
    <border>
      <left style="medium">
        <color rgb="FF434343"/>
      </left>
      <top style="thick">
        <color rgb="FF000000"/>
      </top>
    </border>
    <border>
      <left style="medium">
        <color rgb="FF434343"/>
      </left>
      <bottom style="thick">
        <color rgb="FF000000"/>
      </bottom>
    </border>
    <border>
      <left style="medium">
        <color rgb="FF000000"/>
      </left>
    </border>
    <border>
      <left style="thin">
        <color rgb="FF000000"/>
      </left>
      <right style="thin">
        <color rgb="FF000000"/>
      </right>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top style="thin">
        <color rgb="FF000000"/>
      </top>
    </border>
    <border>
      <right style="thin">
        <color rgb="FF000000"/>
      </right>
      <top style="medium">
        <color rgb="FF434343"/>
      </top>
    </border>
    <border>
      <top style="medium">
        <color rgb="FF434343"/>
      </top>
    </border>
    <border>
      <bottom style="thick">
        <color rgb="FFB7B7B7"/>
      </bottom>
    </border>
    <border>
      <left style="thin">
        <color rgb="FF000000"/>
      </lef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s>
  <cellStyleXfs count="1">
    <xf borderId="0" fillId="0" fontId="0" numFmtId="0" applyAlignment="1" applyFont="1"/>
  </cellStyleXfs>
  <cellXfs count="857">
    <xf borderId="0" fillId="0" fontId="0" numFmtId="0" xfId="0" applyAlignment="1" applyFont="1">
      <alignment readingOrder="0" shrinkToFit="0" vertical="bottom" wrapText="0"/>
    </xf>
    <xf borderId="0" fillId="2" fontId="1" numFmtId="164" xfId="0" applyAlignment="1" applyFill="1" applyFont="1" applyNumberFormat="1">
      <alignment horizontal="left" readingOrder="0" vertical="bottom"/>
    </xf>
    <xf borderId="0" fillId="2" fontId="1" numFmtId="165" xfId="0" applyAlignment="1" applyFont="1" applyNumberFormat="1">
      <alignment horizontal="left" readingOrder="0" vertical="bottom"/>
    </xf>
    <xf borderId="0" fillId="3" fontId="1" numFmtId="0" xfId="0" applyAlignment="1" applyFill="1" applyFont="1">
      <alignment readingOrder="0" vertical="bottom"/>
    </xf>
    <xf borderId="0" fillId="0" fontId="2" numFmtId="0" xfId="0" applyAlignment="1" applyFont="1">
      <alignment readingOrder="0"/>
    </xf>
    <xf borderId="0" fillId="0" fontId="1" numFmtId="0" xfId="0" applyAlignment="1" applyFont="1">
      <alignment readingOrder="0" vertical="bottom"/>
    </xf>
    <xf borderId="0" fillId="4" fontId="2" numFmtId="0" xfId="0" applyAlignment="1" applyFill="1" applyFont="1">
      <alignment horizontal="center" readingOrder="0" shrinkToFit="0" vertical="center" wrapText="1"/>
    </xf>
    <xf borderId="0" fillId="3" fontId="1" numFmtId="0" xfId="0" applyAlignment="1" applyFont="1">
      <alignment horizontal="center" vertical="bottom"/>
    </xf>
    <xf borderId="0" fillId="0" fontId="2" numFmtId="0" xfId="0" applyAlignment="1" applyFont="1">
      <alignment horizontal="center" readingOrder="0"/>
    </xf>
    <xf borderId="0" fillId="3" fontId="2" numFmtId="0" xfId="0" applyAlignment="1" applyFont="1">
      <alignment horizontal="center" readingOrder="0" shrinkToFit="0" vertical="center" wrapText="1"/>
    </xf>
    <xf borderId="0" fillId="3" fontId="2" numFmtId="0" xfId="0" applyAlignment="1" applyFont="1">
      <alignment horizontal="center" readingOrder="0"/>
    </xf>
    <xf borderId="0" fillId="5" fontId="2" numFmtId="0" xfId="0" applyAlignment="1" applyFill="1" applyFont="1">
      <alignment readingOrder="0"/>
    </xf>
    <xf borderId="0" fillId="0" fontId="3" numFmtId="166" xfId="0" applyAlignment="1" applyFont="1" applyNumberFormat="1">
      <alignment horizontal="right" readingOrder="0"/>
    </xf>
    <xf borderId="0" fillId="4" fontId="2" numFmtId="0" xfId="0" applyAlignment="1" applyFont="1">
      <alignment readingOrder="0"/>
    </xf>
    <xf borderId="0" fillId="4" fontId="3" numFmtId="166" xfId="0" applyAlignment="1" applyFont="1" applyNumberFormat="1">
      <alignment horizontal="right" readingOrder="0"/>
    </xf>
    <xf borderId="1" fillId="4" fontId="2" numFmtId="0" xfId="0" applyAlignment="1" applyBorder="1" applyFont="1">
      <alignment readingOrder="0"/>
    </xf>
    <xf borderId="1" fillId="4" fontId="3" numFmtId="166" xfId="0" applyAlignment="1" applyBorder="1" applyFont="1" applyNumberFormat="1">
      <alignment horizontal="right" readingOrder="0"/>
    </xf>
    <xf borderId="0" fillId="2" fontId="2" numFmtId="0" xfId="0" applyAlignment="1" applyFont="1">
      <alignment readingOrder="0"/>
    </xf>
    <xf borderId="0" fillId="2" fontId="3" numFmtId="167" xfId="0" applyAlignment="1" applyFont="1" applyNumberFormat="1">
      <alignment horizontal="right" readingOrder="0"/>
    </xf>
    <xf borderId="0" fillId="6" fontId="2" numFmtId="0" xfId="0" applyAlignment="1" applyFill="1" applyFont="1">
      <alignment readingOrder="0"/>
    </xf>
    <xf borderId="0" fillId="6" fontId="2" numFmtId="166" xfId="0" applyFont="1" applyNumberFormat="1"/>
    <xf borderId="0" fillId="3" fontId="2" numFmtId="0" xfId="0" applyAlignment="1" applyFont="1">
      <alignment readingOrder="0"/>
    </xf>
    <xf borderId="0" fillId="3" fontId="2" numFmtId="166" xfId="0" applyAlignment="1" applyFont="1" applyNumberFormat="1">
      <alignment readingOrder="0"/>
    </xf>
    <xf borderId="0" fillId="0" fontId="2" numFmtId="166" xfId="0" applyAlignment="1" applyFont="1" applyNumberFormat="1">
      <alignment readingOrder="0"/>
    </xf>
    <xf borderId="0" fillId="2" fontId="2" numFmtId="166" xfId="0" applyAlignment="1" applyFont="1" applyNumberFormat="1">
      <alignment readingOrder="0"/>
    </xf>
    <xf borderId="0" fillId="2" fontId="2" numFmtId="166" xfId="0" applyFont="1" applyNumberFormat="1"/>
    <xf borderId="0" fillId="4" fontId="2" numFmtId="166" xfId="0" applyAlignment="1" applyFont="1" applyNumberFormat="1">
      <alignment readingOrder="0"/>
    </xf>
    <xf borderId="0" fillId="0" fontId="4" numFmtId="0" xfId="0" applyAlignment="1" applyFont="1">
      <alignment readingOrder="0"/>
    </xf>
    <xf borderId="0" fillId="0" fontId="2" numFmtId="168" xfId="0" applyFont="1" applyNumberFormat="1"/>
    <xf borderId="0" fillId="6" fontId="2" numFmtId="168" xfId="0" applyFont="1" applyNumberFormat="1"/>
    <xf borderId="2" fillId="0" fontId="2" numFmtId="0" xfId="0" applyBorder="1" applyFont="1"/>
    <xf borderId="0" fillId="0" fontId="2" numFmtId="3" xfId="0" applyAlignment="1" applyFont="1" applyNumberFormat="1">
      <alignment readingOrder="0"/>
    </xf>
    <xf borderId="0" fillId="0" fontId="5" numFmtId="0" xfId="0" applyAlignment="1" applyFont="1">
      <alignment readingOrder="0"/>
    </xf>
    <xf borderId="0" fillId="4" fontId="2" numFmtId="1" xfId="0" applyAlignment="1" applyFont="1" applyNumberFormat="1">
      <alignment readingOrder="0"/>
    </xf>
    <xf borderId="0" fillId="0" fontId="3" numFmtId="3" xfId="0" applyAlignment="1" applyFont="1" applyNumberFormat="1">
      <alignment horizontal="right" readingOrder="0"/>
    </xf>
    <xf borderId="0" fillId="6" fontId="2" numFmtId="3" xfId="0" applyAlignment="1" applyFont="1" applyNumberFormat="1">
      <alignment readingOrder="0"/>
    </xf>
    <xf borderId="0" fillId="6" fontId="2" numFmtId="3" xfId="0" applyFont="1" applyNumberFormat="1"/>
    <xf borderId="0" fillId="0" fontId="2" numFmtId="0" xfId="0" applyFont="1"/>
    <xf borderId="0" fillId="0" fontId="6" numFmtId="0" xfId="0" applyAlignment="1" applyFont="1">
      <alignment readingOrder="0" vertical="bottom"/>
    </xf>
    <xf borderId="0" fillId="0" fontId="7" numFmtId="169" xfId="0" applyAlignment="1" applyFont="1" applyNumberFormat="1">
      <alignment readingOrder="0"/>
    </xf>
    <xf borderId="3" fillId="0" fontId="8" numFmtId="0" xfId="0" applyAlignment="1" applyBorder="1" applyFont="1">
      <alignment vertical="bottom"/>
    </xf>
    <xf borderId="3" fillId="0" fontId="8" numFmtId="170" xfId="0" applyAlignment="1" applyBorder="1" applyFont="1" applyNumberFormat="1">
      <alignment horizontal="right" readingOrder="0" vertical="bottom"/>
    </xf>
    <xf borderId="3" fillId="0" fontId="8" numFmtId="170" xfId="0" applyAlignment="1" applyBorder="1" applyFont="1" applyNumberFormat="1">
      <alignment readingOrder="0" vertical="bottom"/>
    </xf>
    <xf borderId="0" fillId="0" fontId="2" numFmtId="166" xfId="0" applyFont="1" applyNumberFormat="1"/>
    <xf borderId="0" fillId="3" fontId="2" numFmtId="166" xfId="0" applyAlignment="1" applyFont="1" applyNumberFormat="1">
      <alignment readingOrder="0"/>
    </xf>
    <xf borderId="0" fillId="0" fontId="2" numFmtId="166" xfId="0" applyAlignment="1" applyFont="1" applyNumberFormat="1">
      <alignment horizontal="right" readingOrder="0"/>
    </xf>
    <xf borderId="0" fillId="7" fontId="2" numFmtId="0" xfId="0" applyAlignment="1" applyFill="1" applyFont="1">
      <alignment readingOrder="0"/>
    </xf>
    <xf borderId="0" fillId="7" fontId="2" numFmtId="166" xfId="0" applyFont="1" applyNumberFormat="1"/>
    <xf borderId="0" fillId="8" fontId="2" numFmtId="0" xfId="0" applyAlignment="1" applyFill="1" applyFont="1">
      <alignment readingOrder="0"/>
    </xf>
    <xf borderId="0" fillId="8" fontId="2" numFmtId="166" xfId="0" applyFont="1" applyNumberFormat="1"/>
    <xf borderId="0" fillId="0" fontId="9" numFmtId="169" xfId="0" applyAlignment="1" applyFont="1" applyNumberFormat="1">
      <alignment readingOrder="0"/>
    </xf>
    <xf borderId="0" fillId="0" fontId="9" numFmtId="166" xfId="0" applyAlignment="1" applyFont="1" applyNumberFormat="1">
      <alignment readingOrder="0"/>
    </xf>
    <xf borderId="0" fillId="0" fontId="9" numFmtId="169" xfId="0" applyFont="1" applyNumberFormat="1"/>
    <xf borderId="0" fillId="8" fontId="1" numFmtId="0" xfId="0" applyAlignment="1" applyFont="1">
      <alignment vertical="bottom"/>
    </xf>
    <xf borderId="0" fillId="8" fontId="1" numFmtId="166" xfId="0" applyAlignment="1" applyFont="1" applyNumberFormat="1">
      <alignment vertical="bottom"/>
    </xf>
    <xf borderId="0" fillId="9" fontId="2" numFmtId="0" xfId="0" applyAlignment="1" applyFill="1" applyFont="1">
      <alignment readingOrder="0"/>
    </xf>
    <xf borderId="0" fillId="0" fontId="2" numFmtId="2" xfId="0" applyFont="1" applyNumberFormat="1"/>
    <xf borderId="0" fillId="0" fontId="2" numFmtId="4" xfId="0" applyFont="1" applyNumberFormat="1"/>
    <xf borderId="0" fillId="0" fontId="2" numFmtId="10" xfId="0" applyAlignment="1" applyFont="1" applyNumberFormat="1">
      <alignment readingOrder="0"/>
    </xf>
    <xf borderId="0" fillId="10" fontId="2" numFmtId="166" xfId="0" applyAlignment="1" applyFill="1" applyFont="1" applyNumberFormat="1">
      <alignment readingOrder="0"/>
    </xf>
    <xf borderId="0" fillId="0" fontId="2" numFmtId="166" xfId="0" applyAlignment="1" applyFont="1" applyNumberFormat="1">
      <alignment readingOrder="0"/>
    </xf>
    <xf borderId="0" fillId="0" fontId="10" numFmtId="166" xfId="0" applyAlignment="1" applyFont="1" applyNumberFormat="1">
      <alignment horizontal="right" readingOrder="0" vertical="bottom"/>
    </xf>
    <xf borderId="0" fillId="2" fontId="2" numFmtId="171" xfId="0" applyAlignment="1" applyFont="1" applyNumberFormat="1">
      <alignment readingOrder="0"/>
    </xf>
    <xf borderId="0" fillId="2" fontId="2" numFmtId="0" xfId="0" applyAlignment="1" applyFont="1">
      <alignment horizontal="right" readingOrder="0"/>
    </xf>
    <xf borderId="0" fillId="0" fontId="11" numFmtId="172" xfId="0" applyAlignment="1" applyFont="1" applyNumberFormat="1">
      <alignment readingOrder="0"/>
    </xf>
    <xf borderId="0" fillId="0" fontId="11" numFmtId="10" xfId="0" applyFont="1" applyNumberFormat="1"/>
    <xf borderId="0" fillId="0" fontId="2" numFmtId="10" xfId="0" applyFont="1" applyNumberFormat="1"/>
    <xf borderId="0" fillId="0" fontId="2" numFmtId="2" xfId="0" applyAlignment="1" applyFont="1" applyNumberFormat="1">
      <alignment readingOrder="0"/>
    </xf>
    <xf borderId="0" fillId="0" fontId="11" numFmtId="2" xfId="0" applyAlignment="1" applyFont="1" applyNumberFormat="1">
      <alignment readingOrder="0"/>
    </xf>
    <xf borderId="0" fillId="0" fontId="11" numFmtId="166" xfId="0" applyAlignment="1" applyFont="1" applyNumberFormat="1">
      <alignment readingOrder="0"/>
    </xf>
    <xf borderId="0" fillId="0" fontId="11" numFmtId="10" xfId="0" applyAlignment="1" applyFont="1" applyNumberFormat="1">
      <alignment readingOrder="0"/>
    </xf>
    <xf borderId="0" fillId="0" fontId="2" numFmtId="3" xfId="0" applyFont="1" applyNumberFormat="1"/>
    <xf borderId="0" fillId="0" fontId="11" numFmtId="0" xfId="0" applyAlignment="1" applyFont="1">
      <alignment readingOrder="0"/>
    </xf>
    <xf borderId="0" fillId="0" fontId="11" numFmtId="3" xfId="0" applyAlignment="1" applyFont="1" applyNumberFormat="1">
      <alignment readingOrder="0"/>
    </xf>
    <xf borderId="0" fillId="0" fontId="4" numFmtId="3" xfId="0" applyFont="1" applyNumberFormat="1"/>
    <xf borderId="0" fillId="0" fontId="12" numFmtId="166" xfId="0" applyAlignment="1" applyFont="1" applyNumberFormat="1">
      <alignment horizontal="left" readingOrder="0"/>
    </xf>
    <xf borderId="0" fillId="10" fontId="13" numFmtId="0" xfId="0" applyFont="1"/>
    <xf borderId="4" fillId="11" fontId="14" numFmtId="0" xfId="0" applyAlignment="1" applyBorder="1" applyFill="1" applyFont="1">
      <alignment horizontal="left" readingOrder="0" vertical="bottom"/>
    </xf>
    <xf borderId="0" fillId="11" fontId="14" numFmtId="165" xfId="0" applyAlignment="1" applyFont="1" applyNumberFormat="1">
      <alignment horizontal="center" readingOrder="0" vertical="bottom"/>
    </xf>
    <xf borderId="5" fillId="3" fontId="15" numFmtId="0" xfId="0" applyAlignment="1" applyBorder="1" applyFont="1">
      <alignment vertical="bottom"/>
    </xf>
    <xf borderId="4" fillId="12" fontId="14" numFmtId="0" xfId="0" applyAlignment="1" applyBorder="1" applyFill="1" applyFont="1">
      <alignment readingOrder="0" vertical="bottom"/>
    </xf>
    <xf borderId="0" fillId="12" fontId="14" numFmtId="0" xfId="0" applyAlignment="1" applyFont="1">
      <alignment horizontal="center" readingOrder="0" vertical="bottom"/>
    </xf>
    <xf borderId="4" fillId="13" fontId="14" numFmtId="0" xfId="0" applyAlignment="1" applyBorder="1" applyFill="1" applyFont="1">
      <alignment readingOrder="0" vertical="bottom"/>
    </xf>
    <xf borderId="0" fillId="0" fontId="15" numFmtId="0" xfId="0" applyAlignment="1" applyFont="1">
      <alignment vertical="bottom"/>
    </xf>
    <xf borderId="0" fillId="0" fontId="15" numFmtId="0" xfId="0" applyAlignment="1" applyFont="1">
      <alignment readingOrder="0" vertical="bottom"/>
    </xf>
    <xf borderId="4" fillId="14" fontId="15" numFmtId="0" xfId="0" applyAlignment="1" applyBorder="1" applyFill="1" applyFont="1">
      <alignment readingOrder="0" vertical="bottom"/>
    </xf>
    <xf borderId="4" fillId="0" fontId="15" numFmtId="0" xfId="0" applyAlignment="1" applyBorder="1" applyFont="1">
      <alignment readingOrder="0" vertical="bottom"/>
    </xf>
    <xf borderId="6" fillId="15" fontId="15" numFmtId="0" xfId="0" applyAlignment="1" applyBorder="1" applyFill="1" applyFont="1">
      <alignment horizontal="right" readingOrder="0" vertical="bottom"/>
    </xf>
    <xf borderId="0" fillId="15" fontId="15" numFmtId="0" xfId="0" applyAlignment="1" applyFont="1">
      <alignment horizontal="right" readingOrder="0" vertical="bottom"/>
    </xf>
    <xf borderId="0" fillId="2" fontId="15" numFmtId="0" xfId="0" applyAlignment="1" applyFont="1">
      <alignment horizontal="right" readingOrder="0" vertical="bottom"/>
    </xf>
    <xf borderId="0" fillId="15" fontId="15" numFmtId="3" xfId="0" applyAlignment="1" applyFont="1" applyNumberFormat="1">
      <alignment horizontal="right" readingOrder="0" vertical="bottom"/>
    </xf>
    <xf borderId="0" fillId="15" fontId="15" numFmtId="0" xfId="0" applyAlignment="1" applyFont="1">
      <alignment readingOrder="0" vertical="bottom"/>
    </xf>
    <xf borderId="0" fillId="2" fontId="15" numFmtId="0" xfId="0" applyAlignment="1" applyFont="1">
      <alignment readingOrder="0" vertical="bottom"/>
    </xf>
    <xf borderId="5" fillId="3" fontId="16" numFmtId="168" xfId="0" applyAlignment="1" applyBorder="1" applyFont="1" applyNumberFormat="1">
      <alignment horizontal="right" vertical="bottom"/>
    </xf>
    <xf borderId="6" fillId="15" fontId="15" numFmtId="1" xfId="0" applyAlignment="1" applyBorder="1" applyFont="1" applyNumberFormat="1">
      <alignment horizontal="right" readingOrder="0" vertical="bottom"/>
    </xf>
    <xf borderId="0" fillId="15" fontId="15" numFmtId="1" xfId="0" applyAlignment="1" applyFont="1" applyNumberFormat="1">
      <alignment horizontal="right" readingOrder="0" vertical="bottom"/>
    </xf>
    <xf borderId="0" fillId="2" fontId="15" numFmtId="1" xfId="0" applyAlignment="1" applyFont="1" applyNumberFormat="1">
      <alignment horizontal="right" readingOrder="0" vertical="bottom"/>
    </xf>
    <xf borderId="0" fillId="15" fontId="15" numFmtId="1" xfId="0" applyAlignment="1" applyFont="1" applyNumberFormat="1">
      <alignment readingOrder="0" vertical="bottom"/>
    </xf>
    <xf borderId="4" fillId="0" fontId="15" numFmtId="0" xfId="0" applyAlignment="1" applyBorder="1" applyFont="1">
      <alignment vertical="bottom"/>
    </xf>
    <xf borderId="7" fillId="0" fontId="15" numFmtId="0" xfId="0" applyAlignment="1" applyBorder="1" applyFont="1">
      <alignment readingOrder="0" vertical="bottom"/>
    </xf>
    <xf borderId="8" fillId="15" fontId="15" numFmtId="0" xfId="0" applyAlignment="1" applyBorder="1" applyFont="1">
      <alignment horizontal="right" readingOrder="0" vertical="bottom"/>
    </xf>
    <xf borderId="8" fillId="2" fontId="15" numFmtId="0" xfId="0" applyAlignment="1" applyBorder="1" applyFont="1">
      <alignment horizontal="right" readingOrder="0" vertical="bottom"/>
    </xf>
    <xf borderId="4" fillId="16" fontId="15" numFmtId="0" xfId="0" applyAlignment="1" applyBorder="1" applyFill="1" applyFont="1">
      <alignment readingOrder="0" vertical="bottom"/>
    </xf>
    <xf borderId="0" fillId="16" fontId="15" numFmtId="0" xfId="0" applyAlignment="1" applyFont="1">
      <alignment horizontal="center" readingOrder="0" vertical="bottom"/>
    </xf>
    <xf borderId="9" fillId="16" fontId="15" numFmtId="0" xfId="0" applyAlignment="1" applyBorder="1" applyFont="1">
      <alignment readingOrder="0" vertical="bottom"/>
    </xf>
    <xf borderId="4" fillId="0" fontId="17" numFmtId="0" xfId="0" applyAlignment="1" applyBorder="1" applyFont="1">
      <alignment readingOrder="0" vertical="bottom"/>
    </xf>
    <xf borderId="0" fillId="0" fontId="17" numFmtId="1" xfId="0" applyAlignment="1" applyFont="1" applyNumberFormat="1">
      <alignment horizontal="right" vertical="bottom"/>
    </xf>
    <xf borderId="5" fillId="3" fontId="18" numFmtId="169" xfId="0" applyAlignment="1" applyBorder="1" applyFont="1" applyNumberFormat="1">
      <alignment horizontal="right" vertical="bottom"/>
    </xf>
    <xf borderId="4" fillId="17" fontId="15" numFmtId="0" xfId="0" applyAlignment="1" applyBorder="1" applyFill="1" applyFont="1">
      <alignment readingOrder="0" vertical="bottom"/>
    </xf>
    <xf borderId="0" fillId="10" fontId="19" numFmtId="169" xfId="0" applyAlignment="1" applyFont="1" applyNumberFormat="1">
      <alignment readingOrder="0" vertical="bottom"/>
    </xf>
    <xf borderId="0" fillId="15" fontId="15" numFmtId="166" xfId="0" applyAlignment="1" applyFont="1" applyNumberFormat="1">
      <alignment horizontal="right" readingOrder="0" vertical="bottom"/>
    </xf>
    <xf borderId="6" fillId="15" fontId="15" numFmtId="166" xfId="0" applyAlignment="1" applyBorder="1" applyFont="1" applyNumberFormat="1">
      <alignment horizontal="right" readingOrder="0" vertical="bottom"/>
    </xf>
    <xf borderId="0" fillId="2" fontId="15" numFmtId="166" xfId="0" applyAlignment="1" applyFont="1" applyNumberFormat="1">
      <alignment horizontal="right" readingOrder="0" vertical="bottom"/>
    </xf>
    <xf borderId="0" fillId="15" fontId="15" numFmtId="166" xfId="0" applyAlignment="1" applyFont="1" applyNumberFormat="1">
      <alignment readingOrder="0" vertical="bottom"/>
    </xf>
    <xf borderId="9" fillId="0" fontId="15" numFmtId="0" xfId="0" applyAlignment="1" applyBorder="1" applyFont="1">
      <alignment readingOrder="0" vertical="bottom"/>
    </xf>
    <xf borderId="8" fillId="15" fontId="15" numFmtId="166" xfId="0" applyAlignment="1" applyBorder="1" applyFont="1" applyNumberFormat="1">
      <alignment horizontal="right" readingOrder="0" vertical="bottom"/>
    </xf>
    <xf borderId="8" fillId="2" fontId="15" numFmtId="166" xfId="0" applyAlignment="1" applyBorder="1" applyFont="1" applyNumberFormat="1">
      <alignment readingOrder="0" vertical="bottom"/>
    </xf>
    <xf borderId="8" fillId="2" fontId="15" numFmtId="166" xfId="0" applyAlignment="1" applyBorder="1" applyFont="1" applyNumberFormat="1">
      <alignment horizontal="right" readingOrder="0" vertical="bottom"/>
    </xf>
    <xf borderId="8" fillId="15" fontId="15" numFmtId="166" xfId="0" applyAlignment="1" applyBorder="1" applyFont="1" applyNumberFormat="1">
      <alignment horizontal="right" readingOrder="0" vertical="bottom"/>
    </xf>
    <xf borderId="0" fillId="0" fontId="17" numFmtId="168" xfId="0" applyAlignment="1" applyFont="1" applyNumberFormat="1">
      <alignment horizontal="right" vertical="bottom"/>
    </xf>
    <xf borderId="5" fillId="3" fontId="16" numFmtId="0" xfId="0" applyAlignment="1" applyBorder="1" applyFont="1">
      <alignment horizontal="right" vertical="bottom"/>
    </xf>
    <xf borderId="4" fillId="18" fontId="15" numFmtId="0" xfId="0" applyAlignment="1" applyBorder="1" applyFill="1" applyFont="1">
      <alignment readingOrder="0" vertical="bottom"/>
    </xf>
    <xf borderId="0" fillId="15" fontId="15" numFmtId="168" xfId="0" applyAlignment="1" applyFont="1" applyNumberFormat="1">
      <alignment horizontal="right" readingOrder="0" vertical="bottom"/>
    </xf>
    <xf borderId="10" fillId="16" fontId="15" numFmtId="0" xfId="0" applyAlignment="1" applyBorder="1" applyFont="1">
      <alignment readingOrder="0" vertical="bottom"/>
    </xf>
    <xf borderId="9" fillId="16" fontId="20" numFmtId="0" xfId="0" applyAlignment="1" applyBorder="1" applyFont="1">
      <alignment horizontal="left" readingOrder="0"/>
    </xf>
    <xf borderId="1" fillId="0" fontId="17" numFmtId="168" xfId="0" applyAlignment="1" applyBorder="1" applyFont="1" applyNumberFormat="1">
      <alignment horizontal="right" vertical="bottom"/>
    </xf>
    <xf borderId="4" fillId="0" fontId="15" numFmtId="2" xfId="0" applyAlignment="1" applyBorder="1" applyFont="1" applyNumberFormat="1">
      <alignment vertical="bottom"/>
    </xf>
    <xf borderId="0" fillId="0" fontId="15" numFmtId="2" xfId="0" applyAlignment="1" applyFont="1" applyNumberFormat="1">
      <alignment vertical="bottom"/>
    </xf>
    <xf borderId="5" fillId="3" fontId="15" numFmtId="168" xfId="0" applyAlignment="1" applyBorder="1" applyFont="1" applyNumberFormat="1">
      <alignment vertical="bottom"/>
    </xf>
    <xf borderId="4" fillId="19" fontId="15" numFmtId="0" xfId="0" applyAlignment="1" applyBorder="1" applyFill="1" applyFont="1">
      <alignment readingOrder="0" vertical="bottom"/>
    </xf>
    <xf borderId="0" fillId="19" fontId="15" numFmtId="0" xfId="0" applyAlignment="1" applyFont="1">
      <alignment vertical="bottom"/>
    </xf>
    <xf borderId="0" fillId="0" fontId="15" numFmtId="173" xfId="0" applyAlignment="1" applyFont="1" applyNumberFormat="1">
      <alignment vertical="bottom"/>
    </xf>
    <xf borderId="4" fillId="20" fontId="14" numFmtId="0" xfId="0" applyAlignment="1" applyBorder="1" applyFill="1" applyFont="1">
      <alignment vertical="bottom"/>
    </xf>
    <xf borderId="4" fillId="15" fontId="15" numFmtId="0" xfId="0" applyAlignment="1" applyBorder="1" applyFont="1">
      <alignment readingOrder="0" vertical="bottom"/>
    </xf>
    <xf borderId="0" fillId="0" fontId="15" numFmtId="168" xfId="0" applyAlignment="1" applyFont="1" applyNumberFormat="1">
      <alignment horizontal="right" vertical="bottom"/>
    </xf>
    <xf borderId="4" fillId="15" fontId="17" numFmtId="0" xfId="0" applyAlignment="1" applyBorder="1" applyFont="1">
      <alignment readingOrder="0" vertical="bottom"/>
    </xf>
    <xf borderId="0" fillId="21" fontId="17" numFmtId="168" xfId="0" applyAlignment="1" applyFill="1" applyFont="1" applyNumberFormat="1">
      <alignment horizontal="right" shrinkToFit="0" vertical="bottom" wrapText="1"/>
    </xf>
    <xf borderId="5" fillId="3" fontId="21" numFmtId="0" xfId="0" applyBorder="1" applyFont="1"/>
    <xf borderId="4" fillId="20" fontId="14" numFmtId="0" xfId="0" applyAlignment="1" applyBorder="1" applyFont="1">
      <alignment readingOrder="0" vertical="bottom"/>
    </xf>
    <xf borderId="4" fillId="21" fontId="15" numFmtId="0" xfId="0" applyAlignment="1" applyBorder="1" applyFont="1">
      <alignment readingOrder="0" vertical="bottom"/>
    </xf>
    <xf borderId="0" fillId="0" fontId="15" numFmtId="3" xfId="0" applyAlignment="1" applyFont="1" applyNumberFormat="1">
      <alignment horizontal="right" readingOrder="0" vertical="bottom"/>
    </xf>
    <xf borderId="0" fillId="0" fontId="15" numFmtId="0" xfId="0" applyAlignment="1" applyFont="1">
      <alignment horizontal="right" readingOrder="0" vertical="bottom"/>
    </xf>
    <xf borderId="4" fillId="21" fontId="17" numFmtId="0" xfId="0" applyAlignment="1" applyBorder="1" applyFont="1">
      <alignment readingOrder="0" vertical="bottom"/>
    </xf>
    <xf borderId="0" fillId="21" fontId="17" numFmtId="3" xfId="0" applyAlignment="1" applyFont="1" applyNumberFormat="1">
      <alignment horizontal="right" vertical="bottom"/>
    </xf>
    <xf borderId="0" fillId="21" fontId="17" numFmtId="0" xfId="0" applyAlignment="1" applyFont="1">
      <alignment horizontal="right" vertical="bottom"/>
    </xf>
    <xf borderId="4" fillId="20" fontId="22" numFmtId="0" xfId="0" applyAlignment="1" applyBorder="1" applyFont="1">
      <alignment readingOrder="0" vertical="bottom"/>
    </xf>
    <xf borderId="0" fillId="20" fontId="15" numFmtId="0" xfId="0" applyAlignment="1" applyFont="1">
      <alignment vertical="bottom"/>
    </xf>
    <xf borderId="4" fillId="22" fontId="15" numFmtId="0" xfId="0" applyAlignment="1" applyBorder="1" applyFill="1" applyFont="1">
      <alignment readingOrder="0" vertical="bottom"/>
    </xf>
    <xf borderId="0" fillId="0" fontId="15" numFmtId="166" xfId="0" applyAlignment="1" applyFont="1" applyNumberFormat="1">
      <alignment horizontal="right" readingOrder="0" vertical="bottom"/>
    </xf>
    <xf borderId="4" fillId="23" fontId="17" numFmtId="0" xfId="0" applyAlignment="1" applyBorder="1" applyFill="1" applyFont="1">
      <alignment readingOrder="0" vertical="bottom"/>
    </xf>
    <xf borderId="0" fillId="23" fontId="17" numFmtId="166" xfId="0" applyAlignment="1" applyFont="1" applyNumberFormat="1">
      <alignment horizontal="right" vertical="bottom"/>
    </xf>
    <xf borderId="0" fillId="20" fontId="15" numFmtId="1" xfId="0" applyAlignment="1" applyFont="1" applyNumberFormat="1">
      <alignment horizontal="right" readingOrder="0" vertical="bottom"/>
    </xf>
    <xf borderId="5" fillId="3" fontId="16" numFmtId="3" xfId="0" applyAlignment="1" applyBorder="1" applyFont="1" applyNumberFormat="1">
      <alignment horizontal="right" vertical="bottom"/>
    </xf>
    <xf borderId="4" fillId="24" fontId="15" numFmtId="0" xfId="0" applyAlignment="1" applyBorder="1" applyFill="1" applyFont="1">
      <alignment readingOrder="0" vertical="bottom"/>
    </xf>
    <xf borderId="0" fillId="0" fontId="23" numFmtId="0" xfId="0" applyAlignment="1" applyFont="1">
      <alignment readingOrder="0"/>
    </xf>
    <xf borderId="0" fillId="0" fontId="15" numFmtId="1" xfId="0" applyAlignment="1" applyFont="1" applyNumberFormat="1">
      <alignment horizontal="right" readingOrder="0" vertical="bottom"/>
    </xf>
    <xf borderId="0" fillId="0" fontId="24" numFmtId="3" xfId="0" applyAlignment="1" applyFont="1" applyNumberFormat="1">
      <alignment horizontal="right" readingOrder="0" shrinkToFit="0" wrapText="0"/>
    </xf>
    <xf borderId="0" fillId="0" fontId="25" numFmtId="0" xfId="0" applyAlignment="1" applyFont="1">
      <alignment horizontal="right" readingOrder="0" shrinkToFit="0" wrapText="0"/>
    </xf>
    <xf borderId="4" fillId="25" fontId="17" numFmtId="0" xfId="0" applyAlignment="1" applyBorder="1" applyFill="1" applyFont="1">
      <alignment readingOrder="0" vertical="bottom"/>
    </xf>
    <xf borderId="0" fillId="25" fontId="17" numFmtId="1" xfId="0" applyAlignment="1" applyFont="1" applyNumberFormat="1">
      <alignment horizontal="right" vertical="bottom"/>
    </xf>
    <xf borderId="0" fillId="0" fontId="15" numFmtId="1" xfId="0" applyAlignment="1" applyFont="1" applyNumberFormat="1">
      <alignment readingOrder="0" vertical="bottom"/>
    </xf>
    <xf borderId="0" fillId="0" fontId="15" numFmtId="3" xfId="0" applyAlignment="1" applyFont="1" applyNumberFormat="1">
      <alignment readingOrder="0" vertical="bottom"/>
    </xf>
    <xf borderId="0" fillId="0" fontId="15" numFmtId="1" xfId="0" applyAlignment="1" applyFont="1" applyNumberFormat="1">
      <alignment vertical="bottom"/>
    </xf>
    <xf borderId="5" fillId="3" fontId="15" numFmtId="3" xfId="0" applyAlignment="1" applyBorder="1" applyFont="1" applyNumberFormat="1">
      <alignment readingOrder="0" vertical="bottom"/>
    </xf>
    <xf borderId="0" fillId="0" fontId="24" numFmtId="0" xfId="0" applyAlignment="1" applyFont="1">
      <alignment horizontal="right" readingOrder="0" shrinkToFit="0" wrapText="0"/>
    </xf>
    <xf borderId="0" fillId="0" fontId="24" numFmtId="1" xfId="0" applyAlignment="1" applyFont="1" applyNumberFormat="1">
      <alignment horizontal="right" readingOrder="0" shrinkToFit="0" wrapText="0"/>
    </xf>
    <xf borderId="4" fillId="0" fontId="2" numFmtId="0" xfId="0" applyBorder="1" applyFont="1"/>
    <xf borderId="4" fillId="26" fontId="17" numFmtId="0" xfId="0" applyAlignment="1" applyBorder="1" applyFill="1" applyFont="1">
      <alignment readingOrder="0" vertical="bottom"/>
    </xf>
    <xf borderId="0" fillId="26" fontId="17" numFmtId="0" xfId="0" applyAlignment="1" applyFont="1">
      <alignment readingOrder="0"/>
    </xf>
    <xf borderId="0" fillId="26" fontId="26" numFmtId="0" xfId="0" applyAlignment="1" applyFont="1">
      <alignment readingOrder="0"/>
    </xf>
    <xf borderId="0" fillId="20" fontId="2" numFmtId="0" xfId="0" applyFont="1"/>
    <xf borderId="6" fillId="0" fontId="15" numFmtId="1" xfId="0" applyAlignment="1" applyBorder="1" applyFont="1" applyNumberFormat="1">
      <alignment horizontal="right" vertical="bottom"/>
    </xf>
    <xf borderId="0" fillId="0" fontId="15" numFmtId="1" xfId="0" applyAlignment="1" applyFont="1" applyNumberFormat="1">
      <alignment horizontal="right" vertical="bottom"/>
    </xf>
    <xf borderId="0" fillId="25" fontId="17" numFmtId="1" xfId="0" applyAlignment="1" applyFont="1" applyNumberFormat="1">
      <alignment readingOrder="0" vertical="bottom"/>
    </xf>
    <xf borderId="0" fillId="24" fontId="15" numFmtId="0" xfId="0" applyAlignment="1" applyFont="1">
      <alignment readingOrder="0" vertical="bottom"/>
    </xf>
    <xf borderId="0" fillId="0" fontId="23" numFmtId="1" xfId="0" applyAlignment="1" applyFont="1" applyNumberFormat="1">
      <alignment readingOrder="0"/>
    </xf>
    <xf borderId="0" fillId="0" fontId="27" numFmtId="0" xfId="0" applyAlignment="1" applyFont="1">
      <alignment horizontal="right" readingOrder="0" shrinkToFit="0" wrapText="0"/>
    </xf>
    <xf borderId="0" fillId="0" fontId="23" numFmtId="0" xfId="0" applyFont="1"/>
    <xf borderId="0" fillId="0" fontId="23" numFmtId="3" xfId="0" applyAlignment="1" applyFont="1" applyNumberFormat="1">
      <alignment readingOrder="0"/>
    </xf>
    <xf borderId="6" fillId="4" fontId="1" numFmtId="1" xfId="0" applyAlignment="1" applyBorder="1" applyFont="1" applyNumberFormat="1">
      <alignment vertical="bottom"/>
    </xf>
    <xf borderId="0" fillId="4" fontId="17" numFmtId="1" xfId="0" applyAlignment="1" applyFont="1" applyNumberFormat="1">
      <alignment horizontal="right" vertical="bottom"/>
    </xf>
    <xf borderId="0" fillId="4" fontId="15" numFmtId="0" xfId="0" applyAlignment="1" applyFont="1">
      <alignment vertical="bottom"/>
    </xf>
    <xf borderId="4" fillId="20" fontId="28" numFmtId="0" xfId="0" applyAlignment="1" applyBorder="1" applyFont="1">
      <alignment readingOrder="0" vertical="bottom"/>
    </xf>
    <xf borderId="0" fillId="20" fontId="15" numFmtId="2" xfId="0" applyAlignment="1" applyFont="1" applyNumberFormat="1">
      <alignment vertical="bottom"/>
    </xf>
    <xf borderId="4" fillId="27" fontId="15" numFmtId="0" xfId="0" applyAlignment="1" applyBorder="1" applyFill="1" applyFont="1">
      <alignment readingOrder="0" vertical="bottom"/>
    </xf>
    <xf borderId="0" fillId="27" fontId="15" numFmtId="1" xfId="0" applyAlignment="1" applyFont="1" applyNumberFormat="1">
      <alignment readingOrder="0" vertical="bottom"/>
    </xf>
    <xf borderId="0" fillId="27" fontId="29" numFmtId="1" xfId="0" applyAlignment="1" applyFont="1" applyNumberFormat="1">
      <alignment readingOrder="0" vertical="bottom"/>
    </xf>
    <xf borderId="0" fillId="2" fontId="15" numFmtId="1" xfId="0" applyAlignment="1" applyFont="1" applyNumberFormat="1">
      <alignment readingOrder="0" vertical="bottom"/>
    </xf>
    <xf borderId="0" fillId="2" fontId="23" numFmtId="1" xfId="0" applyAlignment="1" applyFont="1" applyNumberFormat="1">
      <alignment readingOrder="0"/>
    </xf>
    <xf borderId="4" fillId="28" fontId="22" numFmtId="0" xfId="0" applyAlignment="1" applyBorder="1" applyFill="1" applyFont="1">
      <alignment readingOrder="0" vertical="bottom"/>
    </xf>
    <xf borderId="0" fillId="28" fontId="17" numFmtId="1" xfId="0" applyAlignment="1" applyFont="1" applyNumberFormat="1">
      <alignment horizontal="right" vertical="bottom"/>
    </xf>
    <xf borderId="6" fillId="0" fontId="15" numFmtId="1" xfId="0" applyAlignment="1" applyBorder="1" applyFont="1" applyNumberFormat="1">
      <alignment readingOrder="0" vertical="bottom"/>
    </xf>
    <xf borderId="0" fillId="2" fontId="23" numFmtId="0" xfId="0" applyAlignment="1" applyFont="1">
      <alignment readingOrder="0"/>
    </xf>
    <xf borderId="0" fillId="2" fontId="15" numFmtId="0" xfId="0" applyAlignment="1" applyFont="1">
      <alignment vertical="bottom"/>
    </xf>
    <xf borderId="0" fillId="20" fontId="15" numFmtId="166" xfId="0" applyAlignment="1" applyFont="1" applyNumberFormat="1">
      <alignment readingOrder="0" vertical="bottom"/>
    </xf>
    <xf borderId="0" fillId="20" fontId="15" numFmtId="166" xfId="0" applyAlignment="1" applyFont="1" applyNumberFormat="1">
      <alignment vertical="bottom"/>
    </xf>
    <xf borderId="5" fillId="3" fontId="16" numFmtId="166" xfId="0" applyAlignment="1" applyBorder="1" applyFont="1" applyNumberFormat="1">
      <alignment horizontal="right" vertical="bottom"/>
    </xf>
    <xf borderId="0" fillId="0" fontId="15" numFmtId="166" xfId="0" applyAlignment="1" applyFont="1" applyNumberFormat="1">
      <alignment readingOrder="0" vertical="bottom"/>
    </xf>
    <xf borderId="0" fillId="0" fontId="15" numFmtId="166" xfId="0" applyAlignment="1" applyFont="1" applyNumberFormat="1">
      <alignment horizontal="right" readingOrder="0" vertical="bottom"/>
    </xf>
    <xf borderId="0" fillId="2" fontId="23" numFmtId="166" xfId="0" applyAlignment="1" applyFont="1" applyNumberFormat="1">
      <alignment readingOrder="0" vertical="bottom"/>
    </xf>
    <xf borderId="0" fillId="2" fontId="15" numFmtId="166" xfId="0" applyAlignment="1" applyFont="1" applyNumberFormat="1">
      <alignment readingOrder="0" vertical="bottom"/>
    </xf>
    <xf borderId="0" fillId="2" fontId="30" numFmtId="166" xfId="0" applyAlignment="1" applyFont="1" applyNumberFormat="1">
      <alignment horizontal="right" readingOrder="0"/>
    </xf>
    <xf borderId="0" fillId="28" fontId="17" numFmtId="166" xfId="0" applyAlignment="1" applyFont="1" applyNumberFormat="1">
      <alignment horizontal="right" vertical="bottom"/>
    </xf>
    <xf borderId="0" fillId="0" fontId="15" numFmtId="166" xfId="0" applyAlignment="1" applyFont="1" applyNumberFormat="1">
      <alignment vertical="bottom"/>
    </xf>
    <xf borderId="0" fillId="0" fontId="23" numFmtId="166" xfId="0" applyAlignment="1" applyFont="1" applyNumberFormat="1">
      <alignment readingOrder="0"/>
    </xf>
    <xf borderId="0" fillId="0" fontId="23" numFmtId="166" xfId="0" applyAlignment="1" applyFont="1" applyNumberFormat="1">
      <alignment readingOrder="0" vertical="bottom"/>
    </xf>
    <xf borderId="0" fillId="0" fontId="15" numFmtId="166" xfId="0" applyAlignment="1" applyFont="1" applyNumberFormat="1">
      <alignment readingOrder="0" vertical="bottom"/>
    </xf>
    <xf borderId="0" fillId="2" fontId="23" numFmtId="166" xfId="0" applyAlignment="1" applyFont="1" applyNumberFormat="1">
      <alignment readingOrder="0"/>
    </xf>
    <xf borderId="0" fillId="2" fontId="15" numFmtId="166" xfId="0" applyAlignment="1" applyFont="1" applyNumberFormat="1">
      <alignment readingOrder="0" vertical="bottom"/>
    </xf>
    <xf borderId="5" fillId="3" fontId="1" numFmtId="0" xfId="0" applyAlignment="1" applyBorder="1" applyFont="1">
      <alignment vertical="bottom"/>
    </xf>
    <xf borderId="4" fillId="29" fontId="15" numFmtId="0" xfId="0" applyAlignment="1" applyBorder="1" applyFill="1" applyFont="1">
      <alignment readingOrder="0" vertical="bottom"/>
    </xf>
    <xf borderId="0" fillId="29" fontId="15" numFmtId="1" xfId="0" applyAlignment="1" applyFont="1" applyNumberFormat="1">
      <alignment readingOrder="0" vertical="bottom"/>
    </xf>
    <xf borderId="0" fillId="29" fontId="29" numFmtId="1" xfId="0" applyAlignment="1" applyFont="1" applyNumberFormat="1">
      <alignment readingOrder="0" vertical="bottom"/>
    </xf>
    <xf borderId="4" fillId="26" fontId="22" numFmtId="166" xfId="0" applyAlignment="1" applyBorder="1" applyFont="1" applyNumberFormat="1">
      <alignment horizontal="left" readingOrder="0" vertical="bottom"/>
    </xf>
    <xf borderId="0" fillId="26" fontId="26" numFmtId="166" xfId="0" applyAlignment="1" applyFont="1" applyNumberFormat="1">
      <alignment readingOrder="0"/>
    </xf>
    <xf borderId="4" fillId="7" fontId="15" numFmtId="0" xfId="0" applyAlignment="1" applyBorder="1" applyFont="1">
      <alignment readingOrder="0" vertical="bottom"/>
    </xf>
    <xf borderId="0" fillId="7" fontId="17" numFmtId="0" xfId="0" applyAlignment="1" applyFont="1">
      <alignment readingOrder="0" vertical="bottom"/>
    </xf>
    <xf borderId="0" fillId="3" fontId="15" numFmtId="1" xfId="0" applyAlignment="1" applyFont="1" applyNumberFormat="1">
      <alignment readingOrder="0" vertical="bottom"/>
    </xf>
    <xf borderId="0" fillId="3" fontId="23" numFmtId="0" xfId="0" applyAlignment="1" applyFont="1">
      <alignment readingOrder="0"/>
    </xf>
    <xf borderId="0" fillId="3" fontId="23" numFmtId="1" xfId="0" applyAlignment="1" applyFont="1" applyNumberFormat="1">
      <alignment readingOrder="0"/>
    </xf>
    <xf borderId="0" fillId="3" fontId="15" numFmtId="1" xfId="0" applyAlignment="1" applyFont="1" applyNumberFormat="1">
      <alignment horizontal="right" readingOrder="0" vertical="bottom"/>
    </xf>
    <xf borderId="0" fillId="3" fontId="15" numFmtId="0" xfId="0" applyAlignment="1" applyFont="1">
      <alignment readingOrder="0" vertical="bottom"/>
    </xf>
    <xf borderId="0" fillId="3" fontId="15" numFmtId="0" xfId="0" applyAlignment="1" applyFont="1">
      <alignment horizontal="right" readingOrder="0" vertical="bottom"/>
    </xf>
    <xf borderId="4" fillId="8" fontId="17" numFmtId="0" xfId="0" applyAlignment="1" applyBorder="1" applyFont="1">
      <alignment readingOrder="0" vertical="bottom"/>
    </xf>
    <xf borderId="0" fillId="8" fontId="17" numFmtId="1" xfId="0" applyAlignment="1" applyFont="1" applyNumberFormat="1">
      <alignment horizontal="right" vertical="bottom"/>
    </xf>
    <xf borderId="4" fillId="8" fontId="17" numFmtId="0" xfId="0" applyAlignment="1" applyBorder="1" applyFont="1">
      <alignment horizontal="left" readingOrder="0" vertical="bottom"/>
    </xf>
    <xf borderId="0" fillId="0" fontId="15" numFmtId="2" xfId="0" applyAlignment="1" applyFont="1" applyNumberFormat="1">
      <alignment readingOrder="0" vertical="bottom"/>
    </xf>
    <xf borderId="4" fillId="8" fontId="17" numFmtId="1" xfId="0" applyAlignment="1" applyBorder="1" applyFont="1" applyNumberFormat="1">
      <alignment horizontal="left" readingOrder="0" vertical="bottom"/>
    </xf>
    <xf borderId="0" fillId="8" fontId="17" numFmtId="166" xfId="0" applyAlignment="1" applyFont="1" applyNumberFormat="1">
      <alignment horizontal="right" vertical="bottom"/>
    </xf>
    <xf borderId="4" fillId="0" fontId="14" numFmtId="0" xfId="0" applyAlignment="1" applyBorder="1" applyFont="1">
      <alignment readingOrder="0" vertical="bottom"/>
    </xf>
    <xf borderId="0" fillId="20" fontId="23" numFmtId="0" xfId="0" applyFont="1"/>
    <xf borderId="0" fillId="7" fontId="15" numFmtId="0" xfId="0" applyAlignment="1" applyFont="1">
      <alignment readingOrder="0" vertical="bottom"/>
    </xf>
    <xf borderId="4" fillId="30" fontId="15" numFmtId="0" xfId="0" applyAlignment="1" applyBorder="1" applyFill="1" applyFont="1">
      <alignment readingOrder="0" vertical="bottom"/>
    </xf>
    <xf borderId="6" fillId="0" fontId="23" numFmtId="0" xfId="0" applyBorder="1" applyFont="1"/>
    <xf borderId="0" fillId="0" fontId="23" numFmtId="166" xfId="0" applyAlignment="1" applyFont="1" applyNumberFormat="1">
      <alignment horizontal="right" readingOrder="0"/>
    </xf>
    <xf borderId="0" fillId="8" fontId="17" numFmtId="166" xfId="0" applyAlignment="1" applyFont="1" applyNumberFormat="1">
      <alignment horizontal="right" readingOrder="0" vertical="bottom"/>
    </xf>
    <xf borderId="0" fillId="0" fontId="23" numFmtId="0" xfId="0" applyAlignment="1" applyFont="1">
      <alignment horizontal="right"/>
    </xf>
    <xf borderId="0" fillId="20" fontId="31" numFmtId="0" xfId="0" applyAlignment="1" applyFont="1">
      <alignment readingOrder="0"/>
    </xf>
    <xf borderId="0" fillId="7" fontId="15" numFmtId="1" xfId="0" applyAlignment="1" applyFont="1" applyNumberFormat="1">
      <alignment readingOrder="0" vertical="bottom"/>
    </xf>
    <xf borderId="5" fillId="3" fontId="32" numFmtId="168" xfId="0" applyAlignment="1" applyBorder="1" applyFont="1" applyNumberFormat="1">
      <alignment horizontal="right" vertical="bottom"/>
    </xf>
    <xf borderId="0" fillId="7" fontId="1" numFmtId="0" xfId="0" applyAlignment="1" applyFont="1">
      <alignment vertical="bottom"/>
    </xf>
    <xf borderId="0" fillId="10" fontId="15" numFmtId="1" xfId="0" applyAlignment="1" applyFont="1" applyNumberFormat="1">
      <alignment readingOrder="0" vertical="bottom"/>
    </xf>
    <xf borderId="0" fillId="8" fontId="17" numFmtId="1" xfId="0" applyAlignment="1" applyFont="1" applyNumberFormat="1">
      <alignment readingOrder="0" vertical="bottom"/>
    </xf>
    <xf borderId="0" fillId="8" fontId="15" numFmtId="1" xfId="0" applyAlignment="1" applyFont="1" applyNumberFormat="1">
      <alignment readingOrder="0" vertical="bottom"/>
    </xf>
    <xf borderId="4" fillId="0" fontId="15" numFmtId="1" xfId="0" applyAlignment="1" applyBorder="1" applyFont="1" applyNumberFormat="1">
      <alignment horizontal="left" vertical="bottom"/>
    </xf>
    <xf borderId="4" fillId="7" fontId="17" numFmtId="0" xfId="0" applyAlignment="1" applyBorder="1" applyFont="1">
      <alignment readingOrder="0" vertical="bottom"/>
    </xf>
    <xf borderId="0" fillId="8" fontId="17" numFmtId="1" xfId="0" applyAlignment="1" applyFont="1" applyNumberFormat="1">
      <alignment horizontal="left" readingOrder="0" vertical="bottom"/>
    </xf>
    <xf borderId="4" fillId="31" fontId="15" numFmtId="0" xfId="0" applyAlignment="1" applyBorder="1" applyFill="1" applyFont="1">
      <alignment readingOrder="0" vertical="bottom"/>
    </xf>
    <xf borderId="10" fillId="22" fontId="17" numFmtId="0" xfId="0" applyAlignment="1" applyBorder="1" applyFont="1">
      <alignment readingOrder="0" vertical="bottom"/>
    </xf>
    <xf borderId="1" fillId="32" fontId="15" numFmtId="168" xfId="0" applyAlignment="1" applyBorder="1" applyFill="1" applyFont="1" applyNumberFormat="1">
      <alignment horizontal="right" vertical="bottom"/>
    </xf>
    <xf borderId="4" fillId="22" fontId="17" numFmtId="0" xfId="0" applyAlignment="1" applyBorder="1" applyFont="1">
      <alignment readingOrder="0" vertical="bottom"/>
    </xf>
    <xf borderId="1" fillId="0" fontId="15" numFmtId="168" xfId="0" applyAlignment="1" applyBorder="1" applyFont="1" applyNumberFormat="1">
      <alignment horizontal="right" vertical="bottom"/>
    </xf>
    <xf borderId="11" fillId="3" fontId="16" numFmtId="168" xfId="0" applyAlignment="1" applyBorder="1" applyFont="1" applyNumberFormat="1">
      <alignment horizontal="right" vertical="bottom"/>
    </xf>
    <xf borderId="0" fillId="0" fontId="15" numFmtId="167" xfId="0" applyAlignment="1" applyFont="1" applyNumberFormat="1">
      <alignment vertical="bottom"/>
    </xf>
    <xf borderId="9" fillId="33" fontId="17" numFmtId="0" xfId="0" applyAlignment="1" applyBorder="1" applyFill="1" applyFont="1">
      <alignment readingOrder="0" vertical="bottom"/>
    </xf>
    <xf borderId="8" fillId="0" fontId="15" numFmtId="167" xfId="0" applyAlignment="1" applyBorder="1" applyFont="1" applyNumberFormat="1">
      <alignment vertical="bottom"/>
    </xf>
    <xf borderId="9" fillId="22" fontId="17" numFmtId="0" xfId="0" applyAlignment="1" applyBorder="1" applyFont="1">
      <alignment readingOrder="0" vertical="bottom"/>
    </xf>
    <xf borderId="8" fillId="0" fontId="15" numFmtId="168" xfId="0" applyAlignment="1" applyBorder="1" applyFont="1" applyNumberFormat="1">
      <alignment horizontal="right" vertical="bottom"/>
    </xf>
    <xf borderId="12" fillId="3" fontId="16" numFmtId="168" xfId="0" applyAlignment="1" applyBorder="1" applyFont="1" applyNumberFormat="1">
      <alignment horizontal="right" vertical="bottom"/>
    </xf>
    <xf borderId="4" fillId="22" fontId="33" numFmtId="0" xfId="0" applyAlignment="1" applyBorder="1" applyFont="1">
      <alignment readingOrder="0" vertical="bottom"/>
    </xf>
    <xf borderId="0" fillId="0" fontId="15" numFmtId="168" xfId="0" applyAlignment="1" applyFont="1" applyNumberFormat="1">
      <alignment vertical="bottom"/>
    </xf>
    <xf borderId="8" fillId="0" fontId="15" numFmtId="168" xfId="0" applyAlignment="1" applyBorder="1" applyFont="1" applyNumberFormat="1">
      <alignment vertical="bottom"/>
    </xf>
    <xf borderId="8" fillId="0" fontId="15" numFmtId="168" xfId="0" applyAlignment="1" applyBorder="1" applyFont="1" applyNumberFormat="1">
      <alignment horizontal="right" readingOrder="0" vertical="bottom"/>
    </xf>
    <xf borderId="0" fillId="0" fontId="15" numFmtId="168" xfId="0" applyAlignment="1" applyFont="1" applyNumberFormat="1">
      <alignment horizontal="right" readingOrder="0" vertical="bottom"/>
    </xf>
    <xf borderId="0" fillId="8" fontId="17" numFmtId="168" xfId="0" applyAlignment="1" applyFont="1" applyNumberFormat="1">
      <alignment readingOrder="0" vertical="bottom"/>
    </xf>
    <xf borderId="5" fillId="3" fontId="2" numFmtId="0" xfId="0" applyBorder="1" applyFont="1"/>
    <xf borderId="13" fillId="34" fontId="15" numFmtId="0" xfId="0" applyAlignment="1" applyBorder="1" applyFill="1" applyFont="1">
      <alignment readingOrder="0" vertical="bottom"/>
    </xf>
    <xf borderId="14" fillId="0" fontId="15" numFmtId="168" xfId="0" applyAlignment="1" applyBorder="1" applyFont="1" applyNumberFormat="1">
      <alignment horizontal="right" readingOrder="0" vertical="bottom"/>
    </xf>
    <xf borderId="15" fillId="3" fontId="16" numFmtId="168" xfId="0" applyAlignment="1" applyBorder="1" applyFont="1" applyNumberFormat="1">
      <alignment horizontal="right" vertical="bottom"/>
    </xf>
    <xf borderId="4" fillId="0" fontId="15" numFmtId="166" xfId="0" applyAlignment="1" applyBorder="1" applyFont="1" applyNumberFormat="1">
      <alignment horizontal="right" vertical="bottom"/>
    </xf>
    <xf borderId="4" fillId="34" fontId="15" numFmtId="0" xfId="0" applyAlignment="1" applyBorder="1" applyFont="1">
      <alignment vertical="bottom"/>
    </xf>
    <xf borderId="4" fillId="0" fontId="15" numFmtId="166" xfId="0" applyAlignment="1" applyBorder="1" applyFont="1" applyNumberFormat="1">
      <alignment readingOrder="0" vertical="bottom"/>
    </xf>
    <xf borderId="0" fillId="0" fontId="15" numFmtId="10" xfId="0" applyAlignment="1" applyFont="1" applyNumberFormat="1">
      <alignment horizontal="right" readingOrder="0" vertical="bottom"/>
    </xf>
    <xf borderId="4" fillId="0" fontId="15" numFmtId="10" xfId="0" applyAlignment="1" applyBorder="1" applyFont="1" applyNumberFormat="1">
      <alignment readingOrder="0" vertical="bottom"/>
    </xf>
    <xf borderId="16" fillId="34" fontId="15" numFmtId="0" xfId="0" applyAlignment="1" applyBorder="1" applyFont="1">
      <alignment vertical="bottom"/>
    </xf>
    <xf borderId="17" fillId="0" fontId="15" numFmtId="2" xfId="0" applyAlignment="1" applyBorder="1" applyFont="1" applyNumberFormat="1">
      <alignment horizontal="right" vertical="bottom"/>
    </xf>
    <xf borderId="18" fillId="3" fontId="16" numFmtId="168" xfId="0" applyAlignment="1" applyBorder="1" applyFont="1" applyNumberFormat="1">
      <alignment horizontal="right" vertical="bottom"/>
    </xf>
    <xf borderId="0" fillId="2" fontId="15" numFmtId="168" xfId="0" applyAlignment="1" applyFont="1" applyNumberFormat="1">
      <alignment horizontal="right" readingOrder="0" vertical="bottom"/>
    </xf>
    <xf borderId="1" fillId="2" fontId="15" numFmtId="168" xfId="0" applyAlignment="1" applyBorder="1" applyFont="1" applyNumberFormat="1">
      <alignment horizontal="right" readingOrder="0" vertical="bottom"/>
    </xf>
    <xf borderId="4" fillId="22" fontId="15" numFmtId="0" xfId="0" applyAlignment="1" applyBorder="1" applyFont="1">
      <alignment vertical="bottom"/>
    </xf>
    <xf borderId="4" fillId="22" fontId="15" numFmtId="0" xfId="0" applyAlignment="1" applyBorder="1" applyFont="1">
      <alignment readingOrder="0" vertical="bottom"/>
    </xf>
    <xf borderId="0" fillId="33" fontId="15" numFmtId="168" xfId="0" applyAlignment="1" applyFont="1" applyNumberFormat="1">
      <alignment horizontal="right" readingOrder="0" vertical="bottom"/>
    </xf>
    <xf borderId="0" fillId="4" fontId="15" numFmtId="168" xfId="0" applyAlignment="1" applyFont="1" applyNumberFormat="1">
      <alignment horizontal="right" readingOrder="0" vertical="bottom"/>
    </xf>
    <xf borderId="8" fillId="4" fontId="15" numFmtId="167" xfId="0" applyAlignment="1" applyBorder="1" applyFont="1" applyNumberFormat="1">
      <alignment horizontal="right" readingOrder="0" vertical="bottom"/>
    </xf>
    <xf borderId="4" fillId="34" fontId="15" numFmtId="0" xfId="0" applyAlignment="1" applyBorder="1" applyFont="1">
      <alignment readingOrder="0" vertical="bottom"/>
    </xf>
    <xf borderId="0" fillId="3" fontId="15" numFmtId="168" xfId="0" applyAlignment="1" applyFont="1" applyNumberFormat="1">
      <alignment vertical="bottom"/>
    </xf>
    <xf borderId="0" fillId="8" fontId="17" numFmtId="168" xfId="0" applyAlignment="1" applyFont="1" applyNumberFormat="1">
      <alignment vertical="bottom"/>
    </xf>
    <xf borderId="19" fillId="0" fontId="1" numFmtId="168" xfId="0" applyAlignment="1" applyBorder="1" applyFont="1" applyNumberFormat="1">
      <alignment horizontal="right" vertical="bottom"/>
    </xf>
    <xf borderId="14" fillId="0" fontId="1" numFmtId="168" xfId="0" applyAlignment="1" applyBorder="1" applyFont="1" applyNumberFormat="1">
      <alignment horizontal="right" vertical="bottom"/>
    </xf>
    <xf borderId="14" fillId="0" fontId="1" numFmtId="0" xfId="0" applyAlignment="1" applyBorder="1" applyFont="1">
      <alignment vertical="bottom"/>
    </xf>
    <xf borderId="15" fillId="3" fontId="15" numFmtId="0" xfId="0" applyAlignment="1" applyBorder="1" applyFont="1">
      <alignment vertical="bottom"/>
    </xf>
    <xf borderId="0" fillId="0" fontId="1" numFmtId="168" xfId="0" applyAlignment="1" applyFont="1" applyNumberFormat="1">
      <alignment horizontal="right" vertical="bottom"/>
    </xf>
    <xf borderId="0" fillId="0" fontId="1" numFmtId="0" xfId="0" applyAlignment="1" applyFont="1">
      <alignment vertical="bottom"/>
    </xf>
    <xf borderId="4" fillId="0" fontId="15" numFmtId="166" xfId="0" applyAlignment="1" applyBorder="1" applyFont="1" applyNumberFormat="1">
      <alignment vertical="bottom"/>
    </xf>
    <xf borderId="4" fillId="0" fontId="15" numFmtId="10" xfId="0" applyAlignment="1" applyBorder="1" applyFont="1" applyNumberFormat="1">
      <alignment vertical="bottom"/>
    </xf>
    <xf borderId="5" fillId="3" fontId="1" numFmtId="0" xfId="0" applyBorder="1" applyFont="1"/>
    <xf borderId="6" fillId="0" fontId="15" numFmtId="168" xfId="0" applyAlignment="1" applyBorder="1" applyFont="1" applyNumberFormat="1">
      <alignment vertical="bottom"/>
    </xf>
    <xf borderId="4" fillId="0" fontId="1" numFmtId="0" xfId="0" applyAlignment="1" applyBorder="1" applyFont="1">
      <alignment vertical="bottom"/>
    </xf>
    <xf borderId="20" fillId="3" fontId="15" numFmtId="0" xfId="0" applyAlignment="1" applyBorder="1" applyFont="1">
      <alignment vertical="bottom"/>
    </xf>
    <xf borderId="8" fillId="0" fontId="15" numFmtId="1" xfId="0" applyAlignment="1" applyBorder="1" applyFont="1" applyNumberFormat="1">
      <alignment readingOrder="0" vertical="bottom"/>
    </xf>
    <xf borderId="8" fillId="0" fontId="15" numFmtId="0" xfId="0" applyAlignment="1" applyBorder="1" applyFont="1">
      <alignment vertical="bottom"/>
    </xf>
    <xf borderId="8" fillId="0" fontId="15" numFmtId="3" xfId="0" applyAlignment="1" applyBorder="1" applyFont="1" applyNumberFormat="1">
      <alignment vertical="bottom"/>
    </xf>
    <xf borderId="21" fillId="3" fontId="16" numFmtId="0" xfId="0" applyAlignment="1" applyBorder="1" applyFont="1">
      <alignment horizontal="right" vertical="bottom"/>
    </xf>
    <xf borderId="20" fillId="3" fontId="16" numFmtId="168" xfId="0" applyAlignment="1" applyBorder="1" applyFont="1" applyNumberFormat="1">
      <alignment horizontal="right" vertical="bottom"/>
    </xf>
    <xf borderId="20" fillId="3" fontId="16" numFmtId="0" xfId="0" applyAlignment="1" applyBorder="1" applyFont="1">
      <alignment horizontal="right" vertical="bottom"/>
    </xf>
    <xf borderId="8" fillId="0" fontId="15" numFmtId="166" xfId="0" applyAlignment="1" applyBorder="1" applyFont="1" applyNumberFormat="1">
      <alignment readingOrder="0" vertical="bottom"/>
    </xf>
    <xf borderId="8" fillId="0" fontId="15" numFmtId="166" xfId="0" applyAlignment="1" applyBorder="1" applyFont="1" applyNumberFormat="1">
      <alignment vertical="bottom"/>
    </xf>
    <xf borderId="20" fillId="3" fontId="21" numFmtId="0" xfId="0" applyBorder="1" applyFont="1"/>
    <xf borderId="20" fillId="20" fontId="21" numFmtId="0" xfId="0" applyBorder="1" applyFont="1"/>
    <xf borderId="20" fillId="3" fontId="16" numFmtId="166" xfId="0" applyAlignment="1" applyBorder="1" applyFont="1" applyNumberFormat="1">
      <alignment horizontal="right" vertical="bottom"/>
    </xf>
    <xf borderId="4" fillId="23" fontId="15" numFmtId="0" xfId="0" applyAlignment="1" applyBorder="1" applyFont="1">
      <alignment readingOrder="0" vertical="bottom"/>
    </xf>
    <xf borderId="0" fillId="23" fontId="15" numFmtId="166" xfId="0" applyAlignment="1" applyFont="1" applyNumberFormat="1">
      <alignment horizontal="right" vertical="bottom"/>
    </xf>
    <xf borderId="20" fillId="3" fontId="16" numFmtId="3" xfId="0" applyAlignment="1" applyBorder="1" applyFont="1" applyNumberFormat="1">
      <alignment horizontal="right" vertical="bottom"/>
    </xf>
    <xf borderId="20" fillId="20" fontId="16" numFmtId="3" xfId="0" applyAlignment="1" applyBorder="1" applyFont="1" applyNumberFormat="1">
      <alignment horizontal="right" vertical="bottom"/>
    </xf>
    <xf borderId="0" fillId="10" fontId="15" numFmtId="1" xfId="0" applyAlignment="1" applyFont="1" applyNumberFormat="1">
      <alignment horizontal="right" readingOrder="0" vertical="bottom"/>
    </xf>
    <xf borderId="0" fillId="25" fontId="15" numFmtId="1" xfId="0" applyAlignment="1" applyFont="1" applyNumberFormat="1">
      <alignment horizontal="right" vertical="bottom"/>
    </xf>
    <xf borderId="20" fillId="0" fontId="16" numFmtId="3" xfId="0" applyAlignment="1" applyBorder="1" applyFont="1" applyNumberFormat="1">
      <alignment horizontal="right" vertical="bottom"/>
    </xf>
    <xf borderId="0" fillId="20" fontId="15" numFmtId="1" xfId="0" applyAlignment="1" applyFont="1" applyNumberFormat="1">
      <alignment horizontal="right" vertical="bottom"/>
    </xf>
    <xf borderId="0" fillId="25" fontId="15" numFmtId="166" xfId="0" applyAlignment="1" applyFont="1" applyNumberFormat="1">
      <alignment horizontal="right" vertical="bottom"/>
    </xf>
    <xf borderId="4" fillId="20" fontId="34" numFmtId="0" xfId="0" applyAlignment="1" applyBorder="1" applyFont="1">
      <alignment readingOrder="0" vertical="bottom"/>
    </xf>
    <xf borderId="4" fillId="27" fontId="29" numFmtId="0" xfId="0" applyAlignment="1" applyBorder="1" applyFont="1">
      <alignment readingOrder="0" vertical="bottom"/>
    </xf>
    <xf borderId="0" fillId="2" fontId="29" numFmtId="1" xfId="0" applyAlignment="1" applyFont="1" applyNumberFormat="1">
      <alignment readingOrder="0" vertical="bottom"/>
    </xf>
    <xf borderId="4" fillId="27" fontId="29" numFmtId="0" xfId="0" applyAlignment="1" applyBorder="1" applyFont="1">
      <alignment readingOrder="0" vertical="bottom"/>
    </xf>
    <xf borderId="0" fillId="15" fontId="15" numFmtId="2" xfId="0" applyAlignment="1" applyFont="1" applyNumberFormat="1">
      <alignment vertical="bottom"/>
    </xf>
    <xf borderId="0" fillId="15" fontId="29" numFmtId="1" xfId="0" applyAlignment="1" applyFont="1" applyNumberFormat="1">
      <alignment readingOrder="0" vertical="bottom"/>
    </xf>
    <xf borderId="0" fillId="2" fontId="15" numFmtId="2" xfId="0" applyAlignment="1" applyFont="1" applyNumberFormat="1">
      <alignment vertical="bottom"/>
    </xf>
    <xf borderId="4" fillId="28" fontId="29" numFmtId="0" xfId="0" applyAlignment="1" applyBorder="1" applyFont="1">
      <alignment readingOrder="0" vertical="bottom"/>
    </xf>
    <xf borderId="0" fillId="28" fontId="15" numFmtId="1" xfId="0" applyAlignment="1" applyFont="1" applyNumberFormat="1">
      <alignment horizontal="right" vertical="bottom"/>
    </xf>
    <xf borderId="4" fillId="0" fontId="29" numFmtId="0" xfId="0" applyAlignment="1" applyBorder="1" applyFont="1">
      <alignment vertical="bottom"/>
    </xf>
    <xf borderId="4" fillId="28" fontId="29" numFmtId="0" xfId="0" applyAlignment="1" applyBorder="1" applyFont="1">
      <alignment readingOrder="0" vertical="bottom"/>
    </xf>
    <xf borderId="0" fillId="28" fontId="29" numFmtId="1" xfId="0" applyAlignment="1" applyFont="1" applyNumberFormat="1">
      <alignment horizontal="left" readingOrder="0" vertical="bottom"/>
    </xf>
    <xf borderId="0" fillId="15" fontId="15" numFmtId="1" xfId="0" applyAlignment="1" applyFont="1" applyNumberFormat="1">
      <alignment vertical="bottom"/>
    </xf>
    <xf borderId="4" fillId="27" fontId="15" numFmtId="0" xfId="0" applyAlignment="1" applyBorder="1" applyFont="1">
      <alignment readingOrder="0" vertical="bottom"/>
    </xf>
    <xf borderId="0" fillId="2" fontId="29" numFmtId="166" xfId="0" applyAlignment="1" applyFont="1" applyNumberFormat="1">
      <alignment readingOrder="0" vertical="bottom"/>
    </xf>
    <xf borderId="0" fillId="2" fontId="15" numFmtId="166" xfId="0" applyAlignment="1" applyFont="1" applyNumberFormat="1">
      <alignment vertical="bottom"/>
    </xf>
    <xf borderId="0" fillId="2" fontId="35" numFmtId="166" xfId="0" applyAlignment="1" applyFont="1" applyNumberFormat="1">
      <alignment horizontal="right" readingOrder="0"/>
    </xf>
    <xf borderId="0" fillId="15" fontId="15" numFmtId="166" xfId="0" applyAlignment="1" applyFont="1" applyNumberFormat="1">
      <alignment vertical="bottom"/>
    </xf>
    <xf borderId="4" fillId="28" fontId="15" numFmtId="0" xfId="0" applyAlignment="1" applyBorder="1" applyFont="1">
      <alignment readingOrder="0" vertical="bottom"/>
    </xf>
    <xf borderId="0" fillId="28" fontId="15" numFmtId="166" xfId="0" applyAlignment="1" applyFont="1" applyNumberFormat="1">
      <alignment horizontal="right" vertical="bottom"/>
    </xf>
    <xf borderId="0" fillId="2" fontId="36" numFmtId="166" xfId="0" applyAlignment="1" applyFont="1" applyNumberFormat="1">
      <alignment readingOrder="0"/>
    </xf>
    <xf borderId="0" fillId="2" fontId="36" numFmtId="166" xfId="0" applyAlignment="1" applyFont="1" applyNumberFormat="1">
      <alignment readingOrder="0" vertical="bottom"/>
    </xf>
    <xf borderId="0" fillId="2" fontId="23" numFmtId="166" xfId="0" applyFont="1" applyNumberFormat="1"/>
    <xf borderId="4" fillId="28" fontId="15" numFmtId="0" xfId="0" applyAlignment="1" applyBorder="1" applyFont="1">
      <alignment readingOrder="0" vertical="bottom"/>
    </xf>
    <xf borderId="0" fillId="28" fontId="15" numFmtId="1" xfId="0" applyAlignment="1" applyFont="1" applyNumberFormat="1">
      <alignment horizontal="left" readingOrder="0" vertical="bottom"/>
    </xf>
    <xf borderId="20" fillId="20" fontId="1" numFmtId="0" xfId="0" applyAlignment="1" applyBorder="1" applyFont="1">
      <alignment vertical="bottom"/>
    </xf>
    <xf borderId="0" fillId="8" fontId="15" numFmtId="1" xfId="0" applyAlignment="1" applyFont="1" applyNumberFormat="1">
      <alignment horizontal="right" vertical="bottom"/>
    </xf>
    <xf borderId="20" fillId="3" fontId="1" numFmtId="0" xfId="0" applyAlignment="1" applyBorder="1" applyFont="1">
      <alignment vertical="bottom"/>
    </xf>
    <xf borderId="6" fillId="0" fontId="2" numFmtId="0" xfId="0" applyBorder="1" applyFont="1"/>
    <xf borderId="0" fillId="20" fontId="29" numFmtId="166" xfId="0" applyAlignment="1" applyFont="1" applyNumberFormat="1">
      <alignment readingOrder="0" vertical="bottom"/>
    </xf>
    <xf borderId="0" fillId="20" fontId="15" numFmtId="0" xfId="0" applyAlignment="1" applyFont="1">
      <alignment readingOrder="0" vertical="bottom"/>
    </xf>
    <xf borderId="4" fillId="7" fontId="15" numFmtId="0" xfId="0" applyAlignment="1" applyBorder="1" applyFont="1">
      <alignment readingOrder="0" vertical="bottom"/>
    </xf>
    <xf borderId="22" fillId="0" fontId="15" numFmtId="166" xfId="0" applyAlignment="1" applyBorder="1" applyFont="1" applyNumberFormat="1">
      <alignment readingOrder="0" vertical="bottom"/>
    </xf>
    <xf borderId="4" fillId="8" fontId="15" numFmtId="1" xfId="0" applyAlignment="1" applyBorder="1" applyFont="1" applyNumberFormat="1">
      <alignment horizontal="left" readingOrder="0" vertical="bottom"/>
    </xf>
    <xf borderId="0" fillId="8" fontId="15" numFmtId="166" xfId="0" applyAlignment="1" applyFont="1" applyNumberFormat="1">
      <alignment horizontal="right" vertical="bottom"/>
    </xf>
    <xf borderId="0" fillId="20" fontId="23" numFmtId="0" xfId="0" applyAlignment="1" applyFont="1">
      <alignment readingOrder="0"/>
    </xf>
    <xf borderId="20" fillId="20" fontId="15" numFmtId="0" xfId="0" applyAlignment="1" applyBorder="1" applyFont="1">
      <alignment vertical="bottom"/>
    </xf>
    <xf borderId="0" fillId="3" fontId="15" numFmtId="166" xfId="0" applyAlignment="1" applyFont="1" applyNumberFormat="1">
      <alignment readingOrder="0" vertical="bottom"/>
    </xf>
    <xf borderId="0" fillId="3" fontId="23" numFmtId="0" xfId="0" applyFont="1"/>
    <xf borderId="0" fillId="8" fontId="15" numFmtId="166" xfId="0" applyAlignment="1" applyFont="1" applyNumberFormat="1">
      <alignment horizontal="right" readingOrder="0" vertical="bottom"/>
    </xf>
    <xf borderId="0" fillId="0" fontId="2" numFmtId="0" xfId="0" applyAlignment="1" applyFont="1">
      <alignment horizontal="right"/>
    </xf>
    <xf borderId="0" fillId="0" fontId="37" numFmtId="0" xfId="0" applyAlignment="1" applyFont="1">
      <alignment readingOrder="0"/>
    </xf>
    <xf borderId="0" fillId="8" fontId="17" numFmtId="0" xfId="0" applyAlignment="1" applyFont="1">
      <alignment readingOrder="0" vertical="bottom"/>
    </xf>
    <xf borderId="20" fillId="3" fontId="1" numFmtId="3" xfId="0" applyAlignment="1" applyBorder="1" applyFont="1" applyNumberFormat="1">
      <alignment vertical="bottom"/>
    </xf>
    <xf borderId="4" fillId="0" fontId="17" numFmtId="0" xfId="0" applyAlignment="1" applyBorder="1" applyFont="1">
      <alignment horizontal="left" readingOrder="0" vertical="bottom"/>
    </xf>
    <xf borderId="4" fillId="0" fontId="15" numFmtId="0" xfId="0" applyAlignment="1" applyBorder="1" applyFont="1">
      <alignment horizontal="left" readingOrder="0" vertical="bottom"/>
    </xf>
    <xf borderId="4" fillId="8" fontId="15" numFmtId="1" xfId="0" applyAlignment="1" applyBorder="1" applyFont="1" applyNumberFormat="1">
      <alignment horizontal="left" readingOrder="0" vertical="bottom"/>
    </xf>
    <xf borderId="0" fillId="32" fontId="15" numFmtId="168" xfId="0" applyAlignment="1" applyFont="1" applyNumberFormat="1">
      <alignment horizontal="right" vertical="bottom"/>
    </xf>
    <xf borderId="4" fillId="35" fontId="17" numFmtId="0" xfId="0" applyAlignment="1" applyBorder="1" applyFill="1" applyFont="1">
      <alignment readingOrder="0" vertical="bottom"/>
    </xf>
    <xf borderId="4" fillId="29" fontId="20" numFmtId="0" xfId="0" applyAlignment="1" applyBorder="1" applyFont="1">
      <alignment readingOrder="0" vertical="bottom"/>
    </xf>
    <xf borderId="4" fillId="36" fontId="15" numFmtId="0" xfId="0" applyAlignment="1" applyBorder="1" applyFill="1" applyFont="1">
      <alignment readingOrder="0" vertical="bottom"/>
    </xf>
    <xf borderId="23" fillId="3" fontId="16" numFmtId="168" xfId="0" applyAlignment="1" applyBorder="1" applyFont="1" applyNumberFormat="1">
      <alignment horizontal="right" vertical="bottom"/>
    </xf>
    <xf borderId="4" fillId="0" fontId="15" numFmtId="168" xfId="0" applyAlignment="1" applyBorder="1" applyFont="1" applyNumberFormat="1">
      <alignment horizontal="right" vertical="bottom"/>
    </xf>
    <xf borderId="4" fillId="0" fontId="15" numFmtId="168" xfId="0" applyAlignment="1" applyBorder="1" applyFont="1" applyNumberFormat="1">
      <alignment readingOrder="0" vertical="bottom"/>
    </xf>
    <xf borderId="24" fillId="3" fontId="16" numFmtId="168" xfId="0" applyAlignment="1" applyBorder="1" applyFont="1" applyNumberFormat="1">
      <alignment horizontal="right" vertical="bottom"/>
    </xf>
    <xf borderId="9" fillId="7" fontId="15" numFmtId="0" xfId="0" applyAlignment="1" applyBorder="1" applyFont="1">
      <alignment readingOrder="0" vertical="bottom"/>
    </xf>
    <xf borderId="4" fillId="7" fontId="15" numFmtId="0" xfId="0" applyAlignment="1" applyBorder="1" applyFont="1">
      <alignment vertical="bottom"/>
    </xf>
    <xf borderId="4" fillId="7" fontId="15" numFmtId="0" xfId="0" applyAlignment="1" applyBorder="1" applyFont="1">
      <alignment readingOrder="0" vertical="bottom"/>
    </xf>
    <xf borderId="0" fillId="0" fontId="15" numFmtId="167" xfId="0" applyAlignment="1" applyFont="1" applyNumberFormat="1">
      <alignment horizontal="right" readingOrder="0" vertical="bottom"/>
    </xf>
    <xf borderId="4" fillId="2" fontId="15" numFmtId="0" xfId="0" applyAlignment="1" applyBorder="1" applyFont="1">
      <alignment readingOrder="0" vertical="bottom"/>
    </xf>
    <xf borderId="0" fillId="8" fontId="15" numFmtId="168" xfId="0" applyAlignment="1" applyFont="1" applyNumberFormat="1">
      <alignment vertical="bottom"/>
    </xf>
    <xf borderId="4" fillId="0" fontId="15" numFmtId="168" xfId="0" applyAlignment="1" applyBorder="1" applyFont="1" applyNumberFormat="1">
      <alignment vertical="bottom"/>
    </xf>
    <xf borderId="0" fillId="34" fontId="15" numFmtId="0" xfId="0" applyAlignment="1" applyFont="1">
      <alignment readingOrder="0" vertical="bottom"/>
    </xf>
    <xf borderId="25" fillId="3" fontId="16" numFmtId="168" xfId="0" applyAlignment="1" applyBorder="1" applyFont="1" applyNumberFormat="1">
      <alignment horizontal="right" vertical="bottom"/>
    </xf>
    <xf borderId="20" fillId="3" fontId="2" numFmtId="0" xfId="0" applyBorder="1" applyFont="1"/>
    <xf borderId="4" fillId="0" fontId="20" numFmtId="0" xfId="0" applyAlignment="1" applyBorder="1" applyFont="1">
      <alignment readingOrder="0" vertical="bottom"/>
    </xf>
    <xf borderId="0" fillId="0" fontId="15" numFmtId="174" xfId="0" applyAlignment="1" applyFont="1" applyNumberFormat="1">
      <alignment horizontal="right" readingOrder="0" vertical="bottom"/>
    </xf>
    <xf borderId="0" fillId="10" fontId="15" numFmtId="168" xfId="0" applyAlignment="1" applyFont="1" applyNumberFormat="1">
      <alignment horizontal="right" readingOrder="0" vertical="bottom"/>
    </xf>
    <xf borderId="0" fillId="10" fontId="15" numFmtId="174" xfId="0" applyAlignment="1" applyFont="1" applyNumberFormat="1">
      <alignment horizontal="right" readingOrder="0" vertical="bottom"/>
    </xf>
    <xf borderId="0" fillId="0" fontId="15" numFmtId="168" xfId="0" applyAlignment="1" applyFont="1" applyNumberFormat="1">
      <alignment horizontal="right" readingOrder="0" shrinkToFit="0" vertical="bottom" wrapText="1"/>
    </xf>
    <xf borderId="0" fillId="25" fontId="17" numFmtId="168" xfId="0" applyAlignment="1" applyFont="1" applyNumberFormat="1">
      <alignment horizontal="right" shrinkToFit="0" vertical="bottom" wrapText="1"/>
    </xf>
    <xf borderId="0" fillId="10" fontId="15" numFmtId="0" xfId="0" applyAlignment="1" applyFont="1">
      <alignment horizontal="right" readingOrder="0" vertical="bottom"/>
    </xf>
    <xf borderId="0" fillId="25" fontId="17" numFmtId="0" xfId="0" applyAlignment="1" applyFont="1">
      <alignment readingOrder="0" vertical="bottom"/>
    </xf>
    <xf borderId="4" fillId="4" fontId="15" numFmtId="0" xfId="0" applyAlignment="1" applyBorder="1" applyFont="1">
      <alignment readingOrder="0" vertical="bottom"/>
    </xf>
    <xf borderId="0" fillId="10" fontId="15" numFmtId="166" xfId="0" applyAlignment="1" applyFont="1" applyNumberFormat="1">
      <alignment readingOrder="0" vertical="bottom"/>
    </xf>
    <xf borderId="0" fillId="8" fontId="17" numFmtId="166" xfId="0" applyAlignment="1" applyFont="1" applyNumberFormat="1">
      <alignment vertical="bottom"/>
    </xf>
    <xf borderId="0" fillId="10" fontId="15" numFmtId="0" xfId="0" applyAlignment="1" applyFont="1">
      <alignment readingOrder="0" vertical="bottom"/>
    </xf>
    <xf borderId="0" fillId="8" fontId="17" numFmtId="0" xfId="0" applyAlignment="1" applyFont="1">
      <alignment vertical="bottom"/>
    </xf>
    <xf borderId="4" fillId="37" fontId="15" numFmtId="0" xfId="0" applyAlignment="1" applyBorder="1" applyFill="1" applyFont="1">
      <alignment readingOrder="0" vertical="bottom"/>
    </xf>
    <xf borderId="4" fillId="38" fontId="17" numFmtId="0" xfId="0" applyAlignment="1" applyBorder="1" applyFill="1" applyFont="1">
      <alignment readingOrder="0" vertical="bottom"/>
    </xf>
    <xf borderId="0" fillId="38" fontId="17" numFmtId="168" xfId="0" applyAlignment="1" applyFont="1" applyNumberFormat="1">
      <alignment horizontal="right" readingOrder="0" vertical="bottom"/>
    </xf>
    <xf borderId="0" fillId="38" fontId="17" numFmtId="0" xfId="0" applyAlignment="1" applyFont="1">
      <alignment vertical="bottom"/>
    </xf>
    <xf borderId="4" fillId="39" fontId="2" numFmtId="0" xfId="0" applyBorder="1" applyFill="1" applyFont="1"/>
    <xf borderId="0" fillId="39" fontId="2" numFmtId="0" xfId="0" applyFont="1"/>
    <xf borderId="0" fillId="10" fontId="24" numFmtId="166" xfId="0" applyAlignment="1" applyFont="1" applyNumberFormat="1">
      <alignment horizontal="right" readingOrder="0" shrinkToFit="0" wrapText="0"/>
    </xf>
    <xf borderId="0" fillId="8" fontId="17" numFmtId="166" xfId="0" applyAlignment="1" applyFont="1" applyNumberFormat="1">
      <alignment horizontal="right" vertical="bottom"/>
    </xf>
    <xf borderId="0" fillId="8" fontId="17" numFmtId="166" xfId="0" applyAlignment="1" applyFont="1" applyNumberFormat="1">
      <alignment readingOrder="0" vertical="bottom"/>
    </xf>
    <xf borderId="4" fillId="6" fontId="17" numFmtId="0" xfId="0" applyAlignment="1" applyBorder="1" applyFont="1">
      <alignment readingOrder="0" vertical="bottom"/>
    </xf>
    <xf borderId="0" fillId="6" fontId="17" numFmtId="166" xfId="0" applyAlignment="1" applyFont="1" applyNumberFormat="1">
      <alignment horizontal="right" vertical="bottom"/>
    </xf>
    <xf borderId="20" fillId="3" fontId="15" numFmtId="0" xfId="0" applyAlignment="1" applyBorder="1" applyFont="1">
      <alignment readingOrder="0" vertical="bottom"/>
    </xf>
    <xf borderId="4" fillId="2" fontId="38" numFmtId="166" xfId="0" applyAlignment="1" applyBorder="1" applyFont="1" applyNumberFormat="1">
      <alignment horizontal="left" readingOrder="0" vertical="bottom"/>
    </xf>
    <xf borderId="0" fillId="0" fontId="38" numFmtId="166" xfId="0" applyAlignment="1" applyFont="1" applyNumberFormat="1">
      <alignment horizontal="left" readingOrder="0" vertical="bottom"/>
    </xf>
    <xf borderId="20" fillId="3" fontId="38" numFmtId="166" xfId="0" applyAlignment="1" applyBorder="1" applyFont="1" applyNumberFormat="1">
      <alignment horizontal="left" readingOrder="0" vertical="bottom"/>
    </xf>
    <xf borderId="4" fillId="20" fontId="39" numFmtId="0" xfId="0" applyAlignment="1" applyBorder="1" applyFont="1">
      <alignment horizontal="center" readingOrder="0" vertical="center"/>
    </xf>
    <xf borderId="6" fillId="3" fontId="16" numFmtId="3" xfId="0" applyAlignment="1" applyBorder="1" applyFont="1" applyNumberFormat="1">
      <alignment horizontal="right" vertical="bottom"/>
    </xf>
    <xf borderId="10" fillId="2" fontId="15" numFmtId="0" xfId="0" applyAlignment="1" applyBorder="1" applyFont="1">
      <alignment readingOrder="0"/>
    </xf>
    <xf borderId="0" fillId="2" fontId="15" numFmtId="168" xfId="0" applyAlignment="1" applyFont="1" applyNumberFormat="1">
      <alignment horizontal="right" vertical="bottom"/>
    </xf>
    <xf borderId="4" fillId="4" fontId="15" numFmtId="0" xfId="0" applyAlignment="1" applyBorder="1" applyFont="1">
      <alignment readingOrder="0"/>
    </xf>
    <xf borderId="6" fillId="3" fontId="21" numFmtId="0" xfId="0" applyBorder="1" applyFont="1"/>
    <xf borderId="6" fillId="3" fontId="15" numFmtId="3" xfId="0" applyAlignment="1" applyBorder="1" applyFont="1" applyNumberFormat="1">
      <alignment readingOrder="0" vertical="bottom"/>
    </xf>
    <xf borderId="4" fillId="30" fontId="17" numFmtId="0" xfId="0" applyAlignment="1" applyBorder="1" applyFont="1">
      <alignment readingOrder="0"/>
    </xf>
    <xf borderId="0" fillId="30" fontId="2" numFmtId="0" xfId="0" applyFont="1"/>
    <xf borderId="6" fillId="3" fontId="2" numFmtId="0" xfId="0" applyBorder="1" applyFont="1"/>
    <xf borderId="4" fillId="0" fontId="17" numFmtId="0" xfId="0" applyAlignment="1" applyBorder="1" applyFont="1">
      <alignment readingOrder="0"/>
    </xf>
    <xf borderId="6" fillId="3" fontId="1" numFmtId="0" xfId="0" applyAlignment="1" applyBorder="1" applyFont="1">
      <alignment vertical="bottom"/>
    </xf>
    <xf borderId="0" fillId="2" fontId="23" numFmtId="166" xfId="0" applyAlignment="1" applyFont="1" applyNumberFormat="1">
      <alignment horizontal="right" readingOrder="0"/>
    </xf>
    <xf borderId="26" fillId="7" fontId="15" numFmtId="0" xfId="0" applyAlignment="1" applyBorder="1" applyFont="1">
      <alignment vertical="bottom"/>
    </xf>
    <xf borderId="9" fillId="8" fontId="15" numFmtId="1" xfId="0" applyAlignment="1" applyBorder="1" applyFont="1" applyNumberFormat="1">
      <alignment horizontal="left" readingOrder="0" vertical="bottom"/>
    </xf>
    <xf borderId="8" fillId="8" fontId="15" numFmtId="166" xfId="0" applyAlignment="1" applyBorder="1" applyFont="1" applyNumberFormat="1">
      <alignment horizontal="right" readingOrder="0" vertical="bottom"/>
    </xf>
    <xf borderId="10" fillId="20" fontId="14" numFmtId="0" xfId="0" applyAlignment="1" applyBorder="1" applyFont="1">
      <alignment readingOrder="0" vertical="bottom"/>
    </xf>
    <xf borderId="1" fillId="20" fontId="2" numFmtId="0" xfId="0" applyBorder="1" applyFont="1"/>
    <xf borderId="1" fillId="20" fontId="23" numFmtId="0" xfId="0" applyBorder="1" applyFont="1"/>
    <xf borderId="6" fillId="3" fontId="16" numFmtId="166" xfId="0" applyAlignment="1" applyBorder="1" applyFont="1" applyNumberFormat="1">
      <alignment horizontal="right" vertical="bottom"/>
    </xf>
    <xf borderId="6" fillId="25" fontId="15" numFmtId="1" xfId="0" applyAlignment="1" applyBorder="1" applyFont="1" applyNumberFormat="1">
      <alignment horizontal="right" vertical="bottom"/>
    </xf>
    <xf borderId="1" fillId="20" fontId="15" numFmtId="2" xfId="0" applyAlignment="1" applyBorder="1" applyFont="1" applyNumberFormat="1">
      <alignment vertical="bottom"/>
    </xf>
    <xf borderId="1" fillId="20" fontId="15" numFmtId="0" xfId="0" applyAlignment="1" applyBorder="1" applyFont="1">
      <alignment vertical="bottom"/>
    </xf>
    <xf borderId="27" fillId="7" fontId="15" numFmtId="0" xfId="0" applyAlignment="1" applyBorder="1" applyFont="1">
      <alignment vertical="bottom"/>
    </xf>
    <xf borderId="0" fillId="5" fontId="15" numFmtId="1" xfId="0" applyAlignment="1" applyFont="1" applyNumberFormat="1">
      <alignment readingOrder="0" vertical="bottom"/>
    </xf>
    <xf borderId="0" fillId="0" fontId="1" numFmtId="2" xfId="0" applyAlignment="1" applyFont="1" applyNumberFormat="1">
      <alignment vertical="bottom"/>
    </xf>
    <xf borderId="4" fillId="2" fontId="2" numFmtId="0" xfId="0" applyBorder="1" applyFont="1"/>
    <xf borderId="0" fillId="2" fontId="23" numFmtId="0" xfId="0" applyAlignment="1" applyFont="1">
      <alignment horizontal="right"/>
    </xf>
    <xf borderId="28" fillId="40" fontId="2" numFmtId="0" xfId="0" applyBorder="1" applyFill="1" applyFont="1"/>
    <xf borderId="29" fillId="40" fontId="23" numFmtId="0" xfId="0" applyAlignment="1" applyBorder="1" applyFont="1">
      <alignment horizontal="right"/>
    </xf>
    <xf borderId="0" fillId="40" fontId="23" numFmtId="0" xfId="0" applyAlignment="1" applyFont="1">
      <alignment horizontal="right"/>
    </xf>
    <xf borderId="4" fillId="6" fontId="15" numFmtId="0" xfId="0" applyAlignment="1" applyBorder="1" applyFont="1">
      <alignment readingOrder="0" vertical="bottom"/>
    </xf>
    <xf borderId="0" fillId="6" fontId="15" numFmtId="1" xfId="0" applyAlignment="1" applyFont="1" applyNumberFormat="1">
      <alignment horizontal="right" vertical="bottom"/>
    </xf>
    <xf borderId="6" fillId="3" fontId="15" numFmtId="0" xfId="0" applyAlignment="1" applyBorder="1" applyFont="1">
      <alignment readingOrder="0" vertical="bottom"/>
    </xf>
    <xf borderId="28" fillId="31" fontId="17" numFmtId="0" xfId="0" applyAlignment="1" applyBorder="1" applyFont="1">
      <alignment readingOrder="0" vertical="bottom"/>
    </xf>
    <xf borderId="1" fillId="0" fontId="15" numFmtId="0" xfId="0" applyAlignment="1" applyBorder="1" applyFont="1">
      <alignment vertical="bottom"/>
    </xf>
    <xf borderId="4" fillId="41" fontId="15" numFmtId="0" xfId="0" applyAlignment="1" applyBorder="1" applyFill="1" applyFont="1">
      <alignment readingOrder="0" vertical="bottom"/>
    </xf>
    <xf borderId="0" fillId="32" fontId="15" numFmtId="168" xfId="0" applyAlignment="1" applyFont="1" applyNumberFormat="1">
      <alignment horizontal="right" readingOrder="0" vertical="bottom"/>
    </xf>
    <xf borderId="10" fillId="22" fontId="33" numFmtId="0" xfId="0" applyAlignment="1" applyBorder="1" applyFont="1">
      <alignment readingOrder="0" vertical="bottom"/>
    </xf>
    <xf borderId="0" fillId="0" fontId="23" numFmtId="168" xfId="0" applyFont="1" applyNumberFormat="1"/>
    <xf borderId="8" fillId="0" fontId="23" numFmtId="168" xfId="0" applyBorder="1" applyFont="1" applyNumberFormat="1"/>
    <xf borderId="6" fillId="3" fontId="16" numFmtId="168" xfId="0" applyAlignment="1" applyBorder="1" applyFont="1" applyNumberFormat="1">
      <alignment horizontal="right" vertical="bottom"/>
    </xf>
    <xf borderId="1" fillId="0" fontId="15" numFmtId="168" xfId="0" applyAlignment="1" applyBorder="1" applyFont="1" applyNumberFormat="1">
      <alignment horizontal="right" readingOrder="0" vertical="bottom"/>
    </xf>
    <xf borderId="9" fillId="22" fontId="15" numFmtId="0" xfId="0" applyAlignment="1" applyBorder="1" applyFont="1">
      <alignment readingOrder="0" vertical="bottom"/>
    </xf>
    <xf borderId="9" fillId="22" fontId="15" numFmtId="0" xfId="0" applyAlignment="1" applyBorder="1" applyFont="1">
      <alignment readingOrder="0" vertical="bottom"/>
    </xf>
    <xf borderId="0" fillId="3" fontId="15" numFmtId="168" xfId="0" applyAlignment="1" applyFont="1" applyNumberFormat="1">
      <alignment horizontal="right" readingOrder="0" vertical="bottom"/>
    </xf>
    <xf borderId="30" fillId="3" fontId="16" numFmtId="168" xfId="0" applyAlignment="1" applyBorder="1" applyFont="1" applyNumberFormat="1">
      <alignment horizontal="right" vertical="bottom"/>
    </xf>
    <xf borderId="10" fillId="22" fontId="15" numFmtId="0" xfId="0" applyAlignment="1" applyBorder="1" applyFont="1">
      <alignment readingOrder="0" vertical="bottom"/>
    </xf>
    <xf borderId="1" fillId="3" fontId="15" numFmtId="168" xfId="0" applyAlignment="1" applyBorder="1" applyFont="1" applyNumberFormat="1">
      <alignment horizontal="right" readingOrder="0" vertical="bottom"/>
    </xf>
    <xf borderId="8" fillId="3" fontId="15" numFmtId="168" xfId="0" applyAlignment="1" applyBorder="1" applyFont="1" applyNumberFormat="1">
      <alignment horizontal="right" readingOrder="0" vertical="bottom"/>
    </xf>
    <xf borderId="0" fillId="34" fontId="15" numFmtId="168" xfId="0" applyAlignment="1" applyFont="1" applyNumberFormat="1">
      <alignment horizontal="right" readingOrder="0" vertical="bottom"/>
    </xf>
    <xf borderId="0" fillId="8" fontId="15" numFmtId="168" xfId="0" applyAlignment="1" applyFont="1" applyNumberFormat="1">
      <alignment horizontal="right" readingOrder="0" vertical="bottom"/>
    </xf>
    <xf borderId="13" fillId="34" fontId="33" numFmtId="0" xfId="0" applyAlignment="1" applyBorder="1" applyFont="1">
      <alignment readingOrder="0" vertical="bottom"/>
    </xf>
    <xf borderId="4" fillId="0" fontId="15" numFmtId="166" xfId="0" applyAlignment="1" applyBorder="1" applyFont="1" applyNumberFormat="1">
      <alignment horizontal="right" readingOrder="0" vertical="bottom"/>
    </xf>
    <xf borderId="31" fillId="34" fontId="33" numFmtId="0" xfId="0" applyAlignment="1" applyBorder="1" applyFont="1">
      <alignment readingOrder="0" vertical="bottom"/>
    </xf>
    <xf borderId="32" fillId="0" fontId="15" numFmtId="168" xfId="0" applyAlignment="1" applyBorder="1" applyFont="1" applyNumberFormat="1">
      <alignment horizontal="right" readingOrder="0" vertical="bottom"/>
    </xf>
    <xf borderId="16" fillId="0" fontId="15" numFmtId="10" xfId="0" applyAlignment="1" applyBorder="1" applyFont="1" applyNumberFormat="1">
      <alignment horizontal="right" readingOrder="0" vertical="bottom"/>
    </xf>
    <xf borderId="17" fillId="0" fontId="15" numFmtId="10" xfId="0" applyAlignment="1" applyBorder="1" applyFont="1" applyNumberFormat="1">
      <alignment horizontal="right" readingOrder="0" vertical="bottom"/>
    </xf>
    <xf borderId="13" fillId="4" fontId="33" numFmtId="0" xfId="0" applyAlignment="1" applyBorder="1" applyFont="1">
      <alignment readingOrder="0" vertical="bottom"/>
    </xf>
    <xf borderId="31" fillId="3" fontId="33" numFmtId="0" xfId="0" applyAlignment="1" applyBorder="1" applyFont="1">
      <alignment readingOrder="0" vertical="bottom"/>
    </xf>
    <xf borderId="1" fillId="4" fontId="40" numFmtId="0" xfId="0" applyAlignment="1" applyBorder="1" applyFont="1">
      <alignment readingOrder="0"/>
    </xf>
    <xf borderId="1" fillId="3" fontId="2" numFmtId="3" xfId="0" applyBorder="1" applyFont="1" applyNumberFormat="1"/>
    <xf borderId="0" fillId="4" fontId="40" numFmtId="0" xfId="0" applyAlignment="1" applyFont="1">
      <alignment readingOrder="0"/>
    </xf>
    <xf borderId="0" fillId="3" fontId="2" numFmtId="10" xfId="0" applyFont="1" applyNumberFormat="1"/>
    <xf borderId="0" fillId="3" fontId="2" numFmtId="0" xfId="0" applyFont="1"/>
    <xf borderId="0" fillId="3" fontId="2" numFmtId="10" xfId="0" applyAlignment="1" applyFont="1" applyNumberFormat="1">
      <alignment readingOrder="0"/>
    </xf>
    <xf borderId="0" fillId="0" fontId="40" numFmtId="0" xfId="0" applyAlignment="1" applyFont="1">
      <alignment readingOrder="0"/>
    </xf>
    <xf borderId="0" fillId="4" fontId="41" numFmtId="0" xfId="0" applyAlignment="1" applyFont="1">
      <alignment horizontal="center" readingOrder="0" vertical="center"/>
    </xf>
    <xf borderId="0" fillId="4" fontId="40" numFmtId="0" xfId="0" applyAlignment="1" applyFont="1">
      <alignment readingOrder="0" shrinkToFit="0" wrapText="1"/>
    </xf>
    <xf borderId="0" fillId="4" fontId="2" numFmtId="0" xfId="0" applyFont="1"/>
    <xf borderId="1" fillId="35" fontId="2" numFmtId="0" xfId="0" applyAlignment="1" applyBorder="1" applyFont="1">
      <alignment readingOrder="0"/>
    </xf>
    <xf borderId="1" fillId="0" fontId="2" numFmtId="10" xfId="0" applyBorder="1" applyFont="1" applyNumberFormat="1"/>
    <xf borderId="0" fillId="35" fontId="2" numFmtId="0" xfId="0" applyAlignment="1" applyFont="1">
      <alignment readingOrder="0" shrinkToFit="0" wrapText="1"/>
    </xf>
    <xf borderId="8" fillId="35" fontId="2" numFmtId="0" xfId="0" applyAlignment="1" applyBorder="1" applyFont="1">
      <alignment readingOrder="0" shrinkToFit="0" wrapText="1"/>
    </xf>
    <xf borderId="8" fillId="0" fontId="2" numFmtId="10" xfId="0" applyBorder="1" applyFont="1" applyNumberFormat="1"/>
    <xf borderId="33" fillId="0" fontId="2" numFmtId="0" xfId="0" applyAlignment="1" applyBorder="1" applyFont="1">
      <alignment readingOrder="0"/>
    </xf>
    <xf borderId="33" fillId="0" fontId="2" numFmtId="10" xfId="0" applyBorder="1" applyFont="1" applyNumberFormat="1"/>
    <xf borderId="8" fillId="0" fontId="2" numFmtId="0" xfId="0" applyAlignment="1" applyBorder="1" applyFont="1">
      <alignment readingOrder="0"/>
    </xf>
    <xf borderId="0" fillId="42" fontId="42" numFmtId="0" xfId="0" applyAlignment="1" applyFill="1" applyFont="1">
      <alignment horizontal="center" readingOrder="0"/>
    </xf>
    <xf borderId="8" fillId="42" fontId="43" numFmtId="165" xfId="0" applyAlignment="1" applyBorder="1" applyFont="1" applyNumberFormat="1">
      <alignment horizontal="right" readingOrder="0" vertical="bottom"/>
    </xf>
    <xf borderId="28" fillId="2" fontId="44" numFmtId="0" xfId="0" applyAlignment="1" applyBorder="1" applyFont="1">
      <alignment horizontal="center" readingOrder="0" vertical="bottom"/>
    </xf>
    <xf borderId="34" fillId="2" fontId="44" numFmtId="0" xfId="0" applyAlignment="1" applyBorder="1" applyFont="1">
      <alignment horizontal="center" readingOrder="0" vertical="bottom"/>
    </xf>
    <xf borderId="0" fillId="9" fontId="42" numFmtId="0" xfId="0" applyAlignment="1" applyFont="1">
      <alignment horizontal="center" readingOrder="0"/>
    </xf>
    <xf borderId="0" fillId="9" fontId="43" numFmtId="165" xfId="0" applyAlignment="1" applyFont="1" applyNumberFormat="1">
      <alignment horizontal="right" readingOrder="0" vertical="bottom"/>
    </xf>
    <xf borderId="7" fillId="2" fontId="40" numFmtId="10" xfId="0" applyAlignment="1" applyBorder="1" applyFont="1" applyNumberFormat="1">
      <alignment horizontal="center"/>
    </xf>
    <xf borderId="34" fillId="2" fontId="40" numFmtId="10" xfId="0" applyAlignment="1" applyBorder="1" applyFont="1" applyNumberFormat="1">
      <alignment horizontal="center"/>
    </xf>
    <xf borderId="6" fillId="0" fontId="2" numFmtId="0" xfId="0" applyAlignment="1" applyBorder="1" applyFont="1">
      <alignment readingOrder="0"/>
    </xf>
    <xf borderId="0" fillId="0" fontId="1" numFmtId="3" xfId="0" applyAlignment="1" applyFont="1" applyNumberFormat="1">
      <alignment horizontal="center" readingOrder="0" vertical="bottom"/>
    </xf>
    <xf borderId="0" fillId="0" fontId="2" numFmtId="3" xfId="0" applyAlignment="1" applyFont="1" applyNumberFormat="1">
      <alignment horizontal="center" readingOrder="0"/>
    </xf>
    <xf borderId="26" fillId="2" fontId="2" numFmtId="3" xfId="0" applyAlignment="1" applyBorder="1" applyFont="1" applyNumberFormat="1">
      <alignment horizontal="center" readingOrder="0"/>
    </xf>
    <xf borderId="6" fillId="2" fontId="2" numFmtId="10" xfId="0" applyAlignment="1" applyBorder="1" applyFont="1" applyNumberFormat="1">
      <alignment horizontal="center" readingOrder="0"/>
    </xf>
    <xf borderId="6" fillId="43" fontId="2" numFmtId="0" xfId="0" applyAlignment="1" applyBorder="1" applyFill="1" applyFont="1">
      <alignment readingOrder="0"/>
    </xf>
    <xf borderId="0" fillId="43" fontId="2" numFmtId="3" xfId="0" applyAlignment="1" applyFont="1" applyNumberFormat="1">
      <alignment horizontal="center" readingOrder="0"/>
    </xf>
    <xf borderId="0" fillId="9" fontId="40" numFmtId="0" xfId="0" applyAlignment="1" applyFont="1">
      <alignment horizontal="center" readingOrder="0"/>
    </xf>
    <xf borderId="0" fillId="9" fontId="40" numFmtId="3" xfId="0" applyAlignment="1" applyFont="1" applyNumberFormat="1">
      <alignment horizontal="center" readingOrder="0"/>
    </xf>
    <xf borderId="30" fillId="9" fontId="40" numFmtId="3" xfId="0" applyAlignment="1" applyBorder="1" applyFont="1" applyNumberFormat="1">
      <alignment horizontal="center" readingOrder="0"/>
    </xf>
    <xf borderId="30" fillId="9" fontId="40" numFmtId="10" xfId="0" applyAlignment="1" applyBorder="1" applyFont="1" applyNumberFormat="1">
      <alignment horizontal="center" readingOrder="0"/>
    </xf>
    <xf borderId="0" fillId="5" fontId="42" numFmtId="0" xfId="0" applyAlignment="1" applyFont="1">
      <alignment horizontal="center" readingOrder="0"/>
    </xf>
    <xf borderId="0" fillId="5" fontId="43" numFmtId="165" xfId="0" applyAlignment="1" applyFont="1" applyNumberFormat="1">
      <alignment horizontal="right" readingOrder="0" vertical="bottom"/>
    </xf>
    <xf borderId="30" fillId="2" fontId="2" numFmtId="0" xfId="0" applyAlignment="1" applyBorder="1" applyFont="1">
      <alignment horizontal="center"/>
    </xf>
    <xf borderId="30" fillId="2" fontId="40" numFmtId="10" xfId="0" applyAlignment="1" applyBorder="1" applyFont="1" applyNumberFormat="1">
      <alignment horizontal="center"/>
    </xf>
    <xf borderId="6" fillId="35" fontId="2" numFmtId="0" xfId="0" applyAlignment="1" applyBorder="1" applyFont="1">
      <alignment readingOrder="0"/>
    </xf>
    <xf borderId="0" fillId="35" fontId="40" numFmtId="10" xfId="0" applyAlignment="1" applyFont="1" applyNumberFormat="1">
      <alignment horizontal="center"/>
    </xf>
    <xf borderId="0" fillId="35" fontId="40" numFmtId="10" xfId="0" applyAlignment="1" applyFont="1" applyNumberFormat="1">
      <alignment horizontal="center" readingOrder="0"/>
    </xf>
    <xf borderId="26" fillId="2" fontId="40" numFmtId="10" xfId="0" applyAlignment="1" applyBorder="1" applyFont="1" applyNumberFormat="1">
      <alignment horizontal="center"/>
    </xf>
    <xf borderId="6" fillId="2" fontId="40" numFmtId="10" xfId="0" applyAlignment="1" applyBorder="1" applyFont="1" applyNumberFormat="1">
      <alignment horizontal="center"/>
    </xf>
    <xf borderId="6" fillId="2" fontId="2" numFmtId="0" xfId="0" applyAlignment="1" applyBorder="1" applyFont="1">
      <alignment horizontal="center"/>
    </xf>
    <xf borderId="0" fillId="0" fontId="42" numFmtId="0" xfId="0" applyAlignment="1" applyFont="1">
      <alignment horizontal="center" readingOrder="0"/>
    </xf>
    <xf borderId="0" fillId="0" fontId="43" numFmtId="165" xfId="0" applyAlignment="1" applyFont="1" applyNumberFormat="1">
      <alignment horizontal="right" readingOrder="0" vertical="bottom"/>
    </xf>
    <xf borderId="26" fillId="0" fontId="44" numFmtId="0" xfId="0" applyAlignment="1" applyBorder="1" applyFont="1">
      <alignment horizontal="center" readingOrder="0" vertical="bottom"/>
    </xf>
    <xf borderId="6" fillId="0" fontId="44" numFmtId="0" xfId="0" applyAlignment="1" applyBorder="1" applyFont="1">
      <alignment horizontal="center" readingOrder="0" vertical="bottom"/>
    </xf>
    <xf borderId="0" fillId="5" fontId="45" numFmtId="0" xfId="0" applyAlignment="1" applyFont="1">
      <alignment horizontal="center" readingOrder="0" vertical="center"/>
    </xf>
    <xf borderId="0" fillId="5" fontId="2" numFmtId="0" xfId="0" applyAlignment="1" applyFont="1">
      <alignment horizontal="center"/>
    </xf>
    <xf borderId="0" fillId="27" fontId="40" numFmtId="0" xfId="0" applyAlignment="1" applyFont="1">
      <alignment horizontal="center" readingOrder="0"/>
    </xf>
    <xf borderId="0" fillId="27" fontId="40" numFmtId="3" xfId="0" applyAlignment="1" applyFont="1" applyNumberFormat="1">
      <alignment horizontal="center" readingOrder="0"/>
    </xf>
    <xf borderId="28" fillId="16" fontId="40" numFmtId="3" xfId="0" applyAlignment="1" applyBorder="1" applyFont="1" applyNumberFormat="1">
      <alignment horizontal="center" readingOrder="0"/>
    </xf>
    <xf borderId="28" fillId="16" fontId="40" numFmtId="10" xfId="0" applyAlignment="1" applyBorder="1" applyFont="1" applyNumberFormat="1">
      <alignment horizontal="center" readingOrder="0"/>
    </xf>
    <xf borderId="1" fillId="9" fontId="42" numFmtId="0" xfId="0" applyAlignment="1" applyBorder="1" applyFont="1">
      <alignment horizontal="center" readingOrder="0"/>
    </xf>
    <xf borderId="1" fillId="9" fontId="43" numFmtId="165" xfId="0" applyAlignment="1" applyBorder="1" applyFont="1" applyNumberFormat="1">
      <alignment horizontal="right" readingOrder="0" vertical="bottom"/>
    </xf>
    <xf borderId="28" fillId="2" fontId="40" numFmtId="10" xfId="0" applyAlignment="1" applyBorder="1" applyFont="1" applyNumberFormat="1">
      <alignment horizontal="center"/>
    </xf>
    <xf borderId="35" fillId="2" fontId="40" numFmtId="10" xfId="0" applyAlignment="1" applyBorder="1" applyFont="1" applyNumberFormat="1">
      <alignment horizontal="center"/>
    </xf>
    <xf borderId="6" fillId="0" fontId="2" numFmtId="0" xfId="0" applyAlignment="1" applyBorder="1" applyFont="1">
      <alignment readingOrder="0"/>
    </xf>
    <xf borderId="6" fillId="35" fontId="2" numFmtId="0" xfId="0" applyAlignment="1" applyBorder="1" applyFont="1">
      <alignment readingOrder="0"/>
    </xf>
    <xf borderId="8" fillId="35" fontId="2" numFmtId="0" xfId="0" applyAlignment="1" applyBorder="1" applyFont="1">
      <alignment readingOrder="0"/>
    </xf>
    <xf borderId="8" fillId="35" fontId="40" numFmtId="10" xfId="0" applyAlignment="1" applyBorder="1" applyFont="1" applyNumberFormat="1">
      <alignment horizontal="center"/>
    </xf>
    <xf borderId="8" fillId="35" fontId="40" numFmtId="10" xfId="0" applyAlignment="1" applyBorder="1" applyFont="1" applyNumberFormat="1">
      <alignment horizontal="center" readingOrder="0"/>
    </xf>
    <xf borderId="8" fillId="2" fontId="40" numFmtId="10" xfId="0" applyAlignment="1" applyBorder="1" applyFont="1" applyNumberFormat="1">
      <alignment horizontal="center"/>
    </xf>
    <xf borderId="0" fillId="43" fontId="2" numFmtId="0" xfId="0" applyAlignment="1" applyFont="1">
      <alignment readingOrder="0"/>
    </xf>
    <xf borderId="0" fillId="35" fontId="2" numFmtId="0" xfId="0" applyAlignment="1" applyFont="1">
      <alignment readingOrder="0"/>
    </xf>
    <xf borderId="29" fillId="0" fontId="46" numFmtId="0" xfId="0" applyAlignment="1" applyBorder="1" applyFont="1">
      <alignment horizontal="center" readingOrder="0" vertical="center"/>
    </xf>
    <xf borderId="29" fillId="0" fontId="2" numFmtId="0" xfId="0" applyAlignment="1" applyBorder="1" applyFont="1">
      <alignment horizontal="center"/>
    </xf>
    <xf borderId="35" fillId="0" fontId="40" numFmtId="10" xfId="0" applyAlignment="1" applyBorder="1" applyFont="1" applyNumberFormat="1">
      <alignment horizontal="center"/>
    </xf>
    <xf borderId="0" fillId="35" fontId="2" numFmtId="0" xfId="0" applyAlignment="1" applyFont="1">
      <alignment readingOrder="0"/>
    </xf>
    <xf borderId="0" fillId="2" fontId="40" numFmtId="10" xfId="0" applyAlignment="1" applyFont="1" applyNumberFormat="1">
      <alignment horizontal="center"/>
    </xf>
    <xf borderId="0" fillId="43" fontId="2" numFmtId="0" xfId="0" applyFont="1"/>
    <xf borderId="0" fillId="43" fontId="2" numFmtId="0" xfId="0" applyAlignment="1" applyFont="1">
      <alignment horizontal="center"/>
    </xf>
    <xf borderId="0" fillId="0" fontId="2" numFmtId="0" xfId="0" applyAlignment="1" applyFont="1">
      <alignment horizontal="center"/>
    </xf>
    <xf borderId="26" fillId="2" fontId="2" numFmtId="0" xfId="0" applyAlignment="1" applyBorder="1" applyFont="1">
      <alignment horizontal="center"/>
    </xf>
    <xf borderId="26" fillId="2" fontId="2" numFmtId="0" xfId="0" applyBorder="1" applyFont="1"/>
    <xf borderId="6" fillId="2" fontId="2" numFmtId="0" xfId="0" applyBorder="1" applyFont="1"/>
    <xf borderId="7" fillId="2" fontId="2" numFmtId="0" xfId="0" applyBorder="1" applyFont="1"/>
    <xf borderId="0" fillId="44" fontId="2" numFmtId="0" xfId="0" applyAlignment="1" applyFill="1" applyFont="1">
      <alignment horizontal="center" readingOrder="0"/>
    </xf>
    <xf borderId="0" fillId="10" fontId="47" numFmtId="0" xfId="0" applyAlignment="1" applyFont="1">
      <alignment horizontal="left" readingOrder="0"/>
    </xf>
    <xf borderId="35" fillId="42" fontId="37" numFmtId="0" xfId="0" applyAlignment="1" applyBorder="1" applyFont="1">
      <alignment horizontal="center" readingOrder="0"/>
    </xf>
    <xf borderId="36" fillId="0" fontId="48" numFmtId="0" xfId="0" applyBorder="1" applyFont="1"/>
    <xf borderId="35" fillId="42" fontId="7" numFmtId="0" xfId="0" applyAlignment="1" applyBorder="1" applyFont="1">
      <alignment horizontal="center" readingOrder="0"/>
    </xf>
    <xf borderId="0" fillId="43" fontId="7" numFmtId="0" xfId="0" applyAlignment="1" applyFont="1">
      <alignment horizontal="center" readingOrder="0"/>
    </xf>
    <xf borderId="0" fillId="43" fontId="40" numFmtId="0" xfId="0" applyAlignment="1" applyFont="1">
      <alignment horizontal="center" readingOrder="0"/>
    </xf>
    <xf borderId="0" fillId="10" fontId="7" numFmtId="0" xfId="0" applyAlignment="1" applyFont="1">
      <alignment horizontal="center" readingOrder="0"/>
    </xf>
    <xf borderId="35" fillId="42" fontId="49" numFmtId="0" xfId="0" applyAlignment="1" applyBorder="1" applyFont="1">
      <alignment horizontal="center" vertical="bottom"/>
    </xf>
    <xf borderId="0" fillId="10" fontId="49" numFmtId="0" xfId="0" applyAlignment="1" applyFont="1">
      <alignment horizontal="center" vertical="bottom"/>
    </xf>
    <xf borderId="0" fillId="10" fontId="50" numFmtId="166" xfId="0" applyAlignment="1" applyFont="1" applyNumberFormat="1">
      <alignment readingOrder="0"/>
    </xf>
    <xf borderId="28" fillId="10" fontId="50" numFmtId="0" xfId="0" applyAlignment="1" applyBorder="1" applyFont="1">
      <alignment readingOrder="0"/>
    </xf>
    <xf borderId="28" fillId="37" fontId="50" numFmtId="166" xfId="0" applyAlignment="1" applyBorder="1" applyFont="1" applyNumberFormat="1">
      <alignment horizontal="center" readingOrder="0"/>
    </xf>
    <xf borderId="0" fillId="0" fontId="51" numFmtId="166" xfId="0" applyAlignment="1" applyFont="1" applyNumberFormat="1">
      <alignment horizontal="center" readingOrder="0"/>
    </xf>
    <xf borderId="28" fillId="0" fontId="2" numFmtId="0" xfId="0" applyAlignment="1" applyBorder="1" applyFont="1">
      <alignment readingOrder="0"/>
    </xf>
    <xf borderId="28" fillId="37" fontId="2" numFmtId="10" xfId="0" applyAlignment="1" applyBorder="1" applyFont="1" applyNumberFormat="1">
      <alignment horizontal="center"/>
    </xf>
    <xf borderId="0" fillId="43" fontId="2" numFmtId="166" xfId="0" applyAlignment="1" applyFont="1" applyNumberFormat="1">
      <alignment readingOrder="0"/>
    </xf>
    <xf borderId="28" fillId="0" fontId="50" numFmtId="0" xfId="0" applyAlignment="1" applyBorder="1" applyFont="1">
      <alignment readingOrder="0"/>
    </xf>
    <xf borderId="28" fillId="37" fontId="2" numFmtId="166" xfId="0" applyAlignment="1" applyBorder="1" applyFont="1" applyNumberFormat="1">
      <alignment horizontal="center" readingOrder="0"/>
    </xf>
    <xf borderId="0" fillId="43" fontId="51" numFmtId="166" xfId="0" applyAlignment="1" applyFont="1" applyNumberFormat="1">
      <alignment horizontal="center" readingOrder="0"/>
    </xf>
    <xf borderId="28" fillId="43" fontId="50" numFmtId="0" xfId="0" applyAlignment="1" applyBorder="1" applyFont="1">
      <alignment readingOrder="0"/>
    </xf>
    <xf borderId="28" fillId="33" fontId="2" numFmtId="10" xfId="0" applyAlignment="1" applyBorder="1" applyFont="1" applyNumberFormat="1">
      <alignment horizontal="center" readingOrder="0"/>
    </xf>
    <xf borderId="28" fillId="37" fontId="50" numFmtId="10" xfId="0" applyAlignment="1" applyBorder="1" applyFont="1" applyNumberFormat="1">
      <alignment horizontal="center" readingOrder="0"/>
    </xf>
    <xf borderId="28" fillId="37" fontId="2" numFmtId="172" xfId="0" applyAlignment="1" applyBorder="1" applyFont="1" applyNumberFormat="1">
      <alignment horizontal="center" readingOrder="0"/>
    </xf>
    <xf borderId="0" fillId="10" fontId="2" numFmtId="172" xfId="0" applyAlignment="1" applyFont="1" applyNumberFormat="1">
      <alignment horizontal="center" readingOrder="0"/>
    </xf>
    <xf borderId="7" fillId="0" fontId="1" numFmtId="172" xfId="0" applyAlignment="1" applyBorder="1" applyFont="1" applyNumberFormat="1">
      <alignment vertical="bottom"/>
    </xf>
    <xf borderId="9" fillId="37" fontId="1" numFmtId="10" xfId="0" applyAlignment="1" applyBorder="1" applyFont="1" applyNumberFormat="1">
      <alignment horizontal="center" vertical="bottom"/>
    </xf>
    <xf borderId="0" fillId="10" fontId="52" numFmtId="0" xfId="0" applyAlignment="1" applyFont="1">
      <alignment horizontal="center" readingOrder="0" vertical="bottom"/>
    </xf>
    <xf borderId="0" fillId="43" fontId="40" numFmtId="0" xfId="0" applyAlignment="1" applyFont="1">
      <alignment horizontal="right" readingOrder="0"/>
    </xf>
    <xf borderId="28" fillId="37" fontId="2" numFmtId="10" xfId="0" applyAlignment="1" applyBorder="1" applyFont="1" applyNumberFormat="1">
      <alignment horizontal="center" readingOrder="0"/>
    </xf>
    <xf borderId="28" fillId="16" fontId="2" numFmtId="0" xfId="0" applyAlignment="1" applyBorder="1" applyFont="1">
      <alignment readingOrder="0"/>
    </xf>
    <xf borderId="28" fillId="16" fontId="2" numFmtId="10" xfId="0" applyAlignment="1" applyBorder="1" applyFont="1" applyNumberFormat="1">
      <alignment horizontal="center" readingOrder="0"/>
    </xf>
    <xf borderId="28" fillId="3" fontId="2" numFmtId="166" xfId="0" applyAlignment="1" applyBorder="1" applyFont="1" applyNumberFormat="1">
      <alignment horizontal="center" readingOrder="0"/>
    </xf>
    <xf borderId="28" fillId="37" fontId="2" numFmtId="175" xfId="0" applyAlignment="1" applyBorder="1" applyFont="1" applyNumberFormat="1">
      <alignment horizontal="center" readingOrder="0"/>
    </xf>
    <xf borderId="28" fillId="37" fontId="2" numFmtId="9" xfId="0" applyAlignment="1" applyBorder="1" applyFont="1" applyNumberFormat="1">
      <alignment horizontal="center" readingOrder="0"/>
    </xf>
    <xf borderId="0" fillId="10" fontId="2" numFmtId="9" xfId="0" applyAlignment="1" applyFont="1" applyNumberFormat="1">
      <alignment horizontal="center" readingOrder="0"/>
    </xf>
    <xf borderId="28" fillId="16" fontId="50" numFmtId="0" xfId="0" applyAlignment="1" applyBorder="1" applyFont="1">
      <alignment readingOrder="0"/>
    </xf>
    <xf borderId="28" fillId="16" fontId="2" numFmtId="166" xfId="0" applyAlignment="1" applyBorder="1" applyFont="1" applyNumberFormat="1">
      <alignment horizontal="center" readingOrder="0"/>
    </xf>
    <xf borderId="0" fillId="0" fontId="51" numFmtId="0" xfId="0" applyAlignment="1" applyFont="1">
      <alignment horizontal="center"/>
    </xf>
    <xf borderId="28" fillId="37"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53" numFmtId="0" xfId="0" applyAlignment="1" applyFont="1">
      <alignment readingOrder="0"/>
    </xf>
    <xf borderId="28" fillId="10" fontId="2" numFmtId="0" xfId="0" applyAlignment="1" applyBorder="1" applyFont="1">
      <alignment horizontal="left" readingOrder="0"/>
    </xf>
    <xf borderId="28" fillId="43" fontId="2" numFmtId="0" xfId="0" applyAlignment="1" applyBorder="1" applyFont="1">
      <alignment readingOrder="0"/>
    </xf>
    <xf borderId="0" fillId="10" fontId="50" numFmtId="178" xfId="0" applyAlignment="1" applyFont="1" applyNumberFormat="1">
      <alignment readingOrder="0"/>
    </xf>
    <xf borderId="28" fillId="33" fontId="2" numFmtId="0" xfId="0" applyAlignment="1" applyBorder="1" applyFont="1">
      <alignment readingOrder="0"/>
    </xf>
    <xf borderId="28" fillId="33" fontId="2" numFmtId="166" xfId="0" applyAlignment="1" applyBorder="1" applyFont="1" applyNumberFormat="1">
      <alignment horizontal="center" readingOrder="0"/>
    </xf>
    <xf borderId="28" fillId="37" fontId="2" numFmtId="166" xfId="0" applyAlignment="1" applyBorder="1" applyFont="1" applyNumberFormat="1">
      <alignment horizontal="center"/>
    </xf>
    <xf borderId="0" fillId="0" fontId="2" numFmtId="0" xfId="0" applyAlignment="1" applyFont="1">
      <alignment readingOrder="0"/>
    </xf>
    <xf borderId="0" fillId="0" fontId="2" numFmtId="0" xfId="0" applyAlignment="1" applyFont="1">
      <alignment horizontal="left" readingOrder="0"/>
    </xf>
    <xf borderId="0" fillId="0" fontId="2" numFmtId="166" xfId="0" applyAlignment="1" applyFont="1" applyNumberFormat="1">
      <alignment horizontal="center" readingOrder="0"/>
    </xf>
    <xf borderId="0" fillId="10" fontId="40" numFmtId="0" xfId="0" applyAlignment="1" applyFont="1">
      <alignment horizontal="center" vertical="center"/>
    </xf>
    <xf borderId="0" fillId="43" fontId="2" numFmtId="166" xfId="0" applyAlignment="1" applyFont="1" applyNumberFormat="1">
      <alignment horizontal="center" readingOrder="0"/>
    </xf>
    <xf borderId="0" fillId="10" fontId="40" numFmtId="166" xfId="0" applyAlignment="1" applyFont="1" applyNumberFormat="1">
      <alignment horizontal="center"/>
    </xf>
    <xf borderId="0" fillId="0" fontId="2" numFmtId="179" xfId="0" applyAlignment="1" applyFont="1" applyNumberFormat="1">
      <alignment readingOrder="0"/>
    </xf>
    <xf borderId="28" fillId="3" fontId="2" numFmtId="166" xfId="0" applyAlignment="1" applyBorder="1" applyFont="1" applyNumberFormat="1">
      <alignment readingOrder="0"/>
    </xf>
    <xf borderId="28" fillId="33" fontId="50" numFmtId="166" xfId="0" applyAlignment="1" applyBorder="1" applyFont="1" applyNumberFormat="1">
      <alignment horizontal="center" readingOrder="0"/>
    </xf>
    <xf borderId="0" fillId="43" fontId="50" numFmtId="166" xfId="0" applyAlignment="1" applyFont="1" applyNumberFormat="1">
      <alignment readingOrder="0"/>
    </xf>
    <xf borderId="28" fillId="0" fontId="2" numFmtId="166" xfId="0" applyAlignment="1" applyBorder="1" applyFont="1" applyNumberFormat="1">
      <alignment horizontal="center"/>
    </xf>
    <xf borderId="0" fillId="43" fontId="7" numFmtId="0" xfId="0" applyAlignment="1" applyFont="1">
      <alignment readingOrder="0"/>
    </xf>
    <xf borderId="28" fillId="42" fontId="7" numFmtId="0" xfId="0" applyAlignment="1" applyBorder="1" applyFont="1">
      <alignment readingOrder="0"/>
    </xf>
    <xf borderId="28" fillId="42" fontId="7" numFmtId="0" xfId="0" applyAlignment="1" applyBorder="1" applyFont="1">
      <alignment horizontal="center" readingOrder="0"/>
    </xf>
    <xf borderId="0" fillId="0" fontId="40" numFmtId="166" xfId="0" applyAlignment="1" applyFont="1" applyNumberFormat="1">
      <alignment horizontal="center" readingOrder="0"/>
    </xf>
    <xf borderId="28" fillId="10" fontId="50" numFmtId="10" xfId="0" applyAlignment="1" applyBorder="1" applyFont="1" applyNumberFormat="1">
      <alignment readingOrder="0"/>
    </xf>
    <xf borderId="0" fillId="0" fontId="2" numFmtId="180" xfId="0" applyFont="1" applyNumberFormat="1"/>
    <xf borderId="28" fillId="43" fontId="50" numFmtId="10" xfId="0" applyAlignment="1" applyBorder="1" applyFont="1" applyNumberFormat="1">
      <alignment readingOrder="0"/>
    </xf>
    <xf borderId="28" fillId="37" fontId="2" numFmtId="0" xfId="0" applyAlignment="1" applyBorder="1" applyFont="1">
      <alignment horizontal="center" readingOrder="0"/>
    </xf>
    <xf borderId="28" fillId="0" fontId="2" numFmtId="0" xfId="0" applyAlignment="1" applyBorder="1" applyFont="1">
      <alignment readingOrder="0"/>
    </xf>
    <xf borderId="28" fillId="0" fontId="40" numFmtId="0" xfId="0" applyAlignment="1" applyBorder="1" applyFont="1">
      <alignment readingOrder="0"/>
    </xf>
    <xf borderId="28" fillId="37" fontId="40" numFmtId="166" xfId="0" applyAlignment="1" applyBorder="1" applyFont="1" applyNumberFormat="1">
      <alignment horizontal="center" readingOrder="0"/>
    </xf>
    <xf borderId="28" fillId="16" fontId="40" numFmtId="0" xfId="0" applyAlignment="1" applyBorder="1" applyFont="1">
      <alignment readingOrder="0"/>
    </xf>
    <xf borderId="0" fillId="0" fontId="54" numFmtId="0" xfId="0" applyAlignment="1" applyFont="1">
      <alignment readingOrder="0"/>
    </xf>
    <xf borderId="0" fillId="43" fontId="2" numFmtId="172" xfId="0" applyAlignment="1" applyFont="1" applyNumberFormat="1">
      <alignment readingOrder="0"/>
    </xf>
    <xf borderId="0" fillId="43" fontId="50" numFmtId="0" xfId="0" applyFont="1"/>
    <xf borderId="0" fillId="43" fontId="50" numFmtId="10" xfId="0" applyAlignment="1" applyFont="1" applyNumberFormat="1">
      <alignment readingOrder="0"/>
    </xf>
    <xf borderId="28" fillId="43" fontId="50" numFmtId="166" xfId="0" applyAlignment="1" applyBorder="1" applyFont="1" applyNumberFormat="1">
      <alignment horizontal="center" readingOrder="0"/>
    </xf>
    <xf borderId="0" fillId="0" fontId="2" numFmtId="166" xfId="0" applyAlignment="1" applyFont="1" applyNumberFormat="1">
      <alignment horizontal="center" readingOrder="0"/>
    </xf>
    <xf borderId="0" fillId="43" fontId="2" numFmtId="166" xfId="0" applyAlignment="1" applyFont="1" applyNumberFormat="1">
      <alignment horizontal="center" readingOrder="0"/>
    </xf>
    <xf borderId="0" fillId="0" fontId="51" numFmtId="166" xfId="0" applyAlignment="1" applyFont="1" applyNumberFormat="1">
      <alignment horizontal="center"/>
    </xf>
    <xf borderId="35" fillId="43" fontId="50" numFmtId="166" xfId="0" applyAlignment="1" applyBorder="1" applyFont="1" applyNumberFormat="1">
      <alignment horizontal="center" readingOrder="0"/>
    </xf>
    <xf borderId="0" fillId="43" fontId="55" numFmtId="166" xfId="0" applyAlignment="1" applyFont="1" applyNumberFormat="1">
      <alignment horizontal="center" readingOrder="0"/>
    </xf>
    <xf borderId="0" fillId="0" fontId="56" numFmtId="0" xfId="0" applyAlignment="1" applyFont="1">
      <alignment readingOrder="0"/>
    </xf>
    <xf borderId="28" fillId="43" fontId="50" numFmtId="166" xfId="0" applyAlignment="1" applyBorder="1" applyFont="1" applyNumberFormat="1">
      <alignment horizontal="center" readingOrder="0"/>
    </xf>
    <xf borderId="0" fillId="43" fontId="57" numFmtId="0" xfId="0" applyAlignment="1" applyFont="1">
      <alignment horizontal="center" readingOrder="0" vertical="center"/>
    </xf>
    <xf borderId="0" fillId="0" fontId="2" numFmtId="172" xfId="0" applyAlignment="1" applyFont="1" applyNumberFormat="1">
      <alignment readingOrder="0"/>
    </xf>
    <xf borderId="0" fillId="0" fontId="51" numFmtId="166" xfId="0" applyAlignment="1" applyFont="1" applyNumberFormat="1">
      <alignment horizontal="center"/>
    </xf>
    <xf borderId="28" fillId="43" fontId="50" numFmtId="10" xfId="0" applyAlignment="1" applyBorder="1" applyFont="1" applyNumberFormat="1">
      <alignment horizontal="center" readingOrder="0"/>
    </xf>
    <xf borderId="0" fillId="0" fontId="51" numFmtId="0" xfId="0" applyFont="1"/>
    <xf borderId="28" fillId="0" fontId="2" numFmtId="166" xfId="0" applyAlignment="1" applyBorder="1" applyFont="1" applyNumberFormat="1">
      <alignment readingOrder="0"/>
    </xf>
    <xf borderId="28" fillId="0" fontId="2" numFmtId="166" xfId="0" applyBorder="1" applyFont="1" applyNumberFormat="1"/>
    <xf borderId="28" fillId="42" fontId="7" numFmtId="0" xfId="0" applyAlignment="1" applyBorder="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58" numFmtId="0" xfId="0" applyAlignment="1" applyFont="1">
      <alignment readingOrder="0"/>
    </xf>
    <xf borderId="30" fillId="45" fontId="56" numFmtId="0" xfId="0" applyAlignment="1" applyBorder="1" applyFill="1" applyFont="1">
      <alignment readingOrder="0" shrinkToFit="0" wrapText="1"/>
    </xf>
    <xf borderId="10" fillId="0" fontId="48" numFmtId="0" xfId="0" applyBorder="1" applyFont="1"/>
    <xf borderId="30" fillId="4" fontId="40" numFmtId="166" xfId="0" applyAlignment="1" applyBorder="1" applyFont="1" applyNumberFormat="1">
      <alignment horizontal="center" readingOrder="0"/>
    </xf>
    <xf borderId="1" fillId="0" fontId="48" numFmtId="0" xfId="0" applyBorder="1" applyFont="1"/>
    <xf borderId="6" fillId="3" fontId="2" numFmtId="0" xfId="0" applyAlignment="1" applyBorder="1" applyFont="1">
      <alignment readingOrder="0"/>
    </xf>
    <xf borderId="4" fillId="0" fontId="48" numFmtId="0" xfId="0" applyBorder="1" applyFont="1"/>
    <xf borderId="34" fillId="10" fontId="2" numFmtId="166" xfId="0" applyAlignment="1" applyBorder="1" applyFont="1" applyNumberFormat="1">
      <alignment readingOrder="0"/>
    </xf>
    <xf borderId="8" fillId="10" fontId="2" numFmtId="166" xfId="0" applyAlignment="1" applyBorder="1" applyFont="1" applyNumberFormat="1">
      <alignment readingOrder="0"/>
    </xf>
    <xf borderId="9" fillId="10" fontId="2" numFmtId="166" xfId="0" applyAlignment="1" applyBorder="1" applyFont="1" applyNumberFormat="1">
      <alignment readingOrder="0"/>
    </xf>
    <xf borderId="4" fillId="4" fontId="2" numFmtId="166" xfId="0" applyAlignment="1" applyBorder="1" applyFont="1" applyNumberFormat="1">
      <alignment readingOrder="0"/>
    </xf>
    <xf borderId="34" fillId="0" fontId="2" numFmtId="166" xfId="0" applyAlignment="1" applyBorder="1" applyFont="1" applyNumberFormat="1">
      <alignment readingOrder="0"/>
    </xf>
    <xf borderId="8" fillId="0" fontId="2" numFmtId="166" xfId="0" applyAlignment="1" applyBorder="1" applyFont="1" applyNumberFormat="1">
      <alignment readingOrder="0"/>
    </xf>
    <xf borderId="9" fillId="0" fontId="2" numFmtId="166" xfId="0" applyAlignment="1" applyBorder="1" applyFont="1" applyNumberFormat="1">
      <alignment readingOrder="0"/>
    </xf>
    <xf borderId="0" fillId="0" fontId="2" numFmtId="4" xfId="0" applyAlignment="1" applyFont="1" applyNumberFormat="1">
      <alignment readingOrder="0"/>
    </xf>
    <xf borderId="34" fillId="0" fontId="2" numFmtId="0" xfId="0" applyAlignment="1" applyBorder="1" applyFont="1">
      <alignment readingOrder="0"/>
    </xf>
    <xf borderId="9" fillId="4" fontId="2" numFmtId="166" xfId="0" applyAlignment="1" applyBorder="1" applyFont="1" applyNumberFormat="1">
      <alignment readingOrder="0"/>
    </xf>
    <xf borderId="0" fillId="0" fontId="2" numFmtId="9" xfId="0" applyAlignment="1" applyFont="1" applyNumberFormat="1">
      <alignment readingOrder="0"/>
    </xf>
    <xf borderId="37" fillId="0" fontId="59" numFmtId="0" xfId="0" applyAlignment="1" applyBorder="1" applyFont="1">
      <alignment readingOrder="0"/>
    </xf>
    <xf borderId="37" fillId="0" fontId="2" numFmtId="0" xfId="0" applyBorder="1" applyFont="1"/>
    <xf borderId="37" fillId="0" fontId="2" numFmtId="0" xfId="0" applyAlignment="1" applyBorder="1" applyFont="1">
      <alignment readingOrder="0" vertical="top"/>
    </xf>
    <xf borderId="37" fillId="0" fontId="7" numFmtId="0" xfId="0" applyAlignment="1" applyBorder="1" applyFont="1">
      <alignment readingOrder="0"/>
    </xf>
    <xf borderId="37" fillId="0" fontId="2" numFmtId="0" xfId="0" applyAlignment="1" applyBorder="1" applyFont="1">
      <alignment readingOrder="0"/>
    </xf>
    <xf borderId="37" fillId="0" fontId="60" numFmtId="0" xfId="0" applyBorder="1" applyFont="1"/>
    <xf borderId="38" fillId="0" fontId="2" numFmtId="0" xfId="0" applyAlignment="1" applyBorder="1" applyFont="1">
      <alignment readingOrder="0" shrinkToFit="0" vertical="top" wrapText="1"/>
    </xf>
    <xf borderId="39" fillId="0" fontId="48" numFmtId="0" xfId="0" applyBorder="1" applyFont="1"/>
    <xf borderId="40" fillId="0" fontId="48" numFmtId="0" xfId="0" applyBorder="1" applyFont="1"/>
    <xf borderId="41" fillId="0" fontId="48" numFmtId="0" xfId="0" applyBorder="1" applyFont="1"/>
    <xf borderId="42" fillId="0" fontId="48" numFmtId="0" xfId="0" applyBorder="1" applyFont="1"/>
    <xf borderId="43" fillId="0" fontId="48" numFmtId="0" xfId="0" applyBorder="1" applyFont="1"/>
    <xf borderId="37" fillId="0" fontId="7" numFmtId="0" xfId="0" applyAlignment="1" applyBorder="1" applyFont="1">
      <alignment readingOrder="0"/>
    </xf>
    <xf borderId="44" fillId="0" fontId="48" numFmtId="0" xfId="0" applyBorder="1" applyFont="1"/>
    <xf borderId="45" fillId="0" fontId="48" numFmtId="0" xfId="0" applyBorder="1" applyFont="1"/>
    <xf borderId="37" fillId="27" fontId="40" numFmtId="0" xfId="0" applyAlignment="1" applyBorder="1" applyFont="1">
      <alignment readingOrder="0"/>
    </xf>
    <xf borderId="37" fillId="27" fontId="40" numFmtId="0" xfId="0" applyBorder="1" applyFont="1"/>
    <xf borderId="0" fillId="0" fontId="50" numFmtId="0" xfId="0" applyAlignment="1" applyFont="1">
      <alignment readingOrder="0"/>
    </xf>
    <xf borderId="0" fillId="0" fontId="50" numFmtId="0" xfId="0" applyFont="1"/>
    <xf borderId="0" fillId="0" fontId="50" numFmtId="181" xfId="0" applyAlignment="1" applyFont="1" applyNumberFormat="1">
      <alignment readingOrder="0"/>
    </xf>
    <xf borderId="0" fillId="0" fontId="61" numFmtId="0" xfId="0" applyAlignment="1" applyFont="1">
      <alignment readingOrder="0"/>
    </xf>
    <xf borderId="0" fillId="0" fontId="50" numFmtId="0" xfId="0" applyAlignment="1" applyFont="1">
      <alignment readingOrder="0"/>
    </xf>
    <xf quotePrefix="1" borderId="0" fillId="0" fontId="50" numFmtId="0" xfId="0" applyAlignment="1" applyFont="1">
      <alignment readingOrder="0"/>
    </xf>
    <xf borderId="0" fillId="43" fontId="62" numFmtId="0" xfId="0" applyAlignment="1" applyFont="1">
      <alignment horizontal="center" readingOrder="0" shrinkToFit="0" vertical="bottom" wrapText="0"/>
    </xf>
    <xf borderId="0" fillId="43" fontId="62" numFmtId="182" xfId="0" applyAlignment="1" applyFont="1" applyNumberFormat="1">
      <alignment horizontal="center" readingOrder="0" shrinkToFit="0" vertical="bottom" wrapText="0"/>
    </xf>
    <xf borderId="0" fillId="43" fontId="62" numFmtId="0" xfId="0" applyAlignment="1" applyFont="1">
      <alignment horizontal="center" shrinkToFit="0" vertical="bottom" wrapText="0"/>
    </xf>
    <xf borderId="0" fillId="43" fontId="63" numFmtId="0" xfId="0" applyAlignment="1" applyFont="1">
      <alignment horizontal="center" readingOrder="0" shrinkToFit="0" vertical="bottom" wrapText="0"/>
    </xf>
    <xf borderId="28" fillId="46" fontId="62" numFmtId="0" xfId="0" applyAlignment="1" applyBorder="1" applyFill="1" applyFont="1">
      <alignment horizontal="center" readingOrder="0" shrinkToFit="0" vertical="bottom" wrapText="0"/>
    </xf>
    <xf borderId="28" fillId="46" fontId="62" numFmtId="182" xfId="0" applyAlignment="1" applyBorder="1" applyFont="1" applyNumberFormat="1">
      <alignment horizontal="center" readingOrder="0" shrinkToFit="0" vertical="bottom" wrapText="0"/>
    </xf>
    <xf borderId="28" fillId="46" fontId="62" numFmtId="0" xfId="0" applyAlignment="1" applyBorder="1" applyFont="1">
      <alignment horizontal="center" shrinkToFit="0" vertical="bottom" wrapText="0"/>
    </xf>
    <xf borderId="35" fillId="47" fontId="63" numFmtId="0" xfId="0" applyAlignment="1" applyBorder="1" applyFill="1" applyFont="1">
      <alignment horizontal="center" readingOrder="0" shrinkToFit="0" vertical="bottom" wrapText="0"/>
    </xf>
    <xf borderId="29" fillId="48" fontId="63" numFmtId="0" xfId="0" applyAlignment="1" applyBorder="1" applyFill="1" applyFont="1">
      <alignment horizontal="center" readingOrder="0" shrinkToFit="0" vertical="bottom" wrapText="0"/>
    </xf>
    <xf borderId="28" fillId="46" fontId="64" numFmtId="0" xfId="0" applyAlignment="1" applyBorder="1" applyFont="1">
      <alignment readingOrder="0" shrinkToFit="0" vertical="bottom" wrapText="0"/>
    </xf>
    <xf borderId="28" fillId="46" fontId="65" numFmtId="0" xfId="0" applyAlignment="1" applyBorder="1" applyFont="1">
      <alignment horizontal="center" readingOrder="0" shrinkToFit="0" vertical="bottom" wrapText="0"/>
    </xf>
    <xf borderId="30" fillId="46" fontId="66" numFmtId="0" xfId="0" applyAlignment="1" applyBorder="1" applyFont="1">
      <alignment horizontal="center" readingOrder="0" shrinkToFit="0" vertical="bottom" wrapText="0"/>
    </xf>
    <xf borderId="7" fillId="47" fontId="67" numFmtId="0" xfId="0" applyAlignment="1" applyBorder="1" applyFont="1">
      <alignment readingOrder="0" shrinkToFit="0" vertical="bottom" wrapText="0"/>
    </xf>
    <xf borderId="9" fillId="47" fontId="63" numFmtId="172" xfId="0" applyAlignment="1" applyBorder="1" applyFont="1" applyNumberFormat="1">
      <alignment horizontal="center" readingOrder="0" shrinkToFit="0" vertical="bottom" wrapText="0"/>
    </xf>
    <xf borderId="9" fillId="48" fontId="67" numFmtId="0" xfId="0" applyAlignment="1" applyBorder="1" applyFont="1">
      <alignment horizontal="left" readingOrder="0" shrinkToFit="0" vertical="bottom" wrapText="0"/>
    </xf>
    <xf borderId="9" fillId="48" fontId="63" numFmtId="172" xfId="0" applyAlignment="1" applyBorder="1" applyFont="1" applyNumberFormat="1">
      <alignment horizontal="center" readingOrder="0" shrinkToFit="0" vertical="bottom" wrapText="0"/>
    </xf>
    <xf borderId="28" fillId="33" fontId="65" numFmtId="0" xfId="0" applyAlignment="1" applyBorder="1" applyFont="1">
      <alignment horizontal="center" readingOrder="0" shrinkToFit="0" vertical="bottom" wrapText="0"/>
    </xf>
    <xf borderId="34" fillId="0" fontId="48" numFmtId="0" xfId="0" applyBorder="1" applyFont="1"/>
    <xf borderId="8" fillId="0" fontId="48" numFmtId="0" xfId="0" applyBorder="1" applyFont="1"/>
    <xf borderId="9" fillId="0" fontId="48" numFmtId="0" xfId="0" applyBorder="1" applyFont="1"/>
    <xf borderId="9" fillId="47" fontId="63" numFmtId="0" xfId="0" applyAlignment="1" applyBorder="1" applyFont="1">
      <alignment horizontal="center" readingOrder="0" shrinkToFit="0" vertical="bottom" wrapText="0"/>
    </xf>
    <xf borderId="9" fillId="48" fontId="63" numFmtId="0" xfId="0" applyAlignment="1" applyBorder="1" applyFont="1">
      <alignment horizontal="center" readingOrder="0" shrinkToFit="0" vertical="bottom" wrapText="0"/>
    </xf>
    <xf borderId="28" fillId="37" fontId="68" numFmtId="0" xfId="0" applyAlignment="1" applyBorder="1" applyFont="1">
      <alignment shrinkToFit="0" vertical="bottom" wrapText="0"/>
    </xf>
    <xf borderId="35" fillId="37" fontId="69" numFmtId="0" xfId="0" applyAlignment="1" applyBorder="1" applyFont="1">
      <alignment horizontal="center" readingOrder="0"/>
    </xf>
    <xf borderId="29" fillId="0" fontId="48" numFmtId="0" xfId="0" applyBorder="1" applyFont="1"/>
    <xf borderId="28" fillId="37" fontId="70" numFmtId="0" xfId="0" applyAlignment="1" applyBorder="1" applyFont="1">
      <alignment horizontal="center" readingOrder="0"/>
    </xf>
    <xf borderId="28" fillId="33" fontId="70" numFmtId="0" xfId="0" applyAlignment="1" applyBorder="1" applyFont="1">
      <alignment horizontal="center" readingOrder="0"/>
    </xf>
    <xf borderId="9" fillId="47" fontId="63" numFmtId="3" xfId="0" applyAlignment="1" applyBorder="1" applyFont="1" applyNumberFormat="1">
      <alignment horizontal="center" readingOrder="0" shrinkToFit="0" vertical="bottom" wrapText="0"/>
    </xf>
    <xf borderId="9" fillId="48" fontId="63" numFmtId="3" xfId="0" applyAlignment="1" applyBorder="1" applyFont="1" applyNumberFormat="1">
      <alignment horizontal="center" readingOrder="0" shrinkToFit="0" vertical="bottom" wrapText="0"/>
    </xf>
    <xf borderId="46" fillId="10" fontId="71" numFmtId="0" xfId="0" applyAlignment="1" applyBorder="1" applyFont="1">
      <alignment horizontal="center" readingOrder="0" shrinkToFit="0" vertical="bottom" wrapText="0"/>
    </xf>
    <xf borderId="47" fillId="10" fontId="72" numFmtId="172" xfId="0" applyAlignment="1" applyBorder="1" applyFont="1" applyNumberFormat="1">
      <alignment horizontal="center" readingOrder="0" shrinkToFit="0" vertical="bottom" wrapText="0"/>
    </xf>
    <xf borderId="47" fillId="10" fontId="72" numFmtId="172" xfId="0" applyAlignment="1" applyBorder="1" applyFont="1" applyNumberFormat="1">
      <alignment horizontal="center" shrinkToFit="0" vertical="bottom" wrapText="0"/>
    </xf>
    <xf borderId="48" fillId="10" fontId="72" numFmtId="172" xfId="0" applyAlignment="1" applyBorder="1" applyFont="1" applyNumberFormat="1">
      <alignment horizontal="center" readingOrder="0" shrinkToFit="0" vertical="bottom" wrapText="0"/>
    </xf>
    <xf borderId="48" fillId="10" fontId="73" numFmtId="9" xfId="0" applyAlignment="1" applyBorder="1" applyFont="1" applyNumberFormat="1">
      <alignment horizontal="center" readingOrder="0" shrinkToFit="0" vertical="bottom" wrapText="0"/>
    </xf>
    <xf borderId="47" fillId="10" fontId="71" numFmtId="172" xfId="0" applyAlignment="1" applyBorder="1" applyFont="1" applyNumberFormat="1">
      <alignment horizontal="center" readingOrder="0" shrinkToFit="0" vertical="bottom" wrapText="0"/>
    </xf>
    <xf borderId="9" fillId="48" fontId="67" numFmtId="0" xfId="0" applyAlignment="1" applyBorder="1" applyFont="1">
      <alignment horizontal="center" shrinkToFit="0" vertical="bottom" wrapText="0"/>
    </xf>
    <xf borderId="49" fillId="10" fontId="71" numFmtId="0" xfId="0" applyAlignment="1" applyBorder="1" applyFont="1">
      <alignment horizontal="center" readingOrder="0" shrinkToFit="0" vertical="bottom" wrapText="0"/>
    </xf>
    <xf borderId="50" fillId="2" fontId="72" numFmtId="172" xfId="0" applyAlignment="1" applyBorder="1" applyFont="1" applyNumberFormat="1">
      <alignment horizontal="center" readingOrder="0" shrinkToFit="0" vertical="bottom" wrapText="0"/>
    </xf>
    <xf borderId="50" fillId="2" fontId="72" numFmtId="172" xfId="0" applyAlignment="1" applyBorder="1" applyFont="1" applyNumberFormat="1">
      <alignment horizontal="center" shrinkToFit="0" vertical="bottom" wrapText="0"/>
    </xf>
    <xf borderId="51" fillId="10" fontId="73" numFmtId="9" xfId="0" applyAlignment="1" applyBorder="1" applyFont="1" applyNumberFormat="1">
      <alignment horizontal="center" readingOrder="0" shrinkToFit="0" vertical="bottom" wrapText="0"/>
    </xf>
    <xf borderId="50" fillId="10" fontId="71" numFmtId="172" xfId="0" applyAlignment="1" applyBorder="1" applyFont="1" applyNumberFormat="1">
      <alignment horizontal="center" readingOrder="0" shrinkToFit="0" vertical="bottom" wrapText="0"/>
    </xf>
    <xf borderId="9" fillId="47" fontId="63" numFmtId="9" xfId="0" applyAlignment="1" applyBorder="1" applyFont="1" applyNumberFormat="1">
      <alignment horizontal="center" readingOrder="0" shrinkToFit="0" vertical="bottom" wrapText="0"/>
    </xf>
    <xf borderId="9" fillId="48" fontId="74" numFmtId="0" xfId="0" applyAlignment="1" applyBorder="1" applyFont="1">
      <alignment horizontal="center" shrinkToFit="0" vertical="bottom" wrapText="0"/>
    </xf>
    <xf borderId="50" fillId="10" fontId="72" numFmtId="172" xfId="0" applyAlignment="1" applyBorder="1" applyFont="1" applyNumberFormat="1">
      <alignment horizontal="center" shrinkToFit="0" vertical="bottom" wrapText="0"/>
    </xf>
    <xf borderId="7" fillId="47" fontId="74" numFmtId="0" xfId="0" applyAlignment="1" applyBorder="1" applyFont="1">
      <alignment readingOrder="0" shrinkToFit="0" vertical="bottom" wrapText="0"/>
    </xf>
    <xf borderId="9" fillId="47" fontId="63" numFmtId="166" xfId="0" applyAlignment="1" applyBorder="1" applyFont="1" applyNumberFormat="1">
      <alignment horizontal="center" readingOrder="0" shrinkToFit="0" vertical="bottom" wrapText="0"/>
    </xf>
    <xf borderId="28" fillId="46" fontId="63" numFmtId="0" xfId="0" applyAlignment="1" applyBorder="1" applyFont="1">
      <alignment horizontal="left" readingOrder="0" shrinkToFit="0" vertical="bottom" wrapText="0"/>
    </xf>
    <xf borderId="28" fillId="46" fontId="63" numFmtId="0" xfId="0" applyAlignment="1" applyBorder="1" applyFont="1">
      <alignment horizontal="center" readingOrder="0" shrinkToFit="0" vertical="bottom" wrapText="0"/>
    </xf>
    <xf borderId="28" fillId="31" fontId="63" numFmtId="0" xfId="0" applyAlignment="1" applyBorder="1" applyFont="1">
      <alignment horizontal="center" readingOrder="0" shrinkToFit="0" vertical="bottom" wrapText="0"/>
    </xf>
    <xf borderId="7" fillId="0" fontId="67" numFmtId="0" xfId="0" applyAlignment="1" applyBorder="1" applyFont="1">
      <alignment readingOrder="0" shrinkToFit="0" vertical="bottom" wrapText="0"/>
    </xf>
    <xf borderId="9" fillId="49" fontId="67" numFmtId="172" xfId="0" applyAlignment="1" applyBorder="1" applyFill="1" applyFont="1" applyNumberFormat="1">
      <alignment horizontal="center" readingOrder="0" shrinkToFit="0" vertical="bottom" wrapText="0"/>
    </xf>
    <xf borderId="9" fillId="0" fontId="67" numFmtId="166" xfId="0" applyAlignment="1" applyBorder="1" applyFont="1" applyNumberFormat="1">
      <alignment horizontal="center" shrinkToFit="0" vertical="bottom" wrapText="0"/>
    </xf>
    <xf borderId="28" fillId="43" fontId="67" numFmtId="9" xfId="0" applyAlignment="1" applyBorder="1" applyFont="1" applyNumberFormat="1">
      <alignment horizontal="center" readingOrder="0" shrinkToFit="0" vertical="bottom" wrapText="0"/>
    </xf>
    <xf borderId="9" fillId="37" fontId="67" numFmtId="3" xfId="0" applyAlignment="1" applyBorder="1" applyFont="1" applyNumberFormat="1">
      <alignment horizontal="center" readingOrder="0" shrinkToFit="0" vertical="bottom" wrapText="0"/>
    </xf>
    <xf borderId="9" fillId="0" fontId="67" numFmtId="3" xfId="0" applyAlignment="1" applyBorder="1" applyFont="1" applyNumberFormat="1">
      <alignment horizontal="center" shrinkToFit="0" vertical="bottom" wrapText="0"/>
    </xf>
    <xf borderId="9" fillId="0" fontId="67" numFmtId="2" xfId="0" applyAlignment="1" applyBorder="1" applyFont="1" applyNumberFormat="1">
      <alignment horizontal="center" readingOrder="0" shrinkToFit="0" vertical="bottom" wrapText="0"/>
    </xf>
    <xf borderId="9" fillId="0" fontId="67" numFmtId="2" xfId="0" applyAlignment="1" applyBorder="1" applyFont="1" applyNumberFormat="1">
      <alignment horizontal="center" shrinkToFit="0" vertical="bottom" wrapText="0"/>
    </xf>
    <xf borderId="9" fillId="0" fontId="67" numFmtId="10" xfId="0" applyAlignment="1" applyBorder="1" applyFont="1" applyNumberFormat="1">
      <alignment horizontal="center" readingOrder="0" shrinkToFit="0" vertical="bottom" wrapText="0"/>
    </xf>
    <xf borderId="9" fillId="0" fontId="67" numFmtId="10" xfId="0" applyAlignment="1" applyBorder="1" applyFont="1" applyNumberFormat="1">
      <alignment horizontal="center" shrinkToFit="0" vertical="bottom" wrapText="0"/>
    </xf>
    <xf borderId="9" fillId="37" fontId="67" numFmtId="10" xfId="0" applyAlignment="1" applyBorder="1" applyFont="1" applyNumberFormat="1">
      <alignment horizontal="center" readingOrder="0" shrinkToFit="0" vertical="bottom" wrapText="0"/>
    </xf>
    <xf borderId="50" fillId="10" fontId="72" numFmtId="172" xfId="0" applyAlignment="1" applyBorder="1" applyFont="1" applyNumberFormat="1">
      <alignment horizontal="center" readingOrder="0" shrinkToFit="0" vertical="bottom" wrapText="0"/>
    </xf>
    <xf borderId="9" fillId="10" fontId="67" numFmtId="166" xfId="0" applyAlignment="1" applyBorder="1" applyFont="1" applyNumberFormat="1">
      <alignment horizontal="center" readingOrder="0" shrinkToFit="0" vertical="bottom" wrapText="0"/>
    </xf>
    <xf borderId="9" fillId="10" fontId="67" numFmtId="3" xfId="0" applyAlignment="1" applyBorder="1" applyFont="1" applyNumberFormat="1">
      <alignment horizontal="center" readingOrder="0" shrinkToFit="0" vertical="bottom" wrapText="0"/>
    </xf>
    <xf borderId="0" fillId="43" fontId="67" numFmtId="0" xfId="0" applyAlignment="1" applyFont="1">
      <alignment shrinkToFit="0" vertical="bottom" wrapText="0"/>
    </xf>
    <xf borderId="0" fillId="43" fontId="67" numFmtId="0" xfId="0" applyAlignment="1" applyFont="1">
      <alignment readingOrder="0" shrinkToFit="0" vertical="bottom" wrapText="0"/>
    </xf>
    <xf borderId="0" fillId="37" fontId="67" numFmtId="172" xfId="0" applyAlignment="1" applyFont="1" applyNumberFormat="1">
      <alignment horizontal="center" readingOrder="0" shrinkToFit="0" vertical="bottom" wrapText="0"/>
    </xf>
    <xf borderId="0" fillId="43" fontId="67" numFmtId="0" xfId="0" applyAlignment="1" applyFont="1">
      <alignment horizontal="center" readingOrder="0" shrinkToFit="0" vertical="bottom" wrapText="0"/>
    </xf>
    <xf borderId="0" fillId="43" fontId="67" numFmtId="3" xfId="0" applyAlignment="1" applyFont="1" applyNumberFormat="1">
      <alignment horizontal="center" readingOrder="0" shrinkToFit="0" vertical="bottom" wrapText="0"/>
    </xf>
    <xf borderId="0" fillId="43" fontId="67" numFmtId="9" xfId="0" applyAlignment="1" applyFont="1" applyNumberFormat="1">
      <alignment horizontal="center" readingOrder="0" shrinkToFit="0" vertical="bottom" wrapText="0"/>
    </xf>
    <xf borderId="0" fillId="43" fontId="67" numFmtId="10" xfId="0" applyAlignment="1" applyFont="1" applyNumberFormat="1">
      <alignment horizontal="center" readingOrder="0" shrinkToFit="0" vertical="bottom" wrapText="0"/>
    </xf>
    <xf borderId="0" fillId="43" fontId="67" numFmtId="2" xfId="0" applyAlignment="1" applyFont="1" applyNumberFormat="1">
      <alignment horizontal="center" readingOrder="0" shrinkToFit="0" vertical="bottom" wrapText="0"/>
    </xf>
    <xf borderId="0" fillId="43" fontId="74" numFmtId="0" xfId="0" applyAlignment="1" applyFont="1">
      <alignment readingOrder="0" shrinkToFit="0" vertical="bottom" wrapText="0"/>
    </xf>
    <xf borderId="0" fillId="43" fontId="67" numFmtId="166" xfId="0" applyAlignment="1" applyFont="1" applyNumberFormat="1">
      <alignment horizontal="center" readingOrder="0" shrinkToFit="0" vertical="bottom" wrapText="0"/>
    </xf>
    <xf borderId="6" fillId="10" fontId="71" numFmtId="0" xfId="0" applyAlignment="1" applyBorder="1" applyFont="1">
      <alignment horizontal="center" readingOrder="0" shrinkToFit="0" vertical="bottom" wrapText="0"/>
    </xf>
    <xf borderId="35" fillId="50" fontId="75" numFmtId="0" xfId="0" applyAlignment="1" applyBorder="1" applyFill="1" applyFont="1">
      <alignment readingOrder="0" shrinkToFit="0" vertical="bottom" wrapText="0"/>
    </xf>
    <xf borderId="36" fillId="50" fontId="75" numFmtId="166" xfId="0" applyAlignment="1" applyBorder="1" applyFont="1" applyNumberFormat="1">
      <alignment horizontal="center" readingOrder="0" shrinkToFit="0" vertical="bottom" wrapText="0"/>
    </xf>
    <xf borderId="29" fillId="50" fontId="75" numFmtId="166" xfId="0" applyAlignment="1" applyBorder="1" applyFont="1" applyNumberFormat="1">
      <alignment horizontal="center" readingOrder="0" shrinkToFit="0" vertical="bottom" wrapText="0"/>
    </xf>
    <xf borderId="29" fillId="50" fontId="75" numFmtId="10" xfId="0" applyAlignment="1" applyBorder="1" applyFont="1" applyNumberFormat="1">
      <alignment horizontal="center" readingOrder="0" shrinkToFit="0" vertical="bottom" wrapText="0"/>
    </xf>
    <xf borderId="29" fillId="3" fontId="76" numFmtId="10" xfId="0" applyAlignment="1" applyBorder="1" applyFont="1" applyNumberFormat="1">
      <alignment horizontal="center"/>
    </xf>
    <xf borderId="36" fillId="3" fontId="76" numFmtId="166" xfId="0" applyAlignment="1" applyBorder="1" applyFont="1" applyNumberFormat="1">
      <alignment horizontal="center"/>
    </xf>
    <xf borderId="0" fillId="10" fontId="7" numFmtId="0" xfId="0" applyFont="1"/>
    <xf borderId="47" fillId="10" fontId="72" numFmtId="3" xfId="0" applyAlignment="1" applyBorder="1" applyFont="1" applyNumberFormat="1">
      <alignment horizontal="center" shrinkToFit="0" vertical="bottom" wrapText="0"/>
    </xf>
    <xf borderId="47" fillId="10" fontId="72" numFmtId="0" xfId="0" applyAlignment="1" applyBorder="1" applyFont="1">
      <alignment horizontal="center" readingOrder="0" shrinkToFit="0" vertical="bottom" wrapText="0"/>
    </xf>
    <xf borderId="48" fillId="10" fontId="72" numFmtId="3" xfId="0" applyAlignment="1" applyBorder="1" applyFont="1" applyNumberFormat="1">
      <alignment horizontal="center" readingOrder="0" shrinkToFit="0" vertical="bottom" wrapText="0"/>
    </xf>
    <xf borderId="47" fillId="10" fontId="71" numFmtId="3" xfId="0" applyAlignment="1" applyBorder="1" applyFont="1" applyNumberFormat="1">
      <alignment horizontal="center" readingOrder="0" shrinkToFit="0" vertical="bottom" wrapText="0"/>
    </xf>
    <xf borderId="50" fillId="2" fontId="72" numFmtId="3" xfId="0" applyAlignment="1" applyBorder="1" applyFont="1" applyNumberFormat="1">
      <alignment horizontal="center" shrinkToFit="0" vertical="bottom" wrapText="0"/>
    </xf>
    <xf borderId="50" fillId="10" fontId="71" numFmtId="3" xfId="0" applyAlignment="1" applyBorder="1" applyFont="1" applyNumberFormat="1">
      <alignment horizontal="center" readingOrder="0" shrinkToFit="0" vertical="bottom" wrapText="0"/>
    </xf>
    <xf borderId="0" fillId="10" fontId="50" numFmtId="10" xfId="0" applyFont="1" applyNumberFormat="1"/>
    <xf borderId="0" fillId="10" fontId="7" numFmtId="1" xfId="0" applyFont="1" applyNumberFormat="1"/>
    <xf borderId="0" fillId="0" fontId="2" numFmtId="1" xfId="0" applyFont="1" applyNumberFormat="1"/>
    <xf borderId="47" fillId="10" fontId="72" numFmtId="3" xfId="0" applyAlignment="1" applyBorder="1" applyFont="1" applyNumberFormat="1">
      <alignment horizontal="center" readingOrder="0" shrinkToFit="0" vertical="bottom" wrapText="0"/>
    </xf>
    <xf borderId="4" fillId="10" fontId="72" numFmtId="3" xfId="0" applyAlignment="1" applyBorder="1" applyFont="1" applyNumberFormat="1">
      <alignment horizontal="center" readingOrder="0" shrinkToFit="0" vertical="bottom" wrapText="0"/>
    </xf>
    <xf borderId="36" fillId="50" fontId="75"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4" fillId="11" fontId="19" numFmtId="0" xfId="0" applyAlignment="1" applyBorder="1" applyFont="1">
      <alignment readingOrder="0" vertical="bottom"/>
    </xf>
    <xf borderId="1" fillId="2" fontId="15" numFmtId="0" xfId="0" applyAlignment="1" applyBorder="1" applyFont="1">
      <alignment readingOrder="0"/>
    </xf>
    <xf borderId="20" fillId="3" fontId="15" numFmtId="168" xfId="0" applyAlignment="1" applyBorder="1" applyFont="1" applyNumberFormat="1">
      <alignment horizontal="right" vertical="bottom"/>
    </xf>
    <xf borderId="0" fillId="4" fontId="15" numFmtId="0" xfId="0" applyAlignment="1" applyFont="1">
      <alignment readingOrder="0"/>
    </xf>
    <xf borderId="4" fillId="51" fontId="15" numFmtId="0" xfId="0" applyAlignment="1" applyBorder="1" applyFill="1" applyFont="1">
      <alignment readingOrder="0" vertical="bottom"/>
    </xf>
    <xf borderId="0" fillId="30" fontId="17" numFmtId="0" xfId="0" applyAlignment="1" applyFont="1">
      <alignment readingOrder="0"/>
    </xf>
    <xf borderId="0" fillId="0" fontId="17" numFmtId="0" xfId="0" applyAlignment="1" applyFont="1">
      <alignment readingOrder="0"/>
    </xf>
    <xf borderId="52" fillId="3" fontId="1" numFmtId="0" xfId="0" applyAlignment="1" applyBorder="1" applyFont="1">
      <alignment vertical="bottom"/>
    </xf>
    <xf borderId="21" fillId="3" fontId="16" numFmtId="166" xfId="0" applyAlignment="1" applyBorder="1" applyFont="1" applyNumberFormat="1">
      <alignment horizontal="right" vertical="bottom"/>
    </xf>
    <xf borderId="0" fillId="0" fontId="15" numFmtId="10" xfId="0" applyAlignment="1" applyFont="1" applyNumberFormat="1">
      <alignment vertical="bottom"/>
    </xf>
    <xf borderId="0" fillId="2" fontId="15" numFmtId="3" xfId="0" applyAlignment="1" applyFont="1" applyNumberFormat="1">
      <alignment horizontal="right" readingOrder="0" vertical="bottom"/>
    </xf>
    <xf borderId="0" fillId="2" fontId="24" numFmtId="3" xfId="0" applyAlignment="1" applyFont="1" applyNumberFormat="1">
      <alignment horizontal="right" readingOrder="0" shrinkToFit="0" wrapText="0"/>
    </xf>
    <xf borderId="0" fillId="2" fontId="25" numFmtId="0" xfId="0" applyAlignment="1" applyFont="1">
      <alignment horizontal="right" readingOrder="0" shrinkToFit="0" wrapText="0"/>
    </xf>
    <xf borderId="0" fillId="2" fontId="24" numFmtId="0" xfId="0" applyAlignment="1" applyFont="1">
      <alignment horizontal="right" readingOrder="0" shrinkToFit="0" wrapText="0"/>
    </xf>
    <xf borderId="0" fillId="2" fontId="15" numFmtId="3" xfId="0" applyAlignment="1" applyFont="1" applyNumberFormat="1">
      <alignment readingOrder="0" vertical="bottom"/>
    </xf>
    <xf borderId="0" fillId="2" fontId="24" numFmtId="1" xfId="0" applyAlignment="1" applyFont="1" applyNumberFormat="1">
      <alignment horizontal="right" readingOrder="0" shrinkToFit="0" wrapText="0"/>
    </xf>
    <xf borderId="9" fillId="25" fontId="17" numFmtId="0" xfId="0" applyAlignment="1" applyBorder="1" applyFont="1">
      <alignment readingOrder="0" vertical="bottom"/>
    </xf>
    <xf borderId="8" fillId="25" fontId="15" numFmtId="1" xfId="0" applyAlignment="1" applyBorder="1" applyFont="1" applyNumberFormat="1">
      <alignment horizontal="right" vertical="bottom"/>
    </xf>
    <xf borderId="21" fillId="3" fontId="16" numFmtId="3" xfId="0" applyAlignment="1" applyBorder="1" applyFont="1" applyNumberFormat="1">
      <alignment horizontal="right" vertical="bottom"/>
    </xf>
    <xf borderId="0" fillId="2" fontId="2" numFmtId="0" xfId="0" applyFont="1"/>
    <xf borderId="10" fillId="31" fontId="17" numFmtId="0" xfId="0" applyAlignment="1" applyBorder="1" applyFont="1">
      <alignment readingOrder="0" vertical="bottom"/>
    </xf>
    <xf borderId="9" fillId="41" fontId="17" numFmtId="0" xfId="0" applyAlignment="1" applyBorder="1" applyFont="1">
      <alignment readingOrder="0" vertical="bottom"/>
    </xf>
    <xf borderId="21" fillId="3" fontId="16" numFmtId="168" xfId="0" applyAlignment="1" applyBorder="1" applyFont="1" applyNumberFormat="1">
      <alignment horizontal="right" vertical="bottom"/>
    </xf>
    <xf borderId="52" fillId="3" fontId="16" numFmtId="168" xfId="0" applyAlignment="1" applyBorder="1" applyFont="1" applyNumberFormat="1">
      <alignment horizontal="right" vertical="bottom"/>
    </xf>
    <xf borderId="13" fillId="34" fontId="17" numFmtId="0" xfId="0" applyAlignment="1" applyBorder="1" applyFont="1">
      <alignment readingOrder="0" vertical="bottom"/>
    </xf>
    <xf borderId="4" fillId="34" fontId="17" numFmtId="0" xfId="0" applyAlignment="1" applyBorder="1" applyFont="1">
      <alignment readingOrder="0" vertical="bottom"/>
    </xf>
    <xf borderId="16" fillId="0" fontId="15" numFmtId="166" xfId="0" applyAlignment="1" applyBorder="1" applyFont="1" applyNumberFormat="1">
      <alignment horizontal="right" readingOrder="0" vertical="bottom"/>
    </xf>
    <xf borderId="6" fillId="0" fontId="15" numFmtId="0" xfId="0" applyAlignment="1" applyBorder="1" applyFont="1">
      <alignment vertical="bottom"/>
    </xf>
    <xf borderId="6" fillId="0" fontId="16" numFmtId="3" xfId="0" applyAlignment="1" applyBorder="1" applyFont="1" applyNumberFormat="1">
      <alignment horizontal="right" vertical="bottom"/>
    </xf>
    <xf borderId="0" fillId="4" fontId="15" numFmtId="168" xfId="0" applyAlignment="1" applyFont="1" applyNumberFormat="1">
      <alignment horizontal="right" vertical="bottom"/>
    </xf>
    <xf borderId="0" fillId="0" fontId="15" numFmtId="168" xfId="0" applyAlignment="1" applyFont="1" applyNumberFormat="1">
      <alignment horizontal="right" shrinkToFit="0" vertical="bottom" wrapText="1"/>
    </xf>
    <xf borderId="4" fillId="15" fontId="15" numFmtId="0" xfId="0" applyAlignment="1" applyBorder="1" applyFont="1">
      <alignment vertical="bottom"/>
    </xf>
    <xf borderId="6" fillId="0" fontId="21" numFmtId="0" xfId="0" applyBorder="1" applyFont="1"/>
    <xf borderId="0" fillId="4" fontId="15" numFmtId="0" xfId="0" applyAlignment="1" applyFont="1">
      <alignment horizontal="right" readingOrder="0" vertical="bottom"/>
    </xf>
    <xf borderId="0" fillId="0" fontId="15" numFmtId="0" xfId="0" applyAlignment="1" applyFont="1">
      <alignment horizontal="right" vertical="bottom"/>
    </xf>
    <xf borderId="6" fillId="0" fontId="16" numFmtId="168" xfId="0" applyAlignment="1" applyBorder="1" applyFont="1" applyNumberFormat="1">
      <alignment horizontal="right" vertical="bottom"/>
    </xf>
    <xf borderId="4" fillId="25" fontId="15" numFmtId="0" xfId="0" applyAlignment="1" applyBorder="1" applyFont="1">
      <alignment readingOrder="0" vertical="bottom"/>
    </xf>
    <xf borderId="6" fillId="0" fontId="15" numFmtId="0" xfId="0" applyAlignment="1" applyBorder="1" applyFont="1">
      <alignment readingOrder="0" vertical="bottom"/>
    </xf>
    <xf borderId="6" fillId="2" fontId="16" numFmtId="3" xfId="0" applyAlignment="1" applyBorder="1" applyFont="1" applyNumberFormat="1">
      <alignment horizontal="right" vertical="bottom"/>
    </xf>
    <xf borderId="0" fillId="0" fontId="15" numFmtId="3" xfId="0" applyAlignment="1" applyFont="1" applyNumberFormat="1">
      <alignment horizontal="right" vertical="bottom"/>
    </xf>
    <xf borderId="0" fillId="0" fontId="15" numFmtId="0" xfId="0" applyAlignment="1" applyFont="1">
      <alignment horizontal="right" vertical="bottom"/>
    </xf>
    <xf borderId="6" fillId="6" fontId="16" numFmtId="3" xfId="0" applyAlignment="1" applyBorder="1" applyFont="1" applyNumberFormat="1">
      <alignment horizontal="right" vertical="bottom"/>
    </xf>
    <xf borderId="0" fillId="0" fontId="23" numFmtId="1" xfId="0" applyFont="1" applyNumberFormat="1"/>
    <xf borderId="0" fillId="0" fontId="23" numFmtId="3" xfId="0" applyFont="1" applyNumberFormat="1"/>
    <xf borderId="6" fillId="0" fontId="1" numFmtId="0" xfId="0" applyAlignment="1" applyBorder="1" applyFont="1">
      <alignment vertical="bottom"/>
    </xf>
    <xf borderId="4" fillId="8" fontId="15" numFmtId="0" xfId="0" applyAlignment="1" applyBorder="1" applyFont="1">
      <alignment readingOrder="0" vertical="bottom"/>
    </xf>
    <xf borderId="4" fillId="8" fontId="15" numFmtId="1" xfId="0" applyAlignment="1" applyBorder="1" applyFont="1" applyNumberFormat="1">
      <alignment horizontal="left" vertical="bottom"/>
    </xf>
    <xf borderId="6" fillId="0" fontId="16" numFmtId="166" xfId="0" applyAlignment="1" applyBorder="1" applyFont="1" applyNumberFormat="1">
      <alignment horizontal="right" vertical="bottom"/>
    </xf>
    <xf borderId="4" fillId="35" fontId="15" numFmtId="0" xfId="0" applyAlignment="1" applyBorder="1" applyFont="1">
      <alignment readingOrder="0" vertical="bottom"/>
    </xf>
    <xf borderId="6" fillId="0" fontId="16" numFmtId="168" xfId="0" applyAlignment="1" applyBorder="1" applyFont="1" applyNumberFormat="1">
      <alignment horizontal="right" readingOrder="0" vertical="bottom"/>
    </xf>
    <xf borderId="4" fillId="33" fontId="15" numFmtId="0" xfId="0" applyAlignment="1" applyBorder="1" applyFont="1">
      <alignment readingOrder="0" vertical="bottom"/>
    </xf>
    <xf borderId="0" fillId="0" fontId="15" numFmtId="167" xfId="0" applyAlignment="1" applyFont="1" applyNumberFormat="1">
      <alignment readingOrder="0" vertical="bottom"/>
    </xf>
    <xf borderId="0" fillId="0" fontId="29" numFmtId="167" xfId="0" applyAlignment="1" applyFont="1" applyNumberFormat="1">
      <alignment readingOrder="0" vertical="bottom"/>
    </xf>
    <xf borderId="9" fillId="4" fontId="15" numFmtId="0" xfId="0" applyAlignment="1" applyBorder="1" applyFont="1">
      <alignment readingOrder="0" vertical="bottom"/>
    </xf>
    <xf borderId="0" fillId="0" fontId="15" numFmtId="168" xfId="0" applyAlignment="1" applyFont="1" applyNumberFormat="1">
      <alignment readingOrder="0" vertical="bottom"/>
    </xf>
    <xf borderId="0" fillId="0" fontId="77" numFmtId="0" xfId="0" applyAlignment="1" applyFont="1">
      <alignment horizontal="left" readingOrder="0"/>
    </xf>
    <xf borderId="0" fillId="0" fontId="40" numFmtId="0" xfId="0" applyAlignment="1" applyFont="1">
      <alignment horizontal="left" readingOrder="0"/>
    </xf>
    <xf borderId="0" fillId="0" fontId="2" numFmtId="166" xfId="0" applyAlignment="1" applyFont="1" applyNumberFormat="1">
      <alignment horizontal="left" readingOrder="0"/>
    </xf>
    <xf borderId="0" fillId="0" fontId="26" numFmtId="0" xfId="0" applyAlignment="1" applyFont="1">
      <alignment horizontal="center" readingOrder="0"/>
    </xf>
    <xf borderId="0" fillId="0" fontId="40" numFmtId="0" xfId="0" applyAlignment="1" applyFont="1">
      <alignment horizontal="center" readingOrder="0"/>
    </xf>
    <xf borderId="1" fillId="0" fontId="26" numFmtId="0" xfId="0" applyAlignment="1" applyBorder="1" applyFont="1">
      <alignment horizontal="center" readingOrder="0"/>
    </xf>
    <xf borderId="1" fillId="0" fontId="2" numFmtId="0" xfId="0" applyAlignment="1" applyBorder="1" applyFont="1">
      <alignment readingOrder="0"/>
    </xf>
    <xf borderId="29" fillId="0" fontId="40" numFmtId="0" xfId="0" applyAlignment="1" applyBorder="1" applyFont="1">
      <alignment horizontal="center" readingOrder="0"/>
    </xf>
    <xf borderId="0" fillId="48" fontId="78" numFmtId="0" xfId="0" applyAlignment="1" applyFont="1">
      <alignment horizontal="center" readingOrder="0" vertical="center"/>
    </xf>
    <xf borderId="28" fillId="0" fontId="79" numFmtId="0" xfId="0" applyAlignment="1" applyBorder="1" applyFont="1">
      <alignment readingOrder="0" shrinkToFit="0" vertical="bottom" wrapText="0"/>
    </xf>
    <xf borderId="7" fillId="0" fontId="79"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7" fillId="52" fontId="69" numFmtId="0" xfId="0" applyAlignment="1" applyBorder="1" applyFill="1" applyFont="1">
      <alignment readingOrder="0" shrinkToFit="0" vertical="bottom" wrapText="0"/>
    </xf>
    <xf borderId="0" fillId="0" fontId="2" numFmtId="166" xfId="0" applyAlignment="1" applyFont="1" applyNumberFormat="1">
      <alignment horizontal="center" readingOrder="0"/>
    </xf>
    <xf borderId="8" fillId="0" fontId="2" numFmtId="0" xfId="0" applyAlignment="1" applyBorder="1" applyFont="1">
      <alignment horizontal="center" readingOrder="0"/>
    </xf>
    <xf borderId="8" fillId="0" fontId="2" numFmtId="0" xfId="0" applyAlignment="1" applyBorder="1" applyFont="1">
      <alignment horizontal="center"/>
    </xf>
    <xf borderId="0" fillId="0" fontId="2" numFmtId="166" xfId="0" applyAlignment="1" applyFont="1" applyNumberFormat="1">
      <alignment horizontal="center"/>
    </xf>
    <xf borderId="8" fillId="0" fontId="2" numFmtId="0" xfId="0" applyBorder="1" applyFont="1"/>
    <xf borderId="0" fillId="48" fontId="78" numFmtId="0" xfId="0" applyAlignment="1" applyFont="1">
      <alignment horizontal="center" vertical="center"/>
    </xf>
  </cellXfs>
  <cellStyles count="1">
    <cellStyle xfId="0" name="Normal" builtinId="0"/>
  </cellStyles>
  <dxfs count="4">
    <dxf>
      <font/>
      <fill>
        <patternFill patternType="solid">
          <fgColor rgb="FFB7E1CD"/>
          <bgColor rgb="FFB7E1CD"/>
        </patternFill>
      </fill>
      <border/>
    </dxf>
    <dxf>
      <font/>
      <fill>
        <patternFill patternType="solid">
          <fgColor rgb="FFF4CCCC"/>
          <bgColor rgb="FFF4CCCC"/>
        </patternFill>
      </fill>
      <border/>
    </dxf>
    <dxf>
      <font/>
      <fill>
        <patternFill patternType="solid">
          <fgColor rgb="FF57BB8A"/>
          <bgColor rgb="FF57BB8A"/>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Summary!$A$31</c:f>
            </c:strRef>
          </c:tx>
          <c:spPr>
            <a:solidFill>
              <a:srgbClr val="4285F4">
                <a:alpha val="30000"/>
              </a:srgbClr>
            </a:solidFill>
            <a:ln cmpd="sng">
              <a:solidFill>
                <a:srgbClr val="4285F4"/>
              </a:solidFill>
            </a:ln>
          </c:spPr>
          <c:cat>
            <c:strRef>
              <c:f>Summary!$B$1:$AF$1</c:f>
            </c:strRef>
          </c:cat>
          <c:val>
            <c:numRef>
              <c:f>Summary!$B$31:$AF$31</c:f>
              <c:numCache/>
            </c:numRef>
          </c:val>
        </c:ser>
        <c:ser>
          <c:idx val="1"/>
          <c:order val="1"/>
          <c:tx>
            <c:strRef>
              <c:f>Summary!$A$87</c:f>
            </c:strRef>
          </c:tx>
          <c:spPr>
            <a:solidFill>
              <a:srgbClr val="EA4335">
                <a:alpha val="30000"/>
              </a:srgbClr>
            </a:solidFill>
            <a:ln cmpd="sng">
              <a:solidFill>
                <a:srgbClr val="EA4335"/>
              </a:solidFill>
            </a:ln>
          </c:spPr>
          <c:cat>
            <c:strRef>
              <c:f>Summary!$B$1:$AF$1</c:f>
            </c:strRef>
          </c:cat>
          <c:val>
            <c:numRef>
              <c:f>Summary!$B$87:$AF$87</c:f>
              <c:numCache/>
            </c:numRef>
          </c:val>
        </c:ser>
        <c:axId val="371912239"/>
        <c:axId val="114589794"/>
      </c:areaChart>
      <c:catAx>
        <c:axId val="3719122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4589794"/>
      </c:catAx>
      <c:valAx>
        <c:axId val="1145897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71912239"/>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Summary!$A$112</c:f>
            </c:strRef>
          </c:tx>
          <c:spPr>
            <a:solidFill>
              <a:schemeClr val="accent1"/>
            </a:solidFill>
            <a:ln cmpd="sng">
              <a:noFill/>
            </a:ln>
          </c:spPr>
          <c:cat>
            <c:strRef>
              <c:f>Summary!$C$1:$AF$1</c:f>
            </c:strRef>
          </c:cat>
          <c:val>
            <c:numRef>
              <c:f>Summary!$B$112:$AF$112</c:f>
              <c:numCache/>
            </c:numRef>
          </c:val>
        </c:ser>
        <c:ser>
          <c:idx val="1"/>
          <c:order val="1"/>
          <c:tx>
            <c:strRef>
              <c:f>Summary!$A$113</c:f>
            </c:strRef>
          </c:tx>
          <c:spPr>
            <a:solidFill>
              <a:schemeClr val="accent2"/>
            </a:solidFill>
            <a:ln cmpd="sng">
              <a:noFill/>
            </a:ln>
          </c:spPr>
          <c:dPt>
            <c:idx val="3"/>
          </c:dPt>
          <c:dPt>
            <c:idx val="13"/>
          </c:dPt>
          <c:dPt>
            <c:idx val="19"/>
          </c:dPt>
          <c:cat>
            <c:strRef>
              <c:f>Summary!$C$1:$AF$1</c:f>
            </c:strRef>
          </c:cat>
          <c:val>
            <c:numRef>
              <c:f>Summary!$B$113:$AF$113</c:f>
              <c:numCache/>
            </c:numRef>
          </c:val>
        </c:ser>
        <c:overlap val="100"/>
        <c:axId val="65540496"/>
        <c:axId val="1483585577"/>
      </c:barChart>
      <c:catAx>
        <c:axId val="655404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3585577"/>
      </c:catAx>
      <c:valAx>
        <c:axId val="14835855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540496"/>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Summary!$B$16:$AF$16</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Summary!$B$81:$AF$81</c:f>
              <c:numCache/>
            </c:numRef>
          </c:val>
          <c:smooth val="0"/>
        </c:ser>
        <c:axId val="1445761847"/>
        <c:axId val="793503015"/>
      </c:lineChart>
      <c:catAx>
        <c:axId val="144576184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93503015"/>
      </c:catAx>
      <c:valAx>
        <c:axId val="79350301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45761847"/>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Summary!$C$1:$AF$1</c:f>
            </c:strRef>
          </c:cat>
          <c:val>
            <c:numRef>
              <c:f>Summary!$B$8:$AF$8</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Summary!$C$1:$AF$1</c:f>
            </c:strRef>
          </c:cat>
          <c:val>
            <c:numRef>
              <c:f>Summary!$B$87:$AF$87</c:f>
              <c:numCache/>
            </c:numRef>
          </c:val>
          <c:smooth val="0"/>
        </c:ser>
        <c:axId val="784266745"/>
        <c:axId val="1686527101"/>
      </c:lineChart>
      <c:catAx>
        <c:axId val="7842667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86527101"/>
      </c:catAx>
      <c:valAx>
        <c:axId val="1686527101"/>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84266745"/>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Task id="{ffc9c027-d2fc-458e-9db6-6af27bda69dd}">
    <Anchor>
      <Comment id="{147bc309-c48c-40a0-8e5f-c8c42aea583b}"/>
    </Anchor>
    <History>
      <Event time="2024-05-16T11:15:00.00" id="{e407ad07-3ad0-486a-8156-52f45596902b}">
        <Attribution userId="placeholder@email.com" userName="Benjamin Kumalić" userProvider="google-sheets"/>
        <Anchor>
          <Comment id="{147bc309-c48c-40a0-8e5f-c8c42aea583b}"/>
        </Anchor>
        <Create/>
      </Event>
      <Event time="2024-05-16T11:15:00.00" id="{f64befba-660c-4213-8b89-2d6da14d64c5}">
        <Attribution userId="placeholder@email.com" userName="Benjamin Kumalić" userProvider="google-sheets"/>
        <Anchor>
          <Comment id="{147bc309-c48c-40a0-8e5f-c8c42aea583b}"/>
        </Anchor>
        <Assign userProvider="google-sheets"/>
      </Event>
    </History>
  </Task>
  <Task id="{751bf02e-157b-4af3-80d0-a9dfc7363ce9}">
    <Anchor>
      <Comment id="{5548d9d3-2709-4f09-920e-59c0a4772b73}"/>
    </Anchor>
    <History>
      <Event time="2024-05-06T10:48:51.00" id="{de1d0da5-5478-4616-b5ed-499dbd45e3d0}">
        <Attribution userId="placeholder@email.com" userName="Benjamin Kumalić" userProvider="google-sheets"/>
        <Anchor>
          <Comment id="{5548d9d3-2709-4f09-920e-59c0a4772b73}"/>
        </Anchor>
        <Create/>
      </Event>
      <Event time="2024-05-06T10:48:51.00" id="{d1d1a2da-3f50-4e46-aaa6-8e54322b5615}">
        <Attribution userId="placeholder@email.com" userName="Benjamin Kumalić" userProvider="google-sheets"/>
        <Anchor>
          <Comment id="{5548d9d3-2709-4f09-920e-59c0a4772b73}"/>
        </Anchor>
        <Assign userProvider="google-sheets"/>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 Id="rId3" Type="http://schemas.openxmlformats.org/officeDocument/2006/relationships/image" Target="../media/image2.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150</xdr:row>
      <xdr:rowOff>114300</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132</xdr:row>
      <xdr:rowOff>152400</xdr:rowOff>
    </xdr:from>
    <xdr:ext cx="8543925" cy="3619500"/>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466725</xdr:colOff>
      <xdr:row>132</xdr:row>
      <xdr:rowOff>152400</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171</xdr:row>
      <xdr:rowOff>114300</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11</xdr:col>
      <xdr:colOff>466725</xdr:colOff>
      <xdr:row>191</xdr:row>
      <xdr:rowOff>161925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466725</xdr:colOff>
      <xdr:row>160</xdr:row>
      <xdr:rowOff>104775</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116</xdr:row>
      <xdr:rowOff>171450</xdr:rowOff>
    </xdr:from>
    <xdr:ext cx="7267575" cy="677227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4.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5.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0.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1.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9.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Benjamin Kumalić" id="{f34dc4d8-b3b2-4b5f-b0f8-7b7f5280f788}" providerId="google-sheets"/>
  <x18tc:person displayName="petar.jakovski@mybirdbuddy.com" id="{8856c2f3-3f70-48ad-9c1b-8701d1a4d317}" userId="petar.jakovski@mybirdbuddy.com"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J91" dT="2024-05-16T11:15:00.00" personId="{f34dc4d8-b3b2-4b5f-b0f8-7b7f5280f788}" id="{147bc309-c48c-40a0-8e5f-c8c42aea583b}" done="1">
    <x18tc:text xml:space="preserve">@petar.jakovski@mybirdbuddy.com - Tole v rumenem se lahko izbriše, ker ni advertising za app. Tukaj je $0.
Assigned to </x18tc:text>
    <x18tc:mentions>
      <x18tc:mention mentionpersonId="{8856c2f3-3f70-48ad-9c1b-8701d1a4d317}" mentionId="{3581b250-72fd-485c-8a47-292bcf054744}" startIndex="0" length="31"/>
    </x18tc:mentions>
  </x18tc:threadedComment>
  <x18tc:threadedComment ref="D59" dT="2024-05-06T10:48:51.00" personId="{f34dc4d8-b3b2-4b5f-b0f8-7b7f5280f788}" id="{5548d9d3-2709-4f09-920e-59c0a4772b73}" done="1">
    <x18tc:text xml:space="preserve">@petar.jakovski@mybirdbuddy.com - Is this number correct? It seems high when compared to revenue.
Assigned to </x18tc:text>
    <x18tc:mentions>
      <x18tc:mention mentionpersonId="{8856c2f3-3f70-48ad-9c1b-8701d1a4d317}" mentionId="{062bf89f-71e2-4249-a8c5-853a5a30729d}" startIndex="0" length="31"/>
    </x18tc:mentions>
  </x18tc:threadedComment>
  <x18tc:threadedComment ref="V80" dT="2024-05-22T08:17:10.00" personId="{f34dc4d8-b3b2-4b5f-b0f8-7b7f5280f788}" id="{6608ae49-7d75-4da8-a2ab-2ed414f4acb2}" done="1">
    <x18tc:text xml:space="preserve">Wrong data? @petar.jakovski@mybirdbuddy.com</x18tc:text>
    <x18tc:mentions>
      <x18tc:mention mentionpersonId="{8856c2f3-3f70-48ad-9c1b-8701d1a4d317}" mentionId="{d102c6e2-2b47-425a-950b-1ddbfd47b7a6}" startIndex="12" length="31"/>
    </x18tc:mentions>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HFaKR3UDNmTx8UhaEXP8CKJfBgxc5RQZIbrJ-VNf4xg/edit" TargetMode="External"/><Relationship Id="rId4" Type="http://schemas.openxmlformats.org/officeDocument/2006/relationships/hyperlink" Target="https://docs.google.com/spreadsheets/d/1hAaecrGaXGNYxbQyNpxu2nVVZ1vCEGj9/edit" TargetMode="External"/><Relationship Id="rId10" Type="http://schemas.openxmlformats.org/officeDocument/2006/relationships/vmlDrawing" Target="../drawings/vmlDrawing2.vml"/><Relationship Id="rId9" Type="http://schemas.openxmlformats.org/officeDocument/2006/relationships/drawing" Target="../drawings/drawing8.xml"/><Relationship Id="rId5" Type="http://schemas.openxmlformats.org/officeDocument/2006/relationships/hyperlink" Target="https://docs.google.com/spreadsheets/d/1dhD3sTz_Knf_w4H3JhgYXhxBusiSvSSuRyK3HNU1E0E/edit?usp=sharing" TargetMode="External"/><Relationship Id="rId6" Type="http://schemas.openxmlformats.org/officeDocument/2006/relationships/hyperlink" Target="https://docs.google.com/spreadsheets/d/1Dn0q7h1bHxXdG0N9KpcqzFo0tWUWYXOrRX7yxv3G1E0/edit" TargetMode="External"/><Relationship Id="rId7" Type="http://schemas.openxmlformats.org/officeDocument/2006/relationships/hyperlink" Target="https://docs.google.com/document/d/1m1D0mcq6_cpIUs4Z2pSMjDX9L4kRSfAwaLu0UKQppIM/edit?usp=sharing" TargetMode="External"/><Relationship Id="rId8" Type="http://schemas.openxmlformats.org/officeDocument/2006/relationships/hyperlink" Target="https://docs.google.com/spreadsheets/d/1JFD6SusYZSq5MvMm0PnCaYPmLBVKBKvK09yjZIlSFN4/edit"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9.xml"/><Relationship Id="rId3" Type="http://schemas.openxmlformats.org/officeDocument/2006/relationships/vmlDrawing" Target="../drawings/vmlDrawing3.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2.5"/>
    <col customWidth="1" min="2" max="2" width="11.75"/>
    <col customWidth="1" min="3" max="6" width="10.25"/>
    <col customWidth="1" min="7" max="7" width="10.75"/>
    <col customWidth="1" min="8" max="13" width="10.25"/>
    <col customWidth="1" min="14" max="14" width="11.25"/>
    <col customWidth="1" min="15" max="24" width="10.25"/>
    <col customWidth="1" min="25" max="25" width="10.63"/>
    <col customWidth="1" min="26" max="28" width="10.25"/>
    <col customWidth="1" min="29" max="29" width="11.0"/>
    <col customWidth="1" min="30" max="32" width="10.25"/>
  </cols>
  <sheetData>
    <row r="1">
      <c r="A1" s="1">
        <v>45413.0</v>
      </c>
      <c r="B1" s="2">
        <v>45413.0</v>
      </c>
      <c r="C1" s="2">
        <v>45414.0</v>
      </c>
      <c r="D1" s="2">
        <v>45415.0</v>
      </c>
      <c r="E1" s="2">
        <v>45416.0</v>
      </c>
      <c r="F1" s="2">
        <v>45417.0</v>
      </c>
      <c r="G1" s="2">
        <v>45418.0</v>
      </c>
      <c r="H1" s="2">
        <v>45419.0</v>
      </c>
      <c r="I1" s="2">
        <v>45420.0</v>
      </c>
      <c r="J1" s="2">
        <v>45421.0</v>
      </c>
      <c r="K1" s="2">
        <v>45422.0</v>
      </c>
      <c r="L1" s="2">
        <v>45423.0</v>
      </c>
      <c r="M1" s="2">
        <v>45424.0</v>
      </c>
      <c r="N1" s="2">
        <v>45425.0</v>
      </c>
      <c r="O1" s="2">
        <v>45426.0</v>
      </c>
      <c r="P1" s="2">
        <v>45427.0</v>
      </c>
      <c r="Q1" s="2">
        <v>45428.0</v>
      </c>
      <c r="R1" s="2">
        <v>45429.0</v>
      </c>
      <c r="S1" s="2">
        <v>45430.0</v>
      </c>
      <c r="T1" s="2">
        <v>45431.0</v>
      </c>
      <c r="U1" s="2">
        <v>45432.0</v>
      </c>
      <c r="V1" s="2">
        <v>45433.0</v>
      </c>
      <c r="W1" s="2">
        <v>45434.0</v>
      </c>
      <c r="X1" s="2">
        <v>45435.0</v>
      </c>
      <c r="Y1" s="2">
        <v>45436.0</v>
      </c>
      <c r="Z1" s="2">
        <v>45437.0</v>
      </c>
      <c r="AA1" s="2">
        <v>45438.0</v>
      </c>
      <c r="AB1" s="2">
        <v>45439.0</v>
      </c>
      <c r="AC1" s="2">
        <v>45440.0</v>
      </c>
      <c r="AD1" s="2">
        <v>45441.0</v>
      </c>
      <c r="AE1" s="2">
        <v>45442.0</v>
      </c>
      <c r="AF1" s="2">
        <v>45443.0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3">
      <c r="A3" s="4" t="s">
        <v>7</v>
      </c>
      <c r="E3" s="5"/>
      <c r="K3" s="5"/>
      <c r="Z3" s="5"/>
    </row>
    <row r="4" ht="18.75" customHeight="1">
      <c r="A4" s="6" t="s">
        <v>8</v>
      </c>
      <c r="B4" s="7" t="s">
        <v>9</v>
      </c>
      <c r="AB4" s="8"/>
      <c r="AC4" s="8"/>
      <c r="AD4" s="8"/>
      <c r="AF4" s="8"/>
    </row>
    <row r="5" ht="26.25" customHeight="1">
      <c r="B5" s="9" t="s">
        <v>10</v>
      </c>
      <c r="D5" s="9" t="s">
        <v>11</v>
      </c>
      <c r="G5" s="10" t="s">
        <v>12</v>
      </c>
      <c r="P5" s="8"/>
      <c r="Q5" s="8"/>
      <c r="R5" s="8"/>
      <c r="S5" s="8"/>
      <c r="T5" s="8"/>
      <c r="U5" s="8"/>
      <c r="V5" s="8"/>
      <c r="W5" s="8"/>
      <c r="X5" s="8"/>
      <c r="Y5" s="8"/>
      <c r="Z5" s="8"/>
      <c r="AA5" s="8"/>
      <c r="AB5" s="8"/>
      <c r="AC5" s="8"/>
      <c r="AD5" s="8"/>
      <c r="AF5" s="8"/>
    </row>
    <row r="6" ht="39.75" customHeight="1">
      <c r="B6" s="9" t="s">
        <v>13</v>
      </c>
      <c r="D6" s="9" t="s">
        <v>14</v>
      </c>
      <c r="H6" s="9" t="s">
        <v>15</v>
      </c>
      <c r="O6" s="9" t="s">
        <v>16</v>
      </c>
      <c r="V6" s="9" t="s">
        <v>17</v>
      </c>
      <c r="W6" s="9" t="s">
        <v>18</v>
      </c>
      <c r="AF6" s="8"/>
    </row>
    <row r="7">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row>
    <row r="8">
      <c r="A8" s="11" t="s">
        <v>19</v>
      </c>
      <c r="B8" s="12">
        <v>62811.86</v>
      </c>
      <c r="C8" s="12">
        <v>65354.979999999996</v>
      </c>
      <c r="D8" s="12">
        <v>82823.16000000002</v>
      </c>
      <c r="E8" s="12">
        <v>58544.700000000004</v>
      </c>
      <c r="F8" s="12">
        <v>67043.72</v>
      </c>
      <c r="G8" s="12">
        <v>70914.8</v>
      </c>
      <c r="H8" s="12">
        <v>59268.52</v>
      </c>
      <c r="I8" s="12">
        <v>50288.27</v>
      </c>
      <c r="J8" s="12">
        <v>39003.95999999999</v>
      </c>
      <c r="K8" s="12">
        <v>32151.120000000006</v>
      </c>
      <c r="L8" s="12">
        <v>42970.45</v>
      </c>
      <c r="M8" s="12">
        <v>44775.11</v>
      </c>
      <c r="N8" s="12">
        <v>27294.29</v>
      </c>
      <c r="O8" s="12">
        <v>27002.469999999998</v>
      </c>
      <c r="P8" s="12">
        <v>22020.24</v>
      </c>
      <c r="Q8" s="12">
        <v>18753.16</v>
      </c>
      <c r="R8" s="12">
        <v>26797.04</v>
      </c>
      <c r="S8" s="12">
        <v>27119.659999999996</v>
      </c>
      <c r="T8" s="12">
        <v>22823.5</v>
      </c>
      <c r="U8" s="12">
        <v>24015.57</v>
      </c>
      <c r="V8" s="12">
        <v>24770.1</v>
      </c>
      <c r="W8" s="12">
        <v>20245.03</v>
      </c>
      <c r="X8" s="12">
        <v>17172.01</v>
      </c>
      <c r="Y8" s="12">
        <v>18052.55</v>
      </c>
      <c r="Z8" s="12">
        <v>18930.39</v>
      </c>
      <c r="AA8" s="12">
        <v>24483.84</v>
      </c>
      <c r="AB8" s="12">
        <v>21840.24</v>
      </c>
      <c r="AC8" s="12">
        <v>23439.28</v>
      </c>
      <c r="AD8" s="12">
        <v>20847.160000000003</v>
      </c>
      <c r="AE8" s="12">
        <v>14492.24</v>
      </c>
      <c r="AF8" s="12">
        <v>21692.039999999997</v>
      </c>
    </row>
    <row r="9" outlineLevel="1">
      <c r="A9" s="13" t="s">
        <v>20</v>
      </c>
      <c r="B9" s="14">
        <v>47797.36</v>
      </c>
      <c r="C9" s="14">
        <v>49476.38</v>
      </c>
      <c r="D9" s="14">
        <v>63992.25</v>
      </c>
      <c r="E9" s="14">
        <v>44253.19</v>
      </c>
      <c r="F9" s="14">
        <v>51125.97</v>
      </c>
      <c r="G9" s="14">
        <v>54659.14</v>
      </c>
      <c r="H9" s="14">
        <v>43856.65</v>
      </c>
      <c r="I9" s="14">
        <v>38031.88</v>
      </c>
      <c r="J9" s="14">
        <v>29333.94</v>
      </c>
      <c r="K9" s="14">
        <v>24243.65</v>
      </c>
      <c r="L9" s="14">
        <v>31544.06</v>
      </c>
      <c r="M9" s="14">
        <v>32078.99</v>
      </c>
      <c r="N9" s="14">
        <v>18828.75</v>
      </c>
      <c r="O9" s="14">
        <v>19243.7</v>
      </c>
      <c r="P9" s="14">
        <v>16192.2</v>
      </c>
      <c r="Q9" s="14">
        <v>12953.66</v>
      </c>
      <c r="R9" s="14">
        <v>19846.04</v>
      </c>
      <c r="S9" s="14">
        <v>18931.92</v>
      </c>
      <c r="T9" s="14">
        <v>16179.99</v>
      </c>
      <c r="U9" s="14">
        <v>18330.33</v>
      </c>
      <c r="V9" s="14">
        <v>16695.59</v>
      </c>
      <c r="W9" s="14">
        <v>13782.59</v>
      </c>
      <c r="X9" s="14">
        <v>11642.66</v>
      </c>
      <c r="Y9" s="14">
        <v>12284.35</v>
      </c>
      <c r="Z9" s="14">
        <v>13414.6</v>
      </c>
      <c r="AA9" s="14">
        <v>18060.54</v>
      </c>
      <c r="AB9" s="14">
        <v>15217.04</v>
      </c>
      <c r="AC9" s="14">
        <v>16326.63</v>
      </c>
      <c r="AD9" s="14">
        <v>14197.1</v>
      </c>
      <c r="AE9" s="14">
        <v>10278.2</v>
      </c>
      <c r="AF9" s="14">
        <v>15324.38</v>
      </c>
    </row>
    <row r="10" outlineLevel="1">
      <c r="A10" s="13" t="s">
        <v>21</v>
      </c>
      <c r="B10" s="14">
        <v>5577.19</v>
      </c>
      <c r="C10" s="14">
        <v>5828.77</v>
      </c>
      <c r="D10" s="14">
        <v>6458.35</v>
      </c>
      <c r="E10" s="14">
        <v>5301.01</v>
      </c>
      <c r="F10" s="14">
        <v>5914.53</v>
      </c>
      <c r="G10" s="14">
        <v>5703.01</v>
      </c>
      <c r="H10" s="14">
        <v>6361.45</v>
      </c>
      <c r="I10" s="14">
        <v>4574.77</v>
      </c>
      <c r="J10" s="14">
        <v>3713.16</v>
      </c>
      <c r="K10" s="14">
        <v>3054.7</v>
      </c>
      <c r="L10" s="14">
        <v>4757.34</v>
      </c>
      <c r="M10" s="14">
        <v>5749.91</v>
      </c>
      <c r="N10" s="14">
        <v>4300.0</v>
      </c>
      <c r="O10" s="14">
        <v>3428.6</v>
      </c>
      <c r="P10" s="14">
        <v>2293.75</v>
      </c>
      <c r="Q10" s="14">
        <v>2847.84</v>
      </c>
      <c r="R10" s="14">
        <v>2894.96</v>
      </c>
      <c r="S10" s="14">
        <v>3970.53</v>
      </c>
      <c r="T10" s="14">
        <v>3155.46</v>
      </c>
      <c r="U10" s="14">
        <v>2061.12</v>
      </c>
      <c r="V10" s="14">
        <v>4009.76</v>
      </c>
      <c r="W10" s="14">
        <v>2898.21</v>
      </c>
      <c r="X10" s="14">
        <v>2606.64</v>
      </c>
      <c r="Y10" s="14">
        <v>2361.25</v>
      </c>
      <c r="Z10" s="14">
        <v>2242.0</v>
      </c>
      <c r="AA10" s="14">
        <v>2671.46</v>
      </c>
      <c r="AB10" s="14">
        <v>3029.86</v>
      </c>
      <c r="AC10" s="14">
        <v>2790.92</v>
      </c>
      <c r="AD10" s="14">
        <v>2876.05</v>
      </c>
      <c r="AE10" s="14">
        <v>1825.8</v>
      </c>
      <c r="AF10" s="14">
        <v>1721.47</v>
      </c>
    </row>
    <row r="11" outlineLevel="1">
      <c r="A11" s="13" t="s">
        <v>22</v>
      </c>
      <c r="B11" s="14">
        <v>0.0</v>
      </c>
      <c r="C11" s="14">
        <v>0.0</v>
      </c>
      <c r="D11" s="14">
        <v>0.0</v>
      </c>
      <c r="E11" s="14">
        <v>0.0</v>
      </c>
      <c r="F11" s="14">
        <v>0.0</v>
      </c>
      <c r="G11" s="14">
        <v>0.0</v>
      </c>
      <c r="H11" s="14">
        <v>0.0</v>
      </c>
      <c r="I11" s="14">
        <v>0.0</v>
      </c>
      <c r="J11" s="14">
        <v>0.0</v>
      </c>
      <c r="K11" s="14">
        <v>29.99</v>
      </c>
      <c r="L11" s="14">
        <v>0.0</v>
      </c>
      <c r="M11" s="14">
        <v>99.88</v>
      </c>
      <c r="N11" s="14">
        <v>0.0</v>
      </c>
      <c r="O11" s="14">
        <v>0.0</v>
      </c>
      <c r="P11" s="14">
        <v>0.0</v>
      </c>
      <c r="Q11" s="14">
        <v>0.0</v>
      </c>
      <c r="R11" s="14">
        <v>0.0</v>
      </c>
      <c r="S11" s="14">
        <v>0.0</v>
      </c>
      <c r="T11" s="14">
        <v>0.0</v>
      </c>
      <c r="U11" s="14">
        <v>0.0</v>
      </c>
      <c r="V11" s="14">
        <v>0.0</v>
      </c>
      <c r="W11" s="14">
        <v>24.99</v>
      </c>
      <c r="X11" s="14">
        <v>0.0</v>
      </c>
      <c r="Y11" s="14">
        <v>0.0</v>
      </c>
      <c r="Z11" s="14">
        <v>0.0</v>
      </c>
      <c r="AA11" s="14">
        <v>0.0</v>
      </c>
      <c r="AB11" s="14">
        <v>29.99</v>
      </c>
      <c r="AC11" s="14">
        <v>0.0</v>
      </c>
      <c r="AD11" s="14">
        <v>0.0</v>
      </c>
      <c r="AE11" s="14">
        <v>0.0</v>
      </c>
      <c r="AF11" s="14">
        <v>0.0</v>
      </c>
    </row>
    <row r="12" outlineLevel="1">
      <c r="A12" s="13" t="s">
        <v>23</v>
      </c>
      <c r="B12" s="14">
        <v>416.3</v>
      </c>
      <c r="C12" s="14">
        <v>497.54</v>
      </c>
      <c r="D12" s="14">
        <v>674.96</v>
      </c>
      <c r="E12" s="14">
        <v>705.99</v>
      </c>
      <c r="F12" s="14">
        <v>482.72</v>
      </c>
      <c r="G12" s="14">
        <v>433.9</v>
      </c>
      <c r="H12" s="14">
        <v>316.12</v>
      </c>
      <c r="I12" s="14">
        <v>333.64</v>
      </c>
      <c r="J12" s="14">
        <v>488.77</v>
      </c>
      <c r="K12" s="14">
        <v>260.7</v>
      </c>
      <c r="L12" s="14">
        <v>328.5</v>
      </c>
      <c r="M12" s="14">
        <v>309.32</v>
      </c>
      <c r="N12" s="14">
        <v>221.2</v>
      </c>
      <c r="O12" s="14">
        <v>255.46</v>
      </c>
      <c r="P12" s="14">
        <v>416.57</v>
      </c>
      <c r="Q12" s="14">
        <v>216.62</v>
      </c>
      <c r="R12" s="14">
        <v>370.7</v>
      </c>
      <c r="S12" s="14">
        <v>407.0</v>
      </c>
      <c r="T12" s="14">
        <v>389.67</v>
      </c>
      <c r="U12" s="14">
        <v>272.1</v>
      </c>
      <c r="V12" s="14">
        <v>362.5</v>
      </c>
      <c r="W12" s="14">
        <v>648.07</v>
      </c>
      <c r="X12" s="14">
        <v>436.5</v>
      </c>
      <c r="Y12" s="14">
        <v>905.94</v>
      </c>
      <c r="Z12" s="14">
        <v>575.72</v>
      </c>
      <c r="AA12" s="14">
        <v>402.54</v>
      </c>
      <c r="AB12" s="14">
        <v>607.39</v>
      </c>
      <c r="AC12" s="14">
        <v>999.4</v>
      </c>
      <c r="AD12" s="14">
        <v>299.72</v>
      </c>
      <c r="AE12" s="14">
        <v>107.6</v>
      </c>
      <c r="AF12" s="14">
        <v>562.1</v>
      </c>
    </row>
    <row r="13" outlineLevel="1">
      <c r="A13" s="13" t="s">
        <v>24</v>
      </c>
      <c r="B13" s="14">
        <v>479.92</v>
      </c>
      <c r="C13" s="14">
        <v>479.92</v>
      </c>
      <c r="D13" s="14">
        <v>359.94</v>
      </c>
      <c r="E13" s="14">
        <v>359.94</v>
      </c>
      <c r="F13" s="14">
        <v>239.96</v>
      </c>
      <c r="G13" s="14">
        <v>419.93</v>
      </c>
      <c r="H13" s="14">
        <v>479.92</v>
      </c>
      <c r="I13" s="14">
        <v>179.97</v>
      </c>
      <c r="J13" s="14">
        <v>59.99</v>
      </c>
      <c r="K13" s="14">
        <v>179.97</v>
      </c>
      <c r="L13" s="14">
        <v>239.96</v>
      </c>
      <c r="M13" s="14">
        <v>359.94</v>
      </c>
      <c r="N13" s="14">
        <v>119.98</v>
      </c>
      <c r="O13" s="14">
        <v>239.96</v>
      </c>
      <c r="P13" s="14">
        <v>119.98</v>
      </c>
      <c r="Q13" s="14">
        <v>0.0</v>
      </c>
      <c r="R13" s="14">
        <v>0.0</v>
      </c>
      <c r="S13" s="14">
        <v>0.0</v>
      </c>
      <c r="T13" s="14">
        <v>0.0</v>
      </c>
      <c r="U13" s="14">
        <v>0.0</v>
      </c>
      <c r="V13" s="14">
        <v>0.0</v>
      </c>
      <c r="W13" s="14">
        <v>0.0</v>
      </c>
      <c r="X13" s="14">
        <v>0.0</v>
      </c>
      <c r="Y13" s="14">
        <v>0.0</v>
      </c>
      <c r="Z13" s="14">
        <v>0.0</v>
      </c>
      <c r="AA13" s="14">
        <v>0.0</v>
      </c>
      <c r="AB13" s="14">
        <v>0.0</v>
      </c>
      <c r="AC13" s="14">
        <v>0.0</v>
      </c>
      <c r="AD13" s="14">
        <v>619.81</v>
      </c>
      <c r="AE13" s="14">
        <v>179.97</v>
      </c>
      <c r="AF13" s="14">
        <v>1379.77</v>
      </c>
    </row>
    <row r="14" outlineLevel="1">
      <c r="A14" s="13" t="s">
        <v>25</v>
      </c>
      <c r="B14" s="14">
        <v>3844.09</v>
      </c>
      <c r="C14" s="14">
        <v>4055.37</v>
      </c>
      <c r="D14" s="14">
        <v>5095.66</v>
      </c>
      <c r="E14" s="14">
        <v>3519.57</v>
      </c>
      <c r="F14" s="14">
        <v>4250.54</v>
      </c>
      <c r="G14" s="14">
        <v>4119.82</v>
      </c>
      <c r="H14" s="14">
        <v>3542.38</v>
      </c>
      <c r="I14" s="14">
        <v>3223.01</v>
      </c>
      <c r="J14" s="14">
        <v>2318.1</v>
      </c>
      <c r="K14" s="14">
        <v>1842.11</v>
      </c>
      <c r="L14" s="14">
        <v>2660.59</v>
      </c>
      <c r="M14" s="14">
        <v>2614.07</v>
      </c>
      <c r="N14" s="14">
        <v>1534.36</v>
      </c>
      <c r="O14" s="14">
        <v>1704.75</v>
      </c>
      <c r="P14" s="14">
        <v>1277.74</v>
      </c>
      <c r="Q14" s="14">
        <v>1185.04</v>
      </c>
      <c r="R14" s="14">
        <v>1685.34</v>
      </c>
      <c r="S14" s="14">
        <v>1708.21</v>
      </c>
      <c r="T14" s="14">
        <v>1323.38</v>
      </c>
      <c r="U14" s="14">
        <v>1467.02</v>
      </c>
      <c r="V14" s="14">
        <v>1525.25</v>
      </c>
      <c r="W14" s="14">
        <v>1246.17</v>
      </c>
      <c r="X14" s="14">
        <v>1096.21</v>
      </c>
      <c r="Y14" s="14">
        <v>1086.01</v>
      </c>
      <c r="Z14" s="14">
        <v>1213.07</v>
      </c>
      <c r="AA14" s="14">
        <v>1459.3</v>
      </c>
      <c r="AB14" s="14">
        <v>1260.96</v>
      </c>
      <c r="AC14" s="14">
        <v>1450.33</v>
      </c>
      <c r="AD14" s="14">
        <v>1257.48</v>
      </c>
      <c r="AE14" s="14">
        <v>915.67</v>
      </c>
      <c r="AF14" s="14">
        <v>1194.32</v>
      </c>
    </row>
    <row r="15" outlineLevel="1">
      <c r="A15" s="13" t="s">
        <v>26</v>
      </c>
      <c r="B15" s="14">
        <v>4697.0</v>
      </c>
      <c r="C15" s="14">
        <v>5017.0</v>
      </c>
      <c r="D15" s="14">
        <v>6242.0</v>
      </c>
      <c r="E15" s="14">
        <v>4405.0</v>
      </c>
      <c r="F15" s="14">
        <v>5030.0</v>
      </c>
      <c r="G15" s="14">
        <v>5579.0</v>
      </c>
      <c r="H15" s="14">
        <v>4712.0</v>
      </c>
      <c r="I15" s="14">
        <v>3945.0</v>
      </c>
      <c r="J15" s="14">
        <v>3090.0</v>
      </c>
      <c r="K15" s="14">
        <v>2540.0</v>
      </c>
      <c r="L15" s="14">
        <v>3440.0</v>
      </c>
      <c r="M15" s="14">
        <v>3563.0</v>
      </c>
      <c r="N15" s="14">
        <v>2290.0</v>
      </c>
      <c r="O15" s="14">
        <v>2130.0</v>
      </c>
      <c r="P15" s="14">
        <v>1720.0</v>
      </c>
      <c r="Q15" s="14">
        <v>1550.0</v>
      </c>
      <c r="R15" s="14">
        <v>2000.0</v>
      </c>
      <c r="S15" s="14">
        <v>2102.0</v>
      </c>
      <c r="T15" s="14">
        <v>1775.0</v>
      </c>
      <c r="U15" s="14">
        <v>1885.0</v>
      </c>
      <c r="V15" s="14">
        <v>2177.0</v>
      </c>
      <c r="W15" s="14">
        <v>1645.0</v>
      </c>
      <c r="X15" s="14">
        <v>1390.0</v>
      </c>
      <c r="Y15" s="14">
        <v>1415.0</v>
      </c>
      <c r="Z15" s="14">
        <v>1485.0</v>
      </c>
      <c r="AA15" s="14">
        <v>1890.0</v>
      </c>
      <c r="AB15" s="14">
        <v>1695.0</v>
      </c>
      <c r="AC15" s="14">
        <v>1872.0</v>
      </c>
      <c r="AD15" s="14">
        <v>1597.0</v>
      </c>
      <c r="AE15" s="14">
        <v>1185.0</v>
      </c>
      <c r="AF15" s="14">
        <v>1510.0</v>
      </c>
    </row>
    <row r="16">
      <c r="A16" s="11" t="s">
        <v>27</v>
      </c>
      <c r="B16" s="12">
        <f t="shared" ref="B16:AF16" si="1">B17+B18+B19+B20+B21</f>
        <v>11611.55</v>
      </c>
      <c r="C16" s="12">
        <f t="shared" si="1"/>
        <v>12638.02</v>
      </c>
      <c r="D16" s="12">
        <f t="shared" si="1"/>
        <v>28708.19</v>
      </c>
      <c r="E16" s="12">
        <f t="shared" si="1"/>
        <v>53237.58</v>
      </c>
      <c r="F16" s="12">
        <f t="shared" si="1"/>
        <v>57707.56</v>
      </c>
      <c r="G16" s="12">
        <f t="shared" si="1"/>
        <v>83145.42</v>
      </c>
      <c r="H16" s="12">
        <f t="shared" si="1"/>
        <v>86587.82</v>
      </c>
      <c r="I16" s="12">
        <f t="shared" si="1"/>
        <v>84034.12</v>
      </c>
      <c r="J16" s="12">
        <f t="shared" si="1"/>
        <v>68911.96</v>
      </c>
      <c r="K16" s="12">
        <f t="shared" si="1"/>
        <v>60652.75</v>
      </c>
      <c r="L16" s="12">
        <f t="shared" si="1"/>
        <v>45367.27</v>
      </c>
      <c r="M16" s="12">
        <f t="shared" si="1"/>
        <v>45033.54</v>
      </c>
      <c r="N16" s="12">
        <f t="shared" si="1"/>
        <v>25515.93</v>
      </c>
      <c r="O16" s="12">
        <f t="shared" si="1"/>
        <v>23681.23</v>
      </c>
      <c r="P16" s="12">
        <f t="shared" si="1"/>
        <v>24509.6</v>
      </c>
      <c r="Q16" s="12">
        <f t="shared" si="1"/>
        <v>18459.22</v>
      </c>
      <c r="R16" s="12">
        <f t="shared" si="1"/>
        <v>14731.06</v>
      </c>
      <c r="S16" s="12">
        <f t="shared" si="1"/>
        <v>21416.86</v>
      </c>
      <c r="T16" s="12">
        <f t="shared" si="1"/>
        <v>19822.97</v>
      </c>
      <c r="U16" s="12">
        <f t="shared" si="1"/>
        <v>25368.52</v>
      </c>
      <c r="V16" s="12">
        <f t="shared" si="1"/>
        <v>16838.34</v>
      </c>
      <c r="W16" s="12">
        <f t="shared" si="1"/>
        <v>27824.62</v>
      </c>
      <c r="X16" s="12">
        <f t="shared" si="1"/>
        <v>14773.94</v>
      </c>
      <c r="Y16" s="12">
        <f t="shared" si="1"/>
        <v>19219.34</v>
      </c>
      <c r="Z16" s="12">
        <f t="shared" si="1"/>
        <v>18955.58</v>
      </c>
      <c r="AA16" s="12">
        <f t="shared" si="1"/>
        <v>17504.03</v>
      </c>
      <c r="AB16" s="12">
        <f t="shared" si="1"/>
        <v>20753.58</v>
      </c>
      <c r="AC16" s="12">
        <f t="shared" si="1"/>
        <v>16414.13</v>
      </c>
      <c r="AD16" s="12">
        <f t="shared" si="1"/>
        <v>15703.48</v>
      </c>
      <c r="AE16" s="12">
        <f t="shared" si="1"/>
        <v>14168.37</v>
      </c>
      <c r="AF16" s="12">
        <f t="shared" si="1"/>
        <v>16639.95</v>
      </c>
    </row>
    <row r="17" outlineLevel="1">
      <c r="A17" s="13" t="s">
        <v>20</v>
      </c>
      <c r="B17" s="14">
        <v>9618.56</v>
      </c>
      <c r="C17" s="14">
        <v>10274.56</v>
      </c>
      <c r="D17" s="14">
        <v>25155.12</v>
      </c>
      <c r="E17" s="14">
        <v>47228.56</v>
      </c>
      <c r="F17" s="14">
        <v>50218.24</v>
      </c>
      <c r="G17" s="14">
        <v>73785.16</v>
      </c>
      <c r="H17" s="14">
        <v>77132.98</v>
      </c>
      <c r="I17" s="14">
        <v>74457.21</v>
      </c>
      <c r="J17" s="14">
        <v>61433.73</v>
      </c>
      <c r="K17" s="14">
        <v>53643.85</v>
      </c>
      <c r="L17" s="14">
        <v>39657.59</v>
      </c>
      <c r="M17" s="14">
        <v>37515.27</v>
      </c>
      <c r="N17" s="14">
        <v>21183.88</v>
      </c>
      <c r="O17" s="14">
        <v>19788.56</v>
      </c>
      <c r="P17" s="14">
        <v>21033.8</v>
      </c>
      <c r="Q17" s="14">
        <v>16125.92</v>
      </c>
      <c r="R17" s="14">
        <v>12135.56</v>
      </c>
      <c r="S17" s="14">
        <v>18055.56</v>
      </c>
      <c r="T17" s="14">
        <v>16504.0</v>
      </c>
      <c r="U17" s="14">
        <v>21703.56</v>
      </c>
      <c r="V17" s="14">
        <v>14052.0</v>
      </c>
      <c r="W17" s="14">
        <v>23911.68</v>
      </c>
      <c r="X17" s="14">
        <v>12614.56</v>
      </c>
      <c r="Y17" s="14">
        <v>16384.0</v>
      </c>
      <c r="Z17" s="14">
        <v>16499.12</v>
      </c>
      <c r="AA17" s="14">
        <v>14949.0</v>
      </c>
      <c r="AB17" s="14">
        <v>17102.0</v>
      </c>
      <c r="AC17" s="14">
        <v>14112.0</v>
      </c>
      <c r="AD17" s="14">
        <v>13691.56</v>
      </c>
      <c r="AE17" s="14">
        <v>12136.56</v>
      </c>
      <c r="AF17" s="14">
        <v>13990.56</v>
      </c>
    </row>
    <row r="18" outlineLevel="1">
      <c r="A18" s="13" t="s">
        <v>21</v>
      </c>
      <c r="B18" s="14">
        <v>1236.0</v>
      </c>
      <c r="C18" s="14">
        <v>1548.0</v>
      </c>
      <c r="D18" s="14">
        <v>1605.0</v>
      </c>
      <c r="E18" s="14">
        <v>2462.12</v>
      </c>
      <c r="F18" s="14">
        <v>3699.0</v>
      </c>
      <c r="G18" s="14">
        <v>3759.8</v>
      </c>
      <c r="H18" s="14">
        <v>3591.12</v>
      </c>
      <c r="I18" s="14">
        <v>3883.8</v>
      </c>
      <c r="J18" s="14">
        <v>2962.68</v>
      </c>
      <c r="K18" s="14">
        <v>2918.12</v>
      </c>
      <c r="L18" s="14">
        <v>2617.8</v>
      </c>
      <c r="M18" s="14">
        <v>4459.24</v>
      </c>
      <c r="N18" s="14">
        <v>2670.0</v>
      </c>
      <c r="O18" s="14">
        <v>2361.0</v>
      </c>
      <c r="P18" s="14">
        <v>1809.68</v>
      </c>
      <c r="Q18" s="14">
        <v>1090.56</v>
      </c>
      <c r="R18" s="14">
        <v>1582.56</v>
      </c>
      <c r="S18" s="14">
        <v>1930.56</v>
      </c>
      <c r="T18" s="14">
        <v>1920.8</v>
      </c>
      <c r="U18" s="14">
        <v>1907.0</v>
      </c>
      <c r="V18" s="14">
        <v>1692.0</v>
      </c>
      <c r="W18" s="14">
        <v>2046.0</v>
      </c>
      <c r="X18" s="14">
        <v>1169.0</v>
      </c>
      <c r="Y18" s="14">
        <v>1561.12</v>
      </c>
      <c r="Z18" s="14">
        <v>1130.0</v>
      </c>
      <c r="AA18" s="14">
        <v>1416.56</v>
      </c>
      <c r="AB18" s="14">
        <v>2272.0</v>
      </c>
      <c r="AC18" s="14">
        <v>1131.0</v>
      </c>
      <c r="AD18" s="14">
        <v>977.0</v>
      </c>
      <c r="AE18" s="14">
        <v>1080.56</v>
      </c>
      <c r="AF18" s="14">
        <v>1577.12</v>
      </c>
    </row>
    <row r="19" outlineLevel="1">
      <c r="A19" s="13" t="s">
        <v>28</v>
      </c>
      <c r="B19" s="14">
        <v>756.74</v>
      </c>
      <c r="C19" s="14">
        <v>783.21</v>
      </c>
      <c r="D19" s="14">
        <v>1874.14</v>
      </c>
      <c r="E19" s="14">
        <v>3497.26</v>
      </c>
      <c r="F19" s="14">
        <v>3680.15</v>
      </c>
      <c r="G19" s="14">
        <v>5467.42</v>
      </c>
      <c r="H19" s="14">
        <v>5713.12</v>
      </c>
      <c r="I19" s="14">
        <v>5574.84</v>
      </c>
      <c r="J19" s="14">
        <v>4396.93</v>
      </c>
      <c r="K19" s="14">
        <v>3959.1</v>
      </c>
      <c r="L19" s="14">
        <v>3000.76</v>
      </c>
      <c r="M19" s="14">
        <v>3010.8</v>
      </c>
      <c r="N19" s="14">
        <v>1620.14</v>
      </c>
      <c r="O19" s="14">
        <v>1495.27</v>
      </c>
      <c r="P19" s="14">
        <v>1626.63</v>
      </c>
      <c r="Q19" s="14">
        <v>1224.77</v>
      </c>
      <c r="R19" s="14">
        <v>991.21</v>
      </c>
      <c r="S19" s="14">
        <v>1408.55</v>
      </c>
      <c r="T19" s="14">
        <v>1342.92</v>
      </c>
      <c r="U19" s="14">
        <v>1718.23</v>
      </c>
      <c r="V19" s="14">
        <v>1066.4</v>
      </c>
      <c r="W19" s="14">
        <v>1811.17</v>
      </c>
      <c r="X19" s="14">
        <v>968.47</v>
      </c>
      <c r="Y19" s="14">
        <v>1257.75</v>
      </c>
      <c r="Z19" s="14">
        <v>1289.02</v>
      </c>
      <c r="AA19" s="14">
        <v>1129.24</v>
      </c>
      <c r="AB19" s="14">
        <v>1354.93</v>
      </c>
      <c r="AC19" s="14">
        <v>1150.36</v>
      </c>
      <c r="AD19" s="14">
        <v>1012.01</v>
      </c>
      <c r="AE19" s="14">
        <v>950.75</v>
      </c>
      <c r="AF19" s="14">
        <v>1067.87</v>
      </c>
    </row>
    <row r="20" outlineLevel="1">
      <c r="A20" s="13" t="s">
        <v>26</v>
      </c>
      <c r="B20" s="14">
        <v>0.08</v>
      </c>
      <c r="C20" s="14">
        <v>18.61</v>
      </c>
      <c r="D20" s="14">
        <v>46.65</v>
      </c>
      <c r="E20" s="14">
        <v>0.24</v>
      </c>
      <c r="F20" s="14">
        <v>61.1</v>
      </c>
      <c r="G20" s="14">
        <v>69.15</v>
      </c>
      <c r="H20" s="14">
        <v>69.43</v>
      </c>
      <c r="I20" s="14">
        <v>35.75</v>
      </c>
      <c r="J20" s="14">
        <v>41.93</v>
      </c>
      <c r="K20" s="14">
        <v>55.5</v>
      </c>
      <c r="L20" s="14">
        <v>44.68</v>
      </c>
      <c r="M20" s="14">
        <v>42.89</v>
      </c>
      <c r="N20" s="14">
        <v>19.62</v>
      </c>
      <c r="O20" s="14">
        <v>22.76</v>
      </c>
      <c r="P20" s="14">
        <v>20.17</v>
      </c>
      <c r="Q20" s="14">
        <v>7.63</v>
      </c>
      <c r="R20" s="14">
        <v>7.92</v>
      </c>
      <c r="S20" s="14">
        <v>12.87</v>
      </c>
      <c r="T20" s="14">
        <v>36.44</v>
      </c>
      <c r="U20" s="14">
        <v>26.09</v>
      </c>
      <c r="V20" s="14">
        <v>6.99</v>
      </c>
      <c r="W20" s="14">
        <v>37.8</v>
      </c>
      <c r="X20" s="14">
        <v>8.27</v>
      </c>
      <c r="Y20" s="14">
        <v>7.15</v>
      </c>
      <c r="Z20" s="14">
        <v>28.12</v>
      </c>
      <c r="AA20" s="14">
        <v>0.08</v>
      </c>
      <c r="AB20" s="14">
        <v>11.18</v>
      </c>
      <c r="AC20" s="14">
        <v>11.79</v>
      </c>
      <c r="AD20" s="14">
        <v>15.26</v>
      </c>
      <c r="AE20" s="14">
        <v>0.16</v>
      </c>
      <c r="AF20" s="14">
        <v>3.89</v>
      </c>
    </row>
    <row r="21" outlineLevel="1">
      <c r="A21" s="13" t="s">
        <v>29</v>
      </c>
      <c r="B21" s="14">
        <v>0.17</v>
      </c>
      <c r="C21" s="14">
        <v>13.64</v>
      </c>
      <c r="D21" s="14">
        <v>27.28</v>
      </c>
      <c r="E21" s="14">
        <v>49.4</v>
      </c>
      <c r="F21" s="14">
        <v>49.07</v>
      </c>
      <c r="G21" s="14">
        <v>63.89</v>
      </c>
      <c r="H21" s="14">
        <v>81.17</v>
      </c>
      <c r="I21" s="14">
        <v>82.52</v>
      </c>
      <c r="J21" s="14">
        <v>76.69</v>
      </c>
      <c r="K21" s="14">
        <v>76.18</v>
      </c>
      <c r="L21" s="14">
        <v>46.44</v>
      </c>
      <c r="M21" s="14">
        <v>5.34</v>
      </c>
      <c r="N21" s="14">
        <v>22.29</v>
      </c>
      <c r="O21" s="14">
        <v>13.64</v>
      </c>
      <c r="P21" s="14">
        <v>19.32</v>
      </c>
      <c r="Q21" s="14">
        <v>10.34</v>
      </c>
      <c r="R21" s="14">
        <v>13.81</v>
      </c>
      <c r="S21" s="14">
        <v>9.32</v>
      </c>
      <c r="T21" s="14">
        <v>18.81</v>
      </c>
      <c r="U21" s="14">
        <v>13.64</v>
      </c>
      <c r="V21" s="14">
        <v>20.95</v>
      </c>
      <c r="W21" s="14">
        <v>17.97</v>
      </c>
      <c r="X21" s="14">
        <v>13.64</v>
      </c>
      <c r="Y21" s="14">
        <v>9.32</v>
      </c>
      <c r="Z21" s="14">
        <v>9.32</v>
      </c>
      <c r="AA21" s="14">
        <v>9.15</v>
      </c>
      <c r="AB21" s="14">
        <v>13.47</v>
      </c>
      <c r="AC21" s="14">
        <v>8.98</v>
      </c>
      <c r="AD21" s="14">
        <v>7.65</v>
      </c>
      <c r="AE21" s="14">
        <v>0.34</v>
      </c>
      <c r="AF21" s="14">
        <v>0.51</v>
      </c>
    </row>
    <row r="22">
      <c r="A22" s="11" t="s">
        <v>30</v>
      </c>
      <c r="B22" s="12">
        <f t="shared" ref="B22:AF22" si="2">SUM(B27,B23)</f>
        <v>636.818772</v>
      </c>
      <c r="C22" s="12">
        <f t="shared" si="2"/>
        <v>635.767986</v>
      </c>
      <c r="D22" s="12">
        <f t="shared" si="2"/>
        <v>955.228158</v>
      </c>
      <c r="E22" s="12">
        <f t="shared" si="2"/>
        <v>318.409386</v>
      </c>
      <c r="F22" s="12">
        <f t="shared" si="2"/>
        <v>0</v>
      </c>
      <c r="G22" s="12">
        <f t="shared" si="2"/>
        <v>0</v>
      </c>
      <c r="H22" s="12">
        <f t="shared" si="2"/>
        <v>955.228158</v>
      </c>
      <c r="I22" s="12">
        <f t="shared" si="2"/>
        <v>955.228158</v>
      </c>
      <c r="J22" s="12">
        <f t="shared" si="2"/>
        <v>636.818772</v>
      </c>
      <c r="K22" s="12">
        <f t="shared" si="2"/>
        <v>318.409386</v>
      </c>
      <c r="L22" s="12">
        <f t="shared" si="2"/>
        <v>318.409386</v>
      </c>
      <c r="M22" s="12">
        <f t="shared" si="2"/>
        <v>318.409386</v>
      </c>
      <c r="N22" s="12">
        <f t="shared" si="2"/>
        <v>0</v>
      </c>
      <c r="O22" s="12">
        <f t="shared" si="2"/>
        <v>0</v>
      </c>
      <c r="P22" s="12">
        <f t="shared" si="2"/>
        <v>0</v>
      </c>
      <c r="Q22" s="12">
        <f t="shared" si="2"/>
        <v>318.409386</v>
      </c>
      <c r="R22" s="12">
        <f t="shared" si="2"/>
        <v>0</v>
      </c>
      <c r="S22" s="12">
        <f t="shared" si="2"/>
        <v>0</v>
      </c>
      <c r="T22" s="12">
        <f t="shared" si="2"/>
        <v>636.818772</v>
      </c>
      <c r="U22" s="12">
        <f t="shared" si="2"/>
        <v>0</v>
      </c>
      <c r="V22" s="12">
        <f t="shared" si="2"/>
        <v>0</v>
      </c>
      <c r="W22" s="12">
        <f t="shared" si="2"/>
        <v>0</v>
      </c>
      <c r="X22" s="12">
        <f t="shared" si="2"/>
        <v>318.409386</v>
      </c>
      <c r="Y22" s="12">
        <f t="shared" si="2"/>
        <v>0</v>
      </c>
      <c r="Z22" s="12">
        <f t="shared" si="2"/>
        <v>0</v>
      </c>
      <c r="AA22" s="12">
        <f t="shared" si="2"/>
        <v>0</v>
      </c>
      <c r="AB22" s="12">
        <f t="shared" si="2"/>
        <v>955.228158</v>
      </c>
      <c r="AC22" s="12">
        <f t="shared" si="2"/>
        <v>318.409386</v>
      </c>
      <c r="AD22" s="12">
        <f t="shared" si="2"/>
        <v>0</v>
      </c>
      <c r="AE22" s="12">
        <f t="shared" si="2"/>
        <v>0</v>
      </c>
      <c r="AF22" s="12">
        <f t="shared" si="2"/>
        <v>318.409386</v>
      </c>
    </row>
    <row r="23" outlineLevel="1">
      <c r="A23" s="15" t="s">
        <v>31</v>
      </c>
      <c r="B23" s="16">
        <f t="shared" ref="B23:AF23" si="3">SUM(B24:B25)</f>
        <v>636.818772</v>
      </c>
      <c r="C23" s="16">
        <f t="shared" si="3"/>
        <v>318.409386</v>
      </c>
      <c r="D23" s="16">
        <f t="shared" si="3"/>
        <v>955.228158</v>
      </c>
      <c r="E23" s="16">
        <f t="shared" si="3"/>
        <v>318.409386</v>
      </c>
      <c r="F23" s="16">
        <f t="shared" si="3"/>
        <v>0</v>
      </c>
      <c r="G23" s="16">
        <f t="shared" si="3"/>
        <v>0</v>
      </c>
      <c r="H23" s="16">
        <f t="shared" si="3"/>
        <v>955.228158</v>
      </c>
      <c r="I23" s="16">
        <f t="shared" si="3"/>
        <v>955.228158</v>
      </c>
      <c r="J23" s="16">
        <f t="shared" si="3"/>
        <v>636.818772</v>
      </c>
      <c r="K23" s="16">
        <f t="shared" si="3"/>
        <v>318.409386</v>
      </c>
      <c r="L23" s="16">
        <f t="shared" si="3"/>
        <v>318.409386</v>
      </c>
      <c r="M23" s="16">
        <f t="shared" si="3"/>
        <v>318.409386</v>
      </c>
      <c r="N23" s="16">
        <f t="shared" si="3"/>
        <v>0</v>
      </c>
      <c r="O23" s="16">
        <f t="shared" si="3"/>
        <v>0</v>
      </c>
      <c r="P23" s="16">
        <f t="shared" si="3"/>
        <v>0</v>
      </c>
      <c r="Q23" s="16">
        <f t="shared" si="3"/>
        <v>318.409386</v>
      </c>
      <c r="R23" s="16">
        <f t="shared" si="3"/>
        <v>0</v>
      </c>
      <c r="S23" s="16">
        <f t="shared" si="3"/>
        <v>0</v>
      </c>
      <c r="T23" s="16">
        <f t="shared" si="3"/>
        <v>636.818772</v>
      </c>
      <c r="U23" s="16">
        <f t="shared" si="3"/>
        <v>0</v>
      </c>
      <c r="V23" s="16">
        <f t="shared" si="3"/>
        <v>0</v>
      </c>
      <c r="W23" s="16">
        <f t="shared" si="3"/>
        <v>0</v>
      </c>
      <c r="X23" s="16">
        <f t="shared" si="3"/>
        <v>318.409386</v>
      </c>
      <c r="Y23" s="16">
        <f t="shared" si="3"/>
        <v>0</v>
      </c>
      <c r="Z23" s="16">
        <f t="shared" si="3"/>
        <v>0</v>
      </c>
      <c r="AA23" s="16">
        <f t="shared" si="3"/>
        <v>0</v>
      </c>
      <c r="AB23" s="16">
        <f t="shared" si="3"/>
        <v>955.228158</v>
      </c>
      <c r="AC23" s="16">
        <f t="shared" si="3"/>
        <v>318.409386</v>
      </c>
      <c r="AD23" s="16">
        <f t="shared" si="3"/>
        <v>0</v>
      </c>
      <c r="AE23" s="16">
        <f t="shared" si="3"/>
        <v>0</v>
      </c>
      <c r="AF23" s="16">
        <f t="shared" si="3"/>
        <v>318.409386</v>
      </c>
    </row>
    <row r="24" outlineLevel="1">
      <c r="A24" s="13" t="s">
        <v>20</v>
      </c>
      <c r="B24" s="14">
        <v>599.98</v>
      </c>
      <c r="C24" s="14">
        <v>299.99</v>
      </c>
      <c r="D24" s="14">
        <v>899.97</v>
      </c>
      <c r="E24" s="14">
        <v>299.99</v>
      </c>
      <c r="F24" s="14">
        <v>0.0</v>
      </c>
      <c r="G24" s="14">
        <v>0.0</v>
      </c>
      <c r="H24" s="14">
        <v>899.97</v>
      </c>
      <c r="I24" s="14">
        <v>899.97</v>
      </c>
      <c r="J24" s="14">
        <v>599.98</v>
      </c>
      <c r="K24" s="14">
        <v>299.99</v>
      </c>
      <c r="L24" s="14">
        <v>299.99</v>
      </c>
      <c r="M24" s="14">
        <v>299.99</v>
      </c>
      <c r="N24" s="14">
        <v>0.0</v>
      </c>
      <c r="O24" s="14">
        <v>0.0</v>
      </c>
      <c r="P24" s="14">
        <v>0.0</v>
      </c>
      <c r="Q24" s="14">
        <v>299.99</v>
      </c>
      <c r="R24" s="14">
        <v>0.0</v>
      </c>
      <c r="S24" s="14">
        <v>0.0</v>
      </c>
      <c r="T24" s="14">
        <v>599.98</v>
      </c>
      <c r="U24" s="14">
        <v>0.0</v>
      </c>
      <c r="V24" s="14">
        <v>0.0</v>
      </c>
      <c r="W24" s="14">
        <v>0.0</v>
      </c>
      <c r="X24" s="14">
        <v>299.99</v>
      </c>
      <c r="Y24" s="14">
        <v>0.0</v>
      </c>
      <c r="Z24" s="14">
        <v>0.0</v>
      </c>
      <c r="AA24" s="14">
        <v>0.0</v>
      </c>
      <c r="AB24" s="14">
        <v>899.97</v>
      </c>
      <c r="AC24" s="14">
        <v>299.99</v>
      </c>
      <c r="AD24" s="14">
        <v>0.0</v>
      </c>
      <c r="AE24" s="14">
        <v>0.0</v>
      </c>
      <c r="AF24" s="14">
        <v>299.99</v>
      </c>
    </row>
    <row r="25" outlineLevel="1">
      <c r="A25" s="13" t="s">
        <v>28</v>
      </c>
      <c r="B25" s="14">
        <f t="shared" ref="B25:AF25" si="4">0.0614*B24</f>
        <v>36.838772</v>
      </c>
      <c r="C25" s="14">
        <f t="shared" si="4"/>
        <v>18.419386</v>
      </c>
      <c r="D25" s="14">
        <f t="shared" si="4"/>
        <v>55.258158</v>
      </c>
      <c r="E25" s="14">
        <f t="shared" si="4"/>
        <v>18.419386</v>
      </c>
      <c r="F25" s="14">
        <f t="shared" si="4"/>
        <v>0</v>
      </c>
      <c r="G25" s="14">
        <f t="shared" si="4"/>
        <v>0</v>
      </c>
      <c r="H25" s="14">
        <f t="shared" si="4"/>
        <v>55.258158</v>
      </c>
      <c r="I25" s="14">
        <f t="shared" si="4"/>
        <v>55.258158</v>
      </c>
      <c r="J25" s="14">
        <f t="shared" si="4"/>
        <v>36.838772</v>
      </c>
      <c r="K25" s="14">
        <f t="shared" si="4"/>
        <v>18.419386</v>
      </c>
      <c r="L25" s="14">
        <f t="shared" si="4"/>
        <v>18.419386</v>
      </c>
      <c r="M25" s="14">
        <f t="shared" si="4"/>
        <v>18.419386</v>
      </c>
      <c r="N25" s="14">
        <f t="shared" si="4"/>
        <v>0</v>
      </c>
      <c r="O25" s="14">
        <f t="shared" si="4"/>
        <v>0</v>
      </c>
      <c r="P25" s="14">
        <f t="shared" si="4"/>
        <v>0</v>
      </c>
      <c r="Q25" s="14">
        <f t="shared" si="4"/>
        <v>18.419386</v>
      </c>
      <c r="R25" s="14">
        <f t="shared" si="4"/>
        <v>0</v>
      </c>
      <c r="S25" s="14">
        <f t="shared" si="4"/>
        <v>0</v>
      </c>
      <c r="T25" s="14">
        <f t="shared" si="4"/>
        <v>36.838772</v>
      </c>
      <c r="U25" s="14">
        <f t="shared" si="4"/>
        <v>0</v>
      </c>
      <c r="V25" s="14">
        <f t="shared" si="4"/>
        <v>0</v>
      </c>
      <c r="W25" s="14">
        <f t="shared" si="4"/>
        <v>0</v>
      </c>
      <c r="X25" s="14">
        <f t="shared" si="4"/>
        <v>18.419386</v>
      </c>
      <c r="Y25" s="14">
        <f t="shared" si="4"/>
        <v>0</v>
      </c>
      <c r="Z25" s="14">
        <f t="shared" si="4"/>
        <v>0</v>
      </c>
      <c r="AA25" s="14">
        <f t="shared" si="4"/>
        <v>0</v>
      </c>
      <c r="AB25" s="14">
        <f t="shared" si="4"/>
        <v>55.258158</v>
      </c>
      <c r="AC25" s="14">
        <f t="shared" si="4"/>
        <v>18.419386</v>
      </c>
      <c r="AD25" s="14">
        <f t="shared" si="4"/>
        <v>0</v>
      </c>
      <c r="AE25" s="14">
        <f t="shared" si="4"/>
        <v>0</v>
      </c>
      <c r="AF25" s="14">
        <f t="shared" si="4"/>
        <v>18.419386</v>
      </c>
    </row>
    <row r="26" outlineLevel="1">
      <c r="A26" s="17" t="s">
        <v>26</v>
      </c>
      <c r="B26" s="18"/>
      <c r="C26" s="18"/>
      <c r="D26" s="18"/>
      <c r="E26" s="18"/>
      <c r="F26" s="18"/>
      <c r="G26" s="18"/>
      <c r="H26" s="18"/>
      <c r="I26" s="18"/>
      <c r="J26" s="18"/>
      <c r="K26" s="18"/>
      <c r="L26" s="18"/>
      <c r="M26" s="18"/>
      <c r="N26" s="18"/>
      <c r="O26" s="18"/>
      <c r="P26" s="18"/>
      <c r="Q26" s="18"/>
      <c r="R26" s="18"/>
      <c r="S26" s="18"/>
      <c r="T26" s="18"/>
      <c r="U26" s="18"/>
      <c r="V26" s="18"/>
      <c r="W26" s="18"/>
      <c r="X26" s="18"/>
      <c r="Y26" s="18"/>
      <c r="Z26" s="18"/>
      <c r="AA26" s="18"/>
      <c r="AB26" s="18"/>
      <c r="AC26" s="18"/>
      <c r="AD26" s="18"/>
      <c r="AE26" s="18"/>
      <c r="AF26" s="18"/>
    </row>
    <row r="27" outlineLevel="1">
      <c r="A27" s="13" t="s">
        <v>32</v>
      </c>
      <c r="B27" s="14">
        <f t="shared" ref="B27:AF27" si="5">SUM(B28:B30)</f>
        <v>0</v>
      </c>
      <c r="C27" s="14">
        <f t="shared" si="5"/>
        <v>317.3586</v>
      </c>
      <c r="D27" s="14">
        <f t="shared" si="5"/>
        <v>0</v>
      </c>
      <c r="E27" s="14">
        <f t="shared" si="5"/>
        <v>0</v>
      </c>
      <c r="F27" s="14">
        <f t="shared" si="5"/>
        <v>0</v>
      </c>
      <c r="G27" s="14">
        <f t="shared" si="5"/>
        <v>0</v>
      </c>
      <c r="H27" s="14">
        <f t="shared" si="5"/>
        <v>0</v>
      </c>
      <c r="I27" s="14">
        <f t="shared" si="5"/>
        <v>0</v>
      </c>
      <c r="J27" s="14">
        <f t="shared" si="5"/>
        <v>0</v>
      </c>
      <c r="K27" s="14">
        <f t="shared" si="5"/>
        <v>0</v>
      </c>
      <c r="L27" s="14">
        <f t="shared" si="5"/>
        <v>0</v>
      </c>
      <c r="M27" s="14">
        <f t="shared" si="5"/>
        <v>0</v>
      </c>
      <c r="N27" s="14">
        <f t="shared" si="5"/>
        <v>0</v>
      </c>
      <c r="O27" s="14">
        <f t="shared" si="5"/>
        <v>0</v>
      </c>
      <c r="P27" s="14">
        <f t="shared" si="5"/>
        <v>0</v>
      </c>
      <c r="Q27" s="14">
        <f t="shared" si="5"/>
        <v>0</v>
      </c>
      <c r="R27" s="14">
        <f t="shared" si="5"/>
        <v>0</v>
      </c>
      <c r="S27" s="14">
        <f t="shared" si="5"/>
        <v>0</v>
      </c>
      <c r="T27" s="14">
        <f t="shared" si="5"/>
        <v>0</v>
      </c>
      <c r="U27" s="14">
        <f t="shared" si="5"/>
        <v>0</v>
      </c>
      <c r="V27" s="14">
        <f t="shared" si="5"/>
        <v>0</v>
      </c>
      <c r="W27" s="14">
        <f t="shared" si="5"/>
        <v>0</v>
      </c>
      <c r="X27" s="14">
        <f t="shared" si="5"/>
        <v>0</v>
      </c>
      <c r="Y27" s="14">
        <f t="shared" si="5"/>
        <v>0</v>
      </c>
      <c r="Z27" s="14">
        <f t="shared" si="5"/>
        <v>0</v>
      </c>
      <c r="AA27" s="14">
        <f t="shared" si="5"/>
        <v>0</v>
      </c>
      <c r="AB27" s="14">
        <f t="shared" si="5"/>
        <v>0</v>
      </c>
      <c r="AC27" s="14">
        <f t="shared" si="5"/>
        <v>0</v>
      </c>
      <c r="AD27" s="14">
        <f t="shared" si="5"/>
        <v>0</v>
      </c>
      <c r="AE27" s="14">
        <f t="shared" si="5"/>
        <v>0</v>
      </c>
      <c r="AF27" s="14">
        <f t="shared" si="5"/>
        <v>0</v>
      </c>
    </row>
    <row r="28" outlineLevel="1">
      <c r="A28" s="13" t="s">
        <v>20</v>
      </c>
      <c r="B28" s="14">
        <v>0.0</v>
      </c>
      <c r="C28" s="14">
        <v>299.0</v>
      </c>
      <c r="D28" s="14">
        <v>0.0</v>
      </c>
      <c r="E28" s="14">
        <v>0.0</v>
      </c>
      <c r="F28" s="14">
        <v>0.0</v>
      </c>
      <c r="G28" s="14">
        <v>0.0</v>
      </c>
      <c r="H28" s="14">
        <v>0.0</v>
      </c>
      <c r="I28" s="14">
        <v>0.0</v>
      </c>
      <c r="J28" s="14">
        <v>0.0</v>
      </c>
      <c r="K28" s="14">
        <v>0.0</v>
      </c>
      <c r="L28" s="14">
        <v>0.0</v>
      </c>
      <c r="M28" s="14">
        <v>0.0</v>
      </c>
      <c r="N28" s="14">
        <v>0.0</v>
      </c>
      <c r="O28" s="14">
        <v>0.0</v>
      </c>
      <c r="P28" s="14">
        <v>0.0</v>
      </c>
      <c r="Q28" s="14">
        <v>0.0</v>
      </c>
      <c r="R28" s="14">
        <v>0.0</v>
      </c>
      <c r="S28" s="14">
        <v>0.0</v>
      </c>
      <c r="T28" s="14">
        <v>0.0</v>
      </c>
      <c r="U28" s="14">
        <v>0.0</v>
      </c>
      <c r="V28" s="14">
        <v>0.0</v>
      </c>
      <c r="W28" s="14">
        <v>0.0</v>
      </c>
      <c r="X28" s="14">
        <v>0.0</v>
      </c>
      <c r="Y28" s="14">
        <v>0.0</v>
      </c>
      <c r="Z28" s="14">
        <v>0.0</v>
      </c>
      <c r="AA28" s="14">
        <v>0.0</v>
      </c>
      <c r="AB28" s="14">
        <v>0.0</v>
      </c>
      <c r="AC28" s="14">
        <v>0.0</v>
      </c>
      <c r="AD28" s="14">
        <v>0.0</v>
      </c>
      <c r="AE28" s="14">
        <v>0.0</v>
      </c>
      <c r="AF28" s="14">
        <v>0.0</v>
      </c>
    </row>
    <row r="29" outlineLevel="1">
      <c r="A29" s="13" t="s">
        <v>28</v>
      </c>
      <c r="B29" s="14">
        <f t="shared" ref="B29:AF29" si="6">0.0614*B28</f>
        <v>0</v>
      </c>
      <c r="C29" s="14">
        <f t="shared" si="6"/>
        <v>18.3586</v>
      </c>
      <c r="D29" s="14">
        <f t="shared" si="6"/>
        <v>0</v>
      </c>
      <c r="E29" s="14">
        <f t="shared" si="6"/>
        <v>0</v>
      </c>
      <c r="F29" s="14">
        <f t="shared" si="6"/>
        <v>0</v>
      </c>
      <c r="G29" s="14">
        <f t="shared" si="6"/>
        <v>0</v>
      </c>
      <c r="H29" s="14">
        <f t="shared" si="6"/>
        <v>0</v>
      </c>
      <c r="I29" s="14">
        <f t="shared" si="6"/>
        <v>0</v>
      </c>
      <c r="J29" s="14">
        <f t="shared" si="6"/>
        <v>0</v>
      </c>
      <c r="K29" s="14">
        <f t="shared" si="6"/>
        <v>0</v>
      </c>
      <c r="L29" s="14">
        <f t="shared" si="6"/>
        <v>0</v>
      </c>
      <c r="M29" s="14">
        <f t="shared" si="6"/>
        <v>0</v>
      </c>
      <c r="N29" s="14">
        <f t="shared" si="6"/>
        <v>0</v>
      </c>
      <c r="O29" s="14">
        <f t="shared" si="6"/>
        <v>0</v>
      </c>
      <c r="P29" s="14">
        <f t="shared" si="6"/>
        <v>0</v>
      </c>
      <c r="Q29" s="14">
        <f t="shared" si="6"/>
        <v>0</v>
      </c>
      <c r="R29" s="14">
        <f t="shared" si="6"/>
        <v>0</v>
      </c>
      <c r="S29" s="14">
        <f t="shared" si="6"/>
        <v>0</v>
      </c>
      <c r="T29" s="14">
        <f t="shared" si="6"/>
        <v>0</v>
      </c>
      <c r="U29" s="14">
        <f t="shared" si="6"/>
        <v>0</v>
      </c>
      <c r="V29" s="14">
        <f t="shared" si="6"/>
        <v>0</v>
      </c>
      <c r="W29" s="14">
        <f t="shared" si="6"/>
        <v>0</v>
      </c>
      <c r="X29" s="14">
        <f t="shared" si="6"/>
        <v>0</v>
      </c>
      <c r="Y29" s="14">
        <f t="shared" si="6"/>
        <v>0</v>
      </c>
      <c r="Z29" s="14">
        <f t="shared" si="6"/>
        <v>0</v>
      </c>
      <c r="AA29" s="14">
        <f t="shared" si="6"/>
        <v>0</v>
      </c>
      <c r="AB29" s="14">
        <f t="shared" si="6"/>
        <v>0</v>
      </c>
      <c r="AC29" s="14">
        <f t="shared" si="6"/>
        <v>0</v>
      </c>
      <c r="AD29" s="14">
        <f t="shared" si="6"/>
        <v>0</v>
      </c>
      <c r="AE29" s="14">
        <f t="shared" si="6"/>
        <v>0</v>
      </c>
      <c r="AF29" s="14">
        <f t="shared" si="6"/>
        <v>0</v>
      </c>
    </row>
    <row r="30" outlineLevel="1">
      <c r="A30" s="17" t="s">
        <v>26</v>
      </c>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c r="AB30" s="18"/>
      <c r="AC30" s="18"/>
      <c r="AD30" s="18"/>
      <c r="AE30" s="18"/>
      <c r="AF30" s="18"/>
    </row>
    <row r="31">
      <c r="A31" s="19" t="s">
        <v>33</v>
      </c>
      <c r="B31" s="20">
        <f t="shared" ref="B31:AF31" si="7">SUM(B8+B16+B22)</f>
        <v>75060.22877</v>
      </c>
      <c r="C31" s="20">
        <f t="shared" si="7"/>
        <v>78628.76799</v>
      </c>
      <c r="D31" s="20">
        <f t="shared" si="7"/>
        <v>112486.5782</v>
      </c>
      <c r="E31" s="20">
        <f t="shared" si="7"/>
        <v>112100.6894</v>
      </c>
      <c r="F31" s="20">
        <f t="shared" si="7"/>
        <v>124751.28</v>
      </c>
      <c r="G31" s="20">
        <f t="shared" si="7"/>
        <v>154060.22</v>
      </c>
      <c r="H31" s="20">
        <f t="shared" si="7"/>
        <v>146811.5682</v>
      </c>
      <c r="I31" s="20">
        <f t="shared" si="7"/>
        <v>135277.6182</v>
      </c>
      <c r="J31" s="20">
        <f t="shared" si="7"/>
        <v>108552.7388</v>
      </c>
      <c r="K31" s="20">
        <f t="shared" si="7"/>
        <v>93122.27939</v>
      </c>
      <c r="L31" s="20">
        <f t="shared" si="7"/>
        <v>88656.12939</v>
      </c>
      <c r="M31" s="20">
        <f t="shared" si="7"/>
        <v>90127.05939</v>
      </c>
      <c r="N31" s="20">
        <f t="shared" si="7"/>
        <v>52810.22</v>
      </c>
      <c r="O31" s="20">
        <f t="shared" si="7"/>
        <v>50683.7</v>
      </c>
      <c r="P31" s="20">
        <f t="shared" si="7"/>
        <v>46529.84</v>
      </c>
      <c r="Q31" s="20">
        <f t="shared" si="7"/>
        <v>37530.78939</v>
      </c>
      <c r="R31" s="20">
        <f t="shared" si="7"/>
        <v>41528.1</v>
      </c>
      <c r="S31" s="20">
        <f t="shared" si="7"/>
        <v>48536.52</v>
      </c>
      <c r="T31" s="20">
        <f t="shared" si="7"/>
        <v>43283.28877</v>
      </c>
      <c r="U31" s="20">
        <f t="shared" si="7"/>
        <v>49384.09</v>
      </c>
      <c r="V31" s="20">
        <f t="shared" si="7"/>
        <v>41608.44</v>
      </c>
      <c r="W31" s="20">
        <f t="shared" si="7"/>
        <v>48069.65</v>
      </c>
      <c r="X31" s="20">
        <f t="shared" si="7"/>
        <v>32264.35939</v>
      </c>
      <c r="Y31" s="20">
        <f t="shared" si="7"/>
        <v>37271.89</v>
      </c>
      <c r="Z31" s="20">
        <f t="shared" si="7"/>
        <v>37885.97</v>
      </c>
      <c r="AA31" s="20">
        <f t="shared" si="7"/>
        <v>41987.87</v>
      </c>
      <c r="AB31" s="20">
        <f t="shared" si="7"/>
        <v>43549.04816</v>
      </c>
      <c r="AC31" s="20">
        <f t="shared" si="7"/>
        <v>40171.81939</v>
      </c>
      <c r="AD31" s="20">
        <f t="shared" si="7"/>
        <v>36550.64</v>
      </c>
      <c r="AE31" s="20">
        <f t="shared" si="7"/>
        <v>28660.61</v>
      </c>
      <c r="AF31" s="20">
        <f t="shared" si="7"/>
        <v>38650.39939</v>
      </c>
    </row>
    <row r="33">
      <c r="A33" s="11" t="s">
        <v>34</v>
      </c>
    </row>
    <row r="34" collapsed="1">
      <c r="A34" s="21" t="s">
        <v>35</v>
      </c>
      <c r="B34" s="22">
        <f>iferror(sum(B35:B37),"")</f>
        <v>38400.3906</v>
      </c>
      <c r="C34" s="22">
        <f t="shared" ref="C34:AF34" si="8">sum(C35:C37)</f>
        <v>5712.4548</v>
      </c>
      <c r="D34" s="22">
        <f t="shared" si="8"/>
        <v>7616.6064</v>
      </c>
      <c r="E34" s="22">
        <f t="shared" si="8"/>
        <v>11424.9096</v>
      </c>
      <c r="F34" s="22">
        <f t="shared" si="8"/>
        <v>0</v>
      </c>
      <c r="G34" s="22">
        <f t="shared" si="8"/>
        <v>2221.5102</v>
      </c>
      <c r="H34" s="22">
        <f t="shared" si="8"/>
        <v>3490.9446</v>
      </c>
      <c r="I34" s="22">
        <f t="shared" si="8"/>
        <v>1269.4344</v>
      </c>
      <c r="J34" s="22">
        <f t="shared" si="8"/>
        <v>6029.8134</v>
      </c>
      <c r="K34" s="22">
        <f t="shared" si="8"/>
        <v>6029.8134</v>
      </c>
      <c r="L34" s="22">
        <f t="shared" si="8"/>
        <v>7616.6064</v>
      </c>
      <c r="M34" s="22">
        <f t="shared" si="8"/>
        <v>0</v>
      </c>
      <c r="N34" s="22">
        <f t="shared" si="8"/>
        <v>3808.3032</v>
      </c>
      <c r="O34" s="22">
        <f t="shared" si="8"/>
        <v>634.7172</v>
      </c>
      <c r="P34" s="22">
        <f t="shared" si="8"/>
        <v>1586.793</v>
      </c>
      <c r="Q34" s="22">
        <f t="shared" si="8"/>
        <v>952.0758</v>
      </c>
      <c r="R34" s="22">
        <f t="shared" si="8"/>
        <v>1586.793</v>
      </c>
      <c r="S34" s="22">
        <f t="shared" si="8"/>
        <v>1269.4344</v>
      </c>
      <c r="T34" s="22">
        <f t="shared" si="8"/>
        <v>0</v>
      </c>
      <c r="U34" s="22">
        <f t="shared" si="8"/>
        <v>0</v>
      </c>
      <c r="V34" s="22">
        <f t="shared" si="8"/>
        <v>317.3586</v>
      </c>
      <c r="W34" s="22">
        <f t="shared" si="8"/>
        <v>952.0758</v>
      </c>
      <c r="X34" s="22">
        <f t="shared" si="8"/>
        <v>1269.4344</v>
      </c>
      <c r="Y34" s="22">
        <f t="shared" si="8"/>
        <v>1586.793</v>
      </c>
      <c r="Z34" s="22">
        <f t="shared" si="8"/>
        <v>2221.5102</v>
      </c>
      <c r="AA34" s="22">
        <f t="shared" si="8"/>
        <v>0</v>
      </c>
      <c r="AB34" s="22">
        <f t="shared" si="8"/>
        <v>317.3586</v>
      </c>
      <c r="AC34" s="22">
        <f t="shared" si="8"/>
        <v>952.0758</v>
      </c>
      <c r="AD34" s="22">
        <f t="shared" si="8"/>
        <v>3490.9446</v>
      </c>
      <c r="AE34" s="22">
        <f t="shared" si="8"/>
        <v>2856.2274</v>
      </c>
      <c r="AF34" s="22">
        <f t="shared" si="8"/>
        <v>5712.4548</v>
      </c>
    </row>
    <row r="35" hidden="1" outlineLevel="1">
      <c r="A35" s="13" t="s">
        <v>20</v>
      </c>
      <c r="B35" s="23">
        <v>36179.0</v>
      </c>
      <c r="C35" s="23">
        <v>5382.0</v>
      </c>
      <c r="D35" s="23">
        <v>7176.0</v>
      </c>
      <c r="E35" s="23">
        <v>10764.0</v>
      </c>
      <c r="F35" s="23">
        <v>0.0</v>
      </c>
      <c r="G35" s="23">
        <v>2093.0</v>
      </c>
      <c r="H35" s="23">
        <v>3289.0</v>
      </c>
      <c r="I35" s="23">
        <v>1196.0</v>
      </c>
      <c r="J35" s="23">
        <v>5681.0</v>
      </c>
      <c r="K35" s="23">
        <v>5681.0</v>
      </c>
      <c r="L35" s="23">
        <v>7176.0</v>
      </c>
      <c r="M35" s="23">
        <v>0.0</v>
      </c>
      <c r="N35" s="23">
        <v>3588.0</v>
      </c>
      <c r="O35" s="23">
        <v>598.0</v>
      </c>
      <c r="P35" s="23">
        <v>1495.0</v>
      </c>
      <c r="Q35" s="23">
        <v>897.0</v>
      </c>
      <c r="R35" s="23">
        <v>1495.0</v>
      </c>
      <c r="S35" s="23">
        <v>1196.0</v>
      </c>
      <c r="T35" s="23">
        <v>0.0</v>
      </c>
      <c r="U35" s="23">
        <v>0.0</v>
      </c>
      <c r="V35" s="23">
        <v>299.0</v>
      </c>
      <c r="W35" s="23">
        <v>897.0</v>
      </c>
      <c r="X35" s="23">
        <v>1196.0</v>
      </c>
      <c r="Y35" s="23">
        <v>1495.0</v>
      </c>
      <c r="Z35" s="23">
        <v>2093.0</v>
      </c>
      <c r="AA35" s="23">
        <v>0.0</v>
      </c>
      <c r="AB35" s="23">
        <v>299.0</v>
      </c>
      <c r="AC35" s="23">
        <v>897.0</v>
      </c>
      <c r="AD35" s="23">
        <v>3289.0</v>
      </c>
      <c r="AE35" s="23">
        <v>2691.0</v>
      </c>
      <c r="AF35" s="23">
        <v>5382.0</v>
      </c>
    </row>
    <row r="36" hidden="1" outlineLevel="1">
      <c r="A36" s="13" t="s">
        <v>28</v>
      </c>
      <c r="B36" s="23">
        <f>B35*'Data - P&amp;L'!$U$3</f>
        <v>2221.3906</v>
      </c>
      <c r="C36" s="23">
        <f>C35*'Data - P&amp;L'!$U$3</f>
        <v>330.4548</v>
      </c>
      <c r="D36" s="23">
        <f>D35*'Data - P&amp;L'!$U$3</f>
        <v>440.6064</v>
      </c>
      <c r="E36" s="23">
        <f>E35*'Data - P&amp;L'!$U$3</f>
        <v>660.9096</v>
      </c>
      <c r="F36" s="23">
        <f>F35*'Data - P&amp;L'!$U$3</f>
        <v>0</v>
      </c>
      <c r="G36" s="23">
        <f>G35*'Data - P&amp;L'!$U$3</f>
        <v>128.5102</v>
      </c>
      <c r="H36" s="23">
        <f>H35*'Data - P&amp;L'!$U$3</f>
        <v>201.9446</v>
      </c>
      <c r="I36" s="23">
        <f>I35*'Data - P&amp;L'!$U$3</f>
        <v>73.4344</v>
      </c>
      <c r="J36" s="23">
        <f>J35*'Data - P&amp;L'!$U$3</f>
        <v>348.8134</v>
      </c>
      <c r="K36" s="23">
        <f>K35*'Data - P&amp;L'!$U$3</f>
        <v>348.8134</v>
      </c>
      <c r="L36" s="23">
        <f>L35*'Data - P&amp;L'!$U$3</f>
        <v>440.6064</v>
      </c>
      <c r="M36" s="23">
        <f>M35*'Data - P&amp;L'!$U$3</f>
        <v>0</v>
      </c>
      <c r="N36" s="23">
        <f>N35*'Data - P&amp;L'!$U$3</f>
        <v>220.3032</v>
      </c>
      <c r="O36" s="23">
        <f>O35*'Data - P&amp;L'!$U$3</f>
        <v>36.7172</v>
      </c>
      <c r="P36" s="23">
        <f>P35*'Data - P&amp;L'!$U$3</f>
        <v>91.793</v>
      </c>
      <c r="Q36" s="23">
        <f>Q35*'Data - P&amp;L'!$U$3</f>
        <v>55.0758</v>
      </c>
      <c r="R36" s="23">
        <f>R35*'Data - P&amp;L'!$U$3</f>
        <v>91.793</v>
      </c>
      <c r="S36" s="23">
        <f>S35*'Data - P&amp;L'!$U$3</f>
        <v>73.4344</v>
      </c>
      <c r="T36" s="23">
        <f>T35*'Data - P&amp;L'!$U$3</f>
        <v>0</v>
      </c>
      <c r="U36" s="23">
        <f>U35*'Data - P&amp;L'!$U$3</f>
        <v>0</v>
      </c>
      <c r="V36" s="23">
        <f>V35*'Data - P&amp;L'!$U$3</f>
        <v>18.3586</v>
      </c>
      <c r="W36" s="23">
        <f>W35*'Data - P&amp;L'!$U$3</f>
        <v>55.0758</v>
      </c>
      <c r="X36" s="23">
        <f>X35*'Data - P&amp;L'!$U$3</f>
        <v>73.4344</v>
      </c>
      <c r="Y36" s="23">
        <f>Y35*'Data - P&amp;L'!$U$3</f>
        <v>91.793</v>
      </c>
      <c r="Z36" s="23">
        <f>Z35*'Data - P&amp;L'!$U$3</f>
        <v>128.5102</v>
      </c>
      <c r="AA36" s="23">
        <f>AA35*'Data - P&amp;L'!$U$3</f>
        <v>0</v>
      </c>
      <c r="AB36" s="23">
        <f>AB35*'Data - P&amp;L'!$U$3</f>
        <v>18.3586</v>
      </c>
      <c r="AC36" s="23">
        <f>AC35*'Data - P&amp;L'!$U$3</f>
        <v>55.0758</v>
      </c>
      <c r="AD36" s="23">
        <f>AD35*'Data - P&amp;L'!$U$3</f>
        <v>201.9446</v>
      </c>
      <c r="AE36" s="23">
        <f>AE35*'Data - P&amp;L'!$U$3</f>
        <v>165.2274</v>
      </c>
      <c r="AF36" s="23">
        <f>AF35*'Data - P&amp;L'!$U$3</f>
        <v>330.4548</v>
      </c>
    </row>
    <row r="37" hidden="1" outlineLevel="1">
      <c r="A37" s="13" t="s">
        <v>26</v>
      </c>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c r="AB37" s="24"/>
      <c r="AC37" s="24"/>
      <c r="AD37" s="25"/>
      <c r="AE37" s="25"/>
      <c r="AF37" s="25"/>
    </row>
    <row r="38">
      <c r="A38" s="13" t="s">
        <v>36</v>
      </c>
      <c r="B38" s="26">
        <f t="shared" ref="B38:AF38" si="9">sum(B39:B41)</f>
        <v>1415.9076</v>
      </c>
      <c r="C38" s="26">
        <f t="shared" si="9"/>
        <v>1526.2932</v>
      </c>
      <c r="D38" s="26">
        <f t="shared" si="9"/>
        <v>1784.2134</v>
      </c>
      <c r="E38" s="26">
        <f t="shared" si="9"/>
        <v>3203.3052</v>
      </c>
      <c r="F38" s="26">
        <f t="shared" si="9"/>
        <v>5828.1474</v>
      </c>
      <c r="G38" s="26">
        <f t="shared" si="9"/>
        <v>7178.2482</v>
      </c>
      <c r="H38" s="26">
        <f t="shared" si="9"/>
        <v>4623.4584</v>
      </c>
      <c r="I38" s="26">
        <f t="shared" si="9"/>
        <v>6599.7852</v>
      </c>
      <c r="J38" s="26">
        <f t="shared" si="9"/>
        <v>4488.6606</v>
      </c>
      <c r="K38" s="26">
        <f t="shared" si="9"/>
        <v>7720.6236</v>
      </c>
      <c r="L38" s="26">
        <f t="shared" si="9"/>
        <v>10142.7384</v>
      </c>
      <c r="M38" s="26">
        <f t="shared" si="9"/>
        <v>4710.4932</v>
      </c>
      <c r="N38" s="26">
        <f t="shared" si="9"/>
        <v>1260.9432</v>
      </c>
      <c r="O38" s="26">
        <f t="shared" si="9"/>
        <v>0</v>
      </c>
      <c r="P38" s="26">
        <f t="shared" si="9"/>
        <v>537.0684</v>
      </c>
      <c r="Q38" s="26">
        <f t="shared" si="9"/>
        <v>713.2608</v>
      </c>
      <c r="R38" s="26">
        <f t="shared" si="9"/>
        <v>254.736</v>
      </c>
      <c r="S38" s="26">
        <f t="shared" si="9"/>
        <v>1018.944</v>
      </c>
      <c r="T38" s="26">
        <f t="shared" si="9"/>
        <v>723.8748</v>
      </c>
      <c r="U38" s="26">
        <f t="shared" si="9"/>
        <v>1757.6784</v>
      </c>
      <c r="V38" s="26">
        <f t="shared" si="9"/>
        <v>496.7352</v>
      </c>
      <c r="W38" s="26">
        <f t="shared" si="9"/>
        <v>0</v>
      </c>
      <c r="X38" s="26">
        <f t="shared" si="9"/>
        <v>712.1994</v>
      </c>
      <c r="Y38" s="26">
        <f t="shared" si="9"/>
        <v>254.736</v>
      </c>
      <c r="Z38" s="26">
        <f t="shared" si="9"/>
        <v>1017.8826</v>
      </c>
      <c r="AA38" s="26">
        <f t="shared" si="9"/>
        <v>254.736</v>
      </c>
      <c r="AB38" s="26">
        <f t="shared" si="9"/>
        <v>253.6746</v>
      </c>
      <c r="AC38" s="26">
        <f t="shared" si="9"/>
        <v>2811.6486</v>
      </c>
      <c r="AD38" s="26">
        <f t="shared" si="9"/>
        <v>2072.9142</v>
      </c>
      <c r="AE38" s="26">
        <f t="shared" si="9"/>
        <v>2021.967</v>
      </c>
      <c r="AF38" s="26">
        <f t="shared" si="9"/>
        <v>1818.1782</v>
      </c>
    </row>
    <row r="39" outlineLevel="1">
      <c r="A39" s="13" t="s">
        <v>20</v>
      </c>
      <c r="B39" s="23">
        <v>1334.0</v>
      </c>
      <c r="C39" s="23">
        <v>1438.0</v>
      </c>
      <c r="D39" s="23">
        <v>1681.0</v>
      </c>
      <c r="E39" s="23">
        <v>3018.0</v>
      </c>
      <c r="F39" s="23">
        <v>5491.0</v>
      </c>
      <c r="G39" s="23">
        <v>6763.0</v>
      </c>
      <c r="H39" s="23">
        <v>4356.0</v>
      </c>
      <c r="I39" s="23">
        <v>6218.0</v>
      </c>
      <c r="J39" s="23">
        <v>4229.0</v>
      </c>
      <c r="K39" s="23">
        <v>7274.0</v>
      </c>
      <c r="L39" s="23">
        <v>9556.0</v>
      </c>
      <c r="M39" s="23">
        <v>4438.0</v>
      </c>
      <c r="N39" s="23">
        <v>1188.0</v>
      </c>
      <c r="O39" s="23">
        <v>0.0</v>
      </c>
      <c r="P39" s="23">
        <v>506.0</v>
      </c>
      <c r="Q39" s="23">
        <v>672.0</v>
      </c>
      <c r="R39" s="23">
        <v>240.0</v>
      </c>
      <c r="S39" s="23">
        <v>960.0</v>
      </c>
      <c r="T39" s="23">
        <v>682.0</v>
      </c>
      <c r="U39" s="23">
        <v>1656.0</v>
      </c>
      <c r="V39" s="23">
        <v>468.0</v>
      </c>
      <c r="W39" s="23">
        <v>0.0</v>
      </c>
      <c r="X39" s="23">
        <v>671.0</v>
      </c>
      <c r="Y39" s="23">
        <v>240.0</v>
      </c>
      <c r="Z39" s="23">
        <v>959.0</v>
      </c>
      <c r="AA39" s="23">
        <v>240.0</v>
      </c>
      <c r="AB39" s="23">
        <v>239.0</v>
      </c>
      <c r="AC39" s="23">
        <v>2649.0</v>
      </c>
      <c r="AD39" s="23">
        <v>1953.0</v>
      </c>
      <c r="AE39" s="23">
        <v>1905.0</v>
      </c>
      <c r="AF39" s="23">
        <v>1713.0</v>
      </c>
    </row>
    <row r="40" outlineLevel="1">
      <c r="A40" s="13" t="s">
        <v>28</v>
      </c>
      <c r="B40" s="23">
        <f>B39*'Data - P&amp;L'!$U$3</f>
        <v>81.9076</v>
      </c>
      <c r="C40" s="23">
        <f>C39*'Data - P&amp;L'!$U$3</f>
        <v>88.2932</v>
      </c>
      <c r="D40" s="23">
        <f>D39*'Data - P&amp;L'!$U$3</f>
        <v>103.2134</v>
      </c>
      <c r="E40" s="23">
        <f>E39*'Data - P&amp;L'!$U$3</f>
        <v>185.3052</v>
      </c>
      <c r="F40" s="23">
        <f>F39*'Data - P&amp;L'!$U$3</f>
        <v>337.1474</v>
      </c>
      <c r="G40" s="23">
        <f>G39*'Data - P&amp;L'!$U$3</f>
        <v>415.2482</v>
      </c>
      <c r="H40" s="23">
        <f>H39*'Data - P&amp;L'!$U$3</f>
        <v>267.4584</v>
      </c>
      <c r="I40" s="23">
        <f>I39*'Data - P&amp;L'!$U$3</f>
        <v>381.7852</v>
      </c>
      <c r="J40" s="23">
        <f>J39*'Data - P&amp;L'!$U$3</f>
        <v>259.6606</v>
      </c>
      <c r="K40" s="23">
        <f>K39*'Data - P&amp;L'!$U$3</f>
        <v>446.6236</v>
      </c>
      <c r="L40" s="23">
        <f>L39*'Data - P&amp;L'!$U$3</f>
        <v>586.7384</v>
      </c>
      <c r="M40" s="23">
        <f>M39*'Data - P&amp;L'!$U$3</f>
        <v>272.4932</v>
      </c>
      <c r="N40" s="23">
        <f>N39*'Data - P&amp;L'!$U$3</f>
        <v>72.9432</v>
      </c>
      <c r="O40" s="23">
        <f>O39*'Data - P&amp;L'!$U$3</f>
        <v>0</v>
      </c>
      <c r="P40" s="23">
        <f>P39*'Data - P&amp;L'!$U$3</f>
        <v>31.0684</v>
      </c>
      <c r="Q40" s="23">
        <f>Q39*'Data - P&amp;L'!$U$3</f>
        <v>41.2608</v>
      </c>
      <c r="R40" s="23">
        <f>R39*'Data - P&amp;L'!$U$3</f>
        <v>14.736</v>
      </c>
      <c r="S40" s="23">
        <f>S39*'Data - P&amp;L'!$U$3</f>
        <v>58.944</v>
      </c>
      <c r="T40" s="23">
        <f>T39*'Data - P&amp;L'!$U$3</f>
        <v>41.8748</v>
      </c>
      <c r="U40" s="23">
        <f>U39*'Data - P&amp;L'!$U$3</f>
        <v>101.6784</v>
      </c>
      <c r="V40" s="23">
        <f>V39*'Data - P&amp;L'!$U$3</f>
        <v>28.7352</v>
      </c>
      <c r="W40" s="23">
        <f>W39*'Data - P&amp;L'!$U$3</f>
        <v>0</v>
      </c>
      <c r="X40" s="23">
        <f>X39*'Data - P&amp;L'!$U$3</f>
        <v>41.1994</v>
      </c>
      <c r="Y40" s="23">
        <f>Y39*'Data - P&amp;L'!$U$3</f>
        <v>14.736</v>
      </c>
      <c r="Z40" s="23">
        <f>Z39*'Data - P&amp;L'!$U$3</f>
        <v>58.8826</v>
      </c>
      <c r="AA40" s="23">
        <f>AA39*'Data - P&amp;L'!$U$3</f>
        <v>14.736</v>
      </c>
      <c r="AB40" s="23">
        <f>AB39*'Data - P&amp;L'!$U$3</f>
        <v>14.6746</v>
      </c>
      <c r="AC40" s="23">
        <f>AC39*'Data - P&amp;L'!$U$3</f>
        <v>162.6486</v>
      </c>
      <c r="AD40" s="23">
        <f>AD39*'Data - P&amp;L'!$U$3</f>
        <v>119.9142</v>
      </c>
      <c r="AE40" s="23">
        <f>AE39*'Data - P&amp;L'!$U$3</f>
        <v>116.967</v>
      </c>
      <c r="AF40" s="23">
        <f>AF39*'Data - P&amp;L'!$U$3</f>
        <v>105.1782</v>
      </c>
    </row>
    <row r="41" outlineLevel="1">
      <c r="A41" s="13" t="s">
        <v>26</v>
      </c>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c r="AB41" s="24"/>
      <c r="AC41" s="24"/>
      <c r="AD41" s="25"/>
      <c r="AE41" s="25"/>
      <c r="AF41" s="25"/>
    </row>
    <row r="42">
      <c r="A42" s="19" t="s">
        <v>33</v>
      </c>
      <c r="B42" s="20">
        <f t="shared" ref="B42:AF42" si="10">B34+B38</f>
        <v>39816.2982</v>
      </c>
      <c r="C42" s="20">
        <f t="shared" si="10"/>
        <v>7238.748</v>
      </c>
      <c r="D42" s="20">
        <f t="shared" si="10"/>
        <v>9400.8198</v>
      </c>
      <c r="E42" s="20">
        <f t="shared" si="10"/>
        <v>14628.2148</v>
      </c>
      <c r="F42" s="20">
        <f t="shared" si="10"/>
        <v>5828.1474</v>
      </c>
      <c r="G42" s="20">
        <f t="shared" si="10"/>
        <v>9399.7584</v>
      </c>
      <c r="H42" s="20">
        <f t="shared" si="10"/>
        <v>8114.403</v>
      </c>
      <c r="I42" s="20">
        <f t="shared" si="10"/>
        <v>7869.2196</v>
      </c>
      <c r="J42" s="20">
        <f t="shared" si="10"/>
        <v>10518.474</v>
      </c>
      <c r="K42" s="20">
        <f t="shared" si="10"/>
        <v>13750.437</v>
      </c>
      <c r="L42" s="20">
        <f t="shared" si="10"/>
        <v>17759.3448</v>
      </c>
      <c r="M42" s="20">
        <f t="shared" si="10"/>
        <v>4710.4932</v>
      </c>
      <c r="N42" s="20">
        <f t="shared" si="10"/>
        <v>5069.2464</v>
      </c>
      <c r="O42" s="20">
        <f t="shared" si="10"/>
        <v>634.7172</v>
      </c>
      <c r="P42" s="20">
        <f t="shared" si="10"/>
        <v>2123.8614</v>
      </c>
      <c r="Q42" s="20">
        <f t="shared" si="10"/>
        <v>1665.3366</v>
      </c>
      <c r="R42" s="20">
        <f t="shared" si="10"/>
        <v>1841.529</v>
      </c>
      <c r="S42" s="20">
        <f t="shared" si="10"/>
        <v>2288.3784</v>
      </c>
      <c r="T42" s="20">
        <f t="shared" si="10"/>
        <v>723.8748</v>
      </c>
      <c r="U42" s="20">
        <f t="shared" si="10"/>
        <v>1757.6784</v>
      </c>
      <c r="V42" s="20">
        <f t="shared" si="10"/>
        <v>814.0938</v>
      </c>
      <c r="W42" s="20">
        <f t="shared" si="10"/>
        <v>952.0758</v>
      </c>
      <c r="X42" s="20">
        <f t="shared" si="10"/>
        <v>1981.6338</v>
      </c>
      <c r="Y42" s="20">
        <f t="shared" si="10"/>
        <v>1841.529</v>
      </c>
      <c r="Z42" s="20">
        <f t="shared" si="10"/>
        <v>3239.3928</v>
      </c>
      <c r="AA42" s="20">
        <f t="shared" si="10"/>
        <v>254.736</v>
      </c>
      <c r="AB42" s="20">
        <f t="shared" si="10"/>
        <v>571.0332</v>
      </c>
      <c r="AC42" s="20">
        <f t="shared" si="10"/>
        <v>3763.7244</v>
      </c>
      <c r="AD42" s="20">
        <f t="shared" si="10"/>
        <v>5563.8588</v>
      </c>
      <c r="AE42" s="20">
        <f t="shared" si="10"/>
        <v>4878.1944</v>
      </c>
      <c r="AF42" s="20">
        <f t="shared" si="10"/>
        <v>7530.633</v>
      </c>
    </row>
    <row r="44">
      <c r="A44" s="11" t="s">
        <v>37</v>
      </c>
      <c r="L44" s="27"/>
    </row>
    <row r="45" outlineLevel="1">
      <c r="A45" s="21" t="s">
        <v>38</v>
      </c>
      <c r="B45" s="28">
        <f>'App - P&amp;L'!B90</f>
        <v>375.8105</v>
      </c>
      <c r="C45" s="28">
        <f>'App - P&amp;L'!C90</f>
        <v>504.0245</v>
      </c>
      <c r="D45" s="28">
        <f>'App - P&amp;L'!D90</f>
        <v>364.4955</v>
      </c>
      <c r="E45" s="28">
        <f>'App - P&amp;L'!E90</f>
        <v>534.5505</v>
      </c>
      <c r="F45" s="28">
        <f>'App - P&amp;L'!F90</f>
        <v>468.675</v>
      </c>
      <c r="G45" s="28">
        <f>'App - P&amp;L'!G90</f>
        <v>509.981</v>
      </c>
      <c r="H45" s="28">
        <f>'App - P&amp;L'!H90</f>
        <v>365.5805</v>
      </c>
      <c r="I45" s="28">
        <f>'App - P&amp;L'!I90</f>
        <v>301.8315</v>
      </c>
      <c r="J45" s="28">
        <f>'App - P&amp;L'!J90</f>
        <v>479.475</v>
      </c>
      <c r="K45" s="28">
        <f>'App - P&amp;L'!K90</f>
        <v>210.2665</v>
      </c>
      <c r="L45" s="28">
        <f>'App - P&amp;L'!L90</f>
        <v>604.163</v>
      </c>
      <c r="M45" s="28">
        <f>'App - P&amp;L'!M90</f>
        <v>1264.581</v>
      </c>
      <c r="N45" s="28">
        <f>'App - P&amp;L'!N90</f>
        <v>611.6895</v>
      </c>
      <c r="O45" s="28">
        <f>'App - P&amp;L'!O90</f>
        <v>496.5855</v>
      </c>
      <c r="P45" s="28">
        <f>'App - P&amp;L'!P90</f>
        <v>514.588</v>
      </c>
      <c r="Q45" s="28">
        <f>'App - P&amp;L'!Q90</f>
        <v>393.785</v>
      </c>
      <c r="R45" s="28">
        <f>'App - P&amp;L'!R90</f>
        <v>226.445</v>
      </c>
      <c r="S45" s="28">
        <f>'App - P&amp;L'!S90</f>
        <v>368.0385</v>
      </c>
      <c r="T45" s="28">
        <f>'App - P&amp;L'!T90</f>
        <v>482.5035</v>
      </c>
      <c r="U45" s="28">
        <f>'App - P&amp;L'!U90</f>
        <v>261.6635</v>
      </c>
      <c r="V45" s="28">
        <f>'App - P&amp;L'!V90</f>
        <v>293.3055</v>
      </c>
      <c r="W45" s="28">
        <f>'App - P&amp;L'!W90</f>
        <v>379.7</v>
      </c>
      <c r="X45" s="28">
        <f>'App - P&amp;L'!X90</f>
        <v>321.122</v>
      </c>
      <c r="Y45" s="28">
        <f>'App - P&amp;L'!Y90</f>
        <v>318.631</v>
      </c>
      <c r="Z45" s="28">
        <f>'App - P&amp;L'!Z90</f>
        <v>476.5525</v>
      </c>
      <c r="AA45" s="28">
        <f>'App - P&amp;L'!AA90</f>
        <v>523.973</v>
      </c>
      <c r="AB45" s="28">
        <f>'App - P&amp;L'!AB90</f>
        <v>161.33</v>
      </c>
      <c r="AC45" s="28">
        <f>'App - P&amp;L'!AC90</f>
        <v>399.1765</v>
      </c>
      <c r="AD45" s="28">
        <f>'App - P&amp;L'!AD90</f>
        <v>408.1855</v>
      </c>
      <c r="AE45" s="28">
        <f>'App - P&amp;L'!AE90</f>
        <v>237.021</v>
      </c>
      <c r="AF45" s="28">
        <f>'App - P&amp;L'!AF90</f>
        <v>201.178</v>
      </c>
    </row>
    <row r="46" outlineLevel="1">
      <c r="A46" s="21" t="s">
        <v>39</v>
      </c>
      <c r="B46" s="28">
        <f>'App - P&amp;L'!B91</f>
        <v>1279.971673</v>
      </c>
      <c r="C46" s="28">
        <f>'App - P&amp;L'!C91</f>
        <v>1328.174554</v>
      </c>
      <c r="D46" s="28">
        <f>'App - P&amp;L'!D91</f>
        <v>1489.690932</v>
      </c>
      <c r="E46" s="28">
        <f>'App - P&amp;L'!E91</f>
        <v>1997.412393</v>
      </c>
      <c r="F46" s="28">
        <f>'App - P&amp;L'!F91</f>
        <v>2483.545739</v>
      </c>
      <c r="G46" s="28">
        <f>'App - P&amp;L'!G91</f>
        <v>1690.501</v>
      </c>
      <c r="H46" s="28">
        <f>'App - P&amp;L'!H91</f>
        <v>1388.732286</v>
      </c>
      <c r="I46" s="28">
        <f>'App - P&amp;L'!I91</f>
        <v>1322.787765</v>
      </c>
      <c r="J46" s="28">
        <f>'App - P&amp;L'!J91</f>
        <v>1793.072034</v>
      </c>
      <c r="K46" s="28">
        <f>'App - P&amp;L'!K91</f>
        <v>1734.411289</v>
      </c>
      <c r="L46" s="28">
        <f>'App - P&amp;L'!L91</f>
        <v>2849.74304</v>
      </c>
      <c r="M46" s="28">
        <f>'App - P&amp;L'!M91</f>
        <v>6041.542946</v>
      </c>
      <c r="N46" s="28">
        <f>'App - P&amp;L'!N91</f>
        <v>3788.120797</v>
      </c>
      <c r="O46" s="28">
        <f>'App - P&amp;L'!O91</f>
        <v>1928.336855</v>
      </c>
      <c r="P46" s="28">
        <f>'App - P&amp;L'!P91</f>
        <v>1532.027614</v>
      </c>
      <c r="Q46" s="28">
        <f>'App - P&amp;L'!Q91</f>
        <v>1404.519209</v>
      </c>
      <c r="R46" s="28">
        <f>'App - P&amp;L'!R91</f>
        <v>1502.031837</v>
      </c>
      <c r="S46" s="28">
        <f>'App - P&amp;L'!S91</f>
        <v>2504.922063</v>
      </c>
      <c r="T46" s="28">
        <f>'App - P&amp;L'!T91</f>
        <v>3590.055845</v>
      </c>
      <c r="U46" s="28">
        <f>'App - P&amp;L'!U91</f>
        <v>2052.261321</v>
      </c>
      <c r="V46" s="28">
        <f>'App - P&amp;L'!V91</f>
        <v>1527.606947</v>
      </c>
      <c r="W46" s="28">
        <f>'App - P&amp;L'!W91</f>
        <v>1730.192138</v>
      </c>
      <c r="X46" s="28">
        <f>'App - P&amp;L'!X91</f>
        <v>1698.64501</v>
      </c>
      <c r="Y46" s="28">
        <f>'App - P&amp;L'!Y91</f>
        <v>1554.557249</v>
      </c>
      <c r="Z46" s="28">
        <f>'App - P&amp;L'!Z91</f>
        <v>2769.173414</v>
      </c>
      <c r="AA46" s="28">
        <f>'App - P&amp;L'!AA91</f>
        <v>2432.995742</v>
      </c>
      <c r="AB46" s="28">
        <f>'App - P&amp;L'!AB91</f>
        <v>2580.621336</v>
      </c>
      <c r="AC46" s="28">
        <f>'App - P&amp;L'!AC91</f>
        <v>1700.228674</v>
      </c>
      <c r="AD46" s="28">
        <f>'App - P&amp;L'!AD91</f>
        <v>1385.591673</v>
      </c>
      <c r="AE46" s="28">
        <f>'App - P&amp;L'!AE91</f>
        <v>1089.228568</v>
      </c>
      <c r="AF46" s="28">
        <f>'App - P&amp;L'!AF91</f>
        <v>1413.290575</v>
      </c>
    </row>
    <row r="47" outlineLevel="1">
      <c r="A47" s="21" t="s">
        <v>40</v>
      </c>
      <c r="B47" s="28">
        <f>'App - P&amp;L'!B67</f>
        <v>616.5073599</v>
      </c>
      <c r="C47" s="28">
        <f>'App - P&amp;L'!C67</f>
        <v>660.9617373</v>
      </c>
      <c r="D47" s="28">
        <f>'App - P&amp;L'!D67</f>
        <v>705.3220422</v>
      </c>
      <c r="E47" s="28">
        <f>'App - P&amp;L'!E67</f>
        <v>957.8348112</v>
      </c>
      <c r="F47" s="28">
        <f>'App - P&amp;L'!F67</f>
        <v>1153.234603</v>
      </c>
      <c r="G47" s="28">
        <f>'App - P&amp;L'!G67</f>
        <v>823.488</v>
      </c>
      <c r="H47" s="28">
        <f>'App - P&amp;L'!H67</f>
        <v>662.5147656</v>
      </c>
      <c r="I47" s="28">
        <f>'App - P&amp;L'!I67</f>
        <v>629.9032563</v>
      </c>
      <c r="J47" s="28">
        <f>'App - P&amp;L'!J67</f>
        <v>863.3944431</v>
      </c>
      <c r="K47" s="28">
        <f>'App - P&amp;L'!K67</f>
        <v>785.375481</v>
      </c>
      <c r="L47" s="28">
        <f>'App - P&amp;L'!L67</f>
        <v>1330.554017</v>
      </c>
      <c r="M47" s="28">
        <f>'App - P&amp;L'!M67</f>
        <v>2816.90312</v>
      </c>
      <c r="N47" s="28">
        <f>'App - P&amp;L'!N67</f>
        <v>1737.173699</v>
      </c>
      <c r="O47" s="28">
        <f>'App - P&amp;L'!O67</f>
        <v>917.7074379</v>
      </c>
      <c r="P47" s="28">
        <f>'App - P&amp;L'!P67</f>
        <v>751.2966915</v>
      </c>
      <c r="Q47" s="28">
        <f>'App - P&amp;L'!Q67</f>
        <v>673.5103752</v>
      </c>
      <c r="R47" s="28">
        <f>'App - P&amp;L'!R67</f>
        <v>688.4943588</v>
      </c>
      <c r="S47" s="28">
        <f>'App - P&amp;L'!S67</f>
        <v>1140.778098</v>
      </c>
      <c r="T47" s="28">
        <f>'App - P&amp;L'!T67</f>
        <v>1634.637576</v>
      </c>
      <c r="U47" s="28">
        <f>'App - P&amp;L'!U67</f>
        <v>931.9156374</v>
      </c>
      <c r="V47" s="28">
        <f>'App - P&amp;L'!V67</f>
        <v>713.6131914</v>
      </c>
      <c r="W47" s="28">
        <f>'App - P&amp;L'!W67</f>
        <v>811.8823449</v>
      </c>
      <c r="X47" s="28">
        <f>'App - P&amp;L'!X67</f>
        <v>784.8587184</v>
      </c>
      <c r="Y47" s="28">
        <f>'App - P&amp;L'!Y67</f>
        <v>728.1463926</v>
      </c>
      <c r="Z47" s="28">
        <f>'App - P&amp;L'!Z67</f>
        <v>1277.734678</v>
      </c>
      <c r="AA47" s="28">
        <f>'App - P&amp;L'!AA67</f>
        <v>1146.402318</v>
      </c>
      <c r="AB47" s="28">
        <f>'App - P&amp;L'!AB67</f>
        <v>1143.017716</v>
      </c>
      <c r="AC47" s="28">
        <f>'App - P&amp;L'!AC67</f>
        <v>800.9572176</v>
      </c>
      <c r="AD47" s="28">
        <f>'App - P&amp;L'!AD67</f>
        <v>667.0166457</v>
      </c>
      <c r="AE47" s="28">
        <f>'App - P&amp;L'!AE67</f>
        <v>509.3869575</v>
      </c>
      <c r="AF47" s="28">
        <f>'App - P&amp;L'!AF67</f>
        <v>641.5279605</v>
      </c>
    </row>
    <row r="48" outlineLevel="1">
      <c r="A48" s="21" t="s">
        <v>41</v>
      </c>
      <c r="B48" s="28">
        <f>'App - P&amp;L'!B68</f>
        <v>3.8</v>
      </c>
      <c r="C48" s="28">
        <f>'App - P&amp;L'!C68</f>
        <v>10.33</v>
      </c>
      <c r="D48" s="28">
        <f>'App - P&amp;L'!D68</f>
        <v>6.58</v>
      </c>
      <c r="E48" s="28">
        <f>'App - P&amp;L'!E68</f>
        <v>22.05</v>
      </c>
      <c r="F48" s="28">
        <f>'App - P&amp;L'!F68</f>
        <v>15.31</v>
      </c>
      <c r="G48" s="28">
        <f>'App - P&amp;L'!G68</f>
        <v>21.32</v>
      </c>
      <c r="H48" s="28">
        <f>'App - P&amp;L'!H68</f>
        <v>6.92</v>
      </c>
      <c r="I48" s="28">
        <f>'App - P&amp;L'!I68</f>
        <v>24.65</v>
      </c>
      <c r="J48" s="28">
        <f>'App - P&amp;L'!J68</f>
        <v>28.09</v>
      </c>
      <c r="K48" s="28">
        <f>'App - P&amp;L'!K68</f>
        <v>19.71</v>
      </c>
      <c r="L48" s="28">
        <f>'App - P&amp;L'!L68</f>
        <v>6.11</v>
      </c>
      <c r="M48" s="28">
        <f>'App - P&amp;L'!M68</f>
        <v>11.88</v>
      </c>
      <c r="N48" s="28">
        <f>'App - P&amp;L'!N68</f>
        <v>23.03</v>
      </c>
      <c r="O48" s="28">
        <f>'App - P&amp;L'!O68</f>
        <v>9.11</v>
      </c>
      <c r="P48" s="28">
        <f>'App - P&amp;L'!P68</f>
        <v>10.75</v>
      </c>
      <c r="Q48" s="28">
        <f>'App - P&amp;L'!Q68</f>
        <v>6.47</v>
      </c>
      <c r="R48" s="28">
        <f>'App - P&amp;L'!R68</f>
        <v>12.46</v>
      </c>
      <c r="S48" s="28">
        <f>'App - P&amp;L'!S68</f>
        <v>5.96</v>
      </c>
      <c r="T48" s="28">
        <f>'App - P&amp;L'!T68</f>
        <v>26.75</v>
      </c>
      <c r="U48" s="28">
        <f>'App - P&amp;L'!U68</f>
        <v>22.8</v>
      </c>
      <c r="V48" s="28">
        <f>'App - P&amp;L'!V68</f>
        <v>26.8</v>
      </c>
      <c r="W48" s="28">
        <f>'App - P&amp;L'!W68</f>
        <v>9.1</v>
      </c>
      <c r="X48" s="28">
        <f>'App - P&amp;L'!X68</f>
        <v>1.13</v>
      </c>
      <c r="Y48" s="28">
        <f>'App - P&amp;L'!Y68</f>
        <v>13.25</v>
      </c>
      <c r="Z48" s="28">
        <f>'App - P&amp;L'!Z68</f>
        <v>28.08</v>
      </c>
      <c r="AA48" s="28">
        <f>'App - P&amp;L'!AA68</f>
        <v>36.76</v>
      </c>
      <c r="AB48" s="28">
        <f>'App - P&amp;L'!AB68</f>
        <v>19.99</v>
      </c>
      <c r="AC48" s="28">
        <f>'App - P&amp;L'!AC68</f>
        <v>6.34</v>
      </c>
      <c r="AD48" s="28">
        <f>'App - P&amp;L'!AD68</f>
        <v>4.31</v>
      </c>
      <c r="AE48" s="28">
        <f>'App - P&amp;L'!AE68</f>
        <v>2.35</v>
      </c>
      <c r="AF48" s="28">
        <f>'App - P&amp;L'!AF68</f>
        <v>0.77</v>
      </c>
    </row>
    <row r="49">
      <c r="A49" s="19" t="s">
        <v>33</v>
      </c>
      <c r="B49" s="29">
        <f t="shared" ref="B49:AF49" si="11">sum(B45:B48)</f>
        <v>2276.089533</v>
      </c>
      <c r="C49" s="29">
        <f t="shared" si="11"/>
        <v>2503.490791</v>
      </c>
      <c r="D49" s="29">
        <f t="shared" si="11"/>
        <v>2566.088474</v>
      </c>
      <c r="E49" s="29">
        <f t="shared" si="11"/>
        <v>3511.847704</v>
      </c>
      <c r="F49" s="29">
        <f t="shared" si="11"/>
        <v>4120.765342</v>
      </c>
      <c r="G49" s="29">
        <f t="shared" si="11"/>
        <v>3045.29</v>
      </c>
      <c r="H49" s="29">
        <f t="shared" si="11"/>
        <v>2423.747552</v>
      </c>
      <c r="I49" s="29">
        <f t="shared" si="11"/>
        <v>2279.172521</v>
      </c>
      <c r="J49" s="29">
        <f t="shared" si="11"/>
        <v>3164.031477</v>
      </c>
      <c r="K49" s="29">
        <f t="shared" si="11"/>
        <v>2749.76327</v>
      </c>
      <c r="L49" s="29">
        <f t="shared" si="11"/>
        <v>4790.570057</v>
      </c>
      <c r="M49" s="29">
        <f t="shared" si="11"/>
        <v>10134.90707</v>
      </c>
      <c r="N49" s="29">
        <f t="shared" si="11"/>
        <v>6160.013995</v>
      </c>
      <c r="O49" s="29">
        <f t="shared" si="11"/>
        <v>3351.739793</v>
      </c>
      <c r="P49" s="29">
        <f t="shared" si="11"/>
        <v>2808.662305</v>
      </c>
      <c r="Q49" s="29">
        <f t="shared" si="11"/>
        <v>2478.284584</v>
      </c>
      <c r="R49" s="29">
        <f t="shared" si="11"/>
        <v>2429.431196</v>
      </c>
      <c r="S49" s="29">
        <f t="shared" si="11"/>
        <v>4019.698661</v>
      </c>
      <c r="T49" s="29">
        <f t="shared" si="11"/>
        <v>5733.946921</v>
      </c>
      <c r="U49" s="29">
        <f t="shared" si="11"/>
        <v>3268.640458</v>
      </c>
      <c r="V49" s="29">
        <f t="shared" si="11"/>
        <v>2561.325638</v>
      </c>
      <c r="W49" s="29">
        <f t="shared" si="11"/>
        <v>2930.874483</v>
      </c>
      <c r="X49" s="29">
        <f t="shared" si="11"/>
        <v>2805.755728</v>
      </c>
      <c r="Y49" s="29">
        <f t="shared" si="11"/>
        <v>2614.584642</v>
      </c>
      <c r="Z49" s="29">
        <f t="shared" si="11"/>
        <v>4551.540592</v>
      </c>
      <c r="AA49" s="29">
        <f t="shared" si="11"/>
        <v>4140.13106</v>
      </c>
      <c r="AB49" s="29">
        <f t="shared" si="11"/>
        <v>3904.959052</v>
      </c>
      <c r="AC49" s="29">
        <f t="shared" si="11"/>
        <v>2906.702392</v>
      </c>
      <c r="AD49" s="29">
        <f t="shared" si="11"/>
        <v>2465.103819</v>
      </c>
      <c r="AE49" s="29">
        <f t="shared" si="11"/>
        <v>1837.986525</v>
      </c>
      <c r="AF49" s="29">
        <f t="shared" si="11"/>
        <v>2256.766535</v>
      </c>
    </row>
    <row r="51">
      <c r="A51" s="30"/>
      <c r="B51" s="30"/>
      <c r="C51" s="30"/>
      <c r="D51" s="30"/>
      <c r="E51" s="30"/>
      <c r="F51" s="30"/>
      <c r="G51" s="30"/>
      <c r="H51" s="30"/>
      <c r="I51" s="30"/>
      <c r="J51" s="30"/>
      <c r="K51" s="30"/>
      <c r="L51" s="30"/>
      <c r="M51" s="30"/>
      <c r="N51" s="30"/>
      <c r="O51" s="30"/>
      <c r="P51" s="30"/>
      <c r="Q51" s="30"/>
      <c r="R51" s="30"/>
      <c r="S51" s="30"/>
      <c r="T51" s="30"/>
      <c r="U51" s="30"/>
      <c r="V51" s="30"/>
      <c r="W51" s="30"/>
      <c r="X51" s="30"/>
      <c r="Y51" s="30"/>
      <c r="Z51" s="30"/>
      <c r="AA51" s="30"/>
      <c r="AB51" s="30"/>
      <c r="AC51" s="30"/>
      <c r="AD51" s="30"/>
      <c r="AE51" s="30"/>
      <c r="AF51" s="30"/>
    </row>
    <row r="52">
      <c r="A52" s="11" t="s">
        <v>42</v>
      </c>
      <c r="B52" s="31">
        <v>223.0</v>
      </c>
      <c r="C52" s="4">
        <v>236.0</v>
      </c>
      <c r="D52" s="4">
        <v>287.0</v>
      </c>
      <c r="E52" s="4">
        <v>211.0</v>
      </c>
      <c r="F52" s="4">
        <v>227.0</v>
      </c>
      <c r="G52" s="31">
        <v>252.0</v>
      </c>
      <c r="H52" s="31">
        <v>229.0</v>
      </c>
      <c r="I52" s="31">
        <v>179.0</v>
      </c>
      <c r="J52" s="31">
        <v>157.0</v>
      </c>
      <c r="K52" s="31">
        <v>128.0</v>
      </c>
      <c r="L52" s="31">
        <v>171.0</v>
      </c>
      <c r="M52" s="31">
        <v>171.0</v>
      </c>
      <c r="N52" s="31">
        <v>125.0</v>
      </c>
      <c r="O52" s="4">
        <v>116.0</v>
      </c>
      <c r="P52" s="4">
        <v>95.0</v>
      </c>
      <c r="Q52" s="4">
        <v>89.0</v>
      </c>
      <c r="R52" s="4">
        <v>99.0</v>
      </c>
      <c r="S52" s="4">
        <v>116.0</v>
      </c>
      <c r="T52" s="4">
        <v>95.0</v>
      </c>
      <c r="U52" s="4">
        <v>98.0</v>
      </c>
      <c r="V52" s="4">
        <v>125.0</v>
      </c>
      <c r="W52" s="31">
        <v>111.0</v>
      </c>
      <c r="X52" s="31">
        <v>96.0</v>
      </c>
      <c r="Y52" s="31">
        <v>102.0</v>
      </c>
      <c r="Z52" s="31">
        <v>90.0</v>
      </c>
      <c r="AA52" s="31">
        <v>104.0</v>
      </c>
      <c r="AB52" s="31">
        <v>90.0</v>
      </c>
      <c r="AC52" s="31">
        <v>122.0</v>
      </c>
      <c r="AD52" s="31">
        <v>96.0</v>
      </c>
      <c r="AE52" s="31">
        <v>65.0</v>
      </c>
      <c r="AF52" s="31">
        <v>109.0</v>
      </c>
    </row>
    <row r="53" outlineLevel="1">
      <c r="A53" s="13" t="s">
        <v>43</v>
      </c>
      <c r="B53" s="13">
        <v>166.0</v>
      </c>
      <c r="C53" s="13">
        <v>174.0</v>
      </c>
      <c r="D53" s="13">
        <v>221.0</v>
      </c>
      <c r="E53" s="13">
        <v>157.0</v>
      </c>
      <c r="F53" s="13">
        <v>174.0</v>
      </c>
      <c r="G53" s="13">
        <v>192.0</v>
      </c>
      <c r="H53" s="13">
        <v>157.0</v>
      </c>
      <c r="I53" s="13">
        <v>133.0</v>
      </c>
      <c r="J53" s="13">
        <v>103.0</v>
      </c>
      <c r="K53" s="13">
        <v>87.0</v>
      </c>
      <c r="L53" s="13">
        <v>106.0</v>
      </c>
      <c r="M53" s="13">
        <v>108.0</v>
      </c>
      <c r="N53" s="13">
        <v>66.0</v>
      </c>
      <c r="O53" s="13">
        <v>63.0</v>
      </c>
      <c r="P53" s="13">
        <v>56.0</v>
      </c>
      <c r="Q53" s="13">
        <v>46.0</v>
      </c>
      <c r="R53" s="13">
        <v>62.0</v>
      </c>
      <c r="S53" s="13">
        <v>62.0</v>
      </c>
      <c r="T53" s="13">
        <v>54.0</v>
      </c>
      <c r="U53" s="13">
        <v>64.0</v>
      </c>
      <c r="V53" s="13">
        <v>58.0</v>
      </c>
      <c r="W53" s="13">
        <v>48.0</v>
      </c>
      <c r="X53" s="13">
        <v>40.0</v>
      </c>
      <c r="Y53" s="13">
        <v>43.0</v>
      </c>
      <c r="Z53" s="13">
        <v>43.0</v>
      </c>
      <c r="AA53" s="13">
        <v>63.0</v>
      </c>
      <c r="AB53" s="13">
        <v>52.0</v>
      </c>
      <c r="AC53" s="13">
        <v>58.0</v>
      </c>
      <c r="AD53" s="13">
        <v>50.0</v>
      </c>
      <c r="AE53" s="13">
        <v>37.0</v>
      </c>
      <c r="AF53" s="13">
        <v>54.0</v>
      </c>
    </row>
    <row r="54" outlineLevel="1">
      <c r="A54" s="13" t="s">
        <v>44</v>
      </c>
      <c r="B54" s="13">
        <v>154.0</v>
      </c>
      <c r="C54" s="13">
        <v>157.0</v>
      </c>
      <c r="D54" s="13">
        <v>204.0</v>
      </c>
      <c r="E54" s="13">
        <v>143.0</v>
      </c>
      <c r="F54" s="13">
        <v>169.0</v>
      </c>
      <c r="G54" s="13">
        <v>160.0</v>
      </c>
      <c r="H54" s="13">
        <v>151.0</v>
      </c>
      <c r="I54" s="13">
        <v>107.0</v>
      </c>
      <c r="J54" s="13">
        <v>105.0</v>
      </c>
      <c r="K54" s="13">
        <v>78.0</v>
      </c>
      <c r="L54" s="13">
        <v>121.0</v>
      </c>
      <c r="M54" s="13">
        <v>150.0</v>
      </c>
      <c r="N54" s="13">
        <v>102.0</v>
      </c>
      <c r="O54" s="13">
        <v>100.0</v>
      </c>
      <c r="P54" s="13">
        <v>62.0</v>
      </c>
      <c r="Q54" s="13">
        <v>80.0</v>
      </c>
      <c r="R54" s="13">
        <v>73.0</v>
      </c>
      <c r="S54" s="13">
        <v>97.0</v>
      </c>
      <c r="T54" s="13">
        <v>81.0</v>
      </c>
      <c r="U54" s="13">
        <v>52.0</v>
      </c>
      <c r="V54" s="13">
        <v>98.0</v>
      </c>
      <c r="W54" s="13">
        <v>80.0</v>
      </c>
      <c r="X54" s="13">
        <v>70.0</v>
      </c>
      <c r="Y54" s="13">
        <v>60.0</v>
      </c>
      <c r="Z54" s="13">
        <v>55.0</v>
      </c>
      <c r="AA54" s="13">
        <v>67.0</v>
      </c>
      <c r="AB54" s="13">
        <v>78.0</v>
      </c>
      <c r="AC54" s="13">
        <v>79.0</v>
      </c>
      <c r="AD54" s="13">
        <v>70.0</v>
      </c>
      <c r="AE54" s="13">
        <v>51.0</v>
      </c>
      <c r="AF54" s="13">
        <v>44.0</v>
      </c>
    </row>
    <row r="55" outlineLevel="1">
      <c r="A55" s="13" t="s">
        <v>45</v>
      </c>
      <c r="B55" s="13">
        <v>0.0</v>
      </c>
      <c r="C55" s="13">
        <v>0.0</v>
      </c>
      <c r="D55" s="13">
        <v>0.0</v>
      </c>
      <c r="E55" s="13">
        <v>0.0</v>
      </c>
      <c r="F55" s="13">
        <v>0.0</v>
      </c>
      <c r="G55" s="13">
        <v>0.0</v>
      </c>
      <c r="H55" s="13">
        <v>0.0</v>
      </c>
      <c r="I55" s="13">
        <v>0.0</v>
      </c>
      <c r="J55" s="13">
        <v>0.0</v>
      </c>
      <c r="K55" s="13">
        <v>1.0</v>
      </c>
      <c r="L55" s="13">
        <v>0.0</v>
      </c>
      <c r="M55" s="13">
        <v>3.0</v>
      </c>
      <c r="N55" s="13">
        <v>0.0</v>
      </c>
      <c r="O55" s="13">
        <v>0.0</v>
      </c>
      <c r="P55" s="13">
        <v>0.0</v>
      </c>
      <c r="Q55" s="13">
        <v>0.0</v>
      </c>
      <c r="R55" s="13">
        <v>0.0</v>
      </c>
      <c r="S55" s="13">
        <v>0.0</v>
      </c>
      <c r="T55" s="13">
        <v>0.0</v>
      </c>
      <c r="U55" s="13">
        <v>0.0</v>
      </c>
      <c r="V55" s="13">
        <v>0.0</v>
      </c>
      <c r="W55" s="13">
        <v>1.0</v>
      </c>
      <c r="X55" s="13">
        <v>0.0</v>
      </c>
      <c r="Y55" s="13">
        <v>0.0</v>
      </c>
      <c r="Z55" s="13">
        <v>0.0</v>
      </c>
      <c r="AA55" s="13">
        <v>0.0</v>
      </c>
      <c r="AB55" s="13">
        <v>0.0</v>
      </c>
      <c r="AC55" s="13">
        <v>0.0</v>
      </c>
      <c r="AD55" s="13">
        <v>0.0</v>
      </c>
      <c r="AE55" s="13">
        <v>0.0</v>
      </c>
      <c r="AF55" s="13">
        <v>0.0</v>
      </c>
    </row>
    <row r="56" outlineLevel="1">
      <c r="A56" s="13" t="s">
        <v>46</v>
      </c>
      <c r="B56" s="13">
        <v>53.0</v>
      </c>
      <c r="C56" s="13">
        <v>52.0</v>
      </c>
      <c r="D56" s="13">
        <v>77.0</v>
      </c>
      <c r="E56" s="13">
        <v>73.0</v>
      </c>
      <c r="F56" s="13">
        <v>71.0</v>
      </c>
      <c r="G56" s="13">
        <v>66.0</v>
      </c>
      <c r="H56" s="13">
        <v>62.0</v>
      </c>
      <c r="I56" s="13">
        <v>55.0</v>
      </c>
      <c r="J56" s="13">
        <v>56.0</v>
      </c>
      <c r="K56" s="13">
        <v>27.0</v>
      </c>
      <c r="L56" s="13">
        <v>34.0</v>
      </c>
      <c r="M56" s="13">
        <v>42.0</v>
      </c>
      <c r="N56" s="13">
        <v>21.0</v>
      </c>
      <c r="O56" s="13">
        <v>24.0</v>
      </c>
      <c r="P56" s="13">
        <v>34.0</v>
      </c>
      <c r="Q56" s="13">
        <v>21.0</v>
      </c>
      <c r="R56" s="13">
        <v>25.0</v>
      </c>
      <c r="S56" s="13">
        <v>32.0</v>
      </c>
      <c r="T56" s="13">
        <v>25.0</v>
      </c>
      <c r="U56" s="13">
        <v>23.0</v>
      </c>
      <c r="V56" s="13">
        <v>24.0</v>
      </c>
      <c r="W56" s="13">
        <v>31.0</v>
      </c>
      <c r="X56" s="13">
        <v>35.0</v>
      </c>
      <c r="Y56" s="13">
        <v>40.0</v>
      </c>
      <c r="Z56" s="13">
        <v>25.0</v>
      </c>
      <c r="AA56" s="13">
        <v>27.0</v>
      </c>
      <c r="AB56" s="13">
        <v>29.0</v>
      </c>
      <c r="AC56" s="13">
        <v>48.0</v>
      </c>
      <c r="AD56" s="13">
        <v>20.0</v>
      </c>
      <c r="AE56" s="13">
        <v>11.0</v>
      </c>
      <c r="AF56" s="13">
        <v>33.0</v>
      </c>
    </row>
    <row r="57" outlineLevel="1">
      <c r="A57" s="13" t="s">
        <v>47</v>
      </c>
      <c r="B57" s="13">
        <v>45.0</v>
      </c>
      <c r="C57" s="13">
        <v>44.0</v>
      </c>
      <c r="D57" s="13">
        <v>62.0</v>
      </c>
      <c r="E57" s="13">
        <v>56.0</v>
      </c>
      <c r="F57" s="13">
        <v>58.0</v>
      </c>
      <c r="G57" s="13">
        <v>54.0</v>
      </c>
      <c r="H57" s="13">
        <v>59.0</v>
      </c>
      <c r="I57" s="13">
        <v>45.0</v>
      </c>
      <c r="J57" s="13">
        <v>35.0</v>
      </c>
      <c r="K57" s="13">
        <v>17.0</v>
      </c>
      <c r="L57" s="13">
        <v>23.0</v>
      </c>
      <c r="M57" s="13">
        <v>33.0</v>
      </c>
      <c r="N57" s="13">
        <v>14.0</v>
      </c>
      <c r="O57" s="13">
        <v>20.0</v>
      </c>
      <c r="P57" s="13">
        <v>20.0</v>
      </c>
      <c r="Q57" s="13">
        <v>11.0</v>
      </c>
      <c r="R57" s="13">
        <v>14.0</v>
      </c>
      <c r="S57" s="13">
        <v>16.0</v>
      </c>
      <c r="T57" s="13">
        <v>12.0</v>
      </c>
      <c r="U57" s="13">
        <v>12.0</v>
      </c>
      <c r="V57" s="13">
        <v>11.0</v>
      </c>
      <c r="W57" s="13">
        <v>10.0</v>
      </c>
      <c r="X57" s="13">
        <v>21.0</v>
      </c>
      <c r="Y57" s="13">
        <v>10.0</v>
      </c>
      <c r="Z57" s="13">
        <v>8.0</v>
      </c>
      <c r="AA57" s="13">
        <v>11.0</v>
      </c>
      <c r="AB57" s="13">
        <v>10.0</v>
      </c>
      <c r="AC57" s="13">
        <v>16.0</v>
      </c>
      <c r="AD57" s="13">
        <v>20.0</v>
      </c>
      <c r="AE57" s="13">
        <v>11.0</v>
      </c>
      <c r="AF57" s="13">
        <v>35.0</v>
      </c>
    </row>
    <row r="58">
      <c r="A58" s="11" t="s">
        <v>48</v>
      </c>
      <c r="B58" s="4">
        <v>89.0</v>
      </c>
      <c r="C58" s="4">
        <v>107.0</v>
      </c>
      <c r="D58" s="4">
        <v>167.0</v>
      </c>
      <c r="E58" s="4">
        <v>252.0</v>
      </c>
      <c r="F58" s="4">
        <v>312.0</v>
      </c>
      <c r="G58" s="4">
        <v>405.0</v>
      </c>
      <c r="H58" s="4">
        <v>418.0</v>
      </c>
      <c r="I58" s="4">
        <v>390.0</v>
      </c>
      <c r="J58" s="4">
        <v>287.0</v>
      </c>
      <c r="K58" s="4">
        <v>257.0</v>
      </c>
      <c r="L58" s="4">
        <v>252.0</v>
      </c>
      <c r="M58" s="4">
        <v>274.0</v>
      </c>
      <c r="N58" s="4">
        <v>138.0</v>
      </c>
      <c r="O58" s="4">
        <v>143.0</v>
      </c>
      <c r="P58" s="4">
        <v>122.0</v>
      </c>
      <c r="Q58" s="4">
        <v>80.0</v>
      </c>
      <c r="R58" s="32">
        <v>106.0</v>
      </c>
      <c r="S58" s="4">
        <v>122.0</v>
      </c>
      <c r="T58" s="4">
        <v>139.0</v>
      </c>
      <c r="U58" s="4">
        <v>110.0</v>
      </c>
      <c r="V58" s="4">
        <v>110.0</v>
      </c>
      <c r="W58" s="4">
        <v>110.0</v>
      </c>
      <c r="X58" s="4">
        <v>94.0</v>
      </c>
      <c r="Y58" s="31">
        <v>96.0</v>
      </c>
      <c r="Z58" s="31">
        <v>105.0</v>
      </c>
      <c r="AA58" s="31">
        <v>102.0</v>
      </c>
      <c r="AB58" s="4">
        <v>128.0</v>
      </c>
      <c r="AC58" s="4">
        <v>81.0</v>
      </c>
      <c r="AD58" s="4">
        <v>82.0</v>
      </c>
      <c r="AE58" s="4">
        <v>76.0</v>
      </c>
      <c r="AF58" s="4">
        <v>90.0</v>
      </c>
    </row>
    <row r="59" outlineLevel="1">
      <c r="A59" s="13" t="s">
        <v>43</v>
      </c>
      <c r="B59" s="33">
        <f>SUM('AMAZON - P&amp;L'!B28:B31)</f>
        <v>39</v>
      </c>
      <c r="C59" s="33">
        <f>SUM('AMAZON - P&amp;L'!C28:C31)</f>
        <v>43</v>
      </c>
      <c r="D59" s="33">
        <f>SUM('AMAZON - P&amp;L'!D28:D31)</f>
        <v>100</v>
      </c>
      <c r="E59" s="33">
        <f>SUM('AMAZON - P&amp;L'!E28:E31)</f>
        <v>169</v>
      </c>
      <c r="F59" s="33">
        <f>SUM('AMAZON - P&amp;L'!F28:F31)</f>
        <v>172</v>
      </c>
      <c r="G59" s="33">
        <f>SUM('AMAZON - P&amp;L'!G28:G31)</f>
        <v>271</v>
      </c>
      <c r="H59" s="33">
        <f>SUM('AMAZON - P&amp;L'!H28:H31)</f>
        <v>287</v>
      </c>
      <c r="I59" s="33">
        <f>SUM('AMAZON - P&amp;L'!I28:I31)</f>
        <v>277</v>
      </c>
      <c r="J59" s="33">
        <f>SUM('AMAZON - P&amp;L'!J28:J31)</f>
        <v>229</v>
      </c>
      <c r="K59" s="33">
        <f>SUM('AMAZON - P&amp;L'!K28:K31)</f>
        <v>200</v>
      </c>
      <c r="L59" s="33">
        <f>SUM('AMAZON - P&amp;L'!L28:L31)</f>
        <v>147</v>
      </c>
      <c r="M59" s="33">
        <f>SUM('AMAZON - P&amp;L'!M28:M31)</f>
        <v>140</v>
      </c>
      <c r="N59" s="33">
        <f>SUM('AMAZON - P&amp;L'!N28:N31)</f>
        <v>75</v>
      </c>
      <c r="O59" s="33">
        <f>SUM('AMAZON - P&amp;L'!O28:O31)</f>
        <v>69</v>
      </c>
      <c r="P59" s="33">
        <f>SUM('AMAZON - P&amp;L'!P28:P31)</f>
        <v>74</v>
      </c>
      <c r="Q59" s="33">
        <f>SUM('AMAZON - P&amp;L'!Q28:Q31)</f>
        <v>57</v>
      </c>
      <c r="R59" s="33">
        <f>SUM('AMAZON - P&amp;L'!R28:R31)</f>
        <v>42</v>
      </c>
      <c r="S59" s="33">
        <f>SUM('AMAZON - P&amp;L'!S28:S31)</f>
        <v>62</v>
      </c>
      <c r="T59" s="33">
        <f>SUM('AMAZON - P&amp;L'!T28:T31)</f>
        <v>56</v>
      </c>
      <c r="U59" s="33">
        <f>SUM('AMAZON - P&amp;L'!U28:U31)</f>
        <v>74</v>
      </c>
      <c r="V59" s="33">
        <f>SUM('AMAZON - P&amp;L'!V28:V31)</f>
        <v>48</v>
      </c>
      <c r="W59" s="33">
        <f>SUM('AMAZON - P&amp;L'!W28:W31)</f>
        <v>81</v>
      </c>
      <c r="X59" s="33">
        <f>SUM('AMAZON - P&amp;L'!X28:X31)</f>
        <v>43</v>
      </c>
      <c r="Y59" s="33">
        <f>SUM('AMAZON - P&amp;L'!Y28:Y31)</f>
        <v>56</v>
      </c>
      <c r="Z59" s="33">
        <f>SUM('AMAZON - P&amp;L'!Z28:Z31)</f>
        <v>56</v>
      </c>
      <c r="AA59" s="33">
        <f>SUM('AMAZON - P&amp;L'!AA28:AA31)</f>
        <v>51</v>
      </c>
      <c r="AB59" s="33">
        <f>SUM('AMAZON - P&amp;L'!AB28:AB31)</f>
        <v>58</v>
      </c>
      <c r="AC59" s="33">
        <f>SUM('AMAZON - P&amp;L'!AC28:AC31)</f>
        <v>48</v>
      </c>
      <c r="AD59" s="33">
        <f>SUM('AMAZON - P&amp;L'!AD28:AD31)</f>
        <v>46</v>
      </c>
      <c r="AE59" s="33">
        <f>SUM('AMAZON - P&amp;L'!AE28:AE31)</f>
        <v>41</v>
      </c>
      <c r="AF59" s="33">
        <f>SUM('AMAZON - P&amp;L'!AF28:AF31)</f>
        <v>47</v>
      </c>
    </row>
    <row r="60" outlineLevel="1">
      <c r="A60" s="13" t="s">
        <v>44</v>
      </c>
      <c r="B60" s="33">
        <f>SUM('AMAZON - P&amp;L'!B34:B41)</f>
        <v>44</v>
      </c>
      <c r="C60" s="33">
        <f>SUM('AMAZON - P&amp;L'!C34:C41)</f>
        <v>52</v>
      </c>
      <c r="D60" s="33">
        <f>SUM('AMAZON - P&amp;L'!D34:D41)</f>
        <v>55</v>
      </c>
      <c r="E60" s="33">
        <f>SUM('AMAZON - P&amp;L'!E34:E41)</f>
        <v>83</v>
      </c>
      <c r="F60" s="33">
        <f>SUM('AMAZON - P&amp;L'!F34:F41)</f>
        <v>121</v>
      </c>
      <c r="G60" s="33">
        <f>SUM('AMAZON - P&amp;L'!G34:G41)</f>
        <v>128</v>
      </c>
      <c r="H60" s="33">
        <f>SUM('AMAZON - P&amp;L'!H34:H41)</f>
        <v>124</v>
      </c>
      <c r="I60" s="33">
        <f>SUM('AMAZON - P&amp;L'!I34:I41)</f>
        <v>134</v>
      </c>
      <c r="J60" s="33">
        <f>SUM('AMAZON - P&amp;L'!J34:J41)</f>
        <v>100</v>
      </c>
      <c r="K60" s="33">
        <f>SUM('AMAZON - P&amp;L'!K34:K41)</f>
        <v>97</v>
      </c>
      <c r="L60" s="13">
        <v>1.0</v>
      </c>
      <c r="M60" s="13">
        <f>SUM('AMAZON - P&amp;L'!M34:M41)</f>
        <v>151</v>
      </c>
      <c r="N60" s="13">
        <f>SUM('AMAZON - P&amp;L'!N34:N41)</f>
        <v>90</v>
      </c>
      <c r="O60" s="13">
        <f>SUM('AMAZON - P&amp;L'!O34:O41)</f>
        <v>79</v>
      </c>
      <c r="P60" s="13">
        <f>SUM('AMAZON - P&amp;L'!P34:P41)</f>
        <v>63</v>
      </c>
      <c r="Q60" s="13">
        <f>SUM('AMAZON - P&amp;L'!Q34:Q41)</f>
        <v>37</v>
      </c>
      <c r="R60" s="13">
        <f>SUM('AMAZON - P&amp;L'!R34:R41)</f>
        <v>55</v>
      </c>
      <c r="S60" s="13">
        <f>SUM('AMAZON - P&amp;L'!S34:S41)</f>
        <v>67</v>
      </c>
      <c r="T60" s="13">
        <v>2.0</v>
      </c>
      <c r="U60" s="13">
        <f>SUM('AMAZON - P&amp;L'!U34:U41)</f>
        <v>63</v>
      </c>
      <c r="V60" s="13">
        <f>SUM('AMAZON - P&amp;L'!V34:V41)</f>
        <v>58</v>
      </c>
      <c r="W60" s="13">
        <f>SUM('AMAZON - P&amp;L'!W34:W41)</f>
        <v>64</v>
      </c>
      <c r="X60" s="13">
        <f>SUM('AMAZON - P&amp;L'!X34:X41)</f>
        <v>41</v>
      </c>
      <c r="Y60" s="13">
        <f>SUM('AMAZON - P&amp;L'!Y34:Y41)</f>
        <v>54</v>
      </c>
      <c r="Z60" s="13">
        <f>SUM('AMAZON - P&amp;L'!Z34:Z41)</f>
        <v>40</v>
      </c>
      <c r="AA60" s="13">
        <f>SUM('AMAZON - P&amp;L'!AA34:AA41)</f>
        <v>51</v>
      </c>
      <c r="AB60" s="13">
        <f>SUM('AMAZON - P&amp;L'!AB34:AB41)</f>
        <v>78</v>
      </c>
      <c r="AC60" s="13">
        <f>SUM('AMAZON - P&amp;L'!AC34:AC41)</f>
        <v>39</v>
      </c>
      <c r="AD60" s="13">
        <f>SUM('AMAZON - P&amp;L'!AD34:AD41)</f>
        <v>33</v>
      </c>
      <c r="AE60" s="13">
        <f>SUM('AMAZON - P&amp;L'!AE34:AE41)</f>
        <v>37</v>
      </c>
      <c r="AF60" s="13">
        <f>SUM('AMAZON - P&amp;L'!AF34:AF41)</f>
        <v>58</v>
      </c>
    </row>
    <row r="61">
      <c r="A61" s="11" t="s">
        <v>49</v>
      </c>
      <c r="B61" s="34">
        <f t="shared" ref="B61:AF61" si="12">SUM(B62:B63)</f>
        <v>2</v>
      </c>
      <c r="C61" s="34">
        <f t="shared" si="12"/>
        <v>2</v>
      </c>
      <c r="D61" s="34">
        <f t="shared" si="12"/>
        <v>3</v>
      </c>
      <c r="E61" s="34">
        <f t="shared" si="12"/>
        <v>1</v>
      </c>
      <c r="F61" s="34">
        <f t="shared" si="12"/>
        <v>0</v>
      </c>
      <c r="G61" s="34">
        <f t="shared" si="12"/>
        <v>0</v>
      </c>
      <c r="H61" s="34">
        <f t="shared" si="12"/>
        <v>4</v>
      </c>
      <c r="I61" s="34">
        <f t="shared" si="12"/>
        <v>3</v>
      </c>
      <c r="J61" s="34">
        <f t="shared" si="12"/>
        <v>2</v>
      </c>
      <c r="K61" s="34">
        <f t="shared" si="12"/>
        <v>1</v>
      </c>
      <c r="L61" s="34">
        <f t="shared" si="12"/>
        <v>1</v>
      </c>
      <c r="M61" s="34">
        <f t="shared" si="12"/>
        <v>1</v>
      </c>
      <c r="N61" s="34">
        <f t="shared" si="12"/>
        <v>0</v>
      </c>
      <c r="O61" s="34">
        <f t="shared" si="12"/>
        <v>0</v>
      </c>
      <c r="P61" s="34">
        <f t="shared" si="12"/>
        <v>0</v>
      </c>
      <c r="Q61" s="34">
        <f t="shared" si="12"/>
        <v>1</v>
      </c>
      <c r="R61" s="34">
        <f t="shared" si="12"/>
        <v>0</v>
      </c>
      <c r="S61" s="34">
        <f t="shared" si="12"/>
        <v>0</v>
      </c>
      <c r="T61" s="34">
        <f t="shared" si="12"/>
        <v>2</v>
      </c>
      <c r="U61" s="34">
        <f t="shared" si="12"/>
        <v>0</v>
      </c>
      <c r="V61" s="34">
        <f t="shared" si="12"/>
        <v>0</v>
      </c>
      <c r="W61" s="34">
        <f t="shared" si="12"/>
        <v>0</v>
      </c>
      <c r="X61" s="34">
        <f t="shared" si="12"/>
        <v>1</v>
      </c>
      <c r="Y61" s="34">
        <f t="shared" si="12"/>
        <v>0</v>
      </c>
      <c r="Z61" s="34">
        <f t="shared" si="12"/>
        <v>0</v>
      </c>
      <c r="AA61" s="34">
        <f t="shared" si="12"/>
        <v>0</v>
      </c>
      <c r="AB61" s="34">
        <f t="shared" si="12"/>
        <v>3</v>
      </c>
      <c r="AC61" s="34">
        <f t="shared" si="12"/>
        <v>1</v>
      </c>
      <c r="AD61" s="34">
        <f t="shared" si="12"/>
        <v>0</v>
      </c>
      <c r="AE61" s="34">
        <f t="shared" si="12"/>
        <v>0</v>
      </c>
      <c r="AF61" s="34">
        <f t="shared" si="12"/>
        <v>1</v>
      </c>
    </row>
    <row r="62" outlineLevel="1">
      <c r="A62" s="15" t="s">
        <v>50</v>
      </c>
      <c r="B62" s="15">
        <v>2.0</v>
      </c>
      <c r="C62" s="15">
        <v>1.0</v>
      </c>
      <c r="D62" s="15">
        <v>3.0</v>
      </c>
      <c r="E62" s="15">
        <v>1.0</v>
      </c>
      <c r="F62" s="15">
        <v>0.0</v>
      </c>
      <c r="G62" s="15">
        <v>0.0</v>
      </c>
      <c r="H62" s="15">
        <v>4.0</v>
      </c>
      <c r="I62" s="15">
        <v>3.0</v>
      </c>
      <c r="J62" s="15">
        <v>2.0</v>
      </c>
      <c r="K62" s="15">
        <v>1.0</v>
      </c>
      <c r="L62" s="15">
        <v>1.0</v>
      </c>
      <c r="M62" s="15">
        <v>1.0</v>
      </c>
      <c r="N62" s="15">
        <v>0.0</v>
      </c>
      <c r="O62" s="15">
        <v>0.0</v>
      </c>
      <c r="P62" s="15">
        <v>0.0</v>
      </c>
      <c r="Q62" s="15">
        <v>1.0</v>
      </c>
      <c r="R62" s="15">
        <v>0.0</v>
      </c>
      <c r="S62" s="15">
        <v>0.0</v>
      </c>
      <c r="T62" s="15">
        <v>2.0</v>
      </c>
      <c r="U62" s="15">
        <v>0.0</v>
      </c>
      <c r="V62" s="15">
        <v>0.0</v>
      </c>
      <c r="W62" s="15">
        <v>0.0</v>
      </c>
      <c r="X62" s="15">
        <v>1.0</v>
      </c>
      <c r="Y62" s="15">
        <v>0.0</v>
      </c>
      <c r="Z62" s="15">
        <v>0.0</v>
      </c>
      <c r="AA62" s="15">
        <v>0.0</v>
      </c>
      <c r="AB62" s="15">
        <v>3.0</v>
      </c>
      <c r="AC62" s="15">
        <v>1.0</v>
      </c>
      <c r="AD62" s="15">
        <v>0.0</v>
      </c>
      <c r="AE62" s="13">
        <v>0.0</v>
      </c>
      <c r="AF62" s="13">
        <v>1.0</v>
      </c>
    </row>
    <row r="63" outlineLevel="1">
      <c r="A63" s="13" t="s">
        <v>51</v>
      </c>
      <c r="B63" s="13">
        <v>0.0</v>
      </c>
      <c r="C63" s="13">
        <v>1.0</v>
      </c>
      <c r="D63" s="13">
        <v>0.0</v>
      </c>
      <c r="E63" s="13">
        <v>0.0</v>
      </c>
      <c r="F63" s="13">
        <v>0.0</v>
      </c>
      <c r="G63" s="13">
        <v>0.0</v>
      </c>
      <c r="H63" s="13">
        <v>0.0</v>
      </c>
      <c r="I63" s="13">
        <v>0.0</v>
      </c>
      <c r="J63" s="13">
        <v>0.0</v>
      </c>
      <c r="K63" s="13">
        <v>0.0</v>
      </c>
      <c r="L63" s="13">
        <v>0.0</v>
      </c>
      <c r="M63" s="13">
        <v>0.0</v>
      </c>
      <c r="N63" s="13">
        <v>0.0</v>
      </c>
      <c r="O63" s="13">
        <v>0.0</v>
      </c>
      <c r="P63" s="13">
        <v>0.0</v>
      </c>
      <c r="Q63" s="13">
        <v>0.0</v>
      </c>
      <c r="R63" s="13">
        <v>0.0</v>
      </c>
      <c r="S63" s="13">
        <v>0.0</v>
      </c>
      <c r="T63" s="13">
        <v>0.0</v>
      </c>
      <c r="U63" s="13">
        <v>0.0</v>
      </c>
      <c r="V63" s="13">
        <v>0.0</v>
      </c>
      <c r="W63" s="13">
        <v>0.0</v>
      </c>
      <c r="X63" s="13">
        <v>0.0</v>
      </c>
      <c r="Y63" s="13">
        <v>0.0</v>
      </c>
      <c r="Z63" s="13">
        <v>0.0</v>
      </c>
      <c r="AA63" s="13">
        <v>0.0</v>
      </c>
      <c r="AB63" s="13">
        <v>0.0</v>
      </c>
      <c r="AC63" s="13">
        <v>0.0</v>
      </c>
      <c r="AD63" s="13">
        <v>0.0</v>
      </c>
      <c r="AE63" s="13">
        <v>0.0</v>
      </c>
      <c r="AF63" s="13">
        <v>0.0</v>
      </c>
    </row>
    <row r="64">
      <c r="A64" s="19" t="s">
        <v>52</v>
      </c>
      <c r="B64" s="35">
        <f t="shared" ref="B64:AF64" si="13">SUM(B52+B58+B62+B63)</f>
        <v>314</v>
      </c>
      <c r="C64" s="35">
        <f t="shared" si="13"/>
        <v>345</v>
      </c>
      <c r="D64" s="35">
        <f t="shared" si="13"/>
        <v>457</v>
      </c>
      <c r="E64" s="35">
        <f t="shared" si="13"/>
        <v>464</v>
      </c>
      <c r="F64" s="35">
        <f t="shared" si="13"/>
        <v>539</v>
      </c>
      <c r="G64" s="35">
        <f t="shared" si="13"/>
        <v>657</v>
      </c>
      <c r="H64" s="35">
        <f t="shared" si="13"/>
        <v>651</v>
      </c>
      <c r="I64" s="35">
        <f t="shared" si="13"/>
        <v>572</v>
      </c>
      <c r="J64" s="35">
        <f t="shared" si="13"/>
        <v>446</v>
      </c>
      <c r="K64" s="35">
        <f t="shared" si="13"/>
        <v>386</v>
      </c>
      <c r="L64" s="35">
        <f t="shared" si="13"/>
        <v>424</v>
      </c>
      <c r="M64" s="35">
        <f t="shared" si="13"/>
        <v>446</v>
      </c>
      <c r="N64" s="35">
        <f t="shared" si="13"/>
        <v>263</v>
      </c>
      <c r="O64" s="35">
        <f t="shared" si="13"/>
        <v>259</v>
      </c>
      <c r="P64" s="35">
        <f t="shared" si="13"/>
        <v>217</v>
      </c>
      <c r="Q64" s="35">
        <f t="shared" si="13"/>
        <v>170</v>
      </c>
      <c r="R64" s="35">
        <f t="shared" si="13"/>
        <v>205</v>
      </c>
      <c r="S64" s="35">
        <f t="shared" si="13"/>
        <v>238</v>
      </c>
      <c r="T64" s="35">
        <f t="shared" si="13"/>
        <v>236</v>
      </c>
      <c r="U64" s="35">
        <f t="shared" si="13"/>
        <v>208</v>
      </c>
      <c r="V64" s="35">
        <f t="shared" si="13"/>
        <v>235</v>
      </c>
      <c r="W64" s="35">
        <f t="shared" si="13"/>
        <v>221</v>
      </c>
      <c r="X64" s="35">
        <f t="shared" si="13"/>
        <v>191</v>
      </c>
      <c r="Y64" s="35">
        <f t="shared" si="13"/>
        <v>198</v>
      </c>
      <c r="Z64" s="35">
        <f t="shared" si="13"/>
        <v>195</v>
      </c>
      <c r="AA64" s="35">
        <f t="shared" si="13"/>
        <v>206</v>
      </c>
      <c r="AB64" s="35">
        <f t="shared" si="13"/>
        <v>221</v>
      </c>
      <c r="AC64" s="35">
        <f t="shared" si="13"/>
        <v>204</v>
      </c>
      <c r="AD64" s="35">
        <f t="shared" si="13"/>
        <v>178</v>
      </c>
      <c r="AE64" s="35">
        <f t="shared" si="13"/>
        <v>141</v>
      </c>
      <c r="AF64" s="35">
        <f t="shared" si="13"/>
        <v>200</v>
      </c>
    </row>
    <row r="66">
      <c r="A66" s="11" t="s">
        <v>53</v>
      </c>
    </row>
    <row r="67">
      <c r="A67" s="21" t="s">
        <v>35</v>
      </c>
      <c r="B67" s="4">
        <v>121.0</v>
      </c>
      <c r="C67" s="4">
        <v>18.0</v>
      </c>
      <c r="D67" s="4">
        <v>24.0</v>
      </c>
      <c r="E67" s="4">
        <v>36.0</v>
      </c>
      <c r="F67" s="4">
        <v>0.0</v>
      </c>
      <c r="G67" s="4">
        <v>7.0</v>
      </c>
      <c r="H67" s="4">
        <v>11.0</v>
      </c>
      <c r="I67" s="4">
        <v>4.0</v>
      </c>
      <c r="J67" s="4">
        <v>19.0</v>
      </c>
      <c r="K67" s="4">
        <v>19.0</v>
      </c>
      <c r="L67" s="4">
        <v>24.0</v>
      </c>
      <c r="M67" s="4">
        <v>0.0</v>
      </c>
      <c r="N67" s="4">
        <v>12.0</v>
      </c>
      <c r="O67" s="4">
        <v>2.0</v>
      </c>
      <c r="P67" s="4">
        <v>5.0</v>
      </c>
      <c r="Q67" s="4">
        <v>3.0</v>
      </c>
      <c r="R67" s="4">
        <v>5.0</v>
      </c>
      <c r="S67" s="4">
        <v>4.0</v>
      </c>
      <c r="T67" s="4">
        <v>0.0</v>
      </c>
      <c r="U67" s="4">
        <v>0.0</v>
      </c>
      <c r="V67" s="4">
        <v>1.0</v>
      </c>
      <c r="W67" s="4">
        <v>3.0</v>
      </c>
      <c r="X67" s="4">
        <v>4.0</v>
      </c>
      <c r="Y67" s="4">
        <v>5.0</v>
      </c>
      <c r="Z67" s="4">
        <v>7.0</v>
      </c>
      <c r="AA67" s="4">
        <v>0.0</v>
      </c>
      <c r="AB67" s="4">
        <v>1.0</v>
      </c>
      <c r="AC67" s="4">
        <v>3.0</v>
      </c>
      <c r="AD67" s="4">
        <v>11.0</v>
      </c>
      <c r="AE67" s="4">
        <v>9.0</v>
      </c>
      <c r="AF67" s="4">
        <v>18.0</v>
      </c>
    </row>
    <row r="68">
      <c r="A68" s="21" t="s">
        <v>36</v>
      </c>
      <c r="B68" s="4">
        <v>6.0</v>
      </c>
      <c r="C68" s="4">
        <v>7.0</v>
      </c>
      <c r="D68" s="4">
        <v>8.0</v>
      </c>
      <c r="E68" s="4">
        <v>15.0</v>
      </c>
      <c r="F68" s="4">
        <v>28.0</v>
      </c>
      <c r="G68" s="4">
        <v>34.0</v>
      </c>
      <c r="H68" s="4">
        <v>22.0</v>
      </c>
      <c r="I68" s="4">
        <v>31.0</v>
      </c>
      <c r="J68" s="4">
        <v>22.0</v>
      </c>
      <c r="K68" s="4">
        <v>37.0</v>
      </c>
      <c r="L68" s="4">
        <v>48.0</v>
      </c>
      <c r="M68" s="4">
        <v>19.0</v>
      </c>
      <c r="N68" s="4">
        <v>5.0</v>
      </c>
      <c r="O68" s="4">
        <v>0.0</v>
      </c>
      <c r="P68" s="4">
        <v>3.0</v>
      </c>
      <c r="Q68" s="4">
        <v>3.0</v>
      </c>
      <c r="R68" s="4">
        <v>1.0</v>
      </c>
      <c r="S68" s="4">
        <v>4.0</v>
      </c>
      <c r="T68" s="4">
        <v>3.0</v>
      </c>
      <c r="U68" s="4">
        <v>7.0</v>
      </c>
      <c r="V68" s="4">
        <v>2.0</v>
      </c>
      <c r="W68" s="4">
        <v>0.0</v>
      </c>
      <c r="X68" s="4">
        <v>3.0</v>
      </c>
      <c r="Y68" s="4">
        <v>1.0</v>
      </c>
      <c r="Z68" s="4">
        <v>4.0</v>
      </c>
      <c r="AA68" s="4">
        <v>1.0</v>
      </c>
      <c r="AB68" s="4">
        <v>1.0</v>
      </c>
      <c r="AC68" s="4">
        <v>15.0</v>
      </c>
      <c r="AD68" s="4">
        <v>12.0</v>
      </c>
      <c r="AE68" s="4">
        <v>11.0</v>
      </c>
      <c r="AF68" s="4">
        <v>10.0</v>
      </c>
    </row>
    <row r="69">
      <c r="A69" s="19" t="s">
        <v>52</v>
      </c>
      <c r="B69" s="36">
        <f t="shared" ref="B69:AF69" si="14">B67+B68</f>
        <v>127</v>
      </c>
      <c r="C69" s="36">
        <f t="shared" si="14"/>
        <v>25</v>
      </c>
      <c r="D69" s="36">
        <f t="shared" si="14"/>
        <v>32</v>
      </c>
      <c r="E69" s="36">
        <f t="shared" si="14"/>
        <v>51</v>
      </c>
      <c r="F69" s="36">
        <f t="shared" si="14"/>
        <v>28</v>
      </c>
      <c r="G69" s="36">
        <f t="shared" si="14"/>
        <v>41</v>
      </c>
      <c r="H69" s="36">
        <f t="shared" si="14"/>
        <v>33</v>
      </c>
      <c r="I69" s="36">
        <f t="shared" si="14"/>
        <v>35</v>
      </c>
      <c r="J69" s="36">
        <f t="shared" si="14"/>
        <v>41</v>
      </c>
      <c r="K69" s="36">
        <f t="shared" si="14"/>
        <v>56</v>
      </c>
      <c r="L69" s="36">
        <f t="shared" si="14"/>
        <v>72</v>
      </c>
      <c r="M69" s="36">
        <f t="shared" si="14"/>
        <v>19</v>
      </c>
      <c r="N69" s="36">
        <f t="shared" si="14"/>
        <v>17</v>
      </c>
      <c r="O69" s="36">
        <f t="shared" si="14"/>
        <v>2</v>
      </c>
      <c r="P69" s="36">
        <f t="shared" si="14"/>
        <v>8</v>
      </c>
      <c r="Q69" s="36">
        <f t="shared" si="14"/>
        <v>6</v>
      </c>
      <c r="R69" s="36">
        <f t="shared" si="14"/>
        <v>6</v>
      </c>
      <c r="S69" s="36">
        <f t="shared" si="14"/>
        <v>8</v>
      </c>
      <c r="T69" s="36">
        <f t="shared" si="14"/>
        <v>3</v>
      </c>
      <c r="U69" s="36">
        <f t="shared" si="14"/>
        <v>7</v>
      </c>
      <c r="V69" s="36">
        <f t="shared" si="14"/>
        <v>3</v>
      </c>
      <c r="W69" s="36">
        <f t="shared" si="14"/>
        <v>3</v>
      </c>
      <c r="X69" s="36">
        <f t="shared" si="14"/>
        <v>7</v>
      </c>
      <c r="Y69" s="36">
        <f t="shared" si="14"/>
        <v>6</v>
      </c>
      <c r="Z69" s="36">
        <f t="shared" si="14"/>
        <v>11</v>
      </c>
      <c r="AA69" s="36">
        <f t="shared" si="14"/>
        <v>1</v>
      </c>
      <c r="AB69" s="36">
        <f t="shared" si="14"/>
        <v>2</v>
      </c>
      <c r="AC69" s="36">
        <f t="shared" si="14"/>
        <v>18</v>
      </c>
      <c r="AD69" s="36">
        <f t="shared" si="14"/>
        <v>23</v>
      </c>
      <c r="AE69" s="36">
        <f t="shared" si="14"/>
        <v>20</v>
      </c>
      <c r="AF69" s="36">
        <f t="shared" si="14"/>
        <v>28</v>
      </c>
    </row>
    <row r="71">
      <c r="A71" s="11" t="s">
        <v>54</v>
      </c>
      <c r="L71" s="27"/>
    </row>
    <row r="72" outlineLevel="1">
      <c r="A72" s="21" t="s">
        <v>38</v>
      </c>
      <c r="B72" s="37">
        <f>'App - P&amp;L'!B17</f>
        <v>17</v>
      </c>
      <c r="C72" s="37">
        <f>'App - P&amp;L'!C17</f>
        <v>30</v>
      </c>
      <c r="D72" s="37">
        <f>'App - P&amp;L'!D17</f>
        <v>22</v>
      </c>
      <c r="E72" s="37">
        <f>'App - P&amp;L'!E17</f>
        <v>26</v>
      </c>
      <c r="F72" s="37">
        <f>'App - P&amp;L'!F17</f>
        <v>26</v>
      </c>
      <c r="G72" s="37">
        <f>'App - P&amp;L'!G17</f>
        <v>22</v>
      </c>
      <c r="H72" s="37">
        <f>'App - P&amp;L'!H17</f>
        <v>21</v>
      </c>
      <c r="I72" s="37">
        <f>'App - P&amp;L'!I17</f>
        <v>22</v>
      </c>
      <c r="J72" s="37">
        <f>'App - P&amp;L'!J17</f>
        <v>33</v>
      </c>
      <c r="K72" s="37">
        <f>'App - P&amp;L'!K17</f>
        <v>18</v>
      </c>
      <c r="L72" s="37">
        <f>'App - P&amp;L'!L17</f>
        <v>31</v>
      </c>
      <c r="M72" s="37">
        <f>'App - P&amp;L'!M17</f>
        <v>54</v>
      </c>
      <c r="N72" s="37">
        <f>'App - P&amp;L'!N17</f>
        <v>33</v>
      </c>
      <c r="O72" s="37">
        <f>'App - P&amp;L'!O17</f>
        <v>28</v>
      </c>
      <c r="P72" s="37">
        <f>'App - P&amp;L'!P17</f>
        <v>31</v>
      </c>
      <c r="Q72" s="37">
        <f>'App - P&amp;L'!Q17</f>
        <v>20</v>
      </c>
      <c r="R72" s="37">
        <f>'App - P&amp;L'!R17</f>
        <v>17</v>
      </c>
      <c r="S72" s="37">
        <f>'App - P&amp;L'!S17</f>
        <v>25</v>
      </c>
      <c r="T72" s="37">
        <f>'App - P&amp;L'!T17</f>
        <v>26</v>
      </c>
      <c r="U72" s="37">
        <f>'App - P&amp;L'!U17</f>
        <v>19</v>
      </c>
      <c r="V72" s="37">
        <f>'App - P&amp;L'!V17</f>
        <v>23</v>
      </c>
      <c r="W72" s="37">
        <f>'App - P&amp;L'!W17</f>
        <v>21</v>
      </c>
      <c r="X72" s="37">
        <f>'App - P&amp;L'!X17</f>
        <v>22</v>
      </c>
      <c r="Y72" s="37">
        <f>'App - P&amp;L'!Y17</f>
        <v>22</v>
      </c>
      <c r="Z72" s="37">
        <f>'App - P&amp;L'!Z17</f>
        <v>35</v>
      </c>
      <c r="AA72" s="37">
        <f>'App - P&amp;L'!AA17</f>
        <v>31</v>
      </c>
      <c r="AB72" s="37">
        <f>'App - P&amp;L'!AB17</f>
        <v>15</v>
      </c>
      <c r="AC72" s="37">
        <f>'App - P&amp;L'!AC17</f>
        <v>37</v>
      </c>
      <c r="AD72" s="37">
        <f>'App - P&amp;L'!AD17</f>
        <v>38</v>
      </c>
      <c r="AE72" s="37">
        <f>'App - P&amp;L'!AE17</f>
        <v>16</v>
      </c>
      <c r="AF72" s="37">
        <f>'App - P&amp;L'!AF17</f>
        <v>7</v>
      </c>
    </row>
    <row r="73" outlineLevel="1">
      <c r="A73" s="21" t="s">
        <v>39</v>
      </c>
      <c r="B73" s="37">
        <f>'App - P&amp;L'!B14</f>
        <v>120</v>
      </c>
      <c r="C73" s="37">
        <f>'App - P&amp;L'!C14</f>
        <v>111</v>
      </c>
      <c r="D73" s="37">
        <f>'App - P&amp;L'!D14</f>
        <v>143</v>
      </c>
      <c r="E73" s="37">
        <f>'App - P&amp;L'!E14</f>
        <v>143</v>
      </c>
      <c r="F73" s="37">
        <f>'App - P&amp;L'!F14</f>
        <v>139</v>
      </c>
      <c r="G73" s="37">
        <f>'App - P&amp;L'!G14</f>
        <v>117</v>
      </c>
      <c r="H73" s="37">
        <f>'App - P&amp;L'!H14</f>
        <v>109</v>
      </c>
      <c r="I73" s="37">
        <f>'App - P&amp;L'!I14</f>
        <v>106</v>
      </c>
      <c r="J73" s="37">
        <f>'App - P&amp;L'!J14</f>
        <v>135</v>
      </c>
      <c r="K73" s="37">
        <f>'App - P&amp;L'!K14</f>
        <v>127</v>
      </c>
      <c r="L73" s="37">
        <f>'App - P&amp;L'!L14</f>
        <v>179</v>
      </c>
      <c r="M73" s="37">
        <f>'App - P&amp;L'!M14</f>
        <v>326</v>
      </c>
      <c r="N73" s="37">
        <f>'App - P&amp;L'!N14</f>
        <v>222</v>
      </c>
      <c r="O73" s="37">
        <f>'App - P&amp;L'!O14</f>
        <v>141</v>
      </c>
      <c r="P73" s="37">
        <f>'App - P&amp;L'!P14</f>
        <v>115</v>
      </c>
      <c r="Q73" s="37">
        <f>'App - P&amp;L'!Q14</f>
        <v>116</v>
      </c>
      <c r="R73" s="37">
        <f>'App - P&amp;L'!R14</f>
        <v>113</v>
      </c>
      <c r="S73" s="37">
        <f>'App - P&amp;L'!S14</f>
        <v>146</v>
      </c>
      <c r="T73" s="37">
        <f>'App - P&amp;L'!T14</f>
        <v>189</v>
      </c>
      <c r="U73" s="37">
        <f>'App - P&amp;L'!U14</f>
        <v>124</v>
      </c>
      <c r="V73" s="37">
        <f>'App - P&amp;L'!V14</f>
        <v>121</v>
      </c>
      <c r="W73" s="37">
        <f>'App - P&amp;L'!W14</f>
        <v>110</v>
      </c>
      <c r="X73" s="37">
        <f>'App - P&amp;L'!X14</f>
        <v>130</v>
      </c>
      <c r="Y73" s="37">
        <f>'App - P&amp;L'!Y14</f>
        <v>125</v>
      </c>
      <c r="Z73" s="37">
        <f>'App - P&amp;L'!Z14</f>
        <v>225</v>
      </c>
      <c r="AA73" s="37">
        <f>'App - P&amp;L'!AA14</f>
        <v>216</v>
      </c>
      <c r="AB73" s="37">
        <f>'App - P&amp;L'!AB14</f>
        <v>185</v>
      </c>
      <c r="AC73" s="37">
        <f>'App - P&amp;L'!AC14</f>
        <v>146</v>
      </c>
      <c r="AD73" s="37">
        <f>'App - P&amp;L'!AD14</f>
        <v>119</v>
      </c>
      <c r="AE73" s="37">
        <f>'App - P&amp;L'!AE14</f>
        <v>97</v>
      </c>
      <c r="AF73" s="37">
        <f>'App - P&amp;L'!AF14</f>
        <v>103</v>
      </c>
    </row>
    <row r="74">
      <c r="A74" s="19" t="s">
        <v>52</v>
      </c>
      <c r="B74" s="37">
        <f t="shared" ref="B74:AF74" si="15">sum(B72:B73)</f>
        <v>137</v>
      </c>
      <c r="C74" s="37">
        <f t="shared" si="15"/>
        <v>141</v>
      </c>
      <c r="D74" s="37">
        <f t="shared" si="15"/>
        <v>165</v>
      </c>
      <c r="E74" s="37">
        <f t="shared" si="15"/>
        <v>169</v>
      </c>
      <c r="F74" s="37">
        <f t="shared" si="15"/>
        <v>165</v>
      </c>
      <c r="G74" s="37">
        <f t="shared" si="15"/>
        <v>139</v>
      </c>
      <c r="H74" s="37">
        <f t="shared" si="15"/>
        <v>130</v>
      </c>
      <c r="I74" s="37">
        <f t="shared" si="15"/>
        <v>128</v>
      </c>
      <c r="J74" s="37">
        <f t="shared" si="15"/>
        <v>168</v>
      </c>
      <c r="K74" s="37">
        <f t="shared" si="15"/>
        <v>145</v>
      </c>
      <c r="L74" s="37">
        <f t="shared" si="15"/>
        <v>210</v>
      </c>
      <c r="M74" s="37">
        <f t="shared" si="15"/>
        <v>380</v>
      </c>
      <c r="N74" s="37">
        <f t="shared" si="15"/>
        <v>255</v>
      </c>
      <c r="O74" s="37">
        <f t="shared" si="15"/>
        <v>169</v>
      </c>
      <c r="P74" s="37">
        <f t="shared" si="15"/>
        <v>146</v>
      </c>
      <c r="Q74" s="37">
        <f t="shared" si="15"/>
        <v>136</v>
      </c>
      <c r="R74" s="37">
        <f t="shared" si="15"/>
        <v>130</v>
      </c>
      <c r="S74" s="37">
        <f t="shared" si="15"/>
        <v>171</v>
      </c>
      <c r="T74" s="37">
        <f t="shared" si="15"/>
        <v>215</v>
      </c>
      <c r="U74" s="37">
        <f t="shared" si="15"/>
        <v>143</v>
      </c>
      <c r="V74" s="37">
        <f t="shared" si="15"/>
        <v>144</v>
      </c>
      <c r="W74" s="37">
        <f t="shared" si="15"/>
        <v>131</v>
      </c>
      <c r="X74" s="37">
        <f t="shared" si="15"/>
        <v>152</v>
      </c>
      <c r="Y74" s="37">
        <f t="shared" si="15"/>
        <v>147</v>
      </c>
      <c r="Z74" s="37">
        <f t="shared" si="15"/>
        <v>260</v>
      </c>
      <c r="AA74" s="37">
        <f t="shared" si="15"/>
        <v>247</v>
      </c>
      <c r="AB74" s="37">
        <f t="shared" si="15"/>
        <v>200</v>
      </c>
      <c r="AC74" s="37">
        <f t="shared" si="15"/>
        <v>183</v>
      </c>
      <c r="AD74" s="37">
        <f t="shared" si="15"/>
        <v>157</v>
      </c>
      <c r="AE74" s="37">
        <f t="shared" si="15"/>
        <v>113</v>
      </c>
      <c r="AF74" s="37">
        <f t="shared" si="15"/>
        <v>110</v>
      </c>
    </row>
    <row r="75">
      <c r="A75" s="38" t="s">
        <v>55</v>
      </c>
      <c r="B75" s="39">
        <f>3673.14+ 30.84</f>
        <v>3703.98</v>
      </c>
      <c r="C75" s="39">
        <v>4631.98</v>
      </c>
      <c r="D75" s="39">
        <v>4588.24</v>
      </c>
      <c r="E75" s="39">
        <v>6702.23</v>
      </c>
      <c r="F75" s="39">
        <v>6996.07</v>
      </c>
      <c r="G75" s="39">
        <v>6525.17</v>
      </c>
      <c r="H75" s="39">
        <v>7139.83</v>
      </c>
      <c r="I75" s="39">
        <v>5770.58</v>
      </c>
      <c r="J75" s="39">
        <v>4128.55</v>
      </c>
      <c r="K75" s="39">
        <v>4121.39</v>
      </c>
      <c r="L75" s="39">
        <v>3847.93</v>
      </c>
      <c r="M75" s="39">
        <v>2338.89</v>
      </c>
      <c r="N75" s="39">
        <v>2941.34</v>
      </c>
      <c r="O75" s="39">
        <v>3362.36</v>
      </c>
      <c r="P75" s="39">
        <v>4086.13</v>
      </c>
      <c r="Q75" s="39">
        <v>2017.1</v>
      </c>
      <c r="R75" s="39">
        <v>1677.68</v>
      </c>
      <c r="S75" s="39">
        <v>1863.64</v>
      </c>
      <c r="T75" s="39">
        <v>1443.83</v>
      </c>
      <c r="U75" s="39">
        <v>1915.96</v>
      </c>
      <c r="V75" s="39">
        <v>1757.25</v>
      </c>
      <c r="W75" s="39">
        <v>2271.62</v>
      </c>
      <c r="X75" s="39">
        <v>2824.01</v>
      </c>
      <c r="Y75" s="39">
        <v>2957.88</v>
      </c>
      <c r="Z75" s="39">
        <v>2992.94</v>
      </c>
      <c r="AA75" s="39">
        <v>3031.57</v>
      </c>
      <c r="AB75" s="39">
        <v>3083.79</v>
      </c>
      <c r="AC75" s="39">
        <v>2968.18</v>
      </c>
      <c r="AD75" s="39">
        <v>2884.49</v>
      </c>
      <c r="AE75" s="39">
        <v>2962.58</v>
      </c>
      <c r="AF75" s="39">
        <v>2359.05</v>
      </c>
    </row>
    <row r="76" outlineLevel="1">
      <c r="A76" s="40" t="s">
        <v>56</v>
      </c>
      <c r="B76" s="41">
        <v>1.0716</v>
      </c>
      <c r="C76" s="41">
        <v>1.0731</v>
      </c>
      <c r="D76" s="41">
        <v>1.0768</v>
      </c>
      <c r="E76" s="41">
        <v>1.0768</v>
      </c>
      <c r="F76" s="41">
        <v>1.0763</v>
      </c>
      <c r="G76" s="41">
        <v>1.0769</v>
      </c>
      <c r="H76" s="41">
        <v>1.0752</v>
      </c>
      <c r="I76" s="41">
        <v>1.0749</v>
      </c>
      <c r="J76" s="41">
        <v>1.0783</v>
      </c>
      <c r="K76" s="41">
        <v>1.0779</v>
      </c>
      <c r="L76" s="41">
        <v>1.0779</v>
      </c>
      <c r="M76" s="41">
        <v>1.0772</v>
      </c>
      <c r="N76" s="41">
        <v>1.0792</v>
      </c>
      <c r="O76" s="41">
        <v>1.0817</v>
      </c>
      <c r="P76" s="41">
        <v>1.089</v>
      </c>
      <c r="Q76" s="41">
        <v>1.0868</v>
      </c>
      <c r="R76" s="41">
        <v>1.088</v>
      </c>
      <c r="S76" s="41">
        <v>1.0879</v>
      </c>
      <c r="T76" s="41">
        <v>1.087</v>
      </c>
      <c r="U76" s="41">
        <v>1.086</v>
      </c>
      <c r="V76" s="42">
        <v>1.0858</v>
      </c>
      <c r="W76" s="42">
        <v>1.0825</v>
      </c>
      <c r="X76" s="42">
        <v>1.0813</v>
      </c>
      <c r="Y76" s="42">
        <v>1.0855</v>
      </c>
      <c r="Z76" s="42">
        <v>1.0849</v>
      </c>
      <c r="AA76" s="42">
        <v>1.0851</v>
      </c>
      <c r="AB76" s="42">
        <v>1.086</v>
      </c>
      <c r="AC76" s="42">
        <v>1.0857</v>
      </c>
      <c r="AD76" s="42">
        <v>1.0801</v>
      </c>
      <c r="AE76" s="42">
        <v>1.0834</v>
      </c>
      <c r="AF76" s="42">
        <v>1.0857</v>
      </c>
    </row>
    <row r="77">
      <c r="A77" s="13" t="s">
        <v>57</v>
      </c>
      <c r="B77" s="43">
        <f t="shared" ref="B77:AF77" si="16">B75*B76</f>
        <v>3969.184968</v>
      </c>
      <c r="C77" s="43">
        <f t="shared" si="16"/>
        <v>4970.577738</v>
      </c>
      <c r="D77" s="43">
        <f t="shared" si="16"/>
        <v>4940.616832</v>
      </c>
      <c r="E77" s="43">
        <f t="shared" si="16"/>
        <v>7216.961264</v>
      </c>
      <c r="F77" s="43">
        <f t="shared" si="16"/>
        <v>7529.870141</v>
      </c>
      <c r="G77" s="43">
        <f t="shared" si="16"/>
        <v>7026.955573</v>
      </c>
      <c r="H77" s="43">
        <f t="shared" si="16"/>
        <v>7676.745216</v>
      </c>
      <c r="I77" s="43">
        <f t="shared" si="16"/>
        <v>6202.796442</v>
      </c>
      <c r="J77" s="43">
        <f t="shared" si="16"/>
        <v>4451.815465</v>
      </c>
      <c r="K77" s="43">
        <f t="shared" si="16"/>
        <v>4442.446281</v>
      </c>
      <c r="L77" s="43">
        <f t="shared" si="16"/>
        <v>4147.683747</v>
      </c>
      <c r="M77" s="43">
        <f t="shared" si="16"/>
        <v>2519.452308</v>
      </c>
      <c r="N77" s="43">
        <f t="shared" si="16"/>
        <v>3174.294128</v>
      </c>
      <c r="O77" s="43">
        <f t="shared" si="16"/>
        <v>3637.064812</v>
      </c>
      <c r="P77" s="43">
        <f t="shared" si="16"/>
        <v>4449.79557</v>
      </c>
      <c r="Q77" s="43">
        <f t="shared" si="16"/>
        <v>2192.18428</v>
      </c>
      <c r="R77" s="43">
        <f t="shared" si="16"/>
        <v>1825.31584</v>
      </c>
      <c r="S77" s="43">
        <f t="shared" si="16"/>
        <v>2027.453956</v>
      </c>
      <c r="T77" s="43">
        <f t="shared" si="16"/>
        <v>1569.44321</v>
      </c>
      <c r="U77" s="43">
        <f t="shared" si="16"/>
        <v>2080.73256</v>
      </c>
      <c r="V77" s="43">
        <f t="shared" si="16"/>
        <v>1908.02205</v>
      </c>
      <c r="W77" s="43">
        <f t="shared" si="16"/>
        <v>2459.02865</v>
      </c>
      <c r="X77" s="43">
        <f t="shared" si="16"/>
        <v>3053.602013</v>
      </c>
      <c r="Y77" s="43">
        <f t="shared" si="16"/>
        <v>3210.77874</v>
      </c>
      <c r="Z77" s="43">
        <f t="shared" si="16"/>
        <v>3247.040606</v>
      </c>
      <c r="AA77" s="43">
        <f t="shared" si="16"/>
        <v>3289.556607</v>
      </c>
      <c r="AB77" s="43">
        <f t="shared" si="16"/>
        <v>3348.99594</v>
      </c>
      <c r="AC77" s="43">
        <f t="shared" si="16"/>
        <v>3222.553026</v>
      </c>
      <c r="AD77" s="43">
        <f t="shared" si="16"/>
        <v>3115.537649</v>
      </c>
      <c r="AE77" s="43">
        <f t="shared" si="16"/>
        <v>3209.659172</v>
      </c>
      <c r="AF77" s="43">
        <f t="shared" si="16"/>
        <v>2561.220585</v>
      </c>
    </row>
    <row r="78">
      <c r="A78" s="13" t="s">
        <v>58</v>
      </c>
      <c r="B78" s="23">
        <v>3276.07</v>
      </c>
      <c r="C78" s="23">
        <v>3951.55</v>
      </c>
      <c r="D78" s="23">
        <v>4559.08</v>
      </c>
      <c r="E78" s="23">
        <v>3410.72</v>
      </c>
      <c r="F78" s="23">
        <v>3476.98</v>
      </c>
      <c r="G78" s="23">
        <v>5023.32</v>
      </c>
      <c r="H78" s="23">
        <v>3232.73</v>
      </c>
      <c r="I78" s="23">
        <v>2596.83</v>
      </c>
      <c r="J78" s="23">
        <v>1715.92</v>
      </c>
      <c r="K78" s="23">
        <v>2308.04</v>
      </c>
      <c r="L78" s="23">
        <v>1894.76</v>
      </c>
      <c r="M78" s="23">
        <v>1941.16</v>
      </c>
      <c r="N78" s="23">
        <v>2082.39</v>
      </c>
      <c r="O78" s="23">
        <v>2355.95</v>
      </c>
      <c r="P78" s="23">
        <v>2013.18</v>
      </c>
      <c r="Q78" s="23">
        <v>1862.19</v>
      </c>
      <c r="R78" s="23">
        <v>1590.45</v>
      </c>
      <c r="S78" s="23">
        <v>1850.7</v>
      </c>
      <c r="T78" s="23">
        <v>1804.32</v>
      </c>
      <c r="U78" s="23">
        <v>1850.68</v>
      </c>
      <c r="V78" s="23">
        <v>1641.05</v>
      </c>
      <c r="W78" s="23">
        <v>1619.01</v>
      </c>
      <c r="X78" s="23">
        <v>1398.11</v>
      </c>
      <c r="Y78" s="23">
        <v>1379.16</v>
      </c>
      <c r="Z78" s="23">
        <v>1810.48</v>
      </c>
      <c r="AA78" s="23">
        <v>1506.58</v>
      </c>
      <c r="AB78" s="23">
        <v>1369.13</v>
      </c>
      <c r="AC78" s="23">
        <v>1275.45</v>
      </c>
      <c r="AD78" s="23">
        <v>1355.72</v>
      </c>
      <c r="AE78" s="23">
        <v>1209.71</v>
      </c>
      <c r="AF78" s="23">
        <v>1047.88</v>
      </c>
    </row>
    <row r="79">
      <c r="A79" s="13" t="s">
        <v>59</v>
      </c>
      <c r="B79" s="23">
        <v>105.28</v>
      </c>
      <c r="C79" s="23">
        <v>117.67</v>
      </c>
      <c r="D79" s="23">
        <v>117.57</v>
      </c>
      <c r="E79" s="23">
        <v>127.32</v>
      </c>
      <c r="F79" s="23">
        <v>145.53</v>
      </c>
      <c r="G79" s="23">
        <v>269.27</v>
      </c>
      <c r="H79" s="23">
        <v>268.09</v>
      </c>
      <c r="I79" s="23">
        <v>316.1</v>
      </c>
      <c r="J79" s="23">
        <v>283.25</v>
      </c>
      <c r="K79" s="23">
        <v>247.89</v>
      </c>
      <c r="L79" s="23">
        <v>161.44</v>
      </c>
      <c r="M79" s="23">
        <v>184.45</v>
      </c>
      <c r="N79" s="23">
        <v>170.58</v>
      </c>
      <c r="O79" s="23">
        <v>171.85</v>
      </c>
      <c r="P79" s="23">
        <v>165.23</v>
      </c>
      <c r="Q79" s="23">
        <v>172.85</v>
      </c>
      <c r="R79" s="23">
        <v>194.23</v>
      </c>
      <c r="S79" s="23">
        <v>163.31</v>
      </c>
      <c r="T79" s="23">
        <v>137.9</v>
      </c>
      <c r="U79" s="23">
        <v>152.0</v>
      </c>
      <c r="V79" s="23">
        <v>104.58</v>
      </c>
      <c r="W79" s="23">
        <v>101.58</v>
      </c>
      <c r="X79" s="23">
        <v>112.36</v>
      </c>
      <c r="Y79" s="23">
        <v>122.06</v>
      </c>
      <c r="Z79" s="23">
        <v>75.5</v>
      </c>
      <c r="AA79" s="23">
        <v>90.55</v>
      </c>
      <c r="AB79" s="23">
        <v>124.05</v>
      </c>
      <c r="AC79" s="23">
        <v>126.92</v>
      </c>
      <c r="AD79" s="23">
        <v>97.82</v>
      </c>
      <c r="AE79" s="23">
        <v>85.59</v>
      </c>
      <c r="AF79" s="23">
        <v>104.78</v>
      </c>
    </row>
    <row r="80">
      <c r="A80" s="13" t="s">
        <v>60</v>
      </c>
      <c r="B80" s="23">
        <v>489.6</v>
      </c>
      <c r="C80" s="23">
        <v>424.2</v>
      </c>
      <c r="D80" s="23">
        <v>837.74</v>
      </c>
      <c r="E80" s="23">
        <v>765.99</v>
      </c>
      <c r="F80" s="23">
        <v>980.64</v>
      </c>
      <c r="G80" s="23">
        <v>816.78</v>
      </c>
      <c r="H80" s="23">
        <v>1227.49</v>
      </c>
      <c r="I80" s="23">
        <v>500.71</v>
      </c>
      <c r="J80" s="23">
        <v>502.11</v>
      </c>
      <c r="K80" s="23">
        <v>534.21</v>
      </c>
      <c r="L80" s="23">
        <v>461.84</v>
      </c>
      <c r="M80" s="23">
        <v>484.21</v>
      </c>
      <c r="N80" s="23">
        <v>452.58</v>
      </c>
      <c r="O80" s="23">
        <v>564.12</v>
      </c>
      <c r="P80" s="23">
        <v>569.65</v>
      </c>
      <c r="Q80" s="23">
        <v>434.19</v>
      </c>
      <c r="R80" s="23">
        <v>516.99</v>
      </c>
      <c r="S80" s="23">
        <v>478.26</v>
      </c>
      <c r="T80" s="23">
        <v>495.21</v>
      </c>
      <c r="U80" s="23">
        <v>307.78</v>
      </c>
      <c r="V80" s="23">
        <v>0.0</v>
      </c>
      <c r="W80" s="23">
        <v>0.0</v>
      </c>
      <c r="X80" s="23">
        <v>0.0</v>
      </c>
      <c r="Y80" s="23">
        <v>0.0</v>
      </c>
      <c r="Z80" s="23">
        <v>0.0</v>
      </c>
      <c r="AA80" s="23">
        <v>0.0</v>
      </c>
      <c r="AB80" s="23">
        <v>0.0</v>
      </c>
      <c r="AC80" s="23">
        <v>0.0</v>
      </c>
      <c r="AD80" s="23">
        <v>0.0</v>
      </c>
      <c r="AE80" s="23">
        <v>0.0</v>
      </c>
      <c r="AF80" s="23">
        <v>0.0</v>
      </c>
    </row>
    <row r="81">
      <c r="A81" s="13" t="s">
        <v>61</v>
      </c>
      <c r="B81" s="23">
        <v>1768.51</v>
      </c>
      <c r="C81" s="12">
        <v>1734.2</v>
      </c>
      <c r="D81" s="23">
        <v>2894.47</v>
      </c>
      <c r="E81" s="23">
        <v>3285.56</v>
      </c>
      <c r="F81" s="23">
        <v>3568.14</v>
      </c>
      <c r="G81" s="23">
        <v>3972.97</v>
      </c>
      <c r="H81" s="23">
        <v>3776.29</v>
      </c>
      <c r="I81" s="23">
        <v>3738.21</v>
      </c>
      <c r="J81" s="23">
        <v>1997.23</v>
      </c>
      <c r="K81" s="23">
        <v>1606.06</v>
      </c>
      <c r="L81" s="23">
        <v>1549.22</v>
      </c>
      <c r="M81" s="23">
        <v>1667.76</v>
      </c>
      <c r="N81" s="23">
        <v>2365.31</v>
      </c>
      <c r="O81" s="23">
        <v>2170.16</v>
      </c>
      <c r="P81" s="23">
        <v>2114.39</v>
      </c>
      <c r="Q81" s="23">
        <v>2150.83</v>
      </c>
      <c r="R81" s="23">
        <v>1933.38</v>
      </c>
      <c r="S81" s="23">
        <v>2123.65</v>
      </c>
      <c r="T81" s="23">
        <v>2412.85</v>
      </c>
      <c r="U81" s="23">
        <v>2021.29</v>
      </c>
      <c r="V81" s="23">
        <v>2066.88</v>
      </c>
      <c r="W81" s="23">
        <v>2024.14</v>
      </c>
      <c r="X81" s="23">
        <v>2066.31</v>
      </c>
      <c r="Y81" s="23">
        <v>2614.46</v>
      </c>
      <c r="Z81" s="23">
        <v>3160.64</v>
      </c>
      <c r="AA81" s="23">
        <v>2327.51</v>
      </c>
      <c r="AB81" s="23">
        <v>2490.07</v>
      </c>
      <c r="AC81" s="23">
        <v>1956.37</v>
      </c>
      <c r="AD81" s="23">
        <v>2410.94</v>
      </c>
      <c r="AE81" s="23">
        <v>2066.06</v>
      </c>
      <c r="AF81" s="23">
        <v>2168.52</v>
      </c>
    </row>
    <row r="82">
      <c r="A82" s="13" t="s">
        <v>62</v>
      </c>
      <c r="B82" s="22"/>
      <c r="C82" s="22"/>
      <c r="D82" s="22"/>
      <c r="E82" s="22"/>
      <c r="F82" s="22"/>
      <c r="G82" s="22"/>
      <c r="H82" s="22"/>
      <c r="I82" s="22"/>
      <c r="J82" s="22"/>
      <c r="K82" s="22"/>
      <c r="L82" s="22"/>
      <c r="M82" s="22"/>
      <c r="N82" s="22"/>
      <c r="O82" s="22"/>
      <c r="P82" s="22"/>
      <c r="Q82" s="22"/>
      <c r="R82" s="22"/>
      <c r="S82" s="22"/>
      <c r="T82" s="22"/>
      <c r="U82" s="44"/>
      <c r="V82" s="44"/>
      <c r="W82" s="44"/>
      <c r="X82" s="44"/>
      <c r="Y82" s="44"/>
      <c r="Z82" s="22"/>
      <c r="AA82" s="44"/>
      <c r="AB82" s="44"/>
      <c r="AC82" s="44"/>
      <c r="AD82" s="22"/>
      <c r="AE82" s="22"/>
      <c r="AF82" s="22"/>
    </row>
    <row r="83">
      <c r="A83" s="13" t="s">
        <v>63</v>
      </c>
      <c r="B83" s="22"/>
      <c r="C83" s="22"/>
      <c r="D83" s="22"/>
      <c r="E83" s="22"/>
      <c r="F83" s="22"/>
      <c r="G83" s="22"/>
      <c r="H83" s="22"/>
      <c r="I83" s="22"/>
      <c r="J83" s="22"/>
      <c r="K83" s="22"/>
      <c r="L83" s="22"/>
      <c r="M83" s="22"/>
      <c r="N83" s="22"/>
      <c r="O83" s="22"/>
      <c r="P83" s="22"/>
      <c r="Q83" s="22"/>
      <c r="R83" s="22"/>
      <c r="S83" s="22"/>
      <c r="T83" s="22"/>
      <c r="U83" s="44"/>
      <c r="V83" s="44"/>
      <c r="W83" s="44"/>
      <c r="X83" s="44"/>
      <c r="Y83" s="44"/>
      <c r="Z83" s="22"/>
      <c r="AA83" s="44"/>
      <c r="AB83" s="44"/>
      <c r="AC83" s="44"/>
      <c r="AD83" s="22"/>
      <c r="AE83" s="22"/>
      <c r="AF83" s="22"/>
    </row>
    <row r="84">
      <c r="A84" s="13" t="s">
        <v>64</v>
      </c>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row>
    <row r="85">
      <c r="A85" s="13" t="s">
        <v>65</v>
      </c>
      <c r="B85" s="23">
        <f t="shared" ref="B85:AF85" si="17">B23*0.2</f>
        <v>127.3637544</v>
      </c>
      <c r="C85" s="23">
        <f t="shared" si="17"/>
        <v>63.6818772</v>
      </c>
      <c r="D85" s="23">
        <f t="shared" si="17"/>
        <v>191.0456316</v>
      </c>
      <c r="E85" s="23">
        <f t="shared" si="17"/>
        <v>63.6818772</v>
      </c>
      <c r="F85" s="23">
        <f t="shared" si="17"/>
        <v>0</v>
      </c>
      <c r="G85" s="23">
        <f t="shared" si="17"/>
        <v>0</v>
      </c>
      <c r="H85" s="23">
        <f t="shared" si="17"/>
        <v>191.0456316</v>
      </c>
      <c r="I85" s="23">
        <f t="shared" si="17"/>
        <v>191.0456316</v>
      </c>
      <c r="J85" s="23">
        <f t="shared" si="17"/>
        <v>127.3637544</v>
      </c>
      <c r="K85" s="23">
        <f t="shared" si="17"/>
        <v>63.6818772</v>
      </c>
      <c r="L85" s="23">
        <f t="shared" si="17"/>
        <v>63.6818772</v>
      </c>
      <c r="M85" s="23">
        <f t="shared" si="17"/>
        <v>63.6818772</v>
      </c>
      <c r="N85" s="23">
        <f t="shared" si="17"/>
        <v>0</v>
      </c>
      <c r="O85" s="23">
        <f t="shared" si="17"/>
        <v>0</v>
      </c>
      <c r="P85" s="23">
        <f t="shared" si="17"/>
        <v>0</v>
      </c>
      <c r="Q85" s="23">
        <f t="shared" si="17"/>
        <v>63.6818772</v>
      </c>
      <c r="R85" s="23">
        <f t="shared" si="17"/>
        <v>0</v>
      </c>
      <c r="S85" s="23">
        <f t="shared" si="17"/>
        <v>0</v>
      </c>
      <c r="T85" s="23">
        <f t="shared" si="17"/>
        <v>127.3637544</v>
      </c>
      <c r="U85" s="23">
        <f t="shared" si="17"/>
        <v>0</v>
      </c>
      <c r="V85" s="23">
        <f t="shared" si="17"/>
        <v>0</v>
      </c>
      <c r="W85" s="23">
        <f t="shared" si="17"/>
        <v>0</v>
      </c>
      <c r="X85" s="23">
        <f t="shared" si="17"/>
        <v>63.6818772</v>
      </c>
      <c r="Y85" s="23">
        <f t="shared" si="17"/>
        <v>0</v>
      </c>
      <c r="Z85" s="23">
        <f t="shared" si="17"/>
        <v>0</v>
      </c>
      <c r="AA85" s="23">
        <f t="shared" si="17"/>
        <v>0</v>
      </c>
      <c r="AB85" s="23">
        <f t="shared" si="17"/>
        <v>191.0456316</v>
      </c>
      <c r="AC85" s="23">
        <f t="shared" si="17"/>
        <v>63.6818772</v>
      </c>
      <c r="AD85" s="23">
        <f t="shared" si="17"/>
        <v>0</v>
      </c>
      <c r="AE85" s="23">
        <f t="shared" si="17"/>
        <v>0</v>
      </c>
      <c r="AF85" s="23">
        <f t="shared" si="17"/>
        <v>63.6818772</v>
      </c>
    </row>
    <row r="86">
      <c r="A86" s="13" t="s">
        <v>66</v>
      </c>
      <c r="B86" s="45">
        <f t="shared" ref="B86:AF86" si="18">B27*0.15</f>
        <v>0</v>
      </c>
      <c r="C86" s="45">
        <f t="shared" si="18"/>
        <v>47.60379</v>
      </c>
      <c r="D86" s="45">
        <f t="shared" si="18"/>
        <v>0</v>
      </c>
      <c r="E86" s="45">
        <f t="shared" si="18"/>
        <v>0</v>
      </c>
      <c r="F86" s="45">
        <f t="shared" si="18"/>
        <v>0</v>
      </c>
      <c r="G86" s="45">
        <f t="shared" si="18"/>
        <v>0</v>
      </c>
      <c r="H86" s="45">
        <f t="shared" si="18"/>
        <v>0</v>
      </c>
      <c r="I86" s="45">
        <f t="shared" si="18"/>
        <v>0</v>
      </c>
      <c r="J86" s="45">
        <f t="shared" si="18"/>
        <v>0</v>
      </c>
      <c r="K86" s="45">
        <f t="shared" si="18"/>
        <v>0</v>
      </c>
      <c r="L86" s="45">
        <f t="shared" si="18"/>
        <v>0</v>
      </c>
      <c r="M86" s="45">
        <f t="shared" si="18"/>
        <v>0</v>
      </c>
      <c r="N86" s="45">
        <f t="shared" si="18"/>
        <v>0</v>
      </c>
      <c r="O86" s="45">
        <f t="shared" si="18"/>
        <v>0</v>
      </c>
      <c r="P86" s="45">
        <f t="shared" si="18"/>
        <v>0</v>
      </c>
      <c r="Q86" s="45">
        <f t="shared" si="18"/>
        <v>0</v>
      </c>
      <c r="R86" s="45">
        <f t="shared" si="18"/>
        <v>0</v>
      </c>
      <c r="S86" s="45">
        <f t="shared" si="18"/>
        <v>0</v>
      </c>
      <c r="T86" s="45">
        <f t="shared" si="18"/>
        <v>0</v>
      </c>
      <c r="U86" s="45">
        <f t="shared" si="18"/>
        <v>0</v>
      </c>
      <c r="V86" s="45">
        <f t="shared" si="18"/>
        <v>0</v>
      </c>
      <c r="W86" s="45">
        <f t="shared" si="18"/>
        <v>0</v>
      </c>
      <c r="X86" s="45">
        <f t="shared" si="18"/>
        <v>0</v>
      </c>
      <c r="Y86" s="45">
        <f t="shared" si="18"/>
        <v>0</v>
      </c>
      <c r="Z86" s="45">
        <f t="shared" si="18"/>
        <v>0</v>
      </c>
      <c r="AA86" s="45">
        <f t="shared" si="18"/>
        <v>0</v>
      </c>
      <c r="AB86" s="45">
        <f t="shared" si="18"/>
        <v>0</v>
      </c>
      <c r="AC86" s="45">
        <f t="shared" si="18"/>
        <v>0</v>
      </c>
      <c r="AD86" s="45">
        <f t="shared" si="18"/>
        <v>0</v>
      </c>
      <c r="AE86" s="45">
        <f t="shared" si="18"/>
        <v>0</v>
      </c>
      <c r="AF86" s="45">
        <f t="shared" si="18"/>
        <v>0</v>
      </c>
    </row>
    <row r="87">
      <c r="A87" s="46" t="s">
        <v>67</v>
      </c>
      <c r="B87" s="47">
        <f t="shared" ref="B87:AF87" si="19">B77+B78+B79+B80+B82+B84</f>
        <v>7840.134968</v>
      </c>
      <c r="C87" s="47">
        <f t="shared" si="19"/>
        <v>9463.997738</v>
      </c>
      <c r="D87" s="47">
        <f t="shared" si="19"/>
        <v>10455.00683</v>
      </c>
      <c r="E87" s="47">
        <f t="shared" si="19"/>
        <v>11520.99126</v>
      </c>
      <c r="F87" s="47">
        <f t="shared" si="19"/>
        <v>12133.02014</v>
      </c>
      <c r="G87" s="47">
        <f t="shared" si="19"/>
        <v>13136.32557</v>
      </c>
      <c r="H87" s="47">
        <f t="shared" si="19"/>
        <v>12405.05522</v>
      </c>
      <c r="I87" s="47">
        <f t="shared" si="19"/>
        <v>9616.436442</v>
      </c>
      <c r="J87" s="47">
        <f t="shared" si="19"/>
        <v>6953.095465</v>
      </c>
      <c r="K87" s="47">
        <f t="shared" si="19"/>
        <v>7532.586281</v>
      </c>
      <c r="L87" s="47">
        <f t="shared" si="19"/>
        <v>6665.723747</v>
      </c>
      <c r="M87" s="47">
        <f t="shared" si="19"/>
        <v>5129.272308</v>
      </c>
      <c r="N87" s="47">
        <f t="shared" si="19"/>
        <v>5879.844128</v>
      </c>
      <c r="O87" s="47">
        <f t="shared" si="19"/>
        <v>6728.984812</v>
      </c>
      <c r="P87" s="47">
        <f t="shared" si="19"/>
        <v>7197.85557</v>
      </c>
      <c r="Q87" s="47">
        <f t="shared" si="19"/>
        <v>4661.41428</v>
      </c>
      <c r="R87" s="47">
        <f t="shared" si="19"/>
        <v>4126.98584</v>
      </c>
      <c r="S87" s="47">
        <f t="shared" si="19"/>
        <v>4519.723956</v>
      </c>
      <c r="T87" s="47">
        <f t="shared" si="19"/>
        <v>4006.87321</v>
      </c>
      <c r="U87" s="47">
        <f t="shared" si="19"/>
        <v>4391.19256</v>
      </c>
      <c r="V87" s="47">
        <f t="shared" si="19"/>
        <v>3653.65205</v>
      </c>
      <c r="W87" s="47">
        <f t="shared" si="19"/>
        <v>4179.61865</v>
      </c>
      <c r="X87" s="47">
        <f t="shared" si="19"/>
        <v>4564.072013</v>
      </c>
      <c r="Y87" s="47">
        <f t="shared" si="19"/>
        <v>4711.99874</v>
      </c>
      <c r="Z87" s="47">
        <f t="shared" si="19"/>
        <v>5133.020606</v>
      </c>
      <c r="AA87" s="47">
        <f t="shared" si="19"/>
        <v>4886.686607</v>
      </c>
      <c r="AB87" s="47">
        <f t="shared" si="19"/>
        <v>4842.17594</v>
      </c>
      <c r="AC87" s="47">
        <f t="shared" si="19"/>
        <v>4624.923026</v>
      </c>
      <c r="AD87" s="47">
        <f t="shared" si="19"/>
        <v>4569.077649</v>
      </c>
      <c r="AE87" s="47">
        <f t="shared" si="19"/>
        <v>4504.959172</v>
      </c>
      <c r="AF87" s="47">
        <f t="shared" si="19"/>
        <v>3713.880585</v>
      </c>
    </row>
    <row r="88">
      <c r="A88" s="48" t="s">
        <v>68</v>
      </c>
      <c r="B88" s="49">
        <f t="shared" ref="B88:AF88" si="20">SUM(B77:B86)</f>
        <v>9736.008722</v>
      </c>
      <c r="C88" s="49">
        <f t="shared" si="20"/>
        <v>11309.48341</v>
      </c>
      <c r="D88" s="49">
        <f t="shared" si="20"/>
        <v>13540.52246</v>
      </c>
      <c r="E88" s="49">
        <f t="shared" si="20"/>
        <v>14870.23314</v>
      </c>
      <c r="F88" s="49">
        <f t="shared" si="20"/>
        <v>15701.16014</v>
      </c>
      <c r="G88" s="49">
        <f t="shared" si="20"/>
        <v>17109.29557</v>
      </c>
      <c r="H88" s="49">
        <f t="shared" si="20"/>
        <v>16372.39085</v>
      </c>
      <c r="I88" s="49">
        <f t="shared" si="20"/>
        <v>13545.69207</v>
      </c>
      <c r="J88" s="49">
        <f t="shared" si="20"/>
        <v>9077.689219</v>
      </c>
      <c r="K88" s="49">
        <f t="shared" si="20"/>
        <v>9202.328158</v>
      </c>
      <c r="L88" s="49">
        <f t="shared" si="20"/>
        <v>8278.625624</v>
      </c>
      <c r="M88" s="49">
        <f t="shared" si="20"/>
        <v>6860.714185</v>
      </c>
      <c r="N88" s="49">
        <f t="shared" si="20"/>
        <v>8245.154128</v>
      </c>
      <c r="O88" s="49">
        <f t="shared" si="20"/>
        <v>8899.144812</v>
      </c>
      <c r="P88" s="49">
        <f t="shared" si="20"/>
        <v>9312.24557</v>
      </c>
      <c r="Q88" s="49">
        <f t="shared" si="20"/>
        <v>6875.926157</v>
      </c>
      <c r="R88" s="49">
        <f t="shared" si="20"/>
        <v>6060.36584</v>
      </c>
      <c r="S88" s="49">
        <f t="shared" si="20"/>
        <v>6643.373956</v>
      </c>
      <c r="T88" s="49">
        <f t="shared" si="20"/>
        <v>6547.086964</v>
      </c>
      <c r="U88" s="49">
        <f t="shared" si="20"/>
        <v>6412.48256</v>
      </c>
      <c r="V88" s="49">
        <f t="shared" si="20"/>
        <v>5720.53205</v>
      </c>
      <c r="W88" s="49">
        <f t="shared" si="20"/>
        <v>6203.75865</v>
      </c>
      <c r="X88" s="49">
        <f t="shared" si="20"/>
        <v>6694.06389</v>
      </c>
      <c r="Y88" s="49">
        <f t="shared" si="20"/>
        <v>7326.45874</v>
      </c>
      <c r="Z88" s="49">
        <f t="shared" si="20"/>
        <v>8293.660606</v>
      </c>
      <c r="AA88" s="49">
        <f t="shared" si="20"/>
        <v>7214.196607</v>
      </c>
      <c r="AB88" s="49">
        <f t="shared" si="20"/>
        <v>7523.291572</v>
      </c>
      <c r="AC88" s="49">
        <f t="shared" si="20"/>
        <v>6644.974903</v>
      </c>
      <c r="AD88" s="49">
        <f t="shared" si="20"/>
        <v>6980.017649</v>
      </c>
      <c r="AE88" s="49">
        <f t="shared" si="20"/>
        <v>6571.019172</v>
      </c>
      <c r="AF88" s="49">
        <f t="shared" si="20"/>
        <v>5946.082462</v>
      </c>
    </row>
    <row r="90">
      <c r="A90" s="11" t="s">
        <v>69</v>
      </c>
      <c r="B90" s="50"/>
      <c r="C90" s="50"/>
      <c r="D90" s="50"/>
      <c r="E90" s="50"/>
      <c r="F90" s="50"/>
      <c r="G90" s="50"/>
      <c r="H90" s="50"/>
      <c r="I90" s="50"/>
      <c r="J90" s="50"/>
      <c r="K90" s="51"/>
      <c r="L90" s="51"/>
      <c r="M90" s="51"/>
      <c r="N90" s="51"/>
      <c r="O90" s="50"/>
      <c r="P90" s="50"/>
      <c r="Q90" s="50"/>
      <c r="R90" s="50"/>
      <c r="S90" s="50"/>
      <c r="T90" s="50"/>
      <c r="U90" s="50"/>
      <c r="V90" s="50"/>
      <c r="W90" s="50"/>
      <c r="X90" s="50"/>
      <c r="Y90" s="50"/>
      <c r="Z90" s="52"/>
      <c r="AA90" s="52"/>
      <c r="AB90" s="52"/>
      <c r="AC90" s="52"/>
      <c r="AD90" s="52"/>
      <c r="AE90" s="52"/>
      <c r="AF90" s="52"/>
    </row>
    <row r="91">
      <c r="A91" s="4" t="s">
        <v>57</v>
      </c>
      <c r="B91" s="23">
        <v>0.0</v>
      </c>
      <c r="C91" s="23">
        <v>0.0</v>
      </c>
      <c r="D91" s="23">
        <v>0.0</v>
      </c>
      <c r="E91" s="23">
        <v>0.0</v>
      </c>
      <c r="F91" s="23">
        <v>0.0</v>
      </c>
      <c r="G91" s="23">
        <v>0.0</v>
      </c>
      <c r="H91" s="23">
        <v>0.0</v>
      </c>
      <c r="I91" s="23">
        <v>0.0</v>
      </c>
      <c r="J91" s="23">
        <f t="shared" ref="J91:O91" si="21">J90*J76</f>
        <v>0</v>
      </c>
      <c r="K91" s="23">
        <f t="shared" si="21"/>
        <v>0</v>
      </c>
      <c r="L91" s="23">
        <f t="shared" si="21"/>
        <v>0</v>
      </c>
      <c r="M91" s="23">
        <f t="shared" si="21"/>
        <v>0</v>
      </c>
      <c r="N91" s="23">
        <f t="shared" si="21"/>
        <v>0</v>
      </c>
      <c r="O91" s="23">
        <f t="shared" si="21"/>
        <v>0</v>
      </c>
      <c r="P91" s="23">
        <v>0.0</v>
      </c>
      <c r="Q91" s="23">
        <v>0.0</v>
      </c>
      <c r="R91" s="23">
        <v>0.0</v>
      </c>
      <c r="S91" s="23">
        <v>0.0</v>
      </c>
      <c r="T91" s="23">
        <v>0.0</v>
      </c>
      <c r="U91" s="23">
        <v>0.0</v>
      </c>
      <c r="V91" s="23">
        <v>0.0</v>
      </c>
      <c r="W91" s="23">
        <v>0.0</v>
      </c>
      <c r="X91" s="23">
        <v>0.0</v>
      </c>
      <c r="Y91" s="23">
        <v>0.0</v>
      </c>
      <c r="Z91" s="23">
        <v>0.0</v>
      </c>
      <c r="AA91" s="23">
        <v>0.0</v>
      </c>
      <c r="AB91" s="23">
        <v>0.0</v>
      </c>
      <c r="AC91" s="23">
        <v>0.0</v>
      </c>
      <c r="AD91" s="23">
        <v>0.0</v>
      </c>
      <c r="AE91" s="23">
        <v>0.0</v>
      </c>
      <c r="AF91" s="23">
        <v>0.0</v>
      </c>
    </row>
    <row r="92">
      <c r="A92" s="4" t="s">
        <v>70</v>
      </c>
      <c r="B92" s="23">
        <v>52.76</v>
      </c>
      <c r="C92" s="23">
        <v>81.4</v>
      </c>
      <c r="D92" s="23">
        <v>61.34</v>
      </c>
      <c r="E92" s="23">
        <v>85.34</v>
      </c>
      <c r="F92" s="23">
        <v>71.23</v>
      </c>
      <c r="G92" s="23">
        <v>101.0</v>
      </c>
      <c r="H92" s="23">
        <v>100.9</v>
      </c>
      <c r="I92" s="23">
        <v>99.46</v>
      </c>
      <c r="J92" s="23">
        <v>18.33</v>
      </c>
      <c r="K92" s="23">
        <v>0.0</v>
      </c>
      <c r="L92" s="23">
        <v>0.0</v>
      </c>
      <c r="M92" s="23">
        <v>0.0</v>
      </c>
      <c r="N92" s="23">
        <v>0.0</v>
      </c>
      <c r="O92" s="23">
        <v>0.0</v>
      </c>
      <c r="P92" s="23">
        <v>0.0</v>
      </c>
      <c r="Q92" s="23">
        <v>0.0</v>
      </c>
      <c r="R92" s="23">
        <v>0.0</v>
      </c>
      <c r="S92" s="23">
        <v>0.0</v>
      </c>
      <c r="T92" s="23">
        <v>0.0</v>
      </c>
      <c r="U92" s="23">
        <v>0.0</v>
      </c>
      <c r="V92" s="23">
        <v>0.0</v>
      </c>
      <c r="W92" s="23">
        <v>0.0</v>
      </c>
      <c r="X92" s="23">
        <v>0.0</v>
      </c>
      <c r="Y92" s="23">
        <v>0.0</v>
      </c>
      <c r="Z92" s="23">
        <v>0.0</v>
      </c>
      <c r="AA92" s="23">
        <v>0.0</v>
      </c>
      <c r="AB92" s="23">
        <v>0.0</v>
      </c>
      <c r="AC92" s="23">
        <v>0.0</v>
      </c>
      <c r="AD92" s="23">
        <v>0.0</v>
      </c>
      <c r="AE92" s="23">
        <v>0.0</v>
      </c>
      <c r="AF92" s="23">
        <v>0.0</v>
      </c>
    </row>
    <row r="93">
      <c r="A93" s="4" t="s">
        <v>58</v>
      </c>
      <c r="B93" s="23">
        <v>0.0</v>
      </c>
      <c r="C93" s="23">
        <v>0.0</v>
      </c>
      <c r="D93" s="23">
        <v>0.0</v>
      </c>
      <c r="E93" s="23">
        <v>0.0</v>
      </c>
      <c r="F93" s="23">
        <v>0.0</v>
      </c>
      <c r="G93" s="23">
        <v>0.0</v>
      </c>
      <c r="H93" s="23">
        <v>0.0</v>
      </c>
      <c r="I93" s="23">
        <v>0.0</v>
      </c>
      <c r="J93" s="23">
        <v>0.0</v>
      </c>
      <c r="K93" s="23">
        <v>0.0</v>
      </c>
      <c r="L93" s="23">
        <v>0.0</v>
      </c>
      <c r="M93" s="23">
        <v>0.0</v>
      </c>
      <c r="N93" s="23">
        <v>0.0</v>
      </c>
      <c r="O93" s="23">
        <v>0.0</v>
      </c>
      <c r="P93" s="23">
        <v>0.0</v>
      </c>
      <c r="Q93" s="23">
        <v>0.0</v>
      </c>
      <c r="R93" s="23">
        <v>0.0</v>
      </c>
      <c r="S93" s="23">
        <v>0.0</v>
      </c>
      <c r="T93" s="23">
        <v>0.0</v>
      </c>
      <c r="U93" s="23">
        <v>0.0</v>
      </c>
      <c r="V93" s="23">
        <v>0.0</v>
      </c>
      <c r="W93" s="23">
        <v>0.0</v>
      </c>
      <c r="X93" s="23">
        <v>0.0</v>
      </c>
      <c r="Y93" s="23">
        <v>0.0</v>
      </c>
      <c r="Z93" s="23">
        <v>0.0</v>
      </c>
      <c r="AA93" s="23">
        <v>0.0</v>
      </c>
      <c r="AB93" s="23">
        <v>0.0</v>
      </c>
      <c r="AC93" s="23">
        <v>0.0</v>
      </c>
      <c r="AD93" s="23">
        <v>0.0</v>
      </c>
      <c r="AE93" s="23">
        <v>0.0</v>
      </c>
      <c r="AF93" s="23">
        <v>0.0</v>
      </c>
    </row>
    <row r="94">
      <c r="A94" s="53" t="s">
        <v>71</v>
      </c>
      <c r="B94" s="54">
        <f t="shared" ref="B94:AF94" si="22">SUM(B91:B92)</f>
        <v>52.76</v>
      </c>
      <c r="C94" s="54">
        <f t="shared" si="22"/>
        <v>81.4</v>
      </c>
      <c r="D94" s="54">
        <f t="shared" si="22"/>
        <v>61.34</v>
      </c>
      <c r="E94" s="54">
        <f t="shared" si="22"/>
        <v>85.34</v>
      </c>
      <c r="F94" s="54">
        <f t="shared" si="22"/>
        <v>71.23</v>
      </c>
      <c r="G94" s="54">
        <f t="shared" si="22"/>
        <v>101</v>
      </c>
      <c r="H94" s="54">
        <f t="shared" si="22"/>
        <v>100.9</v>
      </c>
      <c r="I94" s="54">
        <f t="shared" si="22"/>
        <v>99.46</v>
      </c>
      <c r="J94" s="54">
        <f t="shared" si="22"/>
        <v>18.33</v>
      </c>
      <c r="K94" s="54">
        <f t="shared" si="22"/>
        <v>0</v>
      </c>
      <c r="L94" s="54">
        <f t="shared" si="22"/>
        <v>0</v>
      </c>
      <c r="M94" s="54">
        <f t="shared" si="22"/>
        <v>0</v>
      </c>
      <c r="N94" s="54">
        <f t="shared" si="22"/>
        <v>0</v>
      </c>
      <c r="O94" s="54">
        <f t="shared" si="22"/>
        <v>0</v>
      </c>
      <c r="P94" s="54">
        <f t="shared" si="22"/>
        <v>0</v>
      </c>
      <c r="Q94" s="54">
        <f t="shared" si="22"/>
        <v>0</v>
      </c>
      <c r="R94" s="54">
        <f t="shared" si="22"/>
        <v>0</v>
      </c>
      <c r="S94" s="54">
        <f t="shared" si="22"/>
        <v>0</v>
      </c>
      <c r="T94" s="54">
        <f t="shared" si="22"/>
        <v>0</v>
      </c>
      <c r="U94" s="54">
        <f t="shared" si="22"/>
        <v>0</v>
      </c>
      <c r="V94" s="54">
        <f t="shared" si="22"/>
        <v>0</v>
      </c>
      <c r="W94" s="54">
        <f t="shared" si="22"/>
        <v>0</v>
      </c>
      <c r="X94" s="54">
        <f t="shared" si="22"/>
        <v>0</v>
      </c>
      <c r="Y94" s="54">
        <f t="shared" si="22"/>
        <v>0</v>
      </c>
      <c r="Z94" s="54">
        <f t="shared" si="22"/>
        <v>0</v>
      </c>
      <c r="AA94" s="54">
        <f t="shared" si="22"/>
        <v>0</v>
      </c>
      <c r="AB94" s="54">
        <f t="shared" si="22"/>
        <v>0</v>
      </c>
      <c r="AC94" s="54">
        <f t="shared" si="22"/>
        <v>0</v>
      </c>
      <c r="AD94" s="54">
        <f t="shared" si="22"/>
        <v>0</v>
      </c>
      <c r="AE94" s="54">
        <f t="shared" si="22"/>
        <v>0</v>
      </c>
      <c r="AF94" s="54">
        <f t="shared" si="22"/>
        <v>0</v>
      </c>
    </row>
    <row r="96">
      <c r="A96" s="55" t="s">
        <v>72</v>
      </c>
      <c r="B96" s="56">
        <f t="shared" ref="B96:AF96" si="23">B31/B88</f>
        <v>7.709548226</v>
      </c>
      <c r="C96" s="56">
        <f t="shared" si="23"/>
        <v>6.952463271</v>
      </c>
      <c r="D96" s="56">
        <f t="shared" si="23"/>
        <v>8.30740309</v>
      </c>
      <c r="E96" s="56">
        <f t="shared" si="23"/>
        <v>7.538596626</v>
      </c>
      <c r="F96" s="56">
        <f t="shared" si="23"/>
        <v>7.945354285</v>
      </c>
      <c r="G96" s="56">
        <f t="shared" si="23"/>
        <v>9.004474751</v>
      </c>
      <c r="H96" s="56">
        <f t="shared" si="23"/>
        <v>8.967020732</v>
      </c>
      <c r="I96" s="56">
        <f t="shared" si="23"/>
        <v>9.986763129</v>
      </c>
      <c r="J96" s="56">
        <f t="shared" si="23"/>
        <v>11.9581907</v>
      </c>
      <c r="K96" s="56">
        <f t="shared" si="23"/>
        <v>10.11942606</v>
      </c>
      <c r="L96" s="56">
        <f t="shared" si="23"/>
        <v>10.70903957</v>
      </c>
      <c r="M96" s="56">
        <f t="shared" si="23"/>
        <v>13.13668766</v>
      </c>
      <c r="N96" s="56">
        <f t="shared" si="23"/>
        <v>6.405000947</v>
      </c>
      <c r="O96" s="56">
        <f t="shared" si="23"/>
        <v>5.69534501</v>
      </c>
      <c r="P96" s="56">
        <f t="shared" si="23"/>
        <v>4.996629401</v>
      </c>
      <c r="Q96" s="56">
        <f t="shared" si="23"/>
        <v>5.458288604</v>
      </c>
      <c r="R96" s="56">
        <f t="shared" si="23"/>
        <v>6.852408105</v>
      </c>
      <c r="S96" s="56">
        <f t="shared" si="23"/>
        <v>7.306004497</v>
      </c>
      <c r="T96" s="56">
        <f t="shared" si="23"/>
        <v>6.611075889</v>
      </c>
      <c r="U96" s="56">
        <f t="shared" si="23"/>
        <v>7.701243557</v>
      </c>
      <c r="V96" s="56">
        <f t="shared" si="23"/>
        <v>7.273526245</v>
      </c>
      <c r="W96" s="56">
        <f t="shared" si="23"/>
        <v>7.748471969</v>
      </c>
      <c r="X96" s="56">
        <f t="shared" si="23"/>
        <v>4.819846347</v>
      </c>
      <c r="Y96" s="56">
        <f t="shared" si="23"/>
        <v>5.087299516</v>
      </c>
      <c r="Z96" s="56">
        <f t="shared" si="23"/>
        <v>4.568063705</v>
      </c>
      <c r="AA96" s="56">
        <f t="shared" si="23"/>
        <v>5.82017268</v>
      </c>
      <c r="AB96" s="56">
        <f t="shared" si="23"/>
        <v>5.788563123</v>
      </c>
      <c r="AC96" s="56">
        <f t="shared" si="23"/>
        <v>6.045443357</v>
      </c>
      <c r="AD96" s="56">
        <f t="shared" si="23"/>
        <v>5.236468135</v>
      </c>
      <c r="AE96" s="56">
        <f t="shared" si="23"/>
        <v>4.361668906</v>
      </c>
      <c r="AF96" s="56">
        <f t="shared" si="23"/>
        <v>6.500145202</v>
      </c>
    </row>
    <row r="97">
      <c r="A97" s="13" t="s">
        <v>73</v>
      </c>
      <c r="B97" s="56">
        <f t="shared" ref="B97:AF97" si="24">B8/B87</f>
        <v>8.011578915</v>
      </c>
      <c r="C97" s="56">
        <f t="shared" si="24"/>
        <v>6.905641972</v>
      </c>
      <c r="D97" s="56">
        <f t="shared" si="24"/>
        <v>7.921865698</v>
      </c>
      <c r="E97" s="56">
        <f t="shared" si="24"/>
        <v>5.081567954</v>
      </c>
      <c r="F97" s="56">
        <f t="shared" si="24"/>
        <v>5.525723952</v>
      </c>
      <c r="G97" s="56">
        <f t="shared" si="24"/>
        <v>5.39837412</v>
      </c>
      <c r="H97" s="56">
        <f t="shared" si="24"/>
        <v>4.777771559</v>
      </c>
      <c r="I97" s="56">
        <f t="shared" si="24"/>
        <v>5.229408035</v>
      </c>
      <c r="J97" s="56">
        <f t="shared" si="24"/>
        <v>5.60958212</v>
      </c>
      <c r="K97" s="56">
        <f t="shared" si="24"/>
        <v>4.268271056</v>
      </c>
      <c r="L97" s="56">
        <f t="shared" si="24"/>
        <v>6.446479277</v>
      </c>
      <c r="M97" s="56">
        <f t="shared" si="24"/>
        <v>8.729329876</v>
      </c>
      <c r="N97" s="56">
        <f t="shared" si="24"/>
        <v>4.642009109</v>
      </c>
      <c r="O97" s="56">
        <f t="shared" si="24"/>
        <v>4.012859407</v>
      </c>
      <c r="P97" s="56">
        <f t="shared" si="24"/>
        <v>3.059277834</v>
      </c>
      <c r="Q97" s="56">
        <f t="shared" si="24"/>
        <v>4.023062288</v>
      </c>
      <c r="R97" s="56">
        <f t="shared" si="24"/>
        <v>6.493126228</v>
      </c>
      <c r="S97" s="56">
        <f t="shared" si="24"/>
        <v>6.000291227</v>
      </c>
      <c r="T97" s="56">
        <f t="shared" si="24"/>
        <v>5.696087399</v>
      </c>
      <c r="U97" s="56">
        <f t="shared" si="24"/>
        <v>5.469031401</v>
      </c>
      <c r="V97" s="56">
        <f t="shared" si="24"/>
        <v>6.779545414</v>
      </c>
      <c r="W97" s="56">
        <f t="shared" si="24"/>
        <v>4.843750518</v>
      </c>
      <c r="X97" s="56">
        <f t="shared" si="24"/>
        <v>3.76243187</v>
      </c>
      <c r="Y97" s="56">
        <f t="shared" si="24"/>
        <v>3.831187357</v>
      </c>
      <c r="Z97" s="56">
        <f t="shared" si="24"/>
        <v>3.687962986</v>
      </c>
      <c r="AA97" s="56">
        <f t="shared" si="24"/>
        <v>5.010315162</v>
      </c>
      <c r="AB97" s="56">
        <f t="shared" si="24"/>
        <v>4.510418512</v>
      </c>
      <c r="AC97" s="56">
        <f t="shared" si="24"/>
        <v>5.06803678</v>
      </c>
      <c r="AD97" s="56">
        <f t="shared" si="24"/>
        <v>4.562662664</v>
      </c>
      <c r="AE97" s="56">
        <f t="shared" si="24"/>
        <v>3.216952573</v>
      </c>
      <c r="AF97" s="56">
        <f t="shared" si="24"/>
        <v>5.840801691</v>
      </c>
    </row>
    <row r="98">
      <c r="A98" s="13" t="s">
        <v>74</v>
      </c>
      <c r="B98" s="56">
        <f t="shared" ref="B98:AF98" si="25">B16/B81</f>
        <v>6.565724819</v>
      </c>
      <c r="C98" s="56">
        <f t="shared" si="25"/>
        <v>7.287521624</v>
      </c>
      <c r="D98" s="56">
        <f t="shared" si="25"/>
        <v>9.918289013</v>
      </c>
      <c r="E98" s="56">
        <f t="shared" si="25"/>
        <v>16.2035026</v>
      </c>
      <c r="F98" s="56">
        <f t="shared" si="25"/>
        <v>16.17300891</v>
      </c>
      <c r="G98" s="56">
        <f t="shared" si="25"/>
        <v>20.92777444</v>
      </c>
      <c r="H98" s="56">
        <f t="shared" si="25"/>
        <v>22.92933541</v>
      </c>
      <c r="I98" s="56">
        <f t="shared" si="25"/>
        <v>22.47977508</v>
      </c>
      <c r="J98" s="56">
        <f t="shared" si="25"/>
        <v>34.50376772</v>
      </c>
      <c r="K98" s="56">
        <f t="shared" si="25"/>
        <v>37.76493406</v>
      </c>
      <c r="L98" s="56">
        <f t="shared" si="25"/>
        <v>29.28394289</v>
      </c>
      <c r="M98" s="56">
        <f t="shared" si="25"/>
        <v>27.00241042</v>
      </c>
      <c r="N98" s="56">
        <f t="shared" si="25"/>
        <v>10.78756273</v>
      </c>
      <c r="O98" s="56">
        <f t="shared" si="25"/>
        <v>10.91220463</v>
      </c>
      <c r="P98" s="56">
        <f t="shared" si="25"/>
        <v>11.59180662</v>
      </c>
      <c r="Q98" s="56">
        <f t="shared" si="25"/>
        <v>8.582370527</v>
      </c>
      <c r="R98" s="56">
        <f t="shared" si="25"/>
        <v>7.619329878</v>
      </c>
      <c r="S98" s="56">
        <f t="shared" si="25"/>
        <v>10.08492925</v>
      </c>
      <c r="T98" s="56">
        <f t="shared" si="25"/>
        <v>8.215583231</v>
      </c>
      <c r="U98" s="56">
        <f t="shared" si="25"/>
        <v>12.55065824</v>
      </c>
      <c r="V98" s="56">
        <f t="shared" si="25"/>
        <v>8.146742917</v>
      </c>
      <c r="W98" s="56">
        <f t="shared" si="25"/>
        <v>13.74639106</v>
      </c>
      <c r="X98" s="56">
        <f t="shared" si="25"/>
        <v>7.149914582</v>
      </c>
      <c r="Y98" s="56">
        <f t="shared" si="25"/>
        <v>7.351170031</v>
      </c>
      <c r="Z98" s="56">
        <f t="shared" si="25"/>
        <v>5.997386605</v>
      </c>
      <c r="AA98" s="56">
        <f t="shared" si="25"/>
        <v>7.520496153</v>
      </c>
      <c r="AB98" s="56">
        <f t="shared" si="25"/>
        <v>8.33453678</v>
      </c>
      <c r="AC98" s="56">
        <f t="shared" si="25"/>
        <v>8.390094921</v>
      </c>
      <c r="AD98" s="56">
        <f t="shared" si="25"/>
        <v>6.513426298</v>
      </c>
      <c r="AE98" s="56">
        <f t="shared" si="25"/>
        <v>6.857675963</v>
      </c>
      <c r="AF98" s="56">
        <f t="shared" si="25"/>
        <v>7.673413203</v>
      </c>
    </row>
    <row r="99">
      <c r="A99" s="13" t="s">
        <v>75</v>
      </c>
      <c r="B99" s="57">
        <f t="shared" ref="B99:AF99" si="26">B49/B94</f>
        <v>43.14043846</v>
      </c>
      <c r="C99" s="57">
        <f t="shared" si="26"/>
        <v>30.75541512</v>
      </c>
      <c r="D99" s="57">
        <f t="shared" si="26"/>
        <v>41.83385187</v>
      </c>
      <c r="E99" s="57">
        <f t="shared" si="26"/>
        <v>41.15125034</v>
      </c>
      <c r="F99" s="57">
        <f t="shared" si="26"/>
        <v>57.85154207</v>
      </c>
      <c r="G99" s="57">
        <f t="shared" si="26"/>
        <v>30.15138614</v>
      </c>
      <c r="H99" s="57">
        <f t="shared" si="26"/>
        <v>24.02128396</v>
      </c>
      <c r="I99" s="57">
        <f t="shared" si="26"/>
        <v>22.91546874</v>
      </c>
      <c r="J99" s="57">
        <f t="shared" si="26"/>
        <v>172.6149196</v>
      </c>
      <c r="K99" s="57" t="str">
        <f t="shared" si="26"/>
        <v>#DIV/0!</v>
      </c>
      <c r="L99" s="57" t="str">
        <f t="shared" si="26"/>
        <v>#DIV/0!</v>
      </c>
      <c r="M99" s="57" t="str">
        <f t="shared" si="26"/>
        <v>#DIV/0!</v>
      </c>
      <c r="N99" s="57" t="str">
        <f t="shared" si="26"/>
        <v>#DIV/0!</v>
      </c>
      <c r="O99" s="57" t="str">
        <f t="shared" si="26"/>
        <v>#DIV/0!</v>
      </c>
      <c r="P99" s="57" t="str">
        <f t="shared" si="26"/>
        <v>#DIV/0!</v>
      </c>
      <c r="Q99" s="57" t="str">
        <f t="shared" si="26"/>
        <v>#DIV/0!</v>
      </c>
      <c r="R99" s="57" t="str">
        <f t="shared" si="26"/>
        <v>#DIV/0!</v>
      </c>
      <c r="S99" s="57" t="str">
        <f t="shared" si="26"/>
        <v>#DIV/0!</v>
      </c>
      <c r="T99" s="57" t="str">
        <f t="shared" si="26"/>
        <v>#DIV/0!</v>
      </c>
      <c r="U99" s="57" t="str">
        <f t="shared" si="26"/>
        <v>#DIV/0!</v>
      </c>
      <c r="V99" s="57" t="str">
        <f t="shared" si="26"/>
        <v>#DIV/0!</v>
      </c>
      <c r="W99" s="57" t="str">
        <f t="shared" si="26"/>
        <v>#DIV/0!</v>
      </c>
      <c r="X99" s="57" t="str">
        <f t="shared" si="26"/>
        <v>#DIV/0!</v>
      </c>
      <c r="Y99" s="57" t="str">
        <f t="shared" si="26"/>
        <v>#DIV/0!</v>
      </c>
      <c r="Z99" s="57" t="str">
        <f t="shared" si="26"/>
        <v>#DIV/0!</v>
      </c>
      <c r="AA99" s="57" t="str">
        <f t="shared" si="26"/>
        <v>#DIV/0!</v>
      </c>
      <c r="AB99" s="57" t="str">
        <f t="shared" si="26"/>
        <v>#DIV/0!</v>
      </c>
      <c r="AC99" s="57" t="str">
        <f t="shared" si="26"/>
        <v>#DIV/0!</v>
      </c>
      <c r="AD99" s="57" t="str">
        <f t="shared" si="26"/>
        <v>#DIV/0!</v>
      </c>
      <c r="AE99" s="57" t="str">
        <f t="shared" si="26"/>
        <v>#DIV/0!</v>
      </c>
      <c r="AF99" s="57" t="str">
        <f t="shared" si="26"/>
        <v>#DIV/0!</v>
      </c>
    </row>
    <row r="101">
      <c r="A101" s="55" t="s">
        <v>76</v>
      </c>
      <c r="B101" s="43">
        <f>B88/SUM('DTC - P&amp;L'!B59,'DTC - P&amp;L'!B63,'AMAZON - P&amp;L'!B32,'Digital Marketplaces - P&amp;L'!B17,'Digital Marketplaces - P&amp;L'!B129)</f>
        <v>46.14222143</v>
      </c>
      <c r="C101" s="43">
        <f>C88/SUM('DTC - P&amp;L'!C59,'DTC - P&amp;L'!C63,'AMAZON - P&amp;L'!C32,'Digital Marketplaces - P&amp;L'!C17,'Digital Marketplaces - P&amp;L'!C129)</f>
        <v>50.94361894</v>
      </c>
      <c r="D101" s="43">
        <f>D88/SUM('DTC - P&amp;L'!D59,'DTC - P&amp;L'!D63,'AMAZON - P&amp;L'!D32,'Digital Marketplaces - P&amp;L'!D17,'Digital Marketplaces - P&amp;L'!D129)</f>
        <v>41.03188625</v>
      </c>
      <c r="E101" s="43">
        <f>E88/SUM('DTC - P&amp;L'!E59,'DTC - P&amp;L'!E63,'AMAZON - P&amp;L'!E32,'Digital Marketplaces - P&amp;L'!E17,'Digital Marketplaces - P&amp;L'!E129)</f>
        <v>44.92517565</v>
      </c>
      <c r="F101" s="43">
        <f>F88/SUM('DTC - P&amp;L'!F59,'DTC - P&amp;L'!F63,'AMAZON - P&amp;L'!F32,'Digital Marketplaces - P&amp;L'!F17,'Digital Marketplaces - P&amp;L'!F129)</f>
        <v>44.4792072</v>
      </c>
      <c r="G101" s="43">
        <f>G88/SUM('DTC - P&amp;L'!G59,'DTC - P&amp;L'!G63,'AMAZON - P&amp;L'!G32,'Digital Marketplaces - P&amp;L'!G17,'Digital Marketplaces - P&amp;L'!G129)</f>
        <v>36.24850757</v>
      </c>
      <c r="H101" s="43">
        <f>H88/SUM('DTC - P&amp;L'!H59,'DTC - P&amp;L'!H63,'AMAZON - P&amp;L'!H32,'Digital Marketplaces - P&amp;L'!H17,'Digital Marketplaces - P&amp;L'!H129)</f>
        <v>36.22210365</v>
      </c>
      <c r="I101" s="43">
        <f>I88/SUM('DTC - P&amp;L'!I59,'DTC - P&amp;L'!I63,'AMAZON - P&amp;L'!I32,'Digital Marketplaces - P&amp;L'!I17,'Digital Marketplaces - P&amp;L'!I129)</f>
        <v>32.48367404</v>
      </c>
      <c r="J101" s="43">
        <f>J88/SUM('DTC - P&amp;L'!J59,'DTC - P&amp;L'!J63,'AMAZON - P&amp;L'!J32,'Digital Marketplaces - P&amp;L'!J17,'Digital Marketplaces - P&amp;L'!J129)</f>
        <v>27.09757976</v>
      </c>
      <c r="K101" s="43">
        <f>K88/SUM('DTC - P&amp;L'!K59,'DTC - P&amp;L'!K63,'AMAZON - P&amp;L'!K32,'Digital Marketplaces - P&amp;L'!K17,'Digital Marketplaces - P&amp;L'!K129)</f>
        <v>31.95252833</v>
      </c>
      <c r="L101" s="43">
        <f>L88/SUM('DTC - P&amp;L'!L59,'DTC - P&amp;L'!L63,'AMAZON - P&amp;L'!L32,'Digital Marketplaces - P&amp;L'!L17,'Digital Marketplaces - P&amp;L'!L129)</f>
        <v>31.9638055</v>
      </c>
      <c r="M101" s="43">
        <f>M88/SUM('DTC - P&amp;L'!M59,'DTC - P&amp;L'!M63,'AMAZON - P&amp;L'!M32,'Digital Marketplaces - P&amp;L'!M17,'Digital Marketplaces - P&amp;L'!M129)</f>
        <v>27.01068577</v>
      </c>
      <c r="N101" s="43">
        <f>N88/SUM('DTC - P&amp;L'!N59,'DTC - P&amp;L'!N63,'AMAZON - P&amp;L'!N32,'Digital Marketplaces - P&amp;L'!N17,'Digital Marketplaces - P&amp;L'!N129)</f>
        <v>58.47627041</v>
      </c>
      <c r="O101" s="43">
        <f>O88/SUM('DTC - P&amp;L'!O59,'DTC - P&amp;L'!O63,'AMAZON - P&amp;L'!O32,'Digital Marketplaces - P&amp;L'!O17,'Digital Marketplaces - P&amp;L'!O129)</f>
        <v>64.9572614</v>
      </c>
      <c r="P101" s="43">
        <f>P88/SUM('DTC - P&amp;L'!P59,'DTC - P&amp;L'!P63,'AMAZON - P&amp;L'!P32,'Digital Marketplaces - P&amp;L'!P17,'Digital Marketplaces - P&amp;L'!P129)</f>
        <v>70.54731492</v>
      </c>
      <c r="Q101" s="43">
        <f>Q88/SUM('DTC - P&amp;L'!Q59,'DTC - P&amp;L'!Q63,'AMAZON - P&amp;L'!Q32,'Digital Marketplaces - P&amp;L'!Q17,'Digital Marketplaces - P&amp;L'!Q129)</f>
        <v>66.11467459</v>
      </c>
      <c r="R101" s="43">
        <f>R88/SUM('DTC - P&amp;L'!R59,'DTC - P&amp;L'!R63,'AMAZON - P&amp;L'!R32,'Digital Marketplaces - P&amp;L'!R17,'Digital Marketplaces - P&amp;L'!R129)</f>
        <v>55.09423491</v>
      </c>
      <c r="S101" s="43">
        <f>S88/SUM('DTC - P&amp;L'!S59,'DTC - P&amp;L'!S63,'AMAZON - P&amp;L'!S32,'Digital Marketplaces - P&amp;L'!S17,'Digital Marketplaces - P&amp;L'!S129)</f>
        <v>52.31003115</v>
      </c>
      <c r="T101" s="43">
        <f>T88/SUM('DTC - P&amp;L'!T59,'DTC - P&amp;L'!T63,'AMAZON - P&amp;L'!T32,'Digital Marketplaces - P&amp;L'!T17,'Digital Marketplaces - P&amp;L'!T129)</f>
        <v>56.93119099</v>
      </c>
      <c r="U101" s="43">
        <f>U88/SUM('DTC - P&amp;L'!U59,'DTC - P&amp;L'!U63,'AMAZON - P&amp;L'!U32,'Digital Marketplaces - P&amp;L'!U17,'Digital Marketplaces - P&amp;L'!U129)</f>
        <v>46.13296806</v>
      </c>
      <c r="V101" s="43">
        <f>V88/SUM('DTC - P&amp;L'!V59,'DTC - P&amp;L'!V63,'AMAZON - P&amp;L'!V32,'Digital Marketplaces - P&amp;L'!V17,'Digital Marketplaces - P&amp;L'!V129)</f>
        <v>52.96788935</v>
      </c>
      <c r="W101" s="43">
        <f>W88/SUM('DTC - P&amp;L'!W59,'DTC - P&amp;L'!W63,'AMAZON - P&amp;L'!W32,'Digital Marketplaces - P&amp;L'!W17,'Digital Marketplaces - P&amp;L'!W129)</f>
        <v>48.09115233</v>
      </c>
      <c r="X101" s="43">
        <f>X88/SUM('DTC - P&amp;L'!X59,'DTC - P&amp;L'!X63,'AMAZON - P&amp;L'!X32,'Digital Marketplaces - P&amp;L'!X17,'Digital Marketplaces - P&amp;L'!X129)</f>
        <v>79.69123679</v>
      </c>
      <c r="Y101" s="43">
        <f>Y88/SUM('DTC - P&amp;L'!Y59,'DTC - P&amp;L'!Y63,'AMAZON - P&amp;L'!Y32,'Digital Marketplaces - P&amp;L'!Y17,'Digital Marketplaces - P&amp;L'!Y129)</f>
        <v>74.00463374</v>
      </c>
      <c r="Z101" s="43">
        <f>Z88/SUM('DTC - P&amp;L'!Z59,'DTC - P&amp;L'!Z63,'AMAZON - P&amp;L'!Z32,'Digital Marketplaces - P&amp;L'!Z17,'Digital Marketplaces - P&amp;L'!Z129)</f>
        <v>82.93660606</v>
      </c>
      <c r="AA101" s="43">
        <f>AA88/SUM('DTC - P&amp;L'!AA59,'DTC - P&amp;L'!AA63,'AMAZON - P&amp;L'!AA32,'Digital Marketplaces - P&amp;L'!AA17,'Digital Marketplaces - P&amp;L'!AA129)</f>
        <v>63.28242638</v>
      </c>
      <c r="AB101" s="43">
        <f>AB88/SUM('DTC - P&amp;L'!AB59,'DTC - P&amp;L'!AB63,'AMAZON - P&amp;L'!AB32,'Digital Marketplaces - P&amp;L'!AB17,'Digital Marketplaces - P&amp;L'!AB129)</f>
        <v>66.57780152</v>
      </c>
      <c r="AC101" s="43">
        <f>AC88/SUM('DTC - P&amp;L'!AC59,'DTC - P&amp;L'!AC63,'AMAZON - P&amp;L'!AC32,'Digital Marketplaces - P&amp;L'!AC17,'Digital Marketplaces - P&amp;L'!AC129)</f>
        <v>62.10256919</v>
      </c>
      <c r="AD101" s="43">
        <f>AD88/SUM('DTC - P&amp;L'!AD59,'DTC - P&amp;L'!AD63,'AMAZON - P&amp;L'!AD32,'Digital Marketplaces - P&amp;L'!AD17,'Digital Marketplaces - P&amp;L'!AD129)</f>
        <v>72.70851718</v>
      </c>
      <c r="AE101" s="43">
        <f>AE88/SUM('DTC - P&amp;L'!AE59,'DTC - P&amp;L'!AE63,'AMAZON - P&amp;L'!AE32,'Digital Marketplaces - P&amp;L'!AE17,'Digital Marketplaces - P&amp;L'!AE129)</f>
        <v>84.24383554</v>
      </c>
      <c r="AF101" s="43">
        <f>AF88/SUM('DTC - P&amp;L'!AF59,'DTC - P&amp;L'!AF63,'AMAZON - P&amp;L'!AF32,'Digital Marketplaces - P&amp;L'!AF17,'Digital Marketplaces - P&amp;L'!AF129)</f>
        <v>58.2949261</v>
      </c>
    </row>
    <row r="102">
      <c r="A102" s="13" t="s">
        <v>77</v>
      </c>
      <c r="B102" s="43">
        <f>B87/SUM('DTC - P&amp;L'!B59,'DTC - P&amp;L'!B63)</f>
        <v>46.11844099</v>
      </c>
      <c r="C102" s="43">
        <f>C87/SUM('DTC - P&amp;L'!C59,'DTC - P&amp;L'!C63)</f>
        <v>53.46891377</v>
      </c>
      <c r="D102" s="43">
        <f>D87/SUM('DTC - P&amp;L'!D59,'DTC - P&amp;L'!D63)</f>
        <v>46.05729882</v>
      </c>
      <c r="E102" s="43">
        <f>E87/SUM('DTC - P&amp;L'!E59,'DTC - P&amp;L'!E63)</f>
        <v>71.55895195</v>
      </c>
      <c r="F102" s="43">
        <f>F87/SUM('DTC - P&amp;L'!F59,'DTC - P&amp;L'!F63)</f>
        <v>67.03326045</v>
      </c>
      <c r="G102" s="43">
        <f>G87/SUM('DTC - P&amp;L'!G59,'DTC - P&amp;L'!G63)</f>
        <v>65.3548536</v>
      </c>
      <c r="H102" s="43">
        <f>H87/SUM('DTC - P&amp;L'!H59,'DTC - P&amp;L'!H63)</f>
        <v>77.0500324</v>
      </c>
      <c r="I102" s="43">
        <f>I87/SUM('DTC - P&amp;L'!I59,'DTC - P&amp;L'!I63)</f>
        <v>70.19296673</v>
      </c>
      <c r="J102" s="43">
        <f>J87/SUM('DTC - P&amp;L'!J59,'DTC - P&amp;L'!J63)</f>
        <v>66.85668716</v>
      </c>
      <c r="K102" s="43">
        <f>K87/SUM('DTC - P&amp;L'!K59,'DTC - P&amp;L'!K63)</f>
        <v>86.58145151</v>
      </c>
      <c r="L102" s="43">
        <f>L87/SUM('DTC - P&amp;L'!L59,'DTC - P&amp;L'!L63)</f>
        <v>60.59748861</v>
      </c>
      <c r="M102" s="43">
        <f>M87/SUM('DTC - P&amp;L'!M59,'DTC - P&amp;L'!M63)</f>
        <v>45.39179034</v>
      </c>
      <c r="N102" s="43">
        <f>N87/SUM('DTC - P&amp;L'!N59,'DTC - P&amp;L'!N63)</f>
        <v>89.08854739</v>
      </c>
      <c r="O102" s="43">
        <f>O87/SUM('DTC - P&amp;L'!O59,'DTC - P&amp;L'!O63)</f>
        <v>98.955659</v>
      </c>
      <c r="P102" s="43">
        <f>P87/SUM('DTC - P&amp;L'!P59,'DTC - P&amp;L'!P63)</f>
        <v>124.1009581</v>
      </c>
      <c r="Q102" s="43">
        <f>Q87/SUM('DTC - P&amp;L'!Q59,'DTC - P&amp;L'!Q63)</f>
        <v>101.335093</v>
      </c>
      <c r="R102" s="43">
        <f>R87/SUM('DTC - P&amp;L'!R59,'DTC - P&amp;L'!R63)</f>
        <v>60.69096824</v>
      </c>
      <c r="S102" s="43">
        <f>S87/SUM('DTC - P&amp;L'!S59,'DTC - P&amp;L'!S63)</f>
        <v>69.53421471</v>
      </c>
      <c r="T102" s="43">
        <f>T87/SUM('DTC - P&amp;L'!T59,'DTC - P&amp;L'!T63)</f>
        <v>70.29602123</v>
      </c>
      <c r="U102" s="43">
        <f>U87/SUM('DTC - P&amp;L'!U59,'DTC - P&amp;L'!U63)</f>
        <v>67.55680862</v>
      </c>
      <c r="V102" s="43">
        <f>V87/SUM('DTC - P&amp;L'!V59,'DTC - P&amp;L'!V63)</f>
        <v>60.89420083</v>
      </c>
      <c r="W102" s="43">
        <f>W87/SUM('DTC - P&amp;L'!W59,'DTC - P&amp;L'!W63)</f>
        <v>87.07538854</v>
      </c>
      <c r="X102" s="43">
        <f>X87/SUM('DTC - P&amp;L'!X59,'DTC - P&amp;L'!X63)</f>
        <v>114.1018003</v>
      </c>
      <c r="Y102" s="43">
        <f>Y87/SUM('DTC - P&amp;L'!Y59,'DTC - P&amp;L'!Y63)</f>
        <v>109.581366</v>
      </c>
      <c r="Z102" s="43">
        <f>Z87/SUM('DTC - P&amp;L'!Z59,'DTC - P&amp;L'!Z63)</f>
        <v>116.6595592</v>
      </c>
      <c r="AA102" s="43">
        <f>AA87/SUM('DTC - P&amp;L'!AA59,'DTC - P&amp;L'!AA63)</f>
        <v>77.56645408</v>
      </c>
      <c r="AB102" s="43">
        <f>AB87/SUM('DTC - P&amp;L'!AB59,'DTC - P&amp;L'!AB63)</f>
        <v>93.11876808</v>
      </c>
      <c r="AC102" s="43">
        <f>AC87/SUM('DTC - P&amp;L'!AC59,'DTC - P&amp;L'!AC63)</f>
        <v>79.74005217</v>
      </c>
      <c r="AD102" s="43">
        <f>AD87/SUM('DTC - P&amp;L'!AD59,'DTC - P&amp;L'!AD63)</f>
        <v>91.38155298</v>
      </c>
      <c r="AE102" s="43">
        <f>AE87/SUM('DTC - P&amp;L'!AE59,'DTC - P&amp;L'!AE63)</f>
        <v>121.7556533</v>
      </c>
      <c r="AF102" s="43">
        <f>AF87/SUM('DTC - P&amp;L'!AF59,'DTC - P&amp;L'!AF63)</f>
        <v>68.77556639</v>
      </c>
    </row>
    <row r="103">
      <c r="A103" s="13" t="s">
        <v>78</v>
      </c>
      <c r="B103" s="43">
        <f>B81/'AMAZON - P&amp;L'!B32</f>
        <v>45.34641026</v>
      </c>
      <c r="C103" s="43">
        <f>C81/'AMAZON - P&amp;L'!C32</f>
        <v>40.33023256</v>
      </c>
      <c r="D103" s="43">
        <f>D81/'AMAZON - P&amp;L'!D32</f>
        <v>28.9447</v>
      </c>
      <c r="E103" s="43">
        <f>E81/'AMAZON - P&amp;L'!E32</f>
        <v>19.44118343</v>
      </c>
      <c r="F103" s="43">
        <f>F81/'AMAZON - P&amp;L'!F32</f>
        <v>20.745</v>
      </c>
      <c r="G103" s="43">
        <f>G81/'AMAZON - P&amp;L'!G32</f>
        <v>14.6604059</v>
      </c>
      <c r="H103" s="43">
        <f>H81/'AMAZON - P&amp;L'!H32</f>
        <v>13.15780488</v>
      </c>
      <c r="I103" s="43">
        <f>I81/'AMAZON - P&amp;L'!I32</f>
        <v>13.49534296</v>
      </c>
      <c r="J103" s="43">
        <f>J81/'AMAZON - P&amp;L'!J32</f>
        <v>8.721528384</v>
      </c>
      <c r="K103" s="43">
        <f>K81/'AMAZON - P&amp;L'!K32</f>
        <v>8.0303</v>
      </c>
      <c r="L103" s="43">
        <f>L81/'AMAZON - P&amp;L'!L32</f>
        <v>10.53891156</v>
      </c>
      <c r="M103" s="43">
        <f>M81/'AMAZON - P&amp;L'!M32</f>
        <v>11.91257143</v>
      </c>
      <c r="N103" s="43">
        <f>N81/'AMAZON - P&amp;L'!N32</f>
        <v>31.53746667</v>
      </c>
      <c r="O103" s="43">
        <f>O81/'AMAZON - P&amp;L'!O32</f>
        <v>31.4515942</v>
      </c>
      <c r="P103" s="43">
        <f>P81/'AMAZON - P&amp;L'!P32</f>
        <v>28.57283784</v>
      </c>
      <c r="Q103" s="43">
        <f>Q81/'AMAZON - P&amp;L'!Q32</f>
        <v>37.73385965</v>
      </c>
      <c r="R103" s="43">
        <f>R81/'AMAZON - P&amp;L'!R32</f>
        <v>46.03285714</v>
      </c>
      <c r="S103" s="43">
        <f>S81/'AMAZON - P&amp;L'!S32</f>
        <v>34.25241935</v>
      </c>
      <c r="T103" s="43">
        <f>T81/'AMAZON - P&amp;L'!T32</f>
        <v>43.08660714</v>
      </c>
      <c r="U103" s="43">
        <f>U81/'AMAZON - P&amp;L'!U32</f>
        <v>27.31472973</v>
      </c>
      <c r="V103" s="43">
        <f>V81/'AMAZON - P&amp;L'!V32</f>
        <v>43.06</v>
      </c>
      <c r="W103" s="43">
        <f>W81/'AMAZON - P&amp;L'!W32</f>
        <v>24.98938272</v>
      </c>
      <c r="X103" s="43">
        <f>X81/'AMAZON - P&amp;L'!X32</f>
        <v>48.05372093</v>
      </c>
      <c r="Y103" s="43">
        <f>Y81/'AMAZON - P&amp;L'!Y32</f>
        <v>46.68678571</v>
      </c>
      <c r="Z103" s="43">
        <f>Z81/'AMAZON - P&amp;L'!Z32</f>
        <v>56.44</v>
      </c>
      <c r="AA103" s="43">
        <f>AA81/'AMAZON - P&amp;L'!AA32</f>
        <v>45.63745098</v>
      </c>
      <c r="AB103" s="43">
        <f>AB81/'AMAZON - P&amp;L'!AB32</f>
        <v>42.93224138</v>
      </c>
      <c r="AC103" s="43">
        <f>AC81/'AMAZON - P&amp;L'!AC32</f>
        <v>40.75770833</v>
      </c>
      <c r="AD103" s="43">
        <f>AD81/'AMAZON - P&amp;L'!AD32</f>
        <v>52.41173913</v>
      </c>
      <c r="AE103" s="43">
        <f>AE81/'AMAZON - P&amp;L'!AE32</f>
        <v>50.39170732</v>
      </c>
      <c r="AF103" s="43">
        <f>AF81/'AMAZON - P&amp;L'!AF32</f>
        <v>46.1387234</v>
      </c>
    </row>
    <row r="104">
      <c r="A104" s="13" t="s">
        <v>79</v>
      </c>
      <c r="B104" s="43">
        <f t="shared" ref="B104:AF104" si="27">B94/B74</f>
        <v>0.3851094891</v>
      </c>
      <c r="C104" s="43">
        <f t="shared" si="27"/>
        <v>0.5773049645</v>
      </c>
      <c r="D104" s="43">
        <f t="shared" si="27"/>
        <v>0.3717575758</v>
      </c>
      <c r="E104" s="43">
        <f t="shared" si="27"/>
        <v>0.5049704142</v>
      </c>
      <c r="F104" s="43">
        <f t="shared" si="27"/>
        <v>0.4316969697</v>
      </c>
      <c r="G104" s="43">
        <f t="shared" si="27"/>
        <v>0.726618705</v>
      </c>
      <c r="H104" s="43">
        <f t="shared" si="27"/>
        <v>0.7761538462</v>
      </c>
      <c r="I104" s="43">
        <f t="shared" si="27"/>
        <v>0.77703125</v>
      </c>
      <c r="J104" s="43">
        <f t="shared" si="27"/>
        <v>0.1091071429</v>
      </c>
      <c r="K104" s="43">
        <f t="shared" si="27"/>
        <v>0</v>
      </c>
      <c r="L104" s="43">
        <f t="shared" si="27"/>
        <v>0</v>
      </c>
      <c r="M104" s="43">
        <f t="shared" si="27"/>
        <v>0</v>
      </c>
      <c r="N104" s="43">
        <f t="shared" si="27"/>
        <v>0</v>
      </c>
      <c r="O104" s="43">
        <f t="shared" si="27"/>
        <v>0</v>
      </c>
      <c r="P104" s="43">
        <f t="shared" si="27"/>
        <v>0</v>
      </c>
      <c r="Q104" s="43">
        <f t="shared" si="27"/>
        <v>0</v>
      </c>
      <c r="R104" s="43">
        <f t="shared" si="27"/>
        <v>0</v>
      </c>
      <c r="S104" s="43">
        <f t="shared" si="27"/>
        <v>0</v>
      </c>
      <c r="T104" s="43">
        <f t="shared" si="27"/>
        <v>0</v>
      </c>
      <c r="U104" s="43">
        <f t="shared" si="27"/>
        <v>0</v>
      </c>
      <c r="V104" s="43">
        <f t="shared" si="27"/>
        <v>0</v>
      </c>
      <c r="W104" s="43">
        <f t="shared" si="27"/>
        <v>0</v>
      </c>
      <c r="X104" s="43">
        <f t="shared" si="27"/>
        <v>0</v>
      </c>
      <c r="Y104" s="43">
        <f t="shared" si="27"/>
        <v>0</v>
      </c>
      <c r="Z104" s="43">
        <f t="shared" si="27"/>
        <v>0</v>
      </c>
      <c r="AA104" s="43">
        <f t="shared" si="27"/>
        <v>0</v>
      </c>
      <c r="AB104" s="43">
        <f t="shared" si="27"/>
        <v>0</v>
      </c>
      <c r="AC104" s="43">
        <f t="shared" si="27"/>
        <v>0</v>
      </c>
      <c r="AD104" s="43">
        <f t="shared" si="27"/>
        <v>0</v>
      </c>
      <c r="AE104" s="43">
        <f t="shared" si="27"/>
        <v>0</v>
      </c>
      <c r="AF104" s="43">
        <f t="shared" si="27"/>
        <v>0</v>
      </c>
    </row>
    <row r="105">
      <c r="C105" s="58"/>
      <c r="M105" s="8"/>
      <c r="N105" s="8"/>
      <c r="O105" s="8"/>
      <c r="P105" s="8"/>
      <c r="Q105" s="8"/>
    </row>
    <row r="106">
      <c r="A106" s="13" t="s">
        <v>80</v>
      </c>
      <c r="B106" s="58">
        <v>0.0275</v>
      </c>
      <c r="C106" s="58">
        <v>0.0279</v>
      </c>
      <c r="D106" s="58">
        <v>0.0294</v>
      </c>
      <c r="E106" s="58">
        <v>0.0192</v>
      </c>
      <c r="F106" s="58">
        <v>0.0202</v>
      </c>
      <c r="G106" s="58">
        <v>0.0204</v>
      </c>
      <c r="H106" s="58">
        <v>0.0216</v>
      </c>
      <c r="I106" s="58">
        <v>0.018</v>
      </c>
      <c r="J106" s="58">
        <v>0.0201</v>
      </c>
      <c r="K106" s="58">
        <v>0.0161</v>
      </c>
      <c r="L106" s="58">
        <v>0.0235</v>
      </c>
      <c r="M106" s="58">
        <v>0.0228</v>
      </c>
      <c r="N106" s="58">
        <v>0.017</v>
      </c>
      <c r="O106" s="58">
        <v>0.0166</v>
      </c>
      <c r="P106" s="58">
        <v>0.013</v>
      </c>
      <c r="Q106" s="58">
        <v>0.0145</v>
      </c>
      <c r="R106" s="58">
        <v>0.0181</v>
      </c>
      <c r="S106" s="58">
        <v>0.0186</v>
      </c>
      <c r="T106" s="58">
        <v>0.0162</v>
      </c>
      <c r="U106" s="58">
        <v>0.0173</v>
      </c>
      <c r="V106" s="58">
        <v>0.0199</v>
      </c>
      <c r="W106" s="58">
        <v>0.0191</v>
      </c>
      <c r="X106" s="58">
        <v>0.0175</v>
      </c>
      <c r="Y106" s="58">
        <v>0.019</v>
      </c>
      <c r="Z106" s="58">
        <v>0.0169</v>
      </c>
      <c r="AA106" s="58">
        <v>0.0188</v>
      </c>
      <c r="AB106" s="58">
        <v>0.0167</v>
      </c>
      <c r="AC106" s="58">
        <v>0.0227</v>
      </c>
      <c r="AD106" s="58">
        <v>0.0183</v>
      </c>
      <c r="AE106" s="58">
        <v>0.0117</v>
      </c>
      <c r="AF106" s="58">
        <v>0.0164</v>
      </c>
    </row>
    <row r="107">
      <c r="A107" s="13" t="s">
        <v>81</v>
      </c>
      <c r="B107" s="23">
        <f t="shared" ref="B107:AF107" si="28">B8/B52</f>
        <v>281.6675336</v>
      </c>
      <c r="C107" s="23">
        <f t="shared" si="28"/>
        <v>276.9278814</v>
      </c>
      <c r="D107" s="23">
        <f t="shared" si="28"/>
        <v>288.582439</v>
      </c>
      <c r="E107" s="23">
        <f t="shared" si="28"/>
        <v>277.4630332</v>
      </c>
      <c r="F107" s="23">
        <f t="shared" si="28"/>
        <v>295.3467841</v>
      </c>
      <c r="G107" s="23">
        <f t="shared" si="28"/>
        <v>281.4079365</v>
      </c>
      <c r="H107" s="23">
        <f t="shared" si="28"/>
        <v>258.8144978</v>
      </c>
      <c r="I107" s="23">
        <f t="shared" si="28"/>
        <v>280.9400559</v>
      </c>
      <c r="J107" s="23">
        <f t="shared" si="28"/>
        <v>248.4328662</v>
      </c>
      <c r="K107" s="23">
        <f t="shared" si="28"/>
        <v>251.180625</v>
      </c>
      <c r="L107" s="23">
        <f t="shared" si="28"/>
        <v>251.2891813</v>
      </c>
      <c r="M107" s="23">
        <f t="shared" si="28"/>
        <v>261.8427485</v>
      </c>
      <c r="N107" s="23">
        <f t="shared" si="28"/>
        <v>218.35432</v>
      </c>
      <c r="O107" s="23">
        <f t="shared" si="28"/>
        <v>232.7799138</v>
      </c>
      <c r="P107" s="23">
        <f t="shared" si="28"/>
        <v>231.792</v>
      </c>
      <c r="Q107" s="23">
        <f t="shared" si="28"/>
        <v>210.7096629</v>
      </c>
      <c r="R107" s="23">
        <f t="shared" si="28"/>
        <v>270.6771717</v>
      </c>
      <c r="S107" s="23">
        <f t="shared" si="28"/>
        <v>233.7901724</v>
      </c>
      <c r="T107" s="23">
        <f t="shared" si="28"/>
        <v>240.2473684</v>
      </c>
      <c r="U107" s="23">
        <f t="shared" si="28"/>
        <v>245.0568367</v>
      </c>
      <c r="V107" s="23">
        <f t="shared" si="28"/>
        <v>198.1608</v>
      </c>
      <c r="W107" s="23">
        <f t="shared" si="28"/>
        <v>182.3876577</v>
      </c>
      <c r="X107" s="23">
        <f t="shared" si="28"/>
        <v>178.8751042</v>
      </c>
      <c r="Y107" s="23">
        <f t="shared" si="28"/>
        <v>176.9857843</v>
      </c>
      <c r="Z107" s="23">
        <f t="shared" si="28"/>
        <v>210.3376667</v>
      </c>
      <c r="AA107" s="23">
        <f t="shared" si="28"/>
        <v>235.4215385</v>
      </c>
      <c r="AB107" s="23">
        <f t="shared" si="28"/>
        <v>242.6693333</v>
      </c>
      <c r="AC107" s="23">
        <f t="shared" si="28"/>
        <v>192.1252459</v>
      </c>
      <c r="AD107" s="23">
        <f t="shared" si="28"/>
        <v>217.1579167</v>
      </c>
      <c r="AE107" s="23">
        <f t="shared" si="28"/>
        <v>222.9575385</v>
      </c>
      <c r="AF107" s="23">
        <f t="shared" si="28"/>
        <v>199.0095413</v>
      </c>
    </row>
    <row r="108">
      <c r="A108" s="13" t="s">
        <v>82</v>
      </c>
      <c r="B108" s="45">
        <v>319.18</v>
      </c>
      <c r="C108" s="23">
        <v>312.44</v>
      </c>
      <c r="D108" s="59">
        <v>309.97</v>
      </c>
      <c r="E108" s="59">
        <v>307.18</v>
      </c>
      <c r="F108" s="23">
        <v>317.04</v>
      </c>
      <c r="G108" s="23">
        <v>297.87</v>
      </c>
      <c r="H108" s="23">
        <v>288.69</v>
      </c>
      <c r="I108" s="23">
        <v>313.98</v>
      </c>
      <c r="J108" s="23">
        <v>283.04</v>
      </c>
      <c r="K108" s="23">
        <v>290.77</v>
      </c>
      <c r="L108" s="23">
        <v>284.71</v>
      </c>
      <c r="M108" s="23">
        <v>280.18</v>
      </c>
      <c r="N108" s="23">
        <v>243.27</v>
      </c>
      <c r="O108" s="23">
        <v>269.8</v>
      </c>
      <c r="P108" s="23">
        <v>269.6</v>
      </c>
      <c r="Q108" s="23">
        <v>265.79</v>
      </c>
      <c r="R108" s="60">
        <v>277.45</v>
      </c>
      <c r="S108" s="23">
        <v>275.14</v>
      </c>
      <c r="T108" s="23">
        <v>277.22</v>
      </c>
      <c r="U108" s="23">
        <v>278.06</v>
      </c>
      <c r="V108" s="23">
        <v>228.31</v>
      </c>
      <c r="W108" s="23">
        <v>256.45</v>
      </c>
      <c r="X108" s="23">
        <v>260.31</v>
      </c>
      <c r="Y108" s="23">
        <v>267.27</v>
      </c>
      <c r="Z108" s="23">
        <v>265.75</v>
      </c>
      <c r="AA108" s="23">
        <v>274.3</v>
      </c>
      <c r="AB108" s="23">
        <v>284.59</v>
      </c>
      <c r="AC108" s="23">
        <v>272.06</v>
      </c>
      <c r="AD108" s="23">
        <v>267.72</v>
      </c>
      <c r="AE108" s="23">
        <v>257.94</v>
      </c>
      <c r="AF108" s="23">
        <v>305.56</v>
      </c>
    </row>
    <row r="109">
      <c r="A109" s="13" t="s">
        <v>83</v>
      </c>
      <c r="B109" s="23">
        <v>133.52</v>
      </c>
      <c r="C109" s="23">
        <v>127.02</v>
      </c>
      <c r="D109" s="59">
        <v>139.55</v>
      </c>
      <c r="E109" s="59">
        <v>141.11</v>
      </c>
      <c r="F109" s="23">
        <v>156.04</v>
      </c>
      <c r="G109" s="23">
        <v>135.64</v>
      </c>
      <c r="H109" s="23">
        <v>110.08</v>
      </c>
      <c r="I109" s="23">
        <v>117.14</v>
      </c>
      <c r="J109" s="23">
        <v>147.9</v>
      </c>
      <c r="K109" s="23">
        <v>145.99</v>
      </c>
      <c r="L109" s="23">
        <v>153.95</v>
      </c>
      <c r="M109" s="23">
        <v>176.37</v>
      </c>
      <c r="N109" s="23">
        <v>142.82</v>
      </c>
      <c r="O109" s="23">
        <v>95.46</v>
      </c>
      <c r="P109" s="23">
        <v>128.26</v>
      </c>
      <c r="Q109" s="61">
        <v>102.39</v>
      </c>
      <c r="R109" s="23">
        <v>144.26</v>
      </c>
      <c r="S109" s="23">
        <v>112.23</v>
      </c>
      <c r="T109" s="23">
        <v>98.47</v>
      </c>
      <c r="U109" s="23">
        <v>120.82</v>
      </c>
      <c r="V109" s="23">
        <v>83.13</v>
      </c>
      <c r="W109" s="23">
        <v>81.54</v>
      </c>
      <c r="X109" s="23">
        <v>64.87</v>
      </c>
      <c r="Y109" s="23">
        <v>75.41</v>
      </c>
      <c r="Z109" s="23">
        <v>118.05</v>
      </c>
      <c r="AA109" s="23">
        <v>134.87</v>
      </c>
      <c r="AB109" s="23">
        <v>143.91</v>
      </c>
      <c r="AC109" s="23">
        <v>87.43</v>
      </c>
      <c r="AD109" s="23">
        <v>129.03</v>
      </c>
      <c r="AE109" s="23">
        <v>131.62</v>
      </c>
      <c r="AF109" s="23">
        <v>94.4</v>
      </c>
    </row>
    <row r="111">
      <c r="A111" s="13" t="s">
        <v>84</v>
      </c>
    </row>
    <row r="112">
      <c r="A112" s="58" t="s">
        <v>85</v>
      </c>
      <c r="B112" s="58">
        <v>0.229</v>
      </c>
      <c r="C112" s="58">
        <v>0.207</v>
      </c>
      <c r="D112" s="58">
        <v>0.16</v>
      </c>
      <c r="E112" s="58">
        <v>0.218</v>
      </c>
      <c r="F112" s="58">
        <v>0.202</v>
      </c>
      <c r="G112" s="58">
        <v>0.159</v>
      </c>
      <c r="H112" s="58">
        <v>0.196</v>
      </c>
      <c r="I112" s="58">
        <v>0.195</v>
      </c>
      <c r="J112" s="58">
        <v>0.265</v>
      </c>
      <c r="K112" s="58">
        <v>0.256</v>
      </c>
      <c r="L112" s="58">
        <v>0.311</v>
      </c>
      <c r="M112" s="58">
        <v>0.274</v>
      </c>
      <c r="N112" s="58">
        <v>0.217</v>
      </c>
      <c r="O112" s="58">
        <v>0.219</v>
      </c>
      <c r="P112" s="58">
        <v>0.278</v>
      </c>
      <c r="Q112" s="58">
        <v>0.322</v>
      </c>
      <c r="R112" s="58">
        <v>0.217</v>
      </c>
      <c r="S112" s="58">
        <v>0.301</v>
      </c>
      <c r="T112" s="58">
        <v>0.25</v>
      </c>
      <c r="U112" s="58">
        <v>0.221</v>
      </c>
      <c r="V112" s="58">
        <v>0.242</v>
      </c>
      <c r="W112" s="58">
        <v>0.367</v>
      </c>
      <c r="X112" s="58">
        <v>0.345</v>
      </c>
      <c r="Y112" s="58">
        <v>0.443</v>
      </c>
      <c r="Z112" s="58">
        <v>0.391</v>
      </c>
      <c r="AA112" s="58">
        <v>0.26</v>
      </c>
      <c r="AB112" s="58">
        <v>0.345</v>
      </c>
      <c r="AC112" s="58">
        <v>0.445</v>
      </c>
      <c r="AD112" s="58">
        <v>0.337</v>
      </c>
      <c r="AE112" s="58">
        <v>0.254</v>
      </c>
      <c r="AF112" s="58">
        <v>0.449</v>
      </c>
    </row>
    <row r="113">
      <c r="A113" s="4" t="s">
        <v>86</v>
      </c>
      <c r="B113" s="58">
        <f t="shared" ref="B113:AF113" si="29">1-B112</f>
        <v>0.771</v>
      </c>
      <c r="C113" s="58">
        <f t="shared" si="29"/>
        <v>0.793</v>
      </c>
      <c r="D113" s="58">
        <f t="shared" si="29"/>
        <v>0.84</v>
      </c>
      <c r="E113" s="58">
        <f t="shared" si="29"/>
        <v>0.782</v>
      </c>
      <c r="F113" s="58">
        <f t="shared" si="29"/>
        <v>0.798</v>
      </c>
      <c r="G113" s="58">
        <f t="shared" si="29"/>
        <v>0.841</v>
      </c>
      <c r="H113" s="58">
        <f t="shared" si="29"/>
        <v>0.804</v>
      </c>
      <c r="I113" s="58">
        <f t="shared" si="29"/>
        <v>0.805</v>
      </c>
      <c r="J113" s="58">
        <f t="shared" si="29"/>
        <v>0.735</v>
      </c>
      <c r="K113" s="58">
        <f t="shared" si="29"/>
        <v>0.744</v>
      </c>
      <c r="L113" s="58">
        <f t="shared" si="29"/>
        <v>0.689</v>
      </c>
      <c r="M113" s="58">
        <f t="shared" si="29"/>
        <v>0.726</v>
      </c>
      <c r="N113" s="58">
        <f t="shared" si="29"/>
        <v>0.783</v>
      </c>
      <c r="O113" s="58">
        <f t="shared" si="29"/>
        <v>0.781</v>
      </c>
      <c r="P113" s="58">
        <f t="shared" si="29"/>
        <v>0.722</v>
      </c>
      <c r="Q113" s="58">
        <f t="shared" si="29"/>
        <v>0.678</v>
      </c>
      <c r="R113" s="58">
        <f t="shared" si="29"/>
        <v>0.783</v>
      </c>
      <c r="S113" s="58">
        <f t="shared" si="29"/>
        <v>0.699</v>
      </c>
      <c r="T113" s="58">
        <f t="shared" si="29"/>
        <v>0.75</v>
      </c>
      <c r="U113" s="58">
        <f t="shared" si="29"/>
        <v>0.779</v>
      </c>
      <c r="V113" s="58">
        <f t="shared" si="29"/>
        <v>0.758</v>
      </c>
      <c r="W113" s="58">
        <f t="shared" si="29"/>
        <v>0.633</v>
      </c>
      <c r="X113" s="58">
        <f t="shared" si="29"/>
        <v>0.655</v>
      </c>
      <c r="Y113" s="58">
        <f t="shared" si="29"/>
        <v>0.557</v>
      </c>
      <c r="Z113" s="58">
        <f t="shared" si="29"/>
        <v>0.609</v>
      </c>
      <c r="AA113" s="58">
        <f t="shared" si="29"/>
        <v>0.74</v>
      </c>
      <c r="AB113" s="58">
        <f t="shared" si="29"/>
        <v>0.655</v>
      </c>
      <c r="AC113" s="58">
        <f t="shared" si="29"/>
        <v>0.555</v>
      </c>
      <c r="AD113" s="58">
        <f t="shared" si="29"/>
        <v>0.663</v>
      </c>
      <c r="AE113" s="58">
        <f t="shared" si="29"/>
        <v>0.746</v>
      </c>
      <c r="AF113" s="58">
        <f t="shared" si="29"/>
        <v>0.551</v>
      </c>
    </row>
    <row r="115">
      <c r="B115" s="62">
        <v>45413.0</v>
      </c>
      <c r="C115" s="63" t="s">
        <v>87</v>
      </c>
      <c r="D115" s="63" t="s">
        <v>88</v>
      </c>
    </row>
    <row r="116">
      <c r="A116" s="4" t="s">
        <v>89</v>
      </c>
      <c r="B116" s="43">
        <f>SUM(B31:AF31)+SUM(B49:AF49)</f>
        <v>2223384.314</v>
      </c>
      <c r="C116" s="64"/>
      <c r="D116" s="65" t="str">
        <f t="shared" ref="D116:D118" si="30">B116/C116</f>
        <v>#DIV/0!</v>
      </c>
      <c r="X116" s="66"/>
      <c r="AA116" s="56"/>
    </row>
    <row r="117">
      <c r="A117" s="4" t="s">
        <v>90</v>
      </c>
      <c r="B117" s="43">
        <f>SUM(B88:AF88)+SUM(B94:AF94)</f>
        <v>280389.7398</v>
      </c>
      <c r="C117" s="64"/>
      <c r="D117" s="65" t="str">
        <f t="shared" si="30"/>
        <v>#DIV/0!</v>
      </c>
      <c r="X117" s="66"/>
      <c r="AA117" s="56"/>
    </row>
    <row r="118">
      <c r="A118" s="4" t="s">
        <v>91</v>
      </c>
      <c r="B118" s="67">
        <f>B116/B117</f>
        <v>7.929620804</v>
      </c>
      <c r="C118" s="68"/>
      <c r="D118" s="65" t="str">
        <f t="shared" si="30"/>
        <v>#DIV/0!</v>
      </c>
    </row>
    <row r="119">
      <c r="A119" s="4" t="s">
        <v>92</v>
      </c>
      <c r="B119" s="43">
        <f>SUM(B88:AF88)/SUM('DTC - P&amp;L'!B59:AF59,'DTC - P&amp;L'!B63:AF63,'AMAZON - P&amp;L'!B32:AF32,'Digital Marketplaces - P&amp;L'!B17:AF17,'Digital Marketplaces - P&amp;L'!B129:AF129)</f>
        <v>46.16570058</v>
      </c>
      <c r="C119" s="69"/>
      <c r="D119" s="65"/>
      <c r="W119" s="4" t="s">
        <v>93</v>
      </c>
    </row>
    <row r="120">
      <c r="A120" s="4" t="s">
        <v>94</v>
      </c>
      <c r="B120" s="66">
        <f>IFERROR(__xludf.DUMMYFUNCTION("AVERAGE.WEIGHTED(B106:AF106,B52:AF52)"),0.020451608518350702)</f>
        <v>0.02045160852</v>
      </c>
      <c r="C120" s="70"/>
      <c r="D120" s="65"/>
    </row>
    <row r="121">
      <c r="A121" s="4" t="s">
        <v>95</v>
      </c>
      <c r="B121" s="23">
        <f>AVERAGE(B107:AF107)</f>
        <v>238.4964889</v>
      </c>
      <c r="C121" s="69"/>
      <c r="D121" s="65"/>
    </row>
    <row r="122">
      <c r="A122" s="4" t="s">
        <v>82</v>
      </c>
      <c r="B122" s="45">
        <f>IFERROR(__xludf.DUMMYFUNCTION("AVERAGE.WEIGHTED(B108:AF108,B52:AF52)"),286.92930222020846)</f>
        <v>286.9293022</v>
      </c>
    </row>
    <row r="123">
      <c r="A123" s="4" t="s">
        <v>83</v>
      </c>
      <c r="B123" s="23">
        <f>IFERROR(__xludf.DUMMYFUNCTION("AVERAGE.weighted(B109:AF109,B52:AF52)"),125.81073176257362)</f>
        <v>125.8107318</v>
      </c>
    </row>
    <row r="124">
      <c r="A124" s="4" t="s">
        <v>96</v>
      </c>
      <c r="B124" s="71">
        <f>SUM(B64:AF64)</f>
        <v>9687</v>
      </c>
      <c r="C124" s="72"/>
      <c r="D124" s="65"/>
      <c r="L124" s="4" t="s">
        <v>93</v>
      </c>
    </row>
    <row r="125" collapsed="1">
      <c r="A125" s="4" t="s">
        <v>97</v>
      </c>
      <c r="B125" s="71">
        <f>'DTC - P&amp;L'!AG59 +'AMAZON - P&amp;L'!AG32+'Digital Marketplaces - P&amp;L'!AG17+'Digital Marketplaces - P&amp;L'!AG129+'DTC - P&amp;L'!AG63</f>
        <v>6059</v>
      </c>
      <c r="C125" s="73">
        <v>6409.0</v>
      </c>
      <c r="D125" s="65">
        <f>B125/C125</f>
        <v>0.9453892963</v>
      </c>
    </row>
    <row r="126" hidden="1" outlineLevel="1">
      <c r="A126" s="27" t="s">
        <v>98</v>
      </c>
      <c r="B126" s="74">
        <f>'DTC - P&amp;L'!AG59 +'AMAZON - P&amp;L'!AG32+'Digital Marketplaces - P&amp;L'!AG17+'Digital Marketplaces - P&amp;L'!AG129</f>
        <v>5666</v>
      </c>
      <c r="C126" s="69"/>
      <c r="D126" s="65"/>
    </row>
    <row r="127" hidden="1" outlineLevel="1">
      <c r="A127" s="27" t="s">
        <v>99</v>
      </c>
      <c r="B127" s="74">
        <f>'DTC - P&amp;L'!AG63</f>
        <v>393</v>
      </c>
      <c r="C127" s="70"/>
      <c r="D127" s="65"/>
    </row>
    <row r="128">
      <c r="A128" s="4" t="s">
        <v>100</v>
      </c>
      <c r="B128" s="43">
        <f>(SUM(B88:AF88)/B125)</f>
        <v>46.16570058</v>
      </c>
      <c r="C128" s="69"/>
      <c r="D128" s="65"/>
    </row>
    <row r="129">
      <c r="A129" s="4" t="s">
        <v>101</v>
      </c>
      <c r="B129" s="66">
        <f>IFERROR(__xludf.DUMMYFUNCTION("AVERAGE.WEIGHTED(B113:AF113,B52:AF52)"),0.7426311735387404)</f>
        <v>0.7426311735</v>
      </c>
    </row>
    <row r="130">
      <c r="A130" s="4" t="s">
        <v>102</v>
      </c>
      <c r="B130" s="66">
        <f>IFERROR(__xludf.DUMMYFUNCTION("AVERAGE.WEIGHTED(B112:AF112,B52:AF52)"),0.25736882646125964)</f>
        <v>0.2573688265</v>
      </c>
    </row>
    <row r="131">
      <c r="A131" s="4" t="s">
        <v>103</v>
      </c>
      <c r="B131" s="43">
        <f>SUM(B31:AF31)/B125</f>
        <v>349.3303189</v>
      </c>
    </row>
    <row r="141">
      <c r="Y141" s="58"/>
      <c r="Z141" s="58"/>
      <c r="AA141" s="58"/>
      <c r="AB141" s="58"/>
      <c r="AC141" s="58"/>
      <c r="AD141" s="58"/>
      <c r="AE141" s="58"/>
      <c r="AF141" s="58"/>
    </row>
    <row r="142">
      <c r="Y142" s="58"/>
      <c r="Z142" s="58"/>
      <c r="AA142" s="58"/>
      <c r="AB142" s="58"/>
      <c r="AC142" s="58"/>
      <c r="AD142" s="58"/>
      <c r="AE142" s="58"/>
      <c r="AF142" s="58"/>
    </row>
    <row r="143">
      <c r="Y143" s="58"/>
      <c r="Z143" s="58"/>
      <c r="AA143" s="58"/>
      <c r="AB143" s="58"/>
      <c r="AC143" s="58"/>
      <c r="AD143" s="58"/>
      <c r="AE143" s="58"/>
      <c r="AF143" s="58"/>
    </row>
    <row r="144">
      <c r="Y144" s="75"/>
      <c r="AC144" s="58"/>
      <c r="AD144" s="58"/>
      <c r="AE144" s="58"/>
      <c r="AF144" s="58"/>
    </row>
    <row r="149">
      <c r="Y149" s="4" t="s">
        <v>93</v>
      </c>
    </row>
    <row r="237">
      <c r="G237" s="76"/>
    </row>
    <row r="238">
      <c r="G238" s="76"/>
    </row>
  </sheetData>
  <mergeCells count="3">
    <mergeCell ref="A4:A6"/>
    <mergeCell ref="B4:AA4"/>
    <mergeCell ref="G5:M5"/>
  </mergeCells>
  <conditionalFormatting sqref="Y141:Y144 Z141:AB143 AC141:AF144">
    <cfRule type="colorScale" priority="1">
      <colorScale>
        <cfvo type="min"/>
        <cfvo type="max"/>
        <color rgb="FFFFFFFF"/>
        <color rgb="FF57BB8A"/>
      </colorScale>
    </cfRule>
  </conditionalFormatting>
  <conditionalFormatting sqref="B112:AF112">
    <cfRule type="colorScale" priority="2">
      <colorScale>
        <cfvo type="min"/>
        <cfvo type="max"/>
        <color rgb="FFFFFFFF"/>
        <color rgb="FF57BB8A"/>
      </colorScale>
    </cfRule>
  </conditionalFormatting>
  <conditionalFormatting sqref="B101:AF101">
    <cfRule type="colorScale" priority="3">
      <colorScale>
        <cfvo type="min"/>
        <cfvo type="max"/>
        <color rgb="FF57BB8A"/>
        <color rgb="FFFFFFFF"/>
      </colorScale>
    </cfRule>
  </conditionalFormatting>
  <conditionalFormatting sqref="B96:AF96">
    <cfRule type="colorScale" priority="4">
      <colorScale>
        <cfvo type="min"/>
        <cfvo type="max"/>
        <color rgb="FFFFFFFF"/>
        <color rgb="FF57BB8A"/>
      </colorScale>
    </cfRule>
  </conditionalFormatting>
  <conditionalFormatting sqref="C105 B106 D106:AF106">
    <cfRule type="colorScale" priority="5">
      <colorScale>
        <cfvo type="min"/>
        <cfvo type="max"/>
        <color rgb="FFFFFFFF"/>
        <color rgb="FF57BB8A"/>
      </colorScale>
    </cfRule>
  </conditionalFormatting>
  <conditionalFormatting sqref="B107:AF107">
    <cfRule type="colorScale" priority="6">
      <colorScale>
        <cfvo type="min"/>
        <cfvo type="max"/>
        <color rgb="FFFFFFFF"/>
        <color rgb="FF57BB8A"/>
      </colorScale>
    </cfRule>
  </conditionalFormatting>
  <conditionalFormatting sqref="B52:AF52">
    <cfRule type="colorScale" priority="7">
      <colorScale>
        <cfvo type="min"/>
        <cfvo type="max"/>
        <color rgb="FFFFFFFF"/>
        <color rgb="FF57BB8A"/>
      </colorScale>
    </cfRule>
  </conditionalFormatting>
  <conditionalFormatting sqref="L44 B71:AF74">
    <cfRule type="colorScale" priority="8">
      <colorScale>
        <cfvo type="min"/>
        <cfvo type="max"/>
        <color rgb="FFFFFFFF"/>
        <color rgb="FF57BB8A"/>
      </colorScale>
    </cfRule>
  </conditionalFormatting>
  <conditionalFormatting sqref="B58:AF58">
    <cfRule type="colorScale" priority="9">
      <colorScale>
        <cfvo type="min"/>
        <cfvo type="max"/>
        <color rgb="FFFFFFFF"/>
        <color rgb="FF57BB8A"/>
      </colorScale>
    </cfRule>
  </conditionalFormatting>
  <conditionalFormatting sqref="B61:AF61">
    <cfRule type="colorScale" priority="10">
      <colorScale>
        <cfvo type="min"/>
        <cfvo type="max"/>
        <color rgb="FFFFFFFF"/>
        <color rgb="FF57BB8A"/>
      </colorScale>
    </cfRule>
  </conditionalFormatting>
  <conditionalFormatting sqref="B68:AF68">
    <cfRule type="colorScale" priority="11">
      <colorScale>
        <cfvo type="min"/>
        <cfvo type="max"/>
        <color rgb="FFFFFFFF"/>
        <color rgb="FF57BB8A"/>
      </colorScale>
    </cfRule>
  </conditionalFormatting>
  <conditionalFormatting sqref="B67:AF67">
    <cfRule type="colorScale" priority="12">
      <colorScale>
        <cfvo type="min"/>
        <cfvo type="max"/>
        <color rgb="FFFFFFFF"/>
        <color rgb="FF57BB8A"/>
      </colorScale>
    </cfRule>
  </conditionalFormatting>
  <drawing r:id="rId4"/>
  <legacy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75"/>
    <col customWidth="1" min="2" max="18" width="16.13"/>
    <col customWidth="1" min="19" max="20" width="16.63"/>
    <col customWidth="1" min="21" max="32" width="16.13"/>
    <col customWidth="1" min="33" max="33" width="16.25"/>
  </cols>
  <sheetData>
    <row r="1">
      <c r="A1" s="77" t="s">
        <v>104</v>
      </c>
      <c r="B1" s="78">
        <v>45413.0</v>
      </c>
      <c r="C1" s="78">
        <v>45414.0</v>
      </c>
      <c r="D1" s="78">
        <v>45415.0</v>
      </c>
      <c r="E1" s="78">
        <v>45416.0</v>
      </c>
      <c r="F1" s="78">
        <v>45417.0</v>
      </c>
      <c r="G1" s="78">
        <v>45418.0</v>
      </c>
      <c r="H1" s="78">
        <v>45419.0</v>
      </c>
      <c r="I1" s="78">
        <v>45420.0</v>
      </c>
      <c r="J1" s="78">
        <v>45421.0</v>
      </c>
      <c r="K1" s="78">
        <v>45422.0</v>
      </c>
      <c r="L1" s="78">
        <v>45423.0</v>
      </c>
      <c r="M1" s="78">
        <v>45424.0</v>
      </c>
      <c r="N1" s="78">
        <v>45425.0</v>
      </c>
      <c r="O1" s="78">
        <v>45426.0</v>
      </c>
      <c r="P1" s="78">
        <v>45427.0</v>
      </c>
      <c r="Q1" s="78">
        <v>45428.0</v>
      </c>
      <c r="R1" s="78">
        <v>45429.0</v>
      </c>
      <c r="S1" s="78">
        <v>45430.0</v>
      </c>
      <c r="T1" s="78">
        <v>45431.0</v>
      </c>
      <c r="U1" s="78">
        <v>45432.0</v>
      </c>
      <c r="V1" s="78">
        <v>45433.0</v>
      </c>
      <c r="W1" s="78">
        <v>45434.0</v>
      </c>
      <c r="X1" s="78">
        <v>45435.0</v>
      </c>
      <c r="Y1" s="78">
        <v>45436.0</v>
      </c>
      <c r="Z1" s="78">
        <v>45437.0</v>
      </c>
      <c r="AA1" s="78">
        <v>45438.0</v>
      </c>
      <c r="AB1" s="78">
        <v>45439.0</v>
      </c>
      <c r="AC1" s="78">
        <v>45440.0</v>
      </c>
      <c r="AD1" s="78">
        <v>45441.0</v>
      </c>
      <c r="AE1" s="78">
        <v>45442.0</v>
      </c>
      <c r="AF1" s="78">
        <v>45443.0</v>
      </c>
      <c r="AG1" s="79"/>
    </row>
    <row r="2">
      <c r="A2" s="80" t="s">
        <v>105</v>
      </c>
      <c r="B2" s="81" t="s">
        <v>0</v>
      </c>
      <c r="C2" s="81" t="s">
        <v>1</v>
      </c>
      <c r="D2" s="81" t="s">
        <v>2</v>
      </c>
      <c r="E2" s="81" t="s">
        <v>3</v>
      </c>
      <c r="F2" s="81" t="s">
        <v>4</v>
      </c>
      <c r="G2" s="81" t="s">
        <v>5</v>
      </c>
      <c r="H2" s="81" t="s">
        <v>6</v>
      </c>
      <c r="I2" s="81" t="s">
        <v>0</v>
      </c>
      <c r="J2" s="81" t="s">
        <v>1</v>
      </c>
      <c r="K2" s="81" t="s">
        <v>2</v>
      </c>
      <c r="L2" s="81" t="s">
        <v>3</v>
      </c>
      <c r="M2" s="81" t="s">
        <v>4</v>
      </c>
      <c r="N2" s="81" t="s">
        <v>5</v>
      </c>
      <c r="O2" s="81" t="s">
        <v>6</v>
      </c>
      <c r="P2" s="81" t="s">
        <v>0</v>
      </c>
      <c r="Q2" s="81" t="s">
        <v>1</v>
      </c>
      <c r="R2" s="81" t="s">
        <v>2</v>
      </c>
      <c r="S2" s="81" t="s">
        <v>3</v>
      </c>
      <c r="T2" s="81" t="s">
        <v>4</v>
      </c>
      <c r="U2" s="81" t="s">
        <v>5</v>
      </c>
      <c r="V2" s="81" t="s">
        <v>6</v>
      </c>
      <c r="W2" s="81" t="s">
        <v>0</v>
      </c>
      <c r="X2" s="81" t="s">
        <v>1</v>
      </c>
      <c r="Y2" s="81" t="s">
        <v>2</v>
      </c>
      <c r="Z2" s="81" t="s">
        <v>3</v>
      </c>
      <c r="AA2" s="81" t="s">
        <v>4</v>
      </c>
      <c r="AB2" s="81" t="s">
        <v>5</v>
      </c>
      <c r="AC2" s="81" t="s">
        <v>6</v>
      </c>
      <c r="AD2" s="81" t="s">
        <v>0</v>
      </c>
      <c r="AE2" s="81" t="s">
        <v>1</v>
      </c>
      <c r="AF2" s="81" t="s">
        <v>2</v>
      </c>
      <c r="AG2" s="79"/>
    </row>
    <row r="3">
      <c r="A3" s="82" t="s">
        <v>106</v>
      </c>
      <c r="B3" s="83"/>
      <c r="C3" s="83"/>
      <c r="D3" s="83"/>
      <c r="E3" s="83"/>
      <c r="F3" s="83"/>
      <c r="G3" s="83"/>
      <c r="H3" s="83"/>
      <c r="I3" s="83"/>
      <c r="J3" s="83"/>
      <c r="K3" s="83"/>
      <c r="L3" s="83"/>
      <c r="M3" s="83"/>
      <c r="N3" s="83"/>
      <c r="O3" s="83"/>
      <c r="P3" s="83"/>
      <c r="Q3" s="83"/>
      <c r="R3" s="83"/>
      <c r="S3" s="83"/>
      <c r="T3" s="83"/>
      <c r="U3" s="83"/>
      <c r="V3" s="83"/>
      <c r="W3" s="83"/>
      <c r="X3" s="83"/>
      <c r="Y3" s="83"/>
      <c r="Z3" s="83"/>
      <c r="AA3" s="83"/>
      <c r="AB3" s="84"/>
      <c r="AC3" s="83"/>
      <c r="AD3" s="83"/>
      <c r="AE3" s="83"/>
      <c r="AF3" s="83"/>
      <c r="AG3" s="79"/>
    </row>
    <row r="4">
      <c r="A4" s="85" t="s">
        <v>96</v>
      </c>
      <c r="B4" s="83"/>
      <c r="C4" s="83"/>
      <c r="D4" s="83"/>
      <c r="E4" s="83"/>
      <c r="F4" s="83"/>
      <c r="G4" s="83"/>
      <c r="H4" s="83"/>
      <c r="I4" s="83"/>
      <c r="J4" s="83"/>
      <c r="K4" s="83"/>
      <c r="L4" s="83"/>
      <c r="M4" s="83"/>
      <c r="N4" s="83"/>
      <c r="O4" s="83"/>
      <c r="P4" s="84"/>
      <c r="Q4" s="84"/>
      <c r="R4" s="83"/>
      <c r="S4" s="83"/>
      <c r="T4" s="83"/>
      <c r="U4" s="83"/>
      <c r="V4" s="83"/>
      <c r="W4" s="83"/>
      <c r="X4" s="83"/>
      <c r="Y4" s="83"/>
      <c r="Z4" s="83"/>
      <c r="AA4" s="83"/>
      <c r="AB4" s="83"/>
      <c r="AC4" s="83"/>
      <c r="AD4" s="83"/>
      <c r="AE4" s="83"/>
      <c r="AF4" s="83"/>
      <c r="AG4" s="79"/>
    </row>
    <row r="5">
      <c r="A5" s="86" t="s">
        <v>107</v>
      </c>
      <c r="B5" s="87">
        <v>44.0</v>
      </c>
      <c r="C5" s="88">
        <v>57.0</v>
      </c>
      <c r="D5" s="88">
        <v>65.0</v>
      </c>
      <c r="E5" s="89">
        <v>56.0</v>
      </c>
      <c r="F5" s="89">
        <v>65.0</v>
      </c>
      <c r="G5" s="89">
        <v>68.0</v>
      </c>
      <c r="H5" s="89">
        <v>56.0</v>
      </c>
      <c r="I5" s="88">
        <v>46.0</v>
      </c>
      <c r="J5" s="88">
        <v>34.0</v>
      </c>
      <c r="K5" s="88">
        <v>23.0</v>
      </c>
      <c r="L5" s="88">
        <v>36.0</v>
      </c>
      <c r="M5" s="90">
        <v>28.0</v>
      </c>
      <c r="N5" s="88">
        <v>29.0</v>
      </c>
      <c r="O5" s="88">
        <v>23.0</v>
      </c>
      <c r="P5" s="88">
        <v>14.0</v>
      </c>
      <c r="Q5" s="88">
        <v>18.0</v>
      </c>
      <c r="R5" s="88">
        <v>10.0</v>
      </c>
      <c r="S5" s="91">
        <v>17.0</v>
      </c>
      <c r="T5" s="88">
        <v>11.0</v>
      </c>
      <c r="U5" s="91">
        <v>19.0</v>
      </c>
      <c r="V5" s="91">
        <v>16.0</v>
      </c>
      <c r="W5" s="91">
        <v>33.0</v>
      </c>
      <c r="X5" s="91">
        <v>22.0</v>
      </c>
      <c r="Y5" s="92">
        <v>29.0</v>
      </c>
      <c r="Z5" s="92">
        <v>27.0</v>
      </c>
      <c r="AA5" s="91">
        <v>38.0</v>
      </c>
      <c r="AB5" s="91">
        <v>30.0</v>
      </c>
      <c r="AC5" s="91">
        <v>30.0</v>
      </c>
      <c r="AD5" s="91">
        <v>35.0</v>
      </c>
      <c r="AE5" s="91">
        <v>23.0</v>
      </c>
      <c r="AF5" s="91">
        <v>35.0</v>
      </c>
      <c r="AG5" s="93"/>
    </row>
    <row r="6">
      <c r="A6" s="86" t="s">
        <v>108</v>
      </c>
      <c r="B6" s="94">
        <v>91.0</v>
      </c>
      <c r="C6" s="95">
        <v>88.0</v>
      </c>
      <c r="D6" s="96">
        <v>102.0</v>
      </c>
      <c r="E6" s="96">
        <v>67.0</v>
      </c>
      <c r="F6" s="96">
        <v>73.0</v>
      </c>
      <c r="G6" s="95">
        <v>86.0</v>
      </c>
      <c r="H6" s="95">
        <v>65.0</v>
      </c>
      <c r="I6" s="95">
        <v>53.0</v>
      </c>
      <c r="J6" s="95">
        <v>37.0</v>
      </c>
      <c r="K6" s="95">
        <v>30.0</v>
      </c>
      <c r="L6" s="96">
        <v>44.0</v>
      </c>
      <c r="M6" s="95">
        <v>43.0</v>
      </c>
      <c r="N6" s="95">
        <v>41.0</v>
      </c>
      <c r="O6" s="95">
        <v>22.0</v>
      </c>
      <c r="P6" s="95">
        <v>25.0</v>
      </c>
      <c r="Q6" s="95">
        <v>30.0</v>
      </c>
      <c r="R6" s="88">
        <v>37.0</v>
      </c>
      <c r="S6" s="88">
        <v>41.0</v>
      </c>
      <c r="T6" s="88">
        <v>18.0</v>
      </c>
      <c r="U6" s="97">
        <v>42.0</v>
      </c>
      <c r="V6" s="97">
        <v>28.0</v>
      </c>
      <c r="W6" s="97">
        <v>28.0</v>
      </c>
      <c r="X6" s="97">
        <v>18.0</v>
      </c>
      <c r="Y6" s="97">
        <v>14.0</v>
      </c>
      <c r="Z6" s="97">
        <v>27.0</v>
      </c>
      <c r="AA6" s="97">
        <v>24.0</v>
      </c>
      <c r="AB6" s="97">
        <v>14.0</v>
      </c>
      <c r="AC6" s="97">
        <v>29.0</v>
      </c>
      <c r="AD6" s="97">
        <v>24.0</v>
      </c>
      <c r="AE6" s="97">
        <v>25.0</v>
      </c>
      <c r="AF6" s="97">
        <v>21.0</v>
      </c>
      <c r="AG6" s="93"/>
    </row>
    <row r="7">
      <c r="A7" s="98" t="s">
        <v>109</v>
      </c>
      <c r="B7" s="88">
        <v>0.0</v>
      </c>
      <c r="C7" s="88">
        <v>1.0</v>
      </c>
      <c r="D7" s="88">
        <v>2.0</v>
      </c>
      <c r="E7" s="88">
        <v>2.0</v>
      </c>
      <c r="F7" s="88">
        <v>2.0</v>
      </c>
      <c r="G7" s="88">
        <v>1.0</v>
      </c>
      <c r="H7" s="88">
        <v>6.0</v>
      </c>
      <c r="I7" s="88">
        <v>0.0</v>
      </c>
      <c r="J7" s="88">
        <v>0.0</v>
      </c>
      <c r="K7" s="88">
        <v>1.0</v>
      </c>
      <c r="L7" s="88">
        <v>0.0</v>
      </c>
      <c r="M7" s="88">
        <v>0.0</v>
      </c>
      <c r="N7" s="88">
        <v>1.0</v>
      </c>
      <c r="O7" s="88">
        <v>3.0</v>
      </c>
      <c r="P7" s="88">
        <v>0.0</v>
      </c>
      <c r="Q7" s="88">
        <v>0.0</v>
      </c>
      <c r="R7" s="88">
        <v>0.0</v>
      </c>
      <c r="S7" s="88">
        <v>1.0</v>
      </c>
      <c r="T7" s="88">
        <v>0.0</v>
      </c>
      <c r="U7" s="88">
        <v>2.0</v>
      </c>
      <c r="V7" s="88">
        <v>0.0</v>
      </c>
      <c r="W7" s="88">
        <v>0.0</v>
      </c>
      <c r="X7" s="88">
        <v>0.0</v>
      </c>
      <c r="Y7" s="88">
        <v>0.0</v>
      </c>
      <c r="Z7" s="88">
        <v>0.0</v>
      </c>
      <c r="AA7" s="88">
        <v>0.0</v>
      </c>
      <c r="AB7" s="88">
        <v>0.0</v>
      </c>
      <c r="AC7" s="88">
        <v>0.0</v>
      </c>
      <c r="AD7" s="88">
        <v>0.0</v>
      </c>
      <c r="AE7" s="88">
        <v>0.0</v>
      </c>
      <c r="AF7" s="88">
        <v>0.0</v>
      </c>
      <c r="AG7" s="93"/>
    </row>
    <row r="8">
      <c r="A8" s="86" t="s">
        <v>110</v>
      </c>
      <c r="B8" s="87">
        <v>4.0</v>
      </c>
      <c r="C8" s="88">
        <v>8.0</v>
      </c>
      <c r="D8" s="88">
        <v>18.0</v>
      </c>
      <c r="E8" s="89">
        <v>12.0</v>
      </c>
      <c r="F8" s="88">
        <v>4.0</v>
      </c>
      <c r="G8" s="88">
        <v>12.0</v>
      </c>
      <c r="H8" s="88">
        <v>20.0</v>
      </c>
      <c r="I8" s="88">
        <v>14.0</v>
      </c>
      <c r="J8" s="88">
        <v>16.0</v>
      </c>
      <c r="K8" s="88">
        <v>12.0</v>
      </c>
      <c r="L8" s="89">
        <v>2.0</v>
      </c>
      <c r="M8" s="88">
        <v>8.0</v>
      </c>
      <c r="N8" s="88">
        <v>10.0</v>
      </c>
      <c r="O8" s="88">
        <v>8.0</v>
      </c>
      <c r="P8" s="88">
        <v>4.0</v>
      </c>
      <c r="Q8" s="88">
        <v>10.0</v>
      </c>
      <c r="R8" s="95">
        <v>2.0</v>
      </c>
      <c r="S8" s="97">
        <v>14.0</v>
      </c>
      <c r="T8" s="88">
        <v>6.0</v>
      </c>
      <c r="U8" s="91">
        <v>4.0</v>
      </c>
      <c r="V8" s="91">
        <v>4.0</v>
      </c>
      <c r="W8" s="91">
        <v>4.0</v>
      </c>
      <c r="X8" s="91">
        <v>6.0</v>
      </c>
      <c r="Y8" s="91">
        <v>6.0</v>
      </c>
      <c r="Z8" s="97">
        <v>0.0</v>
      </c>
      <c r="AA8" s="91">
        <v>6.0</v>
      </c>
      <c r="AB8" s="91">
        <v>2.0</v>
      </c>
      <c r="AC8" s="91">
        <v>0.0</v>
      </c>
      <c r="AD8" s="91">
        <v>2.0</v>
      </c>
      <c r="AE8" s="91">
        <v>2.0</v>
      </c>
      <c r="AF8" s="91">
        <v>0.0</v>
      </c>
      <c r="AG8" s="93"/>
    </row>
    <row r="9">
      <c r="A9" s="99" t="s">
        <v>111</v>
      </c>
      <c r="B9" s="100">
        <v>0.0</v>
      </c>
      <c r="C9" s="100">
        <v>1.0</v>
      </c>
      <c r="D9" s="100">
        <v>1.0</v>
      </c>
      <c r="E9" s="100">
        <v>0.0</v>
      </c>
      <c r="F9" s="101">
        <v>1.0</v>
      </c>
      <c r="G9" s="100">
        <v>0.0</v>
      </c>
      <c r="H9" s="100">
        <v>0.0</v>
      </c>
      <c r="I9" s="100">
        <v>0.0</v>
      </c>
      <c r="J9" s="100">
        <v>1.0</v>
      </c>
      <c r="K9" s="100">
        <v>1.0</v>
      </c>
      <c r="L9" s="100">
        <v>0.0</v>
      </c>
      <c r="M9" s="100">
        <v>0.0</v>
      </c>
      <c r="N9" s="100">
        <v>2.0</v>
      </c>
      <c r="O9" s="100">
        <v>1.0</v>
      </c>
      <c r="P9" s="100">
        <v>0.0</v>
      </c>
      <c r="Q9" s="100">
        <v>1.0</v>
      </c>
      <c r="R9" s="100">
        <v>1.0</v>
      </c>
      <c r="S9" s="100">
        <v>0.0</v>
      </c>
      <c r="T9" s="100">
        <v>2.0</v>
      </c>
      <c r="U9" s="100">
        <v>0.0</v>
      </c>
      <c r="V9" s="100">
        <v>1.0</v>
      </c>
      <c r="W9" s="100">
        <v>1.0</v>
      </c>
      <c r="X9" s="100">
        <v>0.0</v>
      </c>
      <c r="Y9" s="100">
        <v>2.0</v>
      </c>
      <c r="Z9" s="100">
        <v>0.0</v>
      </c>
      <c r="AA9" s="100">
        <v>0.0</v>
      </c>
      <c r="AB9" s="100">
        <v>0.0</v>
      </c>
      <c r="AC9" s="100">
        <v>0.0</v>
      </c>
      <c r="AD9" s="100">
        <v>0.0</v>
      </c>
      <c r="AE9" s="100">
        <v>0.0</v>
      </c>
      <c r="AF9" s="100">
        <v>0.0</v>
      </c>
      <c r="AG9" s="93"/>
    </row>
    <row r="10">
      <c r="A10" s="102" t="s">
        <v>112</v>
      </c>
      <c r="B10" s="103" t="s">
        <v>113</v>
      </c>
      <c r="C10" s="103" t="s">
        <v>113</v>
      </c>
      <c r="D10" s="103" t="s">
        <v>113</v>
      </c>
      <c r="E10" s="103" t="s">
        <v>113</v>
      </c>
      <c r="F10" s="103" t="s">
        <v>113</v>
      </c>
      <c r="G10" s="103" t="s">
        <v>113</v>
      </c>
      <c r="H10" s="103" t="s">
        <v>113</v>
      </c>
      <c r="I10" s="103" t="s">
        <v>113</v>
      </c>
      <c r="J10" s="103" t="s">
        <v>113</v>
      </c>
      <c r="K10" s="103" t="s">
        <v>113</v>
      </c>
      <c r="L10" s="103" t="s">
        <v>113</v>
      </c>
      <c r="M10" s="103" t="s">
        <v>113</v>
      </c>
      <c r="N10" s="103" t="s">
        <v>113</v>
      </c>
      <c r="O10" s="103" t="s">
        <v>113</v>
      </c>
      <c r="P10" s="103" t="s">
        <v>113</v>
      </c>
      <c r="Q10" s="103" t="s">
        <v>113</v>
      </c>
      <c r="R10" s="103" t="s">
        <v>113</v>
      </c>
      <c r="S10" s="103" t="s">
        <v>113</v>
      </c>
      <c r="T10" s="103" t="s">
        <v>113</v>
      </c>
      <c r="U10" s="103" t="s">
        <v>113</v>
      </c>
      <c r="V10" s="103" t="s">
        <v>113</v>
      </c>
      <c r="W10" s="103" t="s">
        <v>113</v>
      </c>
      <c r="X10" s="103" t="s">
        <v>113</v>
      </c>
      <c r="Y10" s="103" t="s">
        <v>113</v>
      </c>
      <c r="Z10" s="103" t="s">
        <v>113</v>
      </c>
      <c r="AA10" s="103" t="s">
        <v>113</v>
      </c>
      <c r="AB10" s="103" t="s">
        <v>113</v>
      </c>
      <c r="AC10" s="103" t="s">
        <v>113</v>
      </c>
      <c r="AD10" s="103" t="s">
        <v>113</v>
      </c>
      <c r="AE10" s="103" t="s">
        <v>113</v>
      </c>
      <c r="AF10" s="103" t="s">
        <v>113</v>
      </c>
      <c r="AG10" s="93">
        <f t="shared" ref="AG10:AG12" si="1">SUM(B10:AF10)</f>
        <v>0</v>
      </c>
    </row>
    <row r="11">
      <c r="A11" s="104" t="s">
        <v>114</v>
      </c>
      <c r="B11" s="103" t="s">
        <v>113</v>
      </c>
      <c r="C11" s="103" t="s">
        <v>113</v>
      </c>
      <c r="D11" s="103" t="s">
        <v>113</v>
      </c>
      <c r="E11" s="103" t="s">
        <v>113</v>
      </c>
      <c r="F11" s="103" t="s">
        <v>113</v>
      </c>
      <c r="G11" s="103" t="s">
        <v>113</v>
      </c>
      <c r="H11" s="103" t="s">
        <v>113</v>
      </c>
      <c r="I11" s="103" t="s">
        <v>113</v>
      </c>
      <c r="J11" s="103" t="s">
        <v>113</v>
      </c>
      <c r="K11" s="103" t="s">
        <v>113</v>
      </c>
      <c r="L11" s="103" t="s">
        <v>113</v>
      </c>
      <c r="M11" s="103" t="s">
        <v>113</v>
      </c>
      <c r="N11" s="103" t="s">
        <v>113</v>
      </c>
      <c r="O11" s="103" t="s">
        <v>113</v>
      </c>
      <c r="P11" s="103" t="s">
        <v>113</v>
      </c>
      <c r="Q11" s="103" t="s">
        <v>113</v>
      </c>
      <c r="R11" s="103" t="s">
        <v>113</v>
      </c>
      <c r="S11" s="103" t="s">
        <v>113</v>
      </c>
      <c r="T11" s="103" t="s">
        <v>113</v>
      </c>
      <c r="U11" s="103" t="s">
        <v>113</v>
      </c>
      <c r="V11" s="103" t="s">
        <v>113</v>
      </c>
      <c r="W11" s="103" t="s">
        <v>113</v>
      </c>
      <c r="X11" s="103" t="s">
        <v>113</v>
      </c>
      <c r="Y11" s="103" t="s">
        <v>113</v>
      </c>
      <c r="Z11" s="103" t="s">
        <v>113</v>
      </c>
      <c r="AA11" s="103" t="s">
        <v>113</v>
      </c>
      <c r="AB11" s="103" t="s">
        <v>113</v>
      </c>
      <c r="AC11" s="103" t="s">
        <v>113</v>
      </c>
      <c r="AD11" s="103" t="s">
        <v>113</v>
      </c>
      <c r="AE11" s="103" t="s">
        <v>113</v>
      </c>
      <c r="AF11" s="103" t="s">
        <v>113</v>
      </c>
      <c r="AG11" s="93">
        <f t="shared" si="1"/>
        <v>0</v>
      </c>
    </row>
    <row r="12">
      <c r="A12" s="105" t="s">
        <v>115</v>
      </c>
      <c r="B12" s="106">
        <f t="shared" ref="B12:AF12" si="2">SUM(B5:B11)</f>
        <v>139</v>
      </c>
      <c r="C12" s="106">
        <f t="shared" si="2"/>
        <v>155</v>
      </c>
      <c r="D12" s="106">
        <f t="shared" si="2"/>
        <v>188</v>
      </c>
      <c r="E12" s="106">
        <f t="shared" si="2"/>
        <v>137</v>
      </c>
      <c r="F12" s="106">
        <f t="shared" si="2"/>
        <v>145</v>
      </c>
      <c r="G12" s="106">
        <f t="shared" si="2"/>
        <v>167</v>
      </c>
      <c r="H12" s="106">
        <f t="shared" si="2"/>
        <v>147</v>
      </c>
      <c r="I12" s="106">
        <f t="shared" si="2"/>
        <v>113</v>
      </c>
      <c r="J12" s="106">
        <f t="shared" si="2"/>
        <v>88</v>
      </c>
      <c r="K12" s="106">
        <f t="shared" si="2"/>
        <v>67</v>
      </c>
      <c r="L12" s="106">
        <f t="shared" si="2"/>
        <v>82</v>
      </c>
      <c r="M12" s="106">
        <f t="shared" si="2"/>
        <v>79</v>
      </c>
      <c r="N12" s="106">
        <f t="shared" si="2"/>
        <v>83</v>
      </c>
      <c r="O12" s="106">
        <f t="shared" si="2"/>
        <v>57</v>
      </c>
      <c r="P12" s="106">
        <f t="shared" si="2"/>
        <v>43</v>
      </c>
      <c r="Q12" s="106">
        <f t="shared" si="2"/>
        <v>59</v>
      </c>
      <c r="R12" s="106">
        <f t="shared" si="2"/>
        <v>50</v>
      </c>
      <c r="S12" s="106">
        <f t="shared" si="2"/>
        <v>73</v>
      </c>
      <c r="T12" s="106">
        <f t="shared" si="2"/>
        <v>37</v>
      </c>
      <c r="U12" s="106">
        <f t="shared" si="2"/>
        <v>67</v>
      </c>
      <c r="V12" s="106">
        <f t="shared" si="2"/>
        <v>49</v>
      </c>
      <c r="W12" s="106">
        <f t="shared" si="2"/>
        <v>66</v>
      </c>
      <c r="X12" s="106">
        <f t="shared" si="2"/>
        <v>46</v>
      </c>
      <c r="Y12" s="106">
        <f t="shared" si="2"/>
        <v>51</v>
      </c>
      <c r="Z12" s="106">
        <f t="shared" si="2"/>
        <v>54</v>
      </c>
      <c r="AA12" s="106">
        <f t="shared" si="2"/>
        <v>68</v>
      </c>
      <c r="AB12" s="106">
        <f t="shared" si="2"/>
        <v>46</v>
      </c>
      <c r="AC12" s="106">
        <f t="shared" si="2"/>
        <v>59</v>
      </c>
      <c r="AD12" s="106">
        <f t="shared" si="2"/>
        <v>61</v>
      </c>
      <c r="AE12" s="106">
        <f t="shared" si="2"/>
        <v>50</v>
      </c>
      <c r="AF12" s="106">
        <f t="shared" si="2"/>
        <v>56</v>
      </c>
      <c r="AG12" s="93">
        <f t="shared" si="1"/>
        <v>2582</v>
      </c>
    </row>
    <row r="13">
      <c r="A13" s="98"/>
      <c r="B13" s="83"/>
      <c r="C13" s="83"/>
      <c r="D13" s="83"/>
      <c r="E13" s="83"/>
      <c r="F13" s="83"/>
      <c r="G13" s="83"/>
      <c r="H13" s="83"/>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107"/>
    </row>
    <row r="14">
      <c r="A14" s="108" t="s">
        <v>89</v>
      </c>
      <c r="B14" s="109">
        <v>11345.47</v>
      </c>
      <c r="C14" s="109">
        <v>14419.78</v>
      </c>
      <c r="D14" s="109">
        <v>16215.72</v>
      </c>
      <c r="E14" s="109">
        <v>15256.93</v>
      </c>
      <c r="F14" s="109">
        <v>19809.48</v>
      </c>
      <c r="G14" s="109">
        <v>19064.11</v>
      </c>
      <c r="H14" s="109">
        <v>13700.16</v>
      </c>
      <c r="I14" s="109">
        <v>11488.51</v>
      </c>
      <c r="J14" s="109">
        <v>8043.81</v>
      </c>
      <c r="K14" s="109">
        <v>6356.45</v>
      </c>
      <c r="L14" s="109">
        <v>8514.42</v>
      </c>
      <c r="M14" s="109">
        <v>7273.97</v>
      </c>
      <c r="N14" s="109">
        <v>5820.06</v>
      </c>
      <c r="O14" s="109">
        <v>4491.55</v>
      </c>
      <c r="P14" s="109">
        <v>3924.37</v>
      </c>
      <c r="Q14" s="109">
        <v>4088.83</v>
      </c>
      <c r="R14" s="109">
        <v>2629.57</v>
      </c>
      <c r="S14" s="109">
        <v>4634.27</v>
      </c>
      <c r="T14" s="109">
        <v>2628.26</v>
      </c>
      <c r="U14" s="109">
        <v>4808.08</v>
      </c>
      <c r="V14" s="109">
        <v>2372.01</v>
      </c>
      <c r="W14" s="109">
        <v>5483.0</v>
      </c>
      <c r="X14" s="109">
        <v>3843.59</v>
      </c>
      <c r="Y14" s="109">
        <v>5762.53</v>
      </c>
      <c r="Z14" s="109">
        <v>4954.66</v>
      </c>
      <c r="AA14" s="109">
        <v>9332.9</v>
      </c>
      <c r="AB14" s="109">
        <v>7251.91</v>
      </c>
      <c r="AC14" s="109">
        <v>6796.51</v>
      </c>
      <c r="AD14" s="109">
        <v>5323.64</v>
      </c>
      <c r="AE14" s="109">
        <v>4494.64</v>
      </c>
      <c r="AF14" s="109">
        <v>9244.66</v>
      </c>
      <c r="AG14" s="107"/>
    </row>
    <row r="15">
      <c r="A15" s="86" t="s">
        <v>107</v>
      </c>
      <c r="B15" s="110">
        <f>B14*Summary!B76</f>
        <v>12157.80565</v>
      </c>
      <c r="C15" s="110">
        <f>C14*Summary!C76</f>
        <v>15473.86592</v>
      </c>
      <c r="D15" s="110">
        <f>D14*Summary!D76</f>
        <v>17461.0873</v>
      </c>
      <c r="E15" s="110">
        <f>E14*Summary!E76</f>
        <v>16428.66222</v>
      </c>
      <c r="F15" s="110">
        <f>F14*Summary!F76</f>
        <v>21320.94332</v>
      </c>
      <c r="G15" s="110">
        <f>G14*Summary!G76</f>
        <v>20530.14006</v>
      </c>
      <c r="H15" s="110">
        <f>H14*Summary!H76</f>
        <v>14730.41203</v>
      </c>
      <c r="I15" s="110">
        <f>I14*Summary!I76</f>
        <v>12348.9994</v>
      </c>
      <c r="J15" s="110">
        <f>J14*Summary!J76</f>
        <v>8673.640323</v>
      </c>
      <c r="K15" s="110">
        <f>K14*Summary!K76</f>
        <v>6851.617455</v>
      </c>
      <c r="L15" s="110">
        <f>L14*Summary!L76</f>
        <v>9177.693318</v>
      </c>
      <c r="M15" s="110">
        <f>M14*Summary!M76</f>
        <v>7835.520484</v>
      </c>
      <c r="N15" s="110">
        <f>N14*Summary!N76</f>
        <v>6281.008752</v>
      </c>
      <c r="O15" s="110">
        <f>O14*Summary!O76</f>
        <v>4858.509635</v>
      </c>
      <c r="P15" s="110">
        <f>P14*Summary!P76</f>
        <v>4273.63893</v>
      </c>
      <c r="Q15" s="110">
        <f>Q14*Summary!Q76</f>
        <v>4443.740444</v>
      </c>
      <c r="R15" s="110">
        <f>R14*Summary!R76</f>
        <v>2860.97216</v>
      </c>
      <c r="S15" s="110">
        <f>S14*Summary!S76</f>
        <v>5041.622333</v>
      </c>
      <c r="T15" s="110">
        <f>T14*Summary!T76</f>
        <v>2856.91862</v>
      </c>
      <c r="U15" s="110">
        <f>U14*Summary!U76</f>
        <v>5221.57488</v>
      </c>
      <c r="V15" s="110">
        <f>V14*Summary!V76</f>
        <v>2575.528458</v>
      </c>
      <c r="W15" s="110">
        <f>W14*Summary!W76</f>
        <v>5935.3475</v>
      </c>
      <c r="X15" s="110">
        <f>X14*Summary!X76</f>
        <v>4156.073867</v>
      </c>
      <c r="Y15" s="110">
        <f>Y14*Summary!Y76</f>
        <v>6255.226315</v>
      </c>
      <c r="Z15" s="110">
        <f>Z14*Summary!Z76</f>
        <v>5375.310634</v>
      </c>
      <c r="AA15" s="110">
        <f>AA14*Summary!AA76</f>
        <v>10127.12979</v>
      </c>
      <c r="AB15" s="110">
        <f>AB14*Summary!AB76</f>
        <v>7875.57426</v>
      </c>
      <c r="AC15" s="110">
        <f>AC14*Summary!AC76</f>
        <v>7378.970907</v>
      </c>
      <c r="AD15" s="110">
        <f>AD14*Summary!AD76</f>
        <v>5750.063564</v>
      </c>
      <c r="AE15" s="110">
        <f>AE14*Summary!AE76</f>
        <v>4869.492976</v>
      </c>
      <c r="AF15" s="110">
        <f>AF14*Summary!AF76</f>
        <v>10036.92736</v>
      </c>
      <c r="AG15" s="93">
        <f t="shared" ref="AG15:AG22" si="3">SUM(B15:AF15)</f>
        <v>269164.0189</v>
      </c>
    </row>
    <row r="16">
      <c r="A16" s="86" t="s">
        <v>108</v>
      </c>
      <c r="B16" s="111">
        <v>26776.15</v>
      </c>
      <c r="C16" s="110">
        <v>26882.99</v>
      </c>
      <c r="D16" s="110">
        <v>30198.23</v>
      </c>
      <c r="E16" s="112">
        <v>19063.38</v>
      </c>
      <c r="F16" s="112">
        <v>21835.32</v>
      </c>
      <c r="G16" s="110">
        <v>25708.59</v>
      </c>
      <c r="H16" s="110">
        <v>18480.3</v>
      </c>
      <c r="I16" s="110">
        <v>16990.74</v>
      </c>
      <c r="J16" s="110">
        <v>8390.5</v>
      </c>
      <c r="K16" s="110">
        <v>8104.26</v>
      </c>
      <c r="L16" s="112">
        <v>13748.63</v>
      </c>
      <c r="M16" s="110">
        <v>11795.17</v>
      </c>
      <c r="N16" s="110">
        <v>10072.91</v>
      </c>
      <c r="O16" s="110">
        <v>6157.0</v>
      </c>
      <c r="P16" s="110">
        <v>7300.89</v>
      </c>
      <c r="Q16" s="110">
        <v>6466.96</v>
      </c>
      <c r="R16" s="110">
        <v>11196.83</v>
      </c>
      <c r="S16" s="113">
        <v>12301.65</v>
      </c>
      <c r="T16" s="110">
        <v>4315.57</v>
      </c>
      <c r="U16" s="113">
        <v>12596.68</v>
      </c>
      <c r="V16" s="113">
        <v>7014.75</v>
      </c>
      <c r="W16" s="113">
        <v>7759.19</v>
      </c>
      <c r="X16" s="113">
        <v>3937.32</v>
      </c>
      <c r="Y16" s="113">
        <v>3600.01</v>
      </c>
      <c r="Z16" s="113">
        <v>6610.47</v>
      </c>
      <c r="AA16" s="113">
        <v>5666.09</v>
      </c>
      <c r="AB16" s="113">
        <v>3759.11</v>
      </c>
      <c r="AC16" s="113">
        <v>7404.88</v>
      </c>
      <c r="AD16" s="110">
        <v>6364.7</v>
      </c>
      <c r="AE16" s="110">
        <v>6565.39</v>
      </c>
      <c r="AF16" s="110">
        <v>5778.27</v>
      </c>
      <c r="AG16" s="93">
        <f t="shared" si="3"/>
        <v>362842.93</v>
      </c>
    </row>
    <row r="17">
      <c r="A17" s="98" t="s">
        <v>109</v>
      </c>
      <c r="B17" s="110">
        <v>0.0</v>
      </c>
      <c r="C17" s="110">
        <v>328.86</v>
      </c>
      <c r="D17" s="110">
        <v>417.97</v>
      </c>
      <c r="E17" s="110">
        <v>393.01</v>
      </c>
      <c r="F17" s="110">
        <v>358.83</v>
      </c>
      <c r="G17" s="110">
        <v>324.0</v>
      </c>
      <c r="H17" s="110">
        <v>1876.8</v>
      </c>
      <c r="I17" s="110">
        <v>0.0</v>
      </c>
      <c r="J17" s="110">
        <v>0.0</v>
      </c>
      <c r="K17" s="110">
        <v>289.0</v>
      </c>
      <c r="L17" s="110">
        <v>0.0</v>
      </c>
      <c r="M17" s="110">
        <v>0.0</v>
      </c>
      <c r="N17" s="110">
        <v>328.32</v>
      </c>
      <c r="O17" s="110">
        <v>708.24</v>
      </c>
      <c r="P17" s="110">
        <v>0.0</v>
      </c>
      <c r="Q17" s="110">
        <v>0.0</v>
      </c>
      <c r="R17" s="110">
        <v>0.0</v>
      </c>
      <c r="S17" s="110">
        <v>282.48</v>
      </c>
      <c r="T17" s="110">
        <v>0.0</v>
      </c>
      <c r="U17" s="110">
        <v>457.94</v>
      </c>
      <c r="V17" s="110">
        <v>0.0</v>
      </c>
      <c r="W17" s="110">
        <v>0.0</v>
      </c>
      <c r="X17" s="110">
        <v>0.0</v>
      </c>
      <c r="Y17" s="110">
        <v>0.0</v>
      </c>
      <c r="Z17" s="110">
        <v>0.0</v>
      </c>
      <c r="AA17" s="110">
        <v>0.0</v>
      </c>
      <c r="AB17" s="110">
        <v>0.0</v>
      </c>
      <c r="AC17" s="110">
        <v>0.0</v>
      </c>
      <c r="AD17" s="110">
        <v>0.0</v>
      </c>
      <c r="AE17" s="110">
        <v>0.0</v>
      </c>
      <c r="AF17" s="110">
        <v>0.0</v>
      </c>
      <c r="AG17" s="93">
        <f t="shared" si="3"/>
        <v>5765.45</v>
      </c>
    </row>
    <row r="18">
      <c r="A18" s="86" t="s">
        <v>110</v>
      </c>
      <c r="B18" s="111">
        <v>502.0</v>
      </c>
      <c r="C18" s="110">
        <v>1004.0</v>
      </c>
      <c r="D18" s="110">
        <v>2259.0</v>
      </c>
      <c r="E18" s="112">
        <v>1506.0</v>
      </c>
      <c r="F18" s="110">
        <v>502.0</v>
      </c>
      <c r="G18" s="110">
        <v>1506.0</v>
      </c>
      <c r="H18" s="110">
        <v>2510.0</v>
      </c>
      <c r="I18" s="110">
        <v>1757.0</v>
      </c>
      <c r="J18" s="110">
        <v>2008.0</v>
      </c>
      <c r="K18" s="110">
        <v>1506.0</v>
      </c>
      <c r="L18" s="112">
        <v>251.0</v>
      </c>
      <c r="M18" s="110">
        <v>1004.0</v>
      </c>
      <c r="N18" s="110">
        <v>1255.0</v>
      </c>
      <c r="O18" s="110">
        <v>1004.0</v>
      </c>
      <c r="P18" s="110">
        <v>502.0</v>
      </c>
      <c r="Q18" s="110">
        <v>1255.0</v>
      </c>
      <c r="R18" s="110">
        <v>251.0</v>
      </c>
      <c r="S18" s="110">
        <v>1757.0</v>
      </c>
      <c r="T18" s="110">
        <v>753.0</v>
      </c>
      <c r="U18" s="110">
        <v>502.0</v>
      </c>
      <c r="V18" s="113">
        <v>502.0</v>
      </c>
      <c r="W18" s="113">
        <v>502.0</v>
      </c>
      <c r="X18" s="113">
        <v>753.0</v>
      </c>
      <c r="Y18" s="113">
        <v>753.0</v>
      </c>
      <c r="Z18" s="113">
        <v>0.0</v>
      </c>
      <c r="AA18" s="113">
        <v>753.0</v>
      </c>
      <c r="AB18" s="113">
        <v>251.0</v>
      </c>
      <c r="AC18" s="113">
        <v>0.0</v>
      </c>
      <c r="AD18" s="113">
        <v>251.0</v>
      </c>
      <c r="AE18" s="113">
        <v>251.0</v>
      </c>
      <c r="AF18" s="113">
        <v>0.0</v>
      </c>
      <c r="AG18" s="93">
        <f t="shared" si="3"/>
        <v>27610</v>
      </c>
    </row>
    <row r="19">
      <c r="A19" s="114" t="s">
        <v>111</v>
      </c>
      <c r="B19" s="115">
        <v>0.0</v>
      </c>
      <c r="C19" s="115">
        <v>28.98</v>
      </c>
      <c r="D19" s="116">
        <v>285.3</v>
      </c>
      <c r="E19" s="115">
        <v>0.0</v>
      </c>
      <c r="F19" s="117">
        <v>331.34</v>
      </c>
      <c r="G19" s="115">
        <v>0.0</v>
      </c>
      <c r="H19" s="115">
        <v>0.0</v>
      </c>
      <c r="I19" s="115">
        <v>0.0</v>
      </c>
      <c r="J19" s="115">
        <v>408.0</v>
      </c>
      <c r="K19" s="115">
        <v>342.69</v>
      </c>
      <c r="L19" s="115">
        <v>0.0</v>
      </c>
      <c r="M19" s="115">
        <v>0.0</v>
      </c>
      <c r="N19" s="115">
        <v>872.84</v>
      </c>
      <c r="O19" s="116">
        <v>156.15</v>
      </c>
      <c r="P19" s="118">
        <v>0.0</v>
      </c>
      <c r="Q19" s="118">
        <v>403.03</v>
      </c>
      <c r="R19" s="115">
        <v>257.14</v>
      </c>
      <c r="S19" s="116">
        <v>0.0</v>
      </c>
      <c r="T19" s="115">
        <v>515.31</v>
      </c>
      <c r="U19" s="118">
        <v>0.0</v>
      </c>
      <c r="V19" s="118">
        <v>337.56</v>
      </c>
      <c r="W19" s="118">
        <v>70.69</v>
      </c>
      <c r="X19" s="118">
        <v>0.0</v>
      </c>
      <c r="Y19" s="118">
        <v>436.04</v>
      </c>
      <c r="Z19" s="118">
        <v>0.0</v>
      </c>
      <c r="AA19" s="118">
        <v>0.0</v>
      </c>
      <c r="AB19" s="118">
        <v>0.0</v>
      </c>
      <c r="AC19" s="118">
        <v>0.0</v>
      </c>
      <c r="AD19" s="118">
        <v>0.0</v>
      </c>
      <c r="AE19" s="118">
        <v>0.0</v>
      </c>
      <c r="AF19" s="118">
        <v>0.0</v>
      </c>
      <c r="AG19" s="93">
        <f t="shared" si="3"/>
        <v>4445.07</v>
      </c>
    </row>
    <row r="20" ht="17.25" customHeight="1">
      <c r="A20" s="102" t="s">
        <v>112</v>
      </c>
      <c r="B20" s="103" t="s">
        <v>113</v>
      </c>
      <c r="C20" s="103" t="s">
        <v>113</v>
      </c>
      <c r="D20" s="103" t="s">
        <v>113</v>
      </c>
      <c r="E20" s="103" t="s">
        <v>113</v>
      </c>
      <c r="F20" s="103" t="s">
        <v>113</v>
      </c>
      <c r="G20" s="103" t="s">
        <v>113</v>
      </c>
      <c r="H20" s="103" t="s">
        <v>113</v>
      </c>
      <c r="I20" s="103" t="s">
        <v>113</v>
      </c>
      <c r="J20" s="103" t="s">
        <v>113</v>
      </c>
      <c r="K20" s="103" t="s">
        <v>113</v>
      </c>
      <c r="L20" s="103" t="s">
        <v>113</v>
      </c>
      <c r="M20" s="103" t="s">
        <v>113</v>
      </c>
      <c r="N20" s="103" t="s">
        <v>113</v>
      </c>
      <c r="O20" s="103" t="s">
        <v>113</v>
      </c>
      <c r="P20" s="103" t="s">
        <v>113</v>
      </c>
      <c r="Q20" s="103" t="s">
        <v>113</v>
      </c>
      <c r="R20" s="103" t="s">
        <v>113</v>
      </c>
      <c r="S20" s="103" t="s">
        <v>113</v>
      </c>
      <c r="T20" s="103" t="s">
        <v>113</v>
      </c>
      <c r="U20" s="103" t="s">
        <v>113</v>
      </c>
      <c r="V20" s="103" t="s">
        <v>113</v>
      </c>
      <c r="W20" s="103" t="s">
        <v>113</v>
      </c>
      <c r="X20" s="103" t="s">
        <v>113</v>
      </c>
      <c r="Y20" s="103" t="s">
        <v>113</v>
      </c>
      <c r="Z20" s="103" t="s">
        <v>113</v>
      </c>
      <c r="AA20" s="103" t="s">
        <v>113</v>
      </c>
      <c r="AB20" s="103" t="s">
        <v>113</v>
      </c>
      <c r="AC20" s="103" t="s">
        <v>113</v>
      </c>
      <c r="AD20" s="103" t="s">
        <v>113</v>
      </c>
      <c r="AE20" s="103" t="s">
        <v>113</v>
      </c>
      <c r="AF20" s="103" t="s">
        <v>113</v>
      </c>
      <c r="AG20" s="93">
        <f t="shared" si="3"/>
        <v>0</v>
      </c>
    </row>
    <row r="21">
      <c r="A21" s="104" t="s">
        <v>114</v>
      </c>
      <c r="B21" s="103" t="s">
        <v>113</v>
      </c>
      <c r="C21" s="103" t="s">
        <v>113</v>
      </c>
      <c r="D21" s="103" t="s">
        <v>113</v>
      </c>
      <c r="E21" s="103" t="s">
        <v>113</v>
      </c>
      <c r="F21" s="103" t="s">
        <v>113</v>
      </c>
      <c r="G21" s="103" t="s">
        <v>113</v>
      </c>
      <c r="H21" s="103" t="s">
        <v>113</v>
      </c>
      <c r="I21" s="103" t="s">
        <v>113</v>
      </c>
      <c r="J21" s="103" t="s">
        <v>113</v>
      </c>
      <c r="K21" s="103" t="s">
        <v>113</v>
      </c>
      <c r="L21" s="103" t="s">
        <v>113</v>
      </c>
      <c r="M21" s="103" t="s">
        <v>113</v>
      </c>
      <c r="N21" s="103" t="s">
        <v>113</v>
      </c>
      <c r="O21" s="103" t="s">
        <v>113</v>
      </c>
      <c r="P21" s="103" t="s">
        <v>113</v>
      </c>
      <c r="Q21" s="103" t="s">
        <v>113</v>
      </c>
      <c r="R21" s="103" t="s">
        <v>113</v>
      </c>
      <c r="S21" s="103" t="s">
        <v>113</v>
      </c>
      <c r="T21" s="103" t="s">
        <v>113</v>
      </c>
      <c r="U21" s="103" t="s">
        <v>113</v>
      </c>
      <c r="V21" s="103" t="s">
        <v>113</v>
      </c>
      <c r="W21" s="103" t="s">
        <v>113</v>
      </c>
      <c r="X21" s="103" t="s">
        <v>113</v>
      </c>
      <c r="Y21" s="103" t="s">
        <v>113</v>
      </c>
      <c r="Z21" s="103" t="s">
        <v>113</v>
      </c>
      <c r="AA21" s="103" t="s">
        <v>113</v>
      </c>
      <c r="AB21" s="103" t="s">
        <v>113</v>
      </c>
      <c r="AC21" s="103" t="s">
        <v>113</v>
      </c>
      <c r="AD21" s="103" t="s">
        <v>113</v>
      </c>
      <c r="AE21" s="103" t="s">
        <v>113</v>
      </c>
      <c r="AF21" s="103" t="s">
        <v>113</v>
      </c>
      <c r="AG21" s="93">
        <f t="shared" si="3"/>
        <v>0</v>
      </c>
    </row>
    <row r="22">
      <c r="A22" s="105" t="s">
        <v>115</v>
      </c>
      <c r="B22" s="119">
        <f t="shared" ref="B22:AF22" si="4">SUM(B15:B21)</f>
        <v>39435.95565</v>
      </c>
      <c r="C22" s="119">
        <f t="shared" si="4"/>
        <v>43718.69592</v>
      </c>
      <c r="D22" s="119">
        <f t="shared" si="4"/>
        <v>50621.5873</v>
      </c>
      <c r="E22" s="119">
        <f t="shared" si="4"/>
        <v>37391.05222</v>
      </c>
      <c r="F22" s="119">
        <f t="shared" si="4"/>
        <v>44348.43332</v>
      </c>
      <c r="G22" s="119">
        <f t="shared" si="4"/>
        <v>48068.73006</v>
      </c>
      <c r="H22" s="119">
        <f t="shared" si="4"/>
        <v>37597.51203</v>
      </c>
      <c r="I22" s="119">
        <f t="shared" si="4"/>
        <v>31096.7394</v>
      </c>
      <c r="J22" s="119">
        <f t="shared" si="4"/>
        <v>19480.14032</v>
      </c>
      <c r="K22" s="119">
        <f t="shared" si="4"/>
        <v>17093.56746</v>
      </c>
      <c r="L22" s="119">
        <f t="shared" si="4"/>
        <v>23177.32332</v>
      </c>
      <c r="M22" s="119">
        <f t="shared" si="4"/>
        <v>20634.69048</v>
      </c>
      <c r="N22" s="119">
        <f t="shared" si="4"/>
        <v>18810.07875</v>
      </c>
      <c r="O22" s="119">
        <f t="shared" si="4"/>
        <v>12883.89964</v>
      </c>
      <c r="P22" s="119">
        <f t="shared" si="4"/>
        <v>12076.52893</v>
      </c>
      <c r="Q22" s="119">
        <f t="shared" si="4"/>
        <v>12568.73044</v>
      </c>
      <c r="R22" s="119">
        <f t="shared" si="4"/>
        <v>14565.94216</v>
      </c>
      <c r="S22" s="119">
        <f t="shared" si="4"/>
        <v>19382.75233</v>
      </c>
      <c r="T22" s="119">
        <f t="shared" si="4"/>
        <v>8440.79862</v>
      </c>
      <c r="U22" s="119">
        <f t="shared" si="4"/>
        <v>18778.19488</v>
      </c>
      <c r="V22" s="119">
        <f t="shared" si="4"/>
        <v>10429.83846</v>
      </c>
      <c r="W22" s="119">
        <f t="shared" si="4"/>
        <v>14267.2275</v>
      </c>
      <c r="X22" s="119">
        <f t="shared" si="4"/>
        <v>8846.393867</v>
      </c>
      <c r="Y22" s="119">
        <f t="shared" si="4"/>
        <v>11044.27632</v>
      </c>
      <c r="Z22" s="119">
        <f t="shared" si="4"/>
        <v>11985.78063</v>
      </c>
      <c r="AA22" s="119">
        <f t="shared" si="4"/>
        <v>16546.21979</v>
      </c>
      <c r="AB22" s="119">
        <f t="shared" si="4"/>
        <v>11885.68426</v>
      </c>
      <c r="AC22" s="119">
        <f t="shared" si="4"/>
        <v>14783.85091</v>
      </c>
      <c r="AD22" s="119">
        <f t="shared" si="4"/>
        <v>12365.76356</v>
      </c>
      <c r="AE22" s="119">
        <f t="shared" si="4"/>
        <v>11685.88298</v>
      </c>
      <c r="AF22" s="119">
        <f t="shared" si="4"/>
        <v>15815.19736</v>
      </c>
      <c r="AG22" s="93">
        <f t="shared" si="3"/>
        <v>669827.4689</v>
      </c>
    </row>
    <row r="23">
      <c r="A23" s="98"/>
      <c r="B23" s="83"/>
      <c r="C23" s="83"/>
      <c r="D23" s="83"/>
      <c r="E23" s="83"/>
      <c r="F23" s="83"/>
      <c r="G23" s="83"/>
      <c r="H23" s="83"/>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120"/>
    </row>
    <row r="24">
      <c r="A24" s="121" t="s">
        <v>116</v>
      </c>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120"/>
    </row>
    <row r="25">
      <c r="A25" s="86" t="s">
        <v>107</v>
      </c>
      <c r="B25" s="122">
        <f>Summary!B77</f>
        <v>3969.184968</v>
      </c>
      <c r="C25" s="122">
        <f>Summary!C77</f>
        <v>4970.577738</v>
      </c>
      <c r="D25" s="122">
        <f>Summary!D77</f>
        <v>4940.616832</v>
      </c>
      <c r="E25" s="122">
        <f>Summary!E77</f>
        <v>7216.961264</v>
      </c>
      <c r="F25" s="122">
        <f>Summary!F77</f>
        <v>7529.870141</v>
      </c>
      <c r="G25" s="122">
        <f>Summary!G77</f>
        <v>7026.955573</v>
      </c>
      <c r="H25" s="122">
        <f>Summary!H77</f>
        <v>7676.745216</v>
      </c>
      <c r="I25" s="122">
        <f>Summary!I77</f>
        <v>6202.796442</v>
      </c>
      <c r="J25" s="122">
        <f>Summary!J77</f>
        <v>4451.815465</v>
      </c>
      <c r="K25" s="122">
        <f>Summary!K77</f>
        <v>4442.446281</v>
      </c>
      <c r="L25" s="122">
        <f>Summary!L77</f>
        <v>4147.683747</v>
      </c>
      <c r="M25" s="122">
        <f>Summary!M77</f>
        <v>2519.452308</v>
      </c>
      <c r="N25" s="122">
        <f>Summary!N77</f>
        <v>3174.294128</v>
      </c>
      <c r="O25" s="122">
        <f>Summary!O77</f>
        <v>3637.064812</v>
      </c>
      <c r="P25" s="122">
        <f>Summary!P77</f>
        <v>4449.79557</v>
      </c>
      <c r="Q25" s="122">
        <f>Summary!Q77</f>
        <v>2192.18428</v>
      </c>
      <c r="R25" s="122">
        <f>Summary!R77</f>
        <v>1825.31584</v>
      </c>
      <c r="S25" s="122">
        <f>Summary!S77</f>
        <v>2027.453956</v>
      </c>
      <c r="T25" s="122">
        <f>Summary!T77</f>
        <v>1569.44321</v>
      </c>
      <c r="U25" s="122">
        <f>Summary!U77</f>
        <v>2080.73256</v>
      </c>
      <c r="V25" s="122">
        <f>Summary!V77</f>
        <v>1908.02205</v>
      </c>
      <c r="W25" s="122">
        <f>Summary!W77</f>
        <v>2459.02865</v>
      </c>
      <c r="X25" s="122">
        <f>Summary!X77</f>
        <v>3053.602013</v>
      </c>
      <c r="Y25" s="122">
        <f>Summary!Y77</f>
        <v>3210.77874</v>
      </c>
      <c r="Z25" s="122">
        <f>Summary!Z77</f>
        <v>3247.040606</v>
      </c>
      <c r="AA25" s="122">
        <f>Summary!AA77</f>
        <v>3289.556607</v>
      </c>
      <c r="AB25" s="122">
        <f>Summary!AB77</f>
        <v>3348.99594</v>
      </c>
      <c r="AC25" s="122">
        <f>Summary!AC77</f>
        <v>3222.553026</v>
      </c>
      <c r="AD25" s="122">
        <f>Summary!AD77</f>
        <v>3115.537649</v>
      </c>
      <c r="AE25" s="122">
        <f>Summary!AE77</f>
        <v>3209.659172</v>
      </c>
      <c r="AF25" s="122">
        <f>Summary!AF77</f>
        <v>2561.220585</v>
      </c>
      <c r="AG25" s="93">
        <f t="shared" ref="AG25:AG31" si="5">SUM(B25:AF25)</f>
        <v>118677.3854</v>
      </c>
    </row>
    <row r="26">
      <c r="A26" s="86" t="s">
        <v>108</v>
      </c>
      <c r="B26" s="122">
        <f>Summary!B78</f>
        <v>3276.07</v>
      </c>
      <c r="C26" s="122">
        <f>Summary!C78</f>
        <v>3951.55</v>
      </c>
      <c r="D26" s="122">
        <f>Summary!D78</f>
        <v>4559.08</v>
      </c>
      <c r="E26" s="122">
        <f>Summary!E78</f>
        <v>3410.72</v>
      </c>
      <c r="F26" s="122">
        <f>Summary!F78</f>
        <v>3476.98</v>
      </c>
      <c r="G26" s="122">
        <f>Summary!G78</f>
        <v>5023.32</v>
      </c>
      <c r="H26" s="122">
        <f>Summary!H78</f>
        <v>3232.73</v>
      </c>
      <c r="I26" s="122">
        <f>Summary!I78</f>
        <v>2596.83</v>
      </c>
      <c r="J26" s="122">
        <f>Summary!J78</f>
        <v>1715.92</v>
      </c>
      <c r="K26" s="122">
        <f>Summary!K78</f>
        <v>2308.04</v>
      </c>
      <c r="L26" s="122">
        <f>Summary!L78</f>
        <v>1894.76</v>
      </c>
      <c r="M26" s="122">
        <f>Summary!M78</f>
        <v>1941.16</v>
      </c>
      <c r="N26" s="122">
        <f>Summary!N78</f>
        <v>2082.39</v>
      </c>
      <c r="O26" s="122">
        <f>Summary!O78</f>
        <v>2355.95</v>
      </c>
      <c r="P26" s="122">
        <f>Summary!P78</f>
        <v>2013.18</v>
      </c>
      <c r="Q26" s="122">
        <f>Summary!Q78</f>
        <v>1862.19</v>
      </c>
      <c r="R26" s="122">
        <f>Summary!R78</f>
        <v>1590.45</v>
      </c>
      <c r="S26" s="122">
        <f>Summary!S78</f>
        <v>1850.7</v>
      </c>
      <c r="T26" s="122">
        <f>Summary!T78</f>
        <v>1804.32</v>
      </c>
      <c r="U26" s="122">
        <f>Summary!U78</f>
        <v>1850.68</v>
      </c>
      <c r="V26" s="122">
        <f>Summary!V78</f>
        <v>1641.05</v>
      </c>
      <c r="W26" s="122">
        <f>Summary!W78</f>
        <v>1619.01</v>
      </c>
      <c r="X26" s="122">
        <f>Summary!X78</f>
        <v>1398.11</v>
      </c>
      <c r="Y26" s="122">
        <f>Summary!Y78</f>
        <v>1379.16</v>
      </c>
      <c r="Z26" s="122">
        <f>Summary!Z78</f>
        <v>1810.48</v>
      </c>
      <c r="AA26" s="122">
        <f>Summary!AA78</f>
        <v>1506.58</v>
      </c>
      <c r="AB26" s="122">
        <f>Summary!AB78</f>
        <v>1369.13</v>
      </c>
      <c r="AC26" s="122">
        <f>Summary!AC78</f>
        <v>1275.45</v>
      </c>
      <c r="AD26" s="122">
        <f>Summary!AD78</f>
        <v>1355.72</v>
      </c>
      <c r="AE26" s="122">
        <f>Summary!AE78</f>
        <v>1209.71</v>
      </c>
      <c r="AF26" s="122">
        <f>Summary!AF78</f>
        <v>1047.88</v>
      </c>
      <c r="AG26" s="93">
        <f t="shared" si="5"/>
        <v>68409.3</v>
      </c>
    </row>
    <row r="27">
      <c r="A27" s="86" t="s">
        <v>109</v>
      </c>
      <c r="B27" s="122">
        <f>Summary!B80</f>
        <v>489.6</v>
      </c>
      <c r="C27" s="122">
        <f>Summary!C80</f>
        <v>424.2</v>
      </c>
      <c r="D27" s="122">
        <f>Summary!D80</f>
        <v>837.74</v>
      </c>
      <c r="E27" s="122">
        <f>Summary!E80</f>
        <v>765.99</v>
      </c>
      <c r="F27" s="122">
        <f>Summary!F80</f>
        <v>980.64</v>
      </c>
      <c r="G27" s="122">
        <f>Summary!G80</f>
        <v>816.78</v>
      </c>
      <c r="H27" s="122">
        <f>Summary!H80</f>
        <v>1227.49</v>
      </c>
      <c r="I27" s="122">
        <f>Summary!I80</f>
        <v>500.71</v>
      </c>
      <c r="J27" s="122">
        <f>Summary!J80</f>
        <v>502.11</v>
      </c>
      <c r="K27" s="122">
        <f>Summary!K80</f>
        <v>534.21</v>
      </c>
      <c r="L27" s="122">
        <f>Summary!L80</f>
        <v>461.84</v>
      </c>
      <c r="M27" s="122">
        <f>Summary!M80</f>
        <v>484.21</v>
      </c>
      <c r="N27" s="122">
        <f>Summary!N80</f>
        <v>452.58</v>
      </c>
      <c r="O27" s="122">
        <f>Summary!O80</f>
        <v>564.12</v>
      </c>
      <c r="P27" s="122">
        <f>Summary!P80</f>
        <v>569.65</v>
      </c>
      <c r="Q27" s="122">
        <f>Summary!Q80</f>
        <v>434.19</v>
      </c>
      <c r="R27" s="122">
        <f>Summary!R80</f>
        <v>516.99</v>
      </c>
      <c r="S27" s="122">
        <f>Summary!S80</f>
        <v>478.26</v>
      </c>
      <c r="T27" s="122">
        <f>Summary!T80</f>
        <v>495.21</v>
      </c>
      <c r="U27" s="122">
        <f>Summary!U80</f>
        <v>307.78</v>
      </c>
      <c r="V27" s="122">
        <f>Summary!V80</f>
        <v>0</v>
      </c>
      <c r="W27" s="122">
        <f>Summary!W80</f>
        <v>0</v>
      </c>
      <c r="X27" s="122">
        <f>Summary!X80</f>
        <v>0</v>
      </c>
      <c r="Y27" s="122">
        <f>Summary!Y80</f>
        <v>0</v>
      </c>
      <c r="Z27" s="122">
        <f>Summary!Z80</f>
        <v>0</v>
      </c>
      <c r="AA27" s="122">
        <f>Summary!AA80</f>
        <v>0</v>
      </c>
      <c r="AB27" s="122">
        <f>Summary!AB80</f>
        <v>0</v>
      </c>
      <c r="AC27" s="122">
        <f>Summary!AC80</f>
        <v>0</v>
      </c>
      <c r="AD27" s="122">
        <f>Summary!AD80</f>
        <v>0</v>
      </c>
      <c r="AE27" s="122">
        <f>Summary!AE80</f>
        <v>0</v>
      </c>
      <c r="AF27" s="122">
        <f>Summary!AF80</f>
        <v>0</v>
      </c>
      <c r="AG27" s="93">
        <f t="shared" si="5"/>
        <v>11844.3</v>
      </c>
    </row>
    <row r="28">
      <c r="A28" s="86" t="s">
        <v>110</v>
      </c>
      <c r="B28" s="122">
        <f>Summary!B79</f>
        <v>105.28</v>
      </c>
      <c r="C28" s="122">
        <f>Summary!C79</f>
        <v>117.67</v>
      </c>
      <c r="D28" s="122">
        <f>Summary!D79</f>
        <v>117.57</v>
      </c>
      <c r="E28" s="122">
        <f>Summary!E79</f>
        <v>127.32</v>
      </c>
      <c r="F28" s="122">
        <f>Summary!F79</f>
        <v>145.53</v>
      </c>
      <c r="G28" s="122">
        <f>Summary!G79</f>
        <v>269.27</v>
      </c>
      <c r="H28" s="122">
        <f>Summary!H79</f>
        <v>268.09</v>
      </c>
      <c r="I28" s="122">
        <f>Summary!I79</f>
        <v>316.1</v>
      </c>
      <c r="J28" s="122">
        <f>Summary!J79</f>
        <v>283.25</v>
      </c>
      <c r="K28" s="122">
        <f>Summary!K79</f>
        <v>247.89</v>
      </c>
      <c r="L28" s="122">
        <f>Summary!L79</f>
        <v>161.44</v>
      </c>
      <c r="M28" s="122">
        <f>Summary!M79</f>
        <v>184.45</v>
      </c>
      <c r="N28" s="122">
        <f>Summary!N79</f>
        <v>170.58</v>
      </c>
      <c r="O28" s="122">
        <f>Summary!O79</f>
        <v>171.85</v>
      </c>
      <c r="P28" s="122">
        <f>Summary!P79</f>
        <v>165.23</v>
      </c>
      <c r="Q28" s="122">
        <f>Summary!Q79</f>
        <v>172.85</v>
      </c>
      <c r="R28" s="122">
        <f>Summary!R79</f>
        <v>194.23</v>
      </c>
      <c r="S28" s="122">
        <f>Summary!S79</f>
        <v>163.31</v>
      </c>
      <c r="T28" s="122">
        <f>Summary!T79</f>
        <v>137.9</v>
      </c>
      <c r="U28" s="122">
        <f>Summary!U79</f>
        <v>152</v>
      </c>
      <c r="V28" s="122">
        <f>Summary!V79</f>
        <v>104.58</v>
      </c>
      <c r="W28" s="122">
        <f>Summary!W79</f>
        <v>101.58</v>
      </c>
      <c r="X28" s="122">
        <f>Summary!X79</f>
        <v>112.36</v>
      </c>
      <c r="Y28" s="122">
        <f>Summary!Y79</f>
        <v>122.06</v>
      </c>
      <c r="Z28" s="122">
        <f>Summary!Z79</f>
        <v>75.5</v>
      </c>
      <c r="AA28" s="122">
        <f>Summary!AA79</f>
        <v>90.55</v>
      </c>
      <c r="AB28" s="122">
        <f>Summary!AB79</f>
        <v>124.05</v>
      </c>
      <c r="AC28" s="122">
        <f>Summary!AC79</f>
        <v>126.92</v>
      </c>
      <c r="AD28" s="122">
        <f>Summary!AD79</f>
        <v>97.82</v>
      </c>
      <c r="AE28" s="122">
        <f>Summary!AE79</f>
        <v>85.59</v>
      </c>
      <c r="AF28" s="122">
        <f>Summary!AF79</f>
        <v>104.78</v>
      </c>
      <c r="AG28" s="93">
        <f t="shared" si="5"/>
        <v>4817.6</v>
      </c>
    </row>
    <row r="29">
      <c r="A29" s="123" t="s">
        <v>112</v>
      </c>
      <c r="B29" s="103" t="s">
        <v>113</v>
      </c>
      <c r="C29" s="103" t="s">
        <v>113</v>
      </c>
      <c r="D29" s="103" t="s">
        <v>113</v>
      </c>
      <c r="E29" s="103" t="s">
        <v>113</v>
      </c>
      <c r="F29" s="103" t="s">
        <v>113</v>
      </c>
      <c r="G29" s="103" t="s">
        <v>113</v>
      </c>
      <c r="H29" s="103" t="s">
        <v>113</v>
      </c>
      <c r="I29" s="103" t="s">
        <v>113</v>
      </c>
      <c r="J29" s="103" t="s">
        <v>113</v>
      </c>
      <c r="K29" s="103" t="s">
        <v>113</v>
      </c>
      <c r="L29" s="103" t="s">
        <v>113</v>
      </c>
      <c r="M29" s="103" t="s">
        <v>113</v>
      </c>
      <c r="N29" s="103" t="s">
        <v>113</v>
      </c>
      <c r="O29" s="103" t="s">
        <v>113</v>
      </c>
      <c r="P29" s="103" t="s">
        <v>113</v>
      </c>
      <c r="Q29" s="103" t="s">
        <v>113</v>
      </c>
      <c r="R29" s="103" t="s">
        <v>113</v>
      </c>
      <c r="S29" s="103" t="s">
        <v>113</v>
      </c>
      <c r="T29" s="103" t="s">
        <v>113</v>
      </c>
      <c r="U29" s="103" t="s">
        <v>113</v>
      </c>
      <c r="V29" s="103" t="s">
        <v>113</v>
      </c>
      <c r="W29" s="103" t="s">
        <v>113</v>
      </c>
      <c r="X29" s="103" t="s">
        <v>113</v>
      </c>
      <c r="Y29" s="103" t="s">
        <v>113</v>
      </c>
      <c r="Z29" s="103" t="s">
        <v>113</v>
      </c>
      <c r="AA29" s="103" t="s">
        <v>113</v>
      </c>
      <c r="AB29" s="103" t="s">
        <v>113</v>
      </c>
      <c r="AC29" s="103" t="s">
        <v>113</v>
      </c>
      <c r="AD29" s="103" t="s">
        <v>113</v>
      </c>
      <c r="AE29" s="103" t="s">
        <v>113</v>
      </c>
      <c r="AF29" s="103" t="s">
        <v>113</v>
      </c>
      <c r="AG29" s="93">
        <f t="shared" si="5"/>
        <v>0</v>
      </c>
    </row>
    <row r="30">
      <c r="A30" s="124" t="s">
        <v>117</v>
      </c>
      <c r="B30" s="103" t="s">
        <v>113</v>
      </c>
      <c r="C30" s="103" t="s">
        <v>113</v>
      </c>
      <c r="D30" s="103" t="s">
        <v>113</v>
      </c>
      <c r="E30" s="103" t="s">
        <v>113</v>
      </c>
      <c r="F30" s="103" t="s">
        <v>113</v>
      </c>
      <c r="G30" s="103" t="s">
        <v>113</v>
      </c>
      <c r="H30" s="103" t="s">
        <v>113</v>
      </c>
      <c r="I30" s="103" t="s">
        <v>113</v>
      </c>
      <c r="J30" s="103" t="s">
        <v>113</v>
      </c>
      <c r="K30" s="103" t="s">
        <v>113</v>
      </c>
      <c r="L30" s="103" t="s">
        <v>113</v>
      </c>
      <c r="M30" s="103" t="s">
        <v>113</v>
      </c>
      <c r="N30" s="103" t="s">
        <v>113</v>
      </c>
      <c r="O30" s="103" t="s">
        <v>113</v>
      </c>
      <c r="P30" s="103" t="s">
        <v>113</v>
      </c>
      <c r="Q30" s="103" t="s">
        <v>113</v>
      </c>
      <c r="R30" s="103" t="s">
        <v>113</v>
      </c>
      <c r="S30" s="103" t="s">
        <v>113</v>
      </c>
      <c r="T30" s="103" t="s">
        <v>113</v>
      </c>
      <c r="U30" s="103" t="s">
        <v>113</v>
      </c>
      <c r="V30" s="103" t="s">
        <v>113</v>
      </c>
      <c r="W30" s="103" t="s">
        <v>113</v>
      </c>
      <c r="X30" s="103" t="s">
        <v>113</v>
      </c>
      <c r="Y30" s="103" t="s">
        <v>113</v>
      </c>
      <c r="Z30" s="103" t="s">
        <v>113</v>
      </c>
      <c r="AA30" s="103" t="s">
        <v>113</v>
      </c>
      <c r="AB30" s="103" t="s">
        <v>113</v>
      </c>
      <c r="AC30" s="103" t="s">
        <v>113</v>
      </c>
      <c r="AD30" s="103" t="s">
        <v>113</v>
      </c>
      <c r="AE30" s="103" t="s">
        <v>113</v>
      </c>
      <c r="AF30" s="103" t="s">
        <v>113</v>
      </c>
      <c r="AG30" s="93">
        <f t="shared" si="5"/>
        <v>0</v>
      </c>
    </row>
    <row r="31">
      <c r="A31" s="105" t="s">
        <v>115</v>
      </c>
      <c r="B31" s="119">
        <f t="shared" ref="B31:AF31" si="6">SUM(B25:B30)</f>
        <v>7840.134968</v>
      </c>
      <c r="C31" s="119">
        <f t="shared" si="6"/>
        <v>9463.997738</v>
      </c>
      <c r="D31" s="119">
        <f t="shared" si="6"/>
        <v>10455.00683</v>
      </c>
      <c r="E31" s="119">
        <f t="shared" si="6"/>
        <v>11520.99126</v>
      </c>
      <c r="F31" s="119">
        <f t="shared" si="6"/>
        <v>12133.02014</v>
      </c>
      <c r="G31" s="119">
        <f t="shared" si="6"/>
        <v>13136.32557</v>
      </c>
      <c r="H31" s="119">
        <f t="shared" si="6"/>
        <v>12405.05522</v>
      </c>
      <c r="I31" s="119">
        <f t="shared" si="6"/>
        <v>9616.436442</v>
      </c>
      <c r="J31" s="119">
        <f t="shared" si="6"/>
        <v>6953.095465</v>
      </c>
      <c r="K31" s="119">
        <f t="shared" si="6"/>
        <v>7532.586281</v>
      </c>
      <c r="L31" s="119">
        <f t="shared" si="6"/>
        <v>6665.723747</v>
      </c>
      <c r="M31" s="119">
        <f t="shared" si="6"/>
        <v>5129.272308</v>
      </c>
      <c r="N31" s="119">
        <f t="shared" si="6"/>
        <v>5879.844128</v>
      </c>
      <c r="O31" s="119">
        <f t="shared" si="6"/>
        <v>6728.984812</v>
      </c>
      <c r="P31" s="119">
        <f t="shared" si="6"/>
        <v>7197.85557</v>
      </c>
      <c r="Q31" s="119">
        <f t="shared" si="6"/>
        <v>4661.41428</v>
      </c>
      <c r="R31" s="119">
        <f t="shared" si="6"/>
        <v>4126.98584</v>
      </c>
      <c r="S31" s="119">
        <f t="shared" si="6"/>
        <v>4519.723956</v>
      </c>
      <c r="T31" s="119">
        <f t="shared" si="6"/>
        <v>4006.87321</v>
      </c>
      <c r="U31" s="119">
        <f t="shared" si="6"/>
        <v>4391.19256</v>
      </c>
      <c r="V31" s="119">
        <f t="shared" si="6"/>
        <v>3653.65205</v>
      </c>
      <c r="W31" s="119">
        <f t="shared" si="6"/>
        <v>4179.61865</v>
      </c>
      <c r="X31" s="119">
        <f t="shared" si="6"/>
        <v>4564.072013</v>
      </c>
      <c r="Y31" s="119">
        <f t="shared" si="6"/>
        <v>4711.99874</v>
      </c>
      <c r="Z31" s="119">
        <f t="shared" si="6"/>
        <v>5133.020606</v>
      </c>
      <c r="AA31" s="119">
        <f t="shared" si="6"/>
        <v>4886.686607</v>
      </c>
      <c r="AB31" s="119">
        <f t="shared" si="6"/>
        <v>4842.17594</v>
      </c>
      <c r="AC31" s="119">
        <f t="shared" si="6"/>
        <v>4624.923026</v>
      </c>
      <c r="AD31" s="125">
        <f t="shared" si="6"/>
        <v>4569.077649</v>
      </c>
      <c r="AE31" s="125">
        <f t="shared" si="6"/>
        <v>4504.959172</v>
      </c>
      <c r="AF31" s="125">
        <f t="shared" si="6"/>
        <v>3713.880585</v>
      </c>
      <c r="AG31" s="93">
        <f t="shared" si="5"/>
        <v>203748.5854</v>
      </c>
    </row>
    <row r="32">
      <c r="A32" s="98"/>
      <c r="B32" s="83"/>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120"/>
    </row>
    <row r="33">
      <c r="A33" s="126"/>
      <c r="B33" s="127"/>
      <c r="C33" s="127"/>
      <c r="D33" s="127"/>
      <c r="E33" s="127"/>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8"/>
    </row>
    <row r="34">
      <c r="A34" s="129"/>
      <c r="B34" s="130"/>
      <c r="C34" s="130"/>
      <c r="D34" s="130"/>
      <c r="E34" s="130"/>
      <c r="F34" s="130"/>
      <c r="G34" s="130"/>
      <c r="H34" s="130"/>
      <c r="I34" s="130"/>
      <c r="J34" s="130"/>
      <c r="K34" s="130"/>
      <c r="L34" s="130"/>
      <c r="M34" s="130"/>
      <c r="N34" s="130"/>
      <c r="O34" s="130"/>
      <c r="P34" s="130"/>
      <c r="Q34" s="130"/>
      <c r="R34" s="130"/>
      <c r="S34" s="130"/>
      <c r="T34" s="130"/>
      <c r="U34" s="130"/>
      <c r="V34" s="130"/>
      <c r="W34" s="130"/>
      <c r="X34" s="130"/>
      <c r="Y34" s="130"/>
      <c r="Z34" s="130"/>
      <c r="AA34" s="130"/>
      <c r="AB34" s="130"/>
      <c r="AC34" s="130"/>
      <c r="AD34" s="130"/>
      <c r="AE34" s="130"/>
      <c r="AF34" s="130"/>
      <c r="AG34" s="79"/>
    </row>
    <row r="35">
      <c r="A35" s="98"/>
      <c r="B35" s="131"/>
      <c r="C35" s="131"/>
      <c r="D35" s="131"/>
      <c r="E35" s="131"/>
      <c r="F35" s="131"/>
      <c r="G35" s="131"/>
      <c r="H35" s="131"/>
      <c r="I35" s="131"/>
      <c r="J35" s="131"/>
      <c r="K35" s="131"/>
      <c r="L35" s="131"/>
      <c r="M35" s="131"/>
      <c r="N35" s="131"/>
      <c r="O35" s="131"/>
      <c r="P35" s="131"/>
      <c r="Q35" s="131"/>
      <c r="R35" s="131"/>
      <c r="S35" s="131"/>
      <c r="T35" s="131"/>
      <c r="U35" s="131"/>
      <c r="V35" s="131"/>
      <c r="W35" s="131"/>
      <c r="X35" s="131"/>
      <c r="Y35" s="131"/>
      <c r="Z35" s="131"/>
      <c r="AA35" s="131"/>
      <c r="AB35" s="131"/>
      <c r="AC35" s="131"/>
      <c r="AD35" s="131"/>
      <c r="AE35" s="131"/>
      <c r="AF35" s="131"/>
      <c r="AG35" s="79"/>
    </row>
    <row r="36">
      <c r="A36" s="132" t="s">
        <v>89</v>
      </c>
      <c r="B36" s="83"/>
      <c r="C36" s="83"/>
      <c r="D36" s="83"/>
      <c r="E36" s="83"/>
      <c r="F36" s="83"/>
      <c r="G36" s="83"/>
      <c r="H36" s="83"/>
      <c r="I36" s="83"/>
      <c r="J36" s="83"/>
      <c r="K36" s="83"/>
      <c r="L36" s="83"/>
      <c r="M36" s="83"/>
      <c r="N36" s="83"/>
      <c r="O36" s="83"/>
      <c r="P36" s="83"/>
      <c r="Q36" s="83"/>
      <c r="R36" s="83"/>
      <c r="S36" s="83"/>
      <c r="T36" s="83"/>
      <c r="U36" s="83"/>
      <c r="V36" s="83"/>
      <c r="W36" s="83"/>
      <c r="X36" s="83"/>
      <c r="Y36" s="83"/>
      <c r="Z36" s="83"/>
      <c r="AA36" s="83"/>
      <c r="AB36" s="83"/>
      <c r="AC36" s="83"/>
      <c r="AD36" s="83"/>
      <c r="AE36" s="83"/>
      <c r="AF36" s="83"/>
      <c r="AG36" s="79"/>
    </row>
    <row r="37">
      <c r="A37" s="133" t="s">
        <v>118</v>
      </c>
      <c r="B37" s="134">
        <f>Summary!B8</f>
        <v>62811.86</v>
      </c>
      <c r="C37" s="134">
        <f>Summary!C8</f>
        <v>65354.98</v>
      </c>
      <c r="D37" s="134">
        <f>Summary!D8</f>
        <v>82823.16</v>
      </c>
      <c r="E37" s="134">
        <f>Summary!E8</f>
        <v>58544.7</v>
      </c>
      <c r="F37" s="134">
        <f>Summary!F8</f>
        <v>67043.72</v>
      </c>
      <c r="G37" s="134">
        <f>Summary!G8</f>
        <v>70914.8</v>
      </c>
      <c r="H37" s="134">
        <f>Summary!H8</f>
        <v>59268.52</v>
      </c>
      <c r="I37" s="134">
        <f>Summary!I8</f>
        <v>50288.27</v>
      </c>
      <c r="J37" s="134">
        <f>Summary!J8</f>
        <v>39003.96</v>
      </c>
      <c r="K37" s="134">
        <f>Summary!K8</f>
        <v>32151.12</v>
      </c>
      <c r="L37" s="134">
        <f>Summary!L8</f>
        <v>42970.45</v>
      </c>
      <c r="M37" s="134">
        <f>Summary!M8</f>
        <v>44775.11</v>
      </c>
      <c r="N37" s="134">
        <f>Summary!N8</f>
        <v>27294.29</v>
      </c>
      <c r="O37" s="134">
        <f>Summary!O8</f>
        <v>27002.47</v>
      </c>
      <c r="P37" s="134">
        <f>Summary!P8</f>
        <v>22020.24</v>
      </c>
      <c r="Q37" s="134">
        <f>Summary!Q8</f>
        <v>18753.16</v>
      </c>
      <c r="R37" s="134">
        <f>Summary!R8</f>
        <v>26797.04</v>
      </c>
      <c r="S37" s="134">
        <f>Summary!S8</f>
        <v>27119.66</v>
      </c>
      <c r="T37" s="134">
        <f>Summary!T8</f>
        <v>22823.5</v>
      </c>
      <c r="U37" s="134">
        <f>Summary!U8</f>
        <v>24015.57</v>
      </c>
      <c r="V37" s="134">
        <f>Summary!V8</f>
        <v>24770.1</v>
      </c>
      <c r="W37" s="134">
        <f>Summary!W8</f>
        <v>20245.03</v>
      </c>
      <c r="X37" s="134">
        <f>Summary!X8</f>
        <v>17172.01</v>
      </c>
      <c r="Y37" s="134">
        <f>Summary!Y8</f>
        <v>18052.55</v>
      </c>
      <c r="Z37" s="134">
        <f>Summary!Z8</f>
        <v>18930.39</v>
      </c>
      <c r="AA37" s="134">
        <f>Summary!AA8</f>
        <v>24483.84</v>
      </c>
      <c r="AB37" s="134">
        <f>Summary!AB8</f>
        <v>21840.24</v>
      </c>
      <c r="AC37" s="134">
        <f>Summary!AC8</f>
        <v>23439.28</v>
      </c>
      <c r="AD37" s="134">
        <f>Summary!AD8</f>
        <v>20847.16</v>
      </c>
      <c r="AE37" s="134">
        <f>Summary!AE8</f>
        <v>14492.24</v>
      </c>
      <c r="AF37" s="134">
        <f>Summary!AF8</f>
        <v>21692.04</v>
      </c>
      <c r="AG37" s="93">
        <f t="shared" ref="AG37:AG38" si="8">SUM(B37:AF37)</f>
        <v>1097741.46</v>
      </c>
    </row>
    <row r="38">
      <c r="A38" s="135" t="s">
        <v>119</v>
      </c>
      <c r="B38" s="136">
        <f t="shared" ref="B38:AF38" si="7">SUM(B37)</f>
        <v>62811.86</v>
      </c>
      <c r="C38" s="136">
        <f t="shared" si="7"/>
        <v>65354.98</v>
      </c>
      <c r="D38" s="136">
        <f t="shared" si="7"/>
        <v>82823.16</v>
      </c>
      <c r="E38" s="136">
        <f t="shared" si="7"/>
        <v>58544.7</v>
      </c>
      <c r="F38" s="136">
        <f t="shared" si="7"/>
        <v>67043.72</v>
      </c>
      <c r="G38" s="136">
        <f t="shared" si="7"/>
        <v>70914.8</v>
      </c>
      <c r="H38" s="136">
        <f t="shared" si="7"/>
        <v>59268.52</v>
      </c>
      <c r="I38" s="136">
        <f t="shared" si="7"/>
        <v>50288.27</v>
      </c>
      <c r="J38" s="136">
        <f t="shared" si="7"/>
        <v>39003.96</v>
      </c>
      <c r="K38" s="136">
        <f t="shared" si="7"/>
        <v>32151.12</v>
      </c>
      <c r="L38" s="136">
        <f t="shared" si="7"/>
        <v>42970.45</v>
      </c>
      <c r="M38" s="136">
        <f t="shared" si="7"/>
        <v>44775.11</v>
      </c>
      <c r="N38" s="136">
        <f t="shared" si="7"/>
        <v>27294.29</v>
      </c>
      <c r="O38" s="136">
        <f t="shared" si="7"/>
        <v>27002.47</v>
      </c>
      <c r="P38" s="136">
        <f t="shared" si="7"/>
        <v>22020.24</v>
      </c>
      <c r="Q38" s="136">
        <f t="shared" si="7"/>
        <v>18753.16</v>
      </c>
      <c r="R38" s="136">
        <f t="shared" si="7"/>
        <v>26797.04</v>
      </c>
      <c r="S38" s="136">
        <f t="shared" si="7"/>
        <v>27119.66</v>
      </c>
      <c r="T38" s="136">
        <f t="shared" si="7"/>
        <v>22823.5</v>
      </c>
      <c r="U38" s="136">
        <f t="shared" si="7"/>
        <v>24015.57</v>
      </c>
      <c r="V38" s="136">
        <f t="shared" si="7"/>
        <v>24770.1</v>
      </c>
      <c r="W38" s="136">
        <f t="shared" si="7"/>
        <v>20245.03</v>
      </c>
      <c r="X38" s="136">
        <f t="shared" si="7"/>
        <v>17172.01</v>
      </c>
      <c r="Y38" s="136">
        <f t="shared" si="7"/>
        <v>18052.55</v>
      </c>
      <c r="Z38" s="136">
        <f t="shared" si="7"/>
        <v>18930.39</v>
      </c>
      <c r="AA38" s="136">
        <f t="shared" si="7"/>
        <v>24483.84</v>
      </c>
      <c r="AB38" s="136">
        <f t="shared" si="7"/>
        <v>21840.24</v>
      </c>
      <c r="AC38" s="136">
        <f t="shared" si="7"/>
        <v>23439.28</v>
      </c>
      <c r="AD38" s="136">
        <f t="shared" si="7"/>
        <v>20847.16</v>
      </c>
      <c r="AE38" s="136">
        <f t="shared" si="7"/>
        <v>14492.24</v>
      </c>
      <c r="AF38" s="136">
        <f t="shared" si="7"/>
        <v>21692.04</v>
      </c>
      <c r="AG38" s="93">
        <f t="shared" si="8"/>
        <v>1097741.46</v>
      </c>
    </row>
    <row r="39">
      <c r="A39" s="98"/>
      <c r="B39" s="83"/>
      <c r="C39" s="83"/>
      <c r="D39" s="83"/>
      <c r="E39" s="8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137"/>
    </row>
    <row r="40">
      <c r="A40" s="138" t="s">
        <v>96</v>
      </c>
      <c r="B40" s="83"/>
      <c r="C40" s="83"/>
      <c r="D40" s="83"/>
      <c r="E40" s="83"/>
      <c r="F40" s="83"/>
      <c r="G40" s="83"/>
      <c r="H40" s="83"/>
      <c r="I40" s="83"/>
      <c r="J40" s="83"/>
      <c r="K40" s="83"/>
      <c r="L40" s="83"/>
      <c r="M40" s="83"/>
      <c r="N40" s="83"/>
      <c r="O40" s="83"/>
      <c r="P40" s="83"/>
      <c r="Q40" s="83"/>
      <c r="R40" s="83"/>
      <c r="S40" s="83"/>
      <c r="T40" s="83"/>
      <c r="U40" s="83"/>
      <c r="V40" s="83"/>
      <c r="W40" s="83"/>
      <c r="X40" s="83"/>
      <c r="Y40" s="83"/>
      <c r="Z40" s="83"/>
      <c r="AA40" s="83"/>
      <c r="AB40" s="83"/>
      <c r="AC40" s="83"/>
      <c r="AD40" s="83"/>
      <c r="AE40" s="83"/>
      <c r="AF40" s="83"/>
      <c r="AG40" s="137"/>
    </row>
    <row r="41">
      <c r="A41" s="139" t="s">
        <v>120</v>
      </c>
      <c r="B41" s="140">
        <f>Summary!B52</f>
        <v>223</v>
      </c>
      <c r="C41" s="141">
        <f>Summary!C52</f>
        <v>236</v>
      </c>
      <c r="D41" s="141">
        <f>Summary!D52</f>
        <v>287</v>
      </c>
      <c r="E41" s="141">
        <f>Summary!E52</f>
        <v>211</v>
      </c>
      <c r="F41" s="141">
        <f>Summary!F52</f>
        <v>227</v>
      </c>
      <c r="G41" s="140">
        <f>Summary!G52</f>
        <v>252</v>
      </c>
      <c r="H41" s="140">
        <f>Summary!H52</f>
        <v>229</v>
      </c>
      <c r="I41" s="140">
        <f>Summary!I52</f>
        <v>179</v>
      </c>
      <c r="J41" s="140">
        <f>Summary!J52</f>
        <v>157</v>
      </c>
      <c r="K41" s="140">
        <f>Summary!K52</f>
        <v>128</v>
      </c>
      <c r="L41" s="140">
        <f>Summary!L52</f>
        <v>171</v>
      </c>
      <c r="M41" s="140">
        <f>Summary!M52</f>
        <v>171</v>
      </c>
      <c r="N41" s="140">
        <f>Summary!N52</f>
        <v>125</v>
      </c>
      <c r="O41" s="141">
        <f>Summary!O52</f>
        <v>116</v>
      </c>
      <c r="P41" s="141">
        <f>Summary!P52</f>
        <v>95</v>
      </c>
      <c r="Q41" s="141">
        <f>Summary!Q52</f>
        <v>89</v>
      </c>
      <c r="R41" s="141">
        <f>Summary!R52</f>
        <v>99</v>
      </c>
      <c r="S41" s="141">
        <f>Summary!S52</f>
        <v>116</v>
      </c>
      <c r="T41" s="141">
        <f>Summary!T52</f>
        <v>95</v>
      </c>
      <c r="U41" s="141">
        <f>Summary!U52</f>
        <v>98</v>
      </c>
      <c r="V41" s="141">
        <f>Summary!V52</f>
        <v>125</v>
      </c>
      <c r="W41" s="140">
        <f>Summary!W52</f>
        <v>111</v>
      </c>
      <c r="X41" s="140">
        <f>Summary!X52</f>
        <v>96</v>
      </c>
      <c r="Y41" s="140">
        <f>Summary!Y52</f>
        <v>102</v>
      </c>
      <c r="Z41" s="140">
        <f>Summary!Z52</f>
        <v>90</v>
      </c>
      <c r="AA41" s="140">
        <f>Summary!AA52</f>
        <v>104</v>
      </c>
      <c r="AB41" s="140">
        <f>Summary!AB52</f>
        <v>90</v>
      </c>
      <c r="AC41" s="140">
        <f>Summary!AC52</f>
        <v>122</v>
      </c>
      <c r="AD41" s="140">
        <f>Summary!AD52</f>
        <v>96</v>
      </c>
      <c r="AE41" s="140">
        <f>Summary!AE52</f>
        <v>65</v>
      </c>
      <c r="AF41" s="140">
        <f>Summary!AF52</f>
        <v>109</v>
      </c>
      <c r="AG41" s="93">
        <f t="shared" ref="AG41:AG42" si="10">SUM(B41:AF41)</f>
        <v>4414</v>
      </c>
    </row>
    <row r="42">
      <c r="A42" s="142" t="s">
        <v>119</v>
      </c>
      <c r="B42" s="143">
        <f t="shared" ref="B42:AF42" si="9">SUM(B41)</f>
        <v>223</v>
      </c>
      <c r="C42" s="144">
        <f t="shared" si="9"/>
        <v>236</v>
      </c>
      <c r="D42" s="144">
        <f t="shared" si="9"/>
        <v>287</v>
      </c>
      <c r="E42" s="144">
        <f t="shared" si="9"/>
        <v>211</v>
      </c>
      <c r="F42" s="144">
        <f t="shared" si="9"/>
        <v>227</v>
      </c>
      <c r="G42" s="143">
        <f t="shared" si="9"/>
        <v>252</v>
      </c>
      <c r="H42" s="143">
        <f t="shared" si="9"/>
        <v>229</v>
      </c>
      <c r="I42" s="143">
        <f t="shared" si="9"/>
        <v>179</v>
      </c>
      <c r="J42" s="143">
        <f t="shared" si="9"/>
        <v>157</v>
      </c>
      <c r="K42" s="143">
        <f t="shared" si="9"/>
        <v>128</v>
      </c>
      <c r="L42" s="143">
        <f t="shared" si="9"/>
        <v>171</v>
      </c>
      <c r="M42" s="143">
        <f t="shared" si="9"/>
        <v>171</v>
      </c>
      <c r="N42" s="143">
        <f t="shared" si="9"/>
        <v>125</v>
      </c>
      <c r="O42" s="144">
        <f t="shared" si="9"/>
        <v>116</v>
      </c>
      <c r="P42" s="144">
        <f t="shared" si="9"/>
        <v>95</v>
      </c>
      <c r="Q42" s="144">
        <f t="shared" si="9"/>
        <v>89</v>
      </c>
      <c r="R42" s="144">
        <f t="shared" si="9"/>
        <v>99</v>
      </c>
      <c r="S42" s="144">
        <f t="shared" si="9"/>
        <v>116</v>
      </c>
      <c r="T42" s="144">
        <f t="shared" si="9"/>
        <v>95</v>
      </c>
      <c r="U42" s="144">
        <f t="shared" si="9"/>
        <v>98</v>
      </c>
      <c r="V42" s="144">
        <f t="shared" si="9"/>
        <v>125</v>
      </c>
      <c r="W42" s="143">
        <f t="shared" si="9"/>
        <v>111</v>
      </c>
      <c r="X42" s="143">
        <f t="shared" si="9"/>
        <v>96</v>
      </c>
      <c r="Y42" s="143">
        <f t="shared" si="9"/>
        <v>102</v>
      </c>
      <c r="Z42" s="143">
        <f t="shared" si="9"/>
        <v>90</v>
      </c>
      <c r="AA42" s="143">
        <f t="shared" si="9"/>
        <v>104</v>
      </c>
      <c r="AB42" s="143">
        <f t="shared" si="9"/>
        <v>90</v>
      </c>
      <c r="AC42" s="143">
        <f t="shared" si="9"/>
        <v>122</v>
      </c>
      <c r="AD42" s="143">
        <f t="shared" si="9"/>
        <v>96</v>
      </c>
      <c r="AE42" s="143">
        <f t="shared" si="9"/>
        <v>65</v>
      </c>
      <c r="AF42" s="143">
        <f t="shared" si="9"/>
        <v>109</v>
      </c>
      <c r="AG42" s="93">
        <f t="shared" si="10"/>
        <v>4414</v>
      </c>
    </row>
    <row r="43">
      <c r="A43" s="98"/>
      <c r="B43" s="83"/>
      <c r="C43" s="83"/>
      <c r="D43" s="83"/>
      <c r="E43" s="83"/>
      <c r="F43" s="83"/>
      <c r="G43" s="83"/>
      <c r="H43" s="83"/>
      <c r="I43" s="83"/>
      <c r="J43" s="83"/>
      <c r="K43" s="83"/>
      <c r="L43" s="83"/>
      <c r="M43" s="83"/>
      <c r="N43" s="83"/>
      <c r="O43" s="83"/>
      <c r="P43" s="83"/>
      <c r="Q43" s="83"/>
      <c r="R43" s="83"/>
      <c r="S43" s="83"/>
      <c r="T43" s="83"/>
      <c r="U43" s="83"/>
      <c r="V43" s="83"/>
      <c r="W43" s="83"/>
      <c r="X43" s="83"/>
      <c r="Y43" s="83"/>
      <c r="Z43" s="83"/>
      <c r="AA43" s="83"/>
      <c r="AB43" s="83"/>
      <c r="AC43" s="83"/>
      <c r="AD43" s="83"/>
      <c r="AE43" s="83"/>
      <c r="AF43" s="83"/>
      <c r="AG43" s="137"/>
    </row>
    <row r="44">
      <c r="A44" s="145" t="s">
        <v>121</v>
      </c>
      <c r="B44" s="146"/>
      <c r="C44" s="146"/>
      <c r="D44" s="146"/>
      <c r="E44" s="146"/>
      <c r="F44" s="146"/>
      <c r="G44" s="146"/>
      <c r="H44" s="146"/>
      <c r="I44" s="146"/>
      <c r="J44" s="146"/>
      <c r="K44" s="146"/>
      <c r="L44" s="146"/>
      <c r="M44" s="146"/>
      <c r="N44" s="146"/>
      <c r="O44" s="146"/>
      <c r="P44" s="146"/>
      <c r="Q44" s="146"/>
      <c r="R44" s="146"/>
      <c r="S44" s="146"/>
      <c r="T44" s="146"/>
      <c r="U44" s="146"/>
      <c r="V44" s="146"/>
      <c r="W44" s="146"/>
      <c r="X44" s="146"/>
      <c r="Y44" s="146"/>
      <c r="Z44" s="146"/>
      <c r="AA44" s="146"/>
      <c r="AB44" s="146"/>
      <c r="AC44" s="146"/>
      <c r="AD44" s="146"/>
      <c r="AE44" s="146"/>
      <c r="AF44" s="146"/>
      <c r="AG44" s="137"/>
    </row>
    <row r="45">
      <c r="A45" s="147" t="s">
        <v>20</v>
      </c>
      <c r="B45" s="148">
        <f>Summary!B9</f>
        <v>47797.36</v>
      </c>
      <c r="C45" s="148">
        <f>Summary!C9</f>
        <v>49476.38</v>
      </c>
      <c r="D45" s="148">
        <f>Summary!D9</f>
        <v>63992.25</v>
      </c>
      <c r="E45" s="148">
        <f>Summary!E9</f>
        <v>44253.19</v>
      </c>
      <c r="F45" s="148">
        <f>Summary!F9</f>
        <v>51125.97</v>
      </c>
      <c r="G45" s="148">
        <f>Summary!G9</f>
        <v>54659.14</v>
      </c>
      <c r="H45" s="148">
        <f>Summary!H9</f>
        <v>43856.65</v>
      </c>
      <c r="I45" s="148">
        <f>Summary!I9</f>
        <v>38031.88</v>
      </c>
      <c r="J45" s="148">
        <f>Summary!J9</f>
        <v>29333.94</v>
      </c>
      <c r="K45" s="148">
        <f>Summary!K9</f>
        <v>24243.65</v>
      </c>
      <c r="L45" s="148">
        <f>Summary!L9</f>
        <v>31544.06</v>
      </c>
      <c r="M45" s="148">
        <f>Summary!M9</f>
        <v>32078.99</v>
      </c>
      <c r="N45" s="148">
        <f>Summary!N9</f>
        <v>18828.75</v>
      </c>
      <c r="O45" s="148">
        <f>Summary!O9</f>
        <v>19243.7</v>
      </c>
      <c r="P45" s="148">
        <f>Summary!P9</f>
        <v>16192.2</v>
      </c>
      <c r="Q45" s="148">
        <f>Summary!Q9</f>
        <v>12953.66</v>
      </c>
      <c r="R45" s="148">
        <f>Summary!R9</f>
        <v>19846.04</v>
      </c>
      <c r="S45" s="148">
        <f>Summary!S9</f>
        <v>18931.92</v>
      </c>
      <c r="T45" s="148">
        <f>Summary!T9</f>
        <v>16179.99</v>
      </c>
      <c r="U45" s="148">
        <f>Summary!U9</f>
        <v>18330.33</v>
      </c>
      <c r="V45" s="148">
        <f>Summary!V9</f>
        <v>16695.59</v>
      </c>
      <c r="W45" s="148">
        <f>Summary!W9</f>
        <v>13782.59</v>
      </c>
      <c r="X45" s="148">
        <f>Summary!X9</f>
        <v>11642.66</v>
      </c>
      <c r="Y45" s="148">
        <f>Summary!Y9</f>
        <v>12284.35</v>
      </c>
      <c r="Z45" s="148">
        <f>Summary!Z9</f>
        <v>13414.6</v>
      </c>
      <c r="AA45" s="148">
        <f>Summary!AA9</f>
        <v>18060.54</v>
      </c>
      <c r="AB45" s="148">
        <f>Summary!AB9</f>
        <v>15217.04</v>
      </c>
      <c r="AC45" s="148">
        <f>Summary!AC9</f>
        <v>16326.63</v>
      </c>
      <c r="AD45" s="148">
        <f>Summary!AD9</f>
        <v>14197.1</v>
      </c>
      <c r="AE45" s="148">
        <f>Summary!AE9</f>
        <v>10278.2</v>
      </c>
      <c r="AF45" s="148">
        <f>Summary!AF9</f>
        <v>15324.38</v>
      </c>
      <c r="AG45" s="93">
        <f t="shared" ref="AG45:AG52" si="11">SUM(B45:AF45)</f>
        <v>808123.73</v>
      </c>
    </row>
    <row r="46">
      <c r="A46" s="147" t="s">
        <v>21</v>
      </c>
      <c r="B46" s="148">
        <f>Summary!B10</f>
        <v>5577.19</v>
      </c>
      <c r="C46" s="148">
        <f>Summary!C10</f>
        <v>5828.77</v>
      </c>
      <c r="D46" s="148">
        <f>Summary!D10</f>
        <v>6458.35</v>
      </c>
      <c r="E46" s="148">
        <f>Summary!E10</f>
        <v>5301.01</v>
      </c>
      <c r="F46" s="148">
        <f>Summary!F10</f>
        <v>5914.53</v>
      </c>
      <c r="G46" s="148">
        <f>Summary!G10</f>
        <v>5703.01</v>
      </c>
      <c r="H46" s="148">
        <f>Summary!H10</f>
        <v>6361.45</v>
      </c>
      <c r="I46" s="148">
        <f>Summary!I10</f>
        <v>4574.77</v>
      </c>
      <c r="J46" s="148">
        <f>Summary!J10</f>
        <v>3713.16</v>
      </c>
      <c r="K46" s="148">
        <f>Summary!K10</f>
        <v>3054.7</v>
      </c>
      <c r="L46" s="148">
        <f>Summary!L10</f>
        <v>4757.34</v>
      </c>
      <c r="M46" s="148">
        <f>Summary!M10</f>
        <v>5749.91</v>
      </c>
      <c r="N46" s="148">
        <f>Summary!N10</f>
        <v>4300</v>
      </c>
      <c r="O46" s="148">
        <f>Summary!O10</f>
        <v>3428.6</v>
      </c>
      <c r="P46" s="148">
        <f>Summary!P10</f>
        <v>2293.75</v>
      </c>
      <c r="Q46" s="148">
        <f>Summary!Q10</f>
        <v>2847.84</v>
      </c>
      <c r="R46" s="148">
        <f>Summary!R10</f>
        <v>2894.96</v>
      </c>
      <c r="S46" s="148">
        <f>Summary!S10</f>
        <v>3970.53</v>
      </c>
      <c r="T46" s="148">
        <f>Summary!T10</f>
        <v>3155.46</v>
      </c>
      <c r="U46" s="148">
        <f>Summary!U10</f>
        <v>2061.12</v>
      </c>
      <c r="V46" s="148">
        <f>Summary!V10</f>
        <v>4009.76</v>
      </c>
      <c r="W46" s="148">
        <f>Summary!W10</f>
        <v>2898.21</v>
      </c>
      <c r="X46" s="148">
        <f>Summary!X10</f>
        <v>2606.64</v>
      </c>
      <c r="Y46" s="148">
        <f>Summary!Y10</f>
        <v>2361.25</v>
      </c>
      <c r="Z46" s="148">
        <f>Summary!Z10</f>
        <v>2242</v>
      </c>
      <c r="AA46" s="148">
        <f>Summary!AA10</f>
        <v>2671.46</v>
      </c>
      <c r="AB46" s="148">
        <f>Summary!AB10</f>
        <v>3029.86</v>
      </c>
      <c r="AC46" s="148">
        <f>Summary!AC10</f>
        <v>2790.92</v>
      </c>
      <c r="AD46" s="148">
        <f>Summary!AD10</f>
        <v>2876.05</v>
      </c>
      <c r="AE46" s="148">
        <f>Summary!AE10</f>
        <v>1825.8</v>
      </c>
      <c r="AF46" s="148">
        <f>Summary!AF10</f>
        <v>1721.47</v>
      </c>
      <c r="AG46" s="93">
        <f t="shared" si="11"/>
        <v>116979.87</v>
      </c>
    </row>
    <row r="47">
      <c r="A47" s="147" t="s">
        <v>22</v>
      </c>
      <c r="B47" s="148">
        <f>Summary!B11</f>
        <v>0</v>
      </c>
      <c r="C47" s="148">
        <f>Summary!C11</f>
        <v>0</v>
      </c>
      <c r="D47" s="148">
        <f>Summary!D11</f>
        <v>0</v>
      </c>
      <c r="E47" s="148">
        <f>Summary!E11</f>
        <v>0</v>
      </c>
      <c r="F47" s="148">
        <f>Summary!F11</f>
        <v>0</v>
      </c>
      <c r="G47" s="148">
        <f>Summary!G11</f>
        <v>0</v>
      </c>
      <c r="H47" s="148">
        <f>Summary!H11</f>
        <v>0</v>
      </c>
      <c r="I47" s="148">
        <f>Summary!I11</f>
        <v>0</v>
      </c>
      <c r="J47" s="148">
        <f>Summary!J11</f>
        <v>0</v>
      </c>
      <c r="K47" s="148">
        <f>Summary!K11</f>
        <v>29.99</v>
      </c>
      <c r="L47" s="148">
        <f>Summary!L11</f>
        <v>0</v>
      </c>
      <c r="M47" s="148">
        <f>Summary!M11</f>
        <v>99.88</v>
      </c>
      <c r="N47" s="148">
        <f>Summary!N11</f>
        <v>0</v>
      </c>
      <c r="O47" s="148">
        <f>Summary!O11</f>
        <v>0</v>
      </c>
      <c r="P47" s="148">
        <f>Summary!P11</f>
        <v>0</v>
      </c>
      <c r="Q47" s="148">
        <f>Summary!Q11</f>
        <v>0</v>
      </c>
      <c r="R47" s="148">
        <f>Summary!R11</f>
        <v>0</v>
      </c>
      <c r="S47" s="148">
        <f>Summary!S11</f>
        <v>0</v>
      </c>
      <c r="T47" s="148">
        <f>Summary!T11</f>
        <v>0</v>
      </c>
      <c r="U47" s="148">
        <f>Summary!U11</f>
        <v>0</v>
      </c>
      <c r="V47" s="148">
        <f>Summary!V11</f>
        <v>0</v>
      </c>
      <c r="W47" s="148">
        <f>Summary!W11</f>
        <v>24.99</v>
      </c>
      <c r="X47" s="148">
        <f>Summary!X11</f>
        <v>0</v>
      </c>
      <c r="Y47" s="148">
        <f>Summary!Y11</f>
        <v>0</v>
      </c>
      <c r="Z47" s="148">
        <f>Summary!Z11</f>
        <v>0</v>
      </c>
      <c r="AA47" s="148">
        <f>Summary!AA11</f>
        <v>0</v>
      </c>
      <c r="AB47" s="148">
        <f>Summary!AB11</f>
        <v>29.99</v>
      </c>
      <c r="AC47" s="148">
        <f>Summary!AC11</f>
        <v>0</v>
      </c>
      <c r="AD47" s="148">
        <f>Summary!AD11</f>
        <v>0</v>
      </c>
      <c r="AE47" s="148">
        <f>Summary!AE11</f>
        <v>0</v>
      </c>
      <c r="AF47" s="148">
        <f>Summary!AF11</f>
        <v>0</v>
      </c>
      <c r="AG47" s="93">
        <f t="shared" si="11"/>
        <v>184.85</v>
      </c>
    </row>
    <row r="48">
      <c r="A48" s="147" t="s">
        <v>23</v>
      </c>
      <c r="B48" s="148">
        <f>Summary!B12</f>
        <v>416.3</v>
      </c>
      <c r="C48" s="148">
        <f>Summary!C12</f>
        <v>497.54</v>
      </c>
      <c r="D48" s="148">
        <f>Summary!D12</f>
        <v>674.96</v>
      </c>
      <c r="E48" s="148">
        <f>Summary!E12</f>
        <v>705.99</v>
      </c>
      <c r="F48" s="148">
        <f>Summary!F12</f>
        <v>482.72</v>
      </c>
      <c r="G48" s="148">
        <f>Summary!G12</f>
        <v>433.9</v>
      </c>
      <c r="H48" s="148">
        <f>Summary!H12</f>
        <v>316.12</v>
      </c>
      <c r="I48" s="148">
        <f>Summary!I12</f>
        <v>333.64</v>
      </c>
      <c r="J48" s="148">
        <f>Summary!J12</f>
        <v>488.77</v>
      </c>
      <c r="K48" s="148">
        <f>Summary!K12</f>
        <v>260.7</v>
      </c>
      <c r="L48" s="148">
        <f>Summary!L12</f>
        <v>328.5</v>
      </c>
      <c r="M48" s="148">
        <f>Summary!M12</f>
        <v>309.32</v>
      </c>
      <c r="N48" s="148">
        <f>Summary!N12</f>
        <v>221.2</v>
      </c>
      <c r="O48" s="148">
        <f>Summary!O12</f>
        <v>255.46</v>
      </c>
      <c r="P48" s="148">
        <f>Summary!P12</f>
        <v>416.57</v>
      </c>
      <c r="Q48" s="148">
        <f>Summary!Q12</f>
        <v>216.62</v>
      </c>
      <c r="R48" s="148">
        <f>Summary!R12</f>
        <v>370.7</v>
      </c>
      <c r="S48" s="148">
        <f>Summary!S12</f>
        <v>407</v>
      </c>
      <c r="T48" s="148">
        <f>Summary!T12</f>
        <v>389.67</v>
      </c>
      <c r="U48" s="148">
        <f>Summary!U12</f>
        <v>272.1</v>
      </c>
      <c r="V48" s="148">
        <f>Summary!V12</f>
        <v>362.5</v>
      </c>
      <c r="W48" s="148">
        <f>Summary!W12</f>
        <v>648.07</v>
      </c>
      <c r="X48" s="148">
        <f>Summary!X12</f>
        <v>436.5</v>
      </c>
      <c r="Y48" s="148">
        <f>Summary!Y12</f>
        <v>905.94</v>
      </c>
      <c r="Z48" s="148">
        <f>Summary!Z12</f>
        <v>575.72</v>
      </c>
      <c r="AA48" s="148">
        <f>Summary!AA12</f>
        <v>402.54</v>
      </c>
      <c r="AB48" s="148">
        <f>Summary!AB12</f>
        <v>607.39</v>
      </c>
      <c r="AC48" s="148">
        <f>Summary!AC12</f>
        <v>999.4</v>
      </c>
      <c r="AD48" s="148">
        <f>Summary!AD12</f>
        <v>299.72</v>
      </c>
      <c r="AE48" s="148">
        <f>Summary!AE12</f>
        <v>107.6</v>
      </c>
      <c r="AF48" s="148">
        <f>Summary!AF12</f>
        <v>562.1</v>
      </c>
      <c r="AG48" s="93">
        <f t="shared" si="11"/>
        <v>13705.26</v>
      </c>
    </row>
    <row r="49">
      <c r="A49" s="147" t="s">
        <v>24</v>
      </c>
      <c r="B49" s="148">
        <f>Summary!B13</f>
        <v>479.92</v>
      </c>
      <c r="C49" s="148">
        <f>Summary!C13</f>
        <v>479.92</v>
      </c>
      <c r="D49" s="148">
        <f>Summary!D13</f>
        <v>359.94</v>
      </c>
      <c r="E49" s="148">
        <f>Summary!E13</f>
        <v>359.94</v>
      </c>
      <c r="F49" s="148">
        <f>Summary!F13</f>
        <v>239.96</v>
      </c>
      <c r="G49" s="148">
        <f>Summary!G13</f>
        <v>419.93</v>
      </c>
      <c r="H49" s="148">
        <f>Summary!H13</f>
        <v>479.92</v>
      </c>
      <c r="I49" s="148">
        <f>Summary!I13</f>
        <v>179.97</v>
      </c>
      <c r="J49" s="148">
        <f>Summary!J13</f>
        <v>59.99</v>
      </c>
      <c r="K49" s="148">
        <f>Summary!K13</f>
        <v>179.97</v>
      </c>
      <c r="L49" s="148">
        <f>Summary!L13</f>
        <v>239.96</v>
      </c>
      <c r="M49" s="148">
        <f>Summary!M13</f>
        <v>359.94</v>
      </c>
      <c r="N49" s="148">
        <f>Summary!N13</f>
        <v>119.98</v>
      </c>
      <c r="O49" s="148">
        <f>Summary!O13</f>
        <v>239.96</v>
      </c>
      <c r="P49" s="148">
        <f>Summary!P13</f>
        <v>119.98</v>
      </c>
      <c r="Q49" s="148">
        <f>Summary!Q13</f>
        <v>0</v>
      </c>
      <c r="R49" s="148">
        <f>Summary!R13</f>
        <v>0</v>
      </c>
      <c r="S49" s="148">
        <f>Summary!S13</f>
        <v>0</v>
      </c>
      <c r="T49" s="148">
        <f>Summary!T13</f>
        <v>0</v>
      </c>
      <c r="U49" s="148">
        <f>Summary!U13</f>
        <v>0</v>
      </c>
      <c r="V49" s="148">
        <f>Summary!V13</f>
        <v>0</v>
      </c>
      <c r="W49" s="148">
        <f>Summary!W13</f>
        <v>0</v>
      </c>
      <c r="X49" s="148">
        <f>Summary!X13</f>
        <v>0</v>
      </c>
      <c r="Y49" s="148">
        <f>Summary!Y13</f>
        <v>0</v>
      </c>
      <c r="Z49" s="148">
        <f>Summary!Z13</f>
        <v>0</v>
      </c>
      <c r="AA49" s="148">
        <f>Summary!AA13</f>
        <v>0</v>
      </c>
      <c r="AB49" s="148">
        <f>Summary!AB13</f>
        <v>0</v>
      </c>
      <c r="AC49" s="148">
        <f>Summary!AC13</f>
        <v>0</v>
      </c>
      <c r="AD49" s="148">
        <f>Summary!AD13</f>
        <v>619.81</v>
      </c>
      <c r="AE49" s="148">
        <f>Summary!AE13</f>
        <v>179.97</v>
      </c>
      <c r="AF49" s="148">
        <f>Summary!AF13</f>
        <v>1379.77</v>
      </c>
      <c r="AG49" s="93">
        <f t="shared" si="11"/>
        <v>6498.83</v>
      </c>
    </row>
    <row r="50">
      <c r="A50" s="147" t="s">
        <v>25</v>
      </c>
      <c r="B50" s="148">
        <f>Summary!B14</f>
        <v>3844.09</v>
      </c>
      <c r="C50" s="148">
        <f>Summary!C14</f>
        <v>4055.37</v>
      </c>
      <c r="D50" s="148">
        <f>Summary!D14</f>
        <v>5095.66</v>
      </c>
      <c r="E50" s="148">
        <f>Summary!E14</f>
        <v>3519.57</v>
      </c>
      <c r="F50" s="148">
        <f>Summary!F14</f>
        <v>4250.54</v>
      </c>
      <c r="G50" s="148">
        <f>Summary!G14</f>
        <v>4119.82</v>
      </c>
      <c r="H50" s="148">
        <f>Summary!H14</f>
        <v>3542.38</v>
      </c>
      <c r="I50" s="148">
        <f>Summary!I14</f>
        <v>3223.01</v>
      </c>
      <c r="J50" s="148">
        <f>Summary!J14</f>
        <v>2318.1</v>
      </c>
      <c r="K50" s="148">
        <f>Summary!K14</f>
        <v>1842.11</v>
      </c>
      <c r="L50" s="148">
        <f>Summary!L14</f>
        <v>2660.59</v>
      </c>
      <c r="M50" s="148">
        <f>Summary!M14</f>
        <v>2614.07</v>
      </c>
      <c r="N50" s="148">
        <f>Summary!N14</f>
        <v>1534.36</v>
      </c>
      <c r="O50" s="148">
        <f>Summary!O14</f>
        <v>1704.75</v>
      </c>
      <c r="P50" s="148">
        <f>Summary!P14</f>
        <v>1277.74</v>
      </c>
      <c r="Q50" s="148">
        <f>Summary!Q14</f>
        <v>1185.04</v>
      </c>
      <c r="R50" s="148">
        <f>Summary!R14</f>
        <v>1685.34</v>
      </c>
      <c r="S50" s="148">
        <f>Summary!S14</f>
        <v>1708.21</v>
      </c>
      <c r="T50" s="148">
        <f>Summary!T14</f>
        <v>1323.38</v>
      </c>
      <c r="U50" s="148">
        <f>Summary!U14</f>
        <v>1467.02</v>
      </c>
      <c r="V50" s="148">
        <f>Summary!V14</f>
        <v>1525.25</v>
      </c>
      <c r="W50" s="148">
        <f>Summary!W14</f>
        <v>1246.17</v>
      </c>
      <c r="X50" s="148">
        <f>Summary!X14</f>
        <v>1096.21</v>
      </c>
      <c r="Y50" s="148">
        <f>Summary!Y14</f>
        <v>1086.01</v>
      </c>
      <c r="Z50" s="148">
        <f>Summary!Z14</f>
        <v>1213.07</v>
      </c>
      <c r="AA50" s="148">
        <f>Summary!AA14</f>
        <v>1459.3</v>
      </c>
      <c r="AB50" s="148">
        <f>Summary!AB14</f>
        <v>1260.96</v>
      </c>
      <c r="AC50" s="148">
        <f>Summary!AC14</f>
        <v>1450.33</v>
      </c>
      <c r="AD50" s="148">
        <f>Summary!AD14</f>
        <v>1257.48</v>
      </c>
      <c r="AE50" s="148">
        <f>Summary!AE14</f>
        <v>915.67</v>
      </c>
      <c r="AF50" s="148">
        <f>Summary!AF14</f>
        <v>1194.32</v>
      </c>
      <c r="AG50" s="93">
        <f t="shared" si="11"/>
        <v>66675.92</v>
      </c>
    </row>
    <row r="51">
      <c r="A51" s="147" t="s">
        <v>26</v>
      </c>
      <c r="B51" s="148">
        <f>Summary!B15</f>
        <v>4697</v>
      </c>
      <c r="C51" s="148">
        <f>Summary!C15</f>
        <v>5017</v>
      </c>
      <c r="D51" s="148">
        <f>Summary!D15</f>
        <v>6242</v>
      </c>
      <c r="E51" s="148">
        <f>Summary!E15</f>
        <v>4405</v>
      </c>
      <c r="F51" s="148">
        <f>Summary!F15</f>
        <v>5030</v>
      </c>
      <c r="G51" s="148">
        <f>Summary!G15</f>
        <v>5579</v>
      </c>
      <c r="H51" s="148">
        <f>Summary!H15</f>
        <v>4712</v>
      </c>
      <c r="I51" s="148">
        <f>Summary!I15</f>
        <v>3945</v>
      </c>
      <c r="J51" s="148">
        <f>Summary!J15</f>
        <v>3090</v>
      </c>
      <c r="K51" s="148">
        <f>Summary!K15</f>
        <v>2540</v>
      </c>
      <c r="L51" s="148">
        <f>Summary!L15</f>
        <v>3440</v>
      </c>
      <c r="M51" s="148">
        <f>Summary!M15</f>
        <v>3563</v>
      </c>
      <c r="N51" s="148">
        <f>Summary!N15</f>
        <v>2290</v>
      </c>
      <c r="O51" s="148">
        <f>Summary!O15</f>
        <v>2130</v>
      </c>
      <c r="P51" s="148">
        <f>Summary!P15</f>
        <v>1720</v>
      </c>
      <c r="Q51" s="148">
        <f>Summary!Q15</f>
        <v>1550</v>
      </c>
      <c r="R51" s="148">
        <f>Summary!R15</f>
        <v>2000</v>
      </c>
      <c r="S51" s="148">
        <f>Summary!S15</f>
        <v>2102</v>
      </c>
      <c r="T51" s="148">
        <f>Summary!T15</f>
        <v>1775</v>
      </c>
      <c r="U51" s="148">
        <f>Summary!U15</f>
        <v>1885</v>
      </c>
      <c r="V51" s="148">
        <f>Summary!V15</f>
        <v>2177</v>
      </c>
      <c r="W51" s="148">
        <f>Summary!W15</f>
        <v>1645</v>
      </c>
      <c r="X51" s="148">
        <f>Summary!X15</f>
        <v>1390</v>
      </c>
      <c r="Y51" s="148">
        <f>Summary!Y15</f>
        <v>1415</v>
      </c>
      <c r="Z51" s="148">
        <f>Summary!Z15</f>
        <v>1485</v>
      </c>
      <c r="AA51" s="148">
        <f>Summary!AA15</f>
        <v>1890</v>
      </c>
      <c r="AB51" s="148">
        <f>Summary!AB15</f>
        <v>1695</v>
      </c>
      <c r="AC51" s="148">
        <f>Summary!AC15</f>
        <v>1872</v>
      </c>
      <c r="AD51" s="148">
        <f>Summary!AD15</f>
        <v>1597</v>
      </c>
      <c r="AE51" s="148">
        <f>Summary!AE15</f>
        <v>1185</v>
      </c>
      <c r="AF51" s="148">
        <f>Summary!AF15</f>
        <v>1510</v>
      </c>
      <c r="AG51" s="93">
        <f t="shared" si="11"/>
        <v>85573</v>
      </c>
    </row>
    <row r="52">
      <c r="A52" s="149" t="s">
        <v>119</v>
      </c>
      <c r="B52" s="150">
        <f t="shared" ref="B52:AF52" si="12">SUM(B45:B51)</f>
        <v>62811.86</v>
      </c>
      <c r="C52" s="150">
        <f t="shared" si="12"/>
        <v>65354.98</v>
      </c>
      <c r="D52" s="150">
        <f t="shared" si="12"/>
        <v>82823.16</v>
      </c>
      <c r="E52" s="150">
        <f t="shared" si="12"/>
        <v>58544.7</v>
      </c>
      <c r="F52" s="150">
        <f t="shared" si="12"/>
        <v>67043.72</v>
      </c>
      <c r="G52" s="150">
        <f t="shared" si="12"/>
        <v>70914.8</v>
      </c>
      <c r="H52" s="150">
        <f t="shared" si="12"/>
        <v>59268.52</v>
      </c>
      <c r="I52" s="150">
        <f t="shared" si="12"/>
        <v>50288.27</v>
      </c>
      <c r="J52" s="150">
        <f t="shared" si="12"/>
        <v>39003.96</v>
      </c>
      <c r="K52" s="150">
        <f t="shared" si="12"/>
        <v>32151.12</v>
      </c>
      <c r="L52" s="150">
        <f t="shared" si="12"/>
        <v>42970.45</v>
      </c>
      <c r="M52" s="150">
        <f t="shared" si="12"/>
        <v>44775.11</v>
      </c>
      <c r="N52" s="150">
        <f t="shared" si="12"/>
        <v>27294.29</v>
      </c>
      <c r="O52" s="150">
        <f t="shared" si="12"/>
        <v>27002.47</v>
      </c>
      <c r="P52" s="150">
        <f t="shared" si="12"/>
        <v>22020.24</v>
      </c>
      <c r="Q52" s="150">
        <f t="shared" si="12"/>
        <v>18753.16</v>
      </c>
      <c r="R52" s="150">
        <f t="shared" si="12"/>
        <v>26797.04</v>
      </c>
      <c r="S52" s="150">
        <f t="shared" si="12"/>
        <v>27119.66</v>
      </c>
      <c r="T52" s="150">
        <f t="shared" si="12"/>
        <v>22823.5</v>
      </c>
      <c r="U52" s="150">
        <f t="shared" si="12"/>
        <v>24015.57</v>
      </c>
      <c r="V52" s="150">
        <f t="shared" si="12"/>
        <v>24770.1</v>
      </c>
      <c r="W52" s="150">
        <f t="shared" si="12"/>
        <v>20245.03</v>
      </c>
      <c r="X52" s="150">
        <f t="shared" si="12"/>
        <v>17172.01</v>
      </c>
      <c r="Y52" s="150">
        <f t="shared" si="12"/>
        <v>18052.55</v>
      </c>
      <c r="Z52" s="150">
        <f t="shared" si="12"/>
        <v>18930.39</v>
      </c>
      <c r="AA52" s="150">
        <f t="shared" si="12"/>
        <v>24483.84</v>
      </c>
      <c r="AB52" s="150">
        <f t="shared" si="12"/>
        <v>21840.24</v>
      </c>
      <c r="AC52" s="150">
        <f t="shared" si="12"/>
        <v>23439.28</v>
      </c>
      <c r="AD52" s="150">
        <f t="shared" si="12"/>
        <v>20847.16</v>
      </c>
      <c r="AE52" s="150">
        <f t="shared" si="12"/>
        <v>14492.24</v>
      </c>
      <c r="AF52" s="150">
        <f t="shared" si="12"/>
        <v>21692.04</v>
      </c>
      <c r="AG52" s="93">
        <f t="shared" si="11"/>
        <v>1097741.46</v>
      </c>
    </row>
    <row r="53">
      <c r="A53" s="98"/>
      <c r="B53" s="83"/>
      <c r="C53" s="83"/>
      <c r="D53" s="83"/>
      <c r="E53" s="83"/>
      <c r="F53" s="83"/>
      <c r="G53" s="83"/>
      <c r="H53" s="83"/>
      <c r="I53" s="83"/>
      <c r="J53" s="83"/>
      <c r="K53" s="83"/>
      <c r="L53" s="83"/>
      <c r="M53" s="83"/>
      <c r="N53" s="83"/>
      <c r="O53" s="83"/>
      <c r="P53" s="83"/>
      <c r="Q53" s="83"/>
      <c r="R53" s="83"/>
      <c r="S53" s="83"/>
      <c r="T53" s="83"/>
      <c r="U53" s="83"/>
      <c r="V53" s="83"/>
      <c r="W53" s="83"/>
      <c r="X53" s="83"/>
      <c r="Y53" s="83"/>
      <c r="Z53" s="83"/>
      <c r="AA53" s="83"/>
      <c r="AB53" s="83"/>
      <c r="AC53" s="83"/>
      <c r="AD53" s="83"/>
      <c r="AE53" s="83"/>
      <c r="AF53" s="83"/>
      <c r="AG53" s="137"/>
    </row>
    <row r="54">
      <c r="A54" s="145" t="s">
        <v>122</v>
      </c>
      <c r="B54" s="151"/>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c r="AA54" s="146"/>
      <c r="AB54" s="146"/>
      <c r="AC54" s="146"/>
      <c r="AD54" s="146"/>
      <c r="AE54" s="146"/>
      <c r="AF54" s="146"/>
      <c r="AG54" s="152"/>
    </row>
    <row r="55">
      <c r="A55" s="153" t="s">
        <v>123</v>
      </c>
      <c r="B55" s="154">
        <v>34.0</v>
      </c>
      <c r="C55" s="155">
        <v>41.0</v>
      </c>
      <c r="D55" s="155">
        <v>38.0</v>
      </c>
      <c r="E55" s="155">
        <v>41.0</v>
      </c>
      <c r="F55" s="154">
        <v>39.0</v>
      </c>
      <c r="G55" s="155">
        <v>69.0</v>
      </c>
      <c r="H55" s="155">
        <v>52.0</v>
      </c>
      <c r="I55" s="141">
        <v>33.0</v>
      </c>
      <c r="J55" s="141">
        <v>24.0</v>
      </c>
      <c r="K55" s="141">
        <v>22.0</v>
      </c>
      <c r="L55" s="141">
        <v>25.0</v>
      </c>
      <c r="M55" s="141">
        <v>29.0</v>
      </c>
      <c r="N55" s="141">
        <v>15.0</v>
      </c>
      <c r="O55" s="140">
        <v>19.0</v>
      </c>
      <c r="P55" s="141">
        <v>11.0</v>
      </c>
      <c r="Q55" s="141">
        <v>9.0</v>
      </c>
      <c r="R55" s="141">
        <v>7.0</v>
      </c>
      <c r="S55" s="84">
        <v>13.0</v>
      </c>
      <c r="T55" s="141">
        <v>13.0</v>
      </c>
      <c r="U55" s="84">
        <v>12.0</v>
      </c>
      <c r="V55" s="84">
        <v>20.0</v>
      </c>
      <c r="W55" s="84">
        <v>8.0</v>
      </c>
      <c r="X55" s="84">
        <v>6.0</v>
      </c>
      <c r="Y55" s="84">
        <v>8.0</v>
      </c>
      <c r="Z55" s="156">
        <v>7.0</v>
      </c>
      <c r="AA55" s="141">
        <v>12.0</v>
      </c>
      <c r="AB55" s="84">
        <v>14.0</v>
      </c>
      <c r="AC55" s="156">
        <v>12.0</v>
      </c>
      <c r="AD55" s="156">
        <v>11.0</v>
      </c>
      <c r="AE55" s="156">
        <v>10.0</v>
      </c>
      <c r="AF55" s="156">
        <v>12.0</v>
      </c>
      <c r="AG55" s="152">
        <f t="shared" ref="AG55:AG59" si="13">SUM(B55:AF55)</f>
        <v>666</v>
      </c>
    </row>
    <row r="56">
      <c r="A56" s="153" t="s">
        <v>124</v>
      </c>
      <c r="B56" s="154">
        <v>0.0</v>
      </c>
      <c r="C56" s="154">
        <v>0.0</v>
      </c>
      <c r="D56" s="154">
        <v>0.0</v>
      </c>
      <c r="E56" s="154">
        <v>0.0</v>
      </c>
      <c r="F56" s="154">
        <v>0.0</v>
      </c>
      <c r="G56" s="155">
        <v>0.0</v>
      </c>
      <c r="H56" s="141">
        <v>0.0</v>
      </c>
      <c r="I56" s="141">
        <v>0.0</v>
      </c>
      <c r="J56" s="141">
        <v>0.0</v>
      </c>
      <c r="K56" s="141">
        <v>0.0</v>
      </c>
      <c r="L56" s="141">
        <v>0.0</v>
      </c>
      <c r="M56" s="141">
        <v>0.0</v>
      </c>
      <c r="N56" s="141">
        <v>0.0</v>
      </c>
      <c r="O56" s="140">
        <v>0.0</v>
      </c>
      <c r="P56" s="141">
        <v>0.0</v>
      </c>
      <c r="Q56" s="141">
        <v>0.0</v>
      </c>
      <c r="R56" s="141">
        <v>0.0</v>
      </c>
      <c r="S56" s="84">
        <v>0.0</v>
      </c>
      <c r="T56" s="141">
        <v>0.0</v>
      </c>
      <c r="U56" s="84">
        <v>0.0</v>
      </c>
      <c r="V56" s="84">
        <v>0.0</v>
      </c>
      <c r="W56" s="84">
        <v>0.0</v>
      </c>
      <c r="X56" s="84">
        <v>0.0</v>
      </c>
      <c r="Y56" s="84">
        <v>0.0</v>
      </c>
      <c r="Z56" s="156">
        <v>0.0</v>
      </c>
      <c r="AA56" s="141">
        <v>0.0</v>
      </c>
      <c r="AB56" s="84">
        <v>0.0</v>
      </c>
      <c r="AC56" s="156">
        <v>0.0</v>
      </c>
      <c r="AD56" s="156">
        <v>0.0</v>
      </c>
      <c r="AE56" s="156">
        <v>0.0</v>
      </c>
      <c r="AF56" s="156">
        <v>0.0</v>
      </c>
      <c r="AG56" s="152">
        <f t="shared" si="13"/>
        <v>0</v>
      </c>
    </row>
    <row r="57">
      <c r="A57" s="153" t="s">
        <v>125</v>
      </c>
      <c r="B57" s="155">
        <v>125.0</v>
      </c>
      <c r="C57" s="155">
        <v>121.0</v>
      </c>
      <c r="D57" s="155">
        <v>173.0</v>
      </c>
      <c r="E57" s="155">
        <v>106.0</v>
      </c>
      <c r="F57" s="155">
        <v>117.0</v>
      </c>
      <c r="G57" s="155">
        <v>117.0</v>
      </c>
      <c r="H57" s="155">
        <v>98.0</v>
      </c>
      <c r="I57" s="141">
        <v>92.0</v>
      </c>
      <c r="J57" s="141">
        <v>64.0</v>
      </c>
      <c r="K57" s="141">
        <v>55.0</v>
      </c>
      <c r="L57" s="141">
        <v>60.0</v>
      </c>
      <c r="M57" s="141">
        <v>54.0</v>
      </c>
      <c r="N57" s="141">
        <v>42.0</v>
      </c>
      <c r="O57" s="140">
        <v>34.0</v>
      </c>
      <c r="P57" s="141">
        <v>38.0</v>
      </c>
      <c r="Q57" s="141">
        <v>28.0</v>
      </c>
      <c r="R57" s="141">
        <v>50.0</v>
      </c>
      <c r="S57" s="84">
        <v>38.0</v>
      </c>
      <c r="T57" s="141">
        <v>36.0</v>
      </c>
      <c r="U57" s="84">
        <v>46.0</v>
      </c>
      <c r="V57" s="84">
        <v>30.0</v>
      </c>
      <c r="W57" s="84">
        <v>29.0</v>
      </c>
      <c r="X57" s="84">
        <v>25.0</v>
      </c>
      <c r="Y57" s="84">
        <v>26.0</v>
      </c>
      <c r="Z57" s="157">
        <v>21.0</v>
      </c>
      <c r="AA57" s="141">
        <v>37.0</v>
      </c>
      <c r="AB57" s="84">
        <v>29.0</v>
      </c>
      <c r="AC57" s="84">
        <v>35.0</v>
      </c>
      <c r="AD57" s="84">
        <v>32.0</v>
      </c>
      <c r="AE57" s="84">
        <v>20.0</v>
      </c>
      <c r="AF57" s="84">
        <v>34.0</v>
      </c>
      <c r="AG57" s="152">
        <f t="shared" si="13"/>
        <v>1812</v>
      </c>
    </row>
    <row r="58">
      <c r="A58" s="153" t="s">
        <v>126</v>
      </c>
      <c r="B58" s="154">
        <v>0.0</v>
      </c>
      <c r="C58" s="154">
        <v>0.0</v>
      </c>
      <c r="D58" s="154">
        <v>0.0</v>
      </c>
      <c r="E58" s="154">
        <v>0.0</v>
      </c>
      <c r="F58" s="154">
        <v>0.0</v>
      </c>
      <c r="G58" s="155">
        <v>0.0</v>
      </c>
      <c r="H58" s="155">
        <v>0.0</v>
      </c>
      <c r="I58" s="141">
        <v>0.0</v>
      </c>
      <c r="J58" s="141">
        <v>0.0</v>
      </c>
      <c r="K58" s="141">
        <v>0.0</v>
      </c>
      <c r="L58" s="141">
        <v>0.0</v>
      </c>
      <c r="M58" s="140">
        <v>0.0</v>
      </c>
      <c r="N58" s="141">
        <v>0.0</v>
      </c>
      <c r="O58" s="140">
        <v>0.0</v>
      </c>
      <c r="P58" s="141">
        <v>0.0</v>
      </c>
      <c r="Q58" s="141">
        <v>0.0</v>
      </c>
      <c r="R58" s="141">
        <v>0.0</v>
      </c>
      <c r="S58" s="84">
        <v>0.0</v>
      </c>
      <c r="T58" s="141">
        <v>0.0</v>
      </c>
      <c r="U58" s="84">
        <v>0.0</v>
      </c>
      <c r="V58" s="84">
        <v>0.0</v>
      </c>
      <c r="W58" s="84">
        <v>0.0</v>
      </c>
      <c r="X58" s="84">
        <v>0.0</v>
      </c>
      <c r="Y58" s="84">
        <v>0.0</v>
      </c>
      <c r="Z58" s="157">
        <v>0.0</v>
      </c>
      <c r="AA58" s="141">
        <v>0.0</v>
      </c>
      <c r="AB58" s="84">
        <v>0.0</v>
      </c>
      <c r="AC58" s="84">
        <v>0.0</v>
      </c>
      <c r="AD58" s="84">
        <v>0.0</v>
      </c>
      <c r="AE58" s="84">
        <v>0.0</v>
      </c>
      <c r="AF58" s="84">
        <v>0.0</v>
      </c>
      <c r="AG58" s="152">
        <f t="shared" si="13"/>
        <v>0</v>
      </c>
    </row>
    <row r="59">
      <c r="A59" s="158" t="s">
        <v>127</v>
      </c>
      <c r="B59" s="159">
        <f t="shared" ref="B59:AF59" si="14">SUM(B55:B58)</f>
        <v>159</v>
      </c>
      <c r="C59" s="159">
        <f t="shared" si="14"/>
        <v>162</v>
      </c>
      <c r="D59" s="159">
        <f t="shared" si="14"/>
        <v>211</v>
      </c>
      <c r="E59" s="159">
        <f t="shared" si="14"/>
        <v>147</v>
      </c>
      <c r="F59" s="159">
        <f t="shared" si="14"/>
        <v>156</v>
      </c>
      <c r="G59" s="159">
        <f t="shared" si="14"/>
        <v>186</v>
      </c>
      <c r="H59" s="159">
        <f t="shared" si="14"/>
        <v>150</v>
      </c>
      <c r="I59" s="159">
        <f t="shared" si="14"/>
        <v>125</v>
      </c>
      <c r="J59" s="159">
        <f t="shared" si="14"/>
        <v>88</v>
      </c>
      <c r="K59" s="159">
        <f t="shared" si="14"/>
        <v>77</v>
      </c>
      <c r="L59" s="159">
        <f t="shared" si="14"/>
        <v>85</v>
      </c>
      <c r="M59" s="159">
        <f t="shared" si="14"/>
        <v>83</v>
      </c>
      <c r="N59" s="159">
        <f t="shared" si="14"/>
        <v>57</v>
      </c>
      <c r="O59" s="159">
        <f t="shared" si="14"/>
        <v>53</v>
      </c>
      <c r="P59" s="159">
        <f t="shared" si="14"/>
        <v>49</v>
      </c>
      <c r="Q59" s="159">
        <f t="shared" si="14"/>
        <v>37</v>
      </c>
      <c r="R59" s="159">
        <f t="shared" si="14"/>
        <v>57</v>
      </c>
      <c r="S59" s="159">
        <f t="shared" si="14"/>
        <v>51</v>
      </c>
      <c r="T59" s="159">
        <f t="shared" si="14"/>
        <v>49</v>
      </c>
      <c r="U59" s="159">
        <f t="shared" si="14"/>
        <v>58</v>
      </c>
      <c r="V59" s="159">
        <f t="shared" si="14"/>
        <v>50</v>
      </c>
      <c r="W59" s="159">
        <f t="shared" si="14"/>
        <v>37</v>
      </c>
      <c r="X59" s="159">
        <f t="shared" si="14"/>
        <v>31</v>
      </c>
      <c r="Y59" s="159">
        <f t="shared" si="14"/>
        <v>34</v>
      </c>
      <c r="Z59" s="159">
        <f t="shared" si="14"/>
        <v>28</v>
      </c>
      <c r="AA59" s="159">
        <f t="shared" si="14"/>
        <v>49</v>
      </c>
      <c r="AB59" s="159">
        <f t="shared" si="14"/>
        <v>43</v>
      </c>
      <c r="AC59" s="159">
        <f t="shared" si="14"/>
        <v>47</v>
      </c>
      <c r="AD59" s="159">
        <f t="shared" si="14"/>
        <v>43</v>
      </c>
      <c r="AE59" s="159">
        <f t="shared" si="14"/>
        <v>30</v>
      </c>
      <c r="AF59" s="159">
        <f t="shared" si="14"/>
        <v>46</v>
      </c>
      <c r="AG59" s="152">
        <f t="shared" si="13"/>
        <v>2478</v>
      </c>
    </row>
    <row r="60">
      <c r="A60" s="105"/>
      <c r="B60" s="106"/>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52"/>
    </row>
    <row r="61">
      <c r="A61" s="153" t="s">
        <v>128</v>
      </c>
      <c r="B61" s="160">
        <v>1.0</v>
      </c>
      <c r="C61" s="160">
        <v>3.0</v>
      </c>
      <c r="D61" s="160">
        <v>3.0</v>
      </c>
      <c r="E61" s="160">
        <v>6.0</v>
      </c>
      <c r="F61" s="160">
        <v>8.0</v>
      </c>
      <c r="G61" s="160">
        <v>5.0</v>
      </c>
      <c r="H61" s="160">
        <v>6.0</v>
      </c>
      <c r="I61" s="160">
        <v>5.0</v>
      </c>
      <c r="J61" s="84">
        <v>7.0</v>
      </c>
      <c r="K61" s="84">
        <v>4.0</v>
      </c>
      <c r="L61" s="84">
        <v>11.0</v>
      </c>
      <c r="M61" s="84">
        <v>9.0</v>
      </c>
      <c r="N61" s="84">
        <v>1.0</v>
      </c>
      <c r="O61" s="84">
        <v>3.0</v>
      </c>
      <c r="P61" s="84">
        <v>6.0</v>
      </c>
      <c r="Q61" s="84">
        <v>3.0</v>
      </c>
      <c r="R61" s="84">
        <v>3.0</v>
      </c>
      <c r="S61" s="84">
        <v>2.0</v>
      </c>
      <c r="T61" s="84">
        <v>2.0</v>
      </c>
      <c r="U61" s="84">
        <v>1.0</v>
      </c>
      <c r="V61" s="84">
        <v>3.0</v>
      </c>
      <c r="W61" s="84">
        <v>5.0</v>
      </c>
      <c r="X61" s="84">
        <v>2.0</v>
      </c>
      <c r="Y61" s="84">
        <v>1.0</v>
      </c>
      <c r="Z61" s="84">
        <v>4.0</v>
      </c>
      <c r="AA61" s="84">
        <v>4.0</v>
      </c>
      <c r="AB61" s="84">
        <v>2.0</v>
      </c>
      <c r="AC61" s="84">
        <v>5.0</v>
      </c>
      <c r="AD61" s="161">
        <v>1.0</v>
      </c>
      <c r="AE61" s="161">
        <v>2.0</v>
      </c>
      <c r="AF61" s="161">
        <v>1.0</v>
      </c>
      <c r="AG61" s="152">
        <f t="shared" ref="AG61:AG63" si="15">SUM(B61:AF61)</f>
        <v>119</v>
      </c>
    </row>
    <row r="62">
      <c r="A62" s="153" t="s">
        <v>129</v>
      </c>
      <c r="B62" s="160">
        <v>10.0</v>
      </c>
      <c r="C62" s="160">
        <v>12.0</v>
      </c>
      <c r="D62" s="160">
        <v>13.0</v>
      </c>
      <c r="E62" s="160">
        <v>8.0</v>
      </c>
      <c r="F62" s="160">
        <v>17.0</v>
      </c>
      <c r="G62" s="160">
        <v>10.0</v>
      </c>
      <c r="H62" s="160">
        <v>5.0</v>
      </c>
      <c r="I62" s="160">
        <v>7.0</v>
      </c>
      <c r="J62" s="84">
        <v>9.0</v>
      </c>
      <c r="K62" s="84">
        <v>6.0</v>
      </c>
      <c r="L62" s="84">
        <v>14.0</v>
      </c>
      <c r="M62" s="84">
        <v>21.0</v>
      </c>
      <c r="N62" s="84">
        <v>8.0</v>
      </c>
      <c r="O62" s="84">
        <v>12.0</v>
      </c>
      <c r="P62" s="84">
        <v>3.0</v>
      </c>
      <c r="Q62" s="84">
        <v>6.0</v>
      </c>
      <c r="R62" s="84">
        <v>8.0</v>
      </c>
      <c r="S62" s="84">
        <v>12.0</v>
      </c>
      <c r="T62" s="84">
        <v>6.0</v>
      </c>
      <c r="U62" s="84">
        <v>6.0</v>
      </c>
      <c r="V62" s="84">
        <v>7.0</v>
      </c>
      <c r="W62" s="84">
        <v>6.0</v>
      </c>
      <c r="X62" s="84">
        <v>7.0</v>
      </c>
      <c r="Y62" s="84">
        <v>8.0</v>
      </c>
      <c r="Z62" s="84">
        <v>12.0</v>
      </c>
      <c r="AA62" s="84">
        <v>10.0</v>
      </c>
      <c r="AB62" s="84">
        <v>7.0</v>
      </c>
      <c r="AC62" s="84">
        <v>6.0</v>
      </c>
      <c r="AD62" s="161">
        <v>6.0</v>
      </c>
      <c r="AE62" s="161">
        <v>5.0</v>
      </c>
      <c r="AF62" s="161">
        <v>7.0</v>
      </c>
      <c r="AG62" s="152">
        <f t="shared" si="15"/>
        <v>274</v>
      </c>
    </row>
    <row r="63">
      <c r="A63" s="158" t="s">
        <v>130</v>
      </c>
      <c r="B63" s="159">
        <f t="shared" ref="B63:AF63" si="16">SUM(B61:B62)</f>
        <v>11</v>
      </c>
      <c r="C63" s="159">
        <f t="shared" si="16"/>
        <v>15</v>
      </c>
      <c r="D63" s="159">
        <f t="shared" si="16"/>
        <v>16</v>
      </c>
      <c r="E63" s="159">
        <f t="shared" si="16"/>
        <v>14</v>
      </c>
      <c r="F63" s="159">
        <f t="shared" si="16"/>
        <v>25</v>
      </c>
      <c r="G63" s="159">
        <f t="shared" si="16"/>
        <v>15</v>
      </c>
      <c r="H63" s="159">
        <f t="shared" si="16"/>
        <v>11</v>
      </c>
      <c r="I63" s="159">
        <f t="shared" si="16"/>
        <v>12</v>
      </c>
      <c r="J63" s="159">
        <f t="shared" si="16"/>
        <v>16</v>
      </c>
      <c r="K63" s="159">
        <f t="shared" si="16"/>
        <v>10</v>
      </c>
      <c r="L63" s="159">
        <f t="shared" si="16"/>
        <v>25</v>
      </c>
      <c r="M63" s="159">
        <f t="shared" si="16"/>
        <v>30</v>
      </c>
      <c r="N63" s="159">
        <f t="shared" si="16"/>
        <v>9</v>
      </c>
      <c r="O63" s="159">
        <f t="shared" si="16"/>
        <v>15</v>
      </c>
      <c r="P63" s="159">
        <f t="shared" si="16"/>
        <v>9</v>
      </c>
      <c r="Q63" s="159">
        <f t="shared" si="16"/>
        <v>9</v>
      </c>
      <c r="R63" s="159">
        <f t="shared" si="16"/>
        <v>11</v>
      </c>
      <c r="S63" s="159">
        <f t="shared" si="16"/>
        <v>14</v>
      </c>
      <c r="T63" s="159">
        <f t="shared" si="16"/>
        <v>8</v>
      </c>
      <c r="U63" s="159">
        <f t="shared" si="16"/>
        <v>7</v>
      </c>
      <c r="V63" s="159">
        <f t="shared" si="16"/>
        <v>10</v>
      </c>
      <c r="W63" s="159">
        <f t="shared" si="16"/>
        <v>11</v>
      </c>
      <c r="X63" s="159">
        <f t="shared" si="16"/>
        <v>9</v>
      </c>
      <c r="Y63" s="159">
        <f t="shared" si="16"/>
        <v>9</v>
      </c>
      <c r="Z63" s="159">
        <f t="shared" si="16"/>
        <v>16</v>
      </c>
      <c r="AA63" s="159">
        <f t="shared" si="16"/>
        <v>14</v>
      </c>
      <c r="AB63" s="159">
        <f t="shared" si="16"/>
        <v>9</v>
      </c>
      <c r="AC63" s="159">
        <f t="shared" si="16"/>
        <v>11</v>
      </c>
      <c r="AD63" s="159">
        <f t="shared" si="16"/>
        <v>7</v>
      </c>
      <c r="AE63" s="159">
        <f t="shared" si="16"/>
        <v>7</v>
      </c>
      <c r="AF63" s="159">
        <f t="shared" si="16"/>
        <v>8</v>
      </c>
      <c r="AG63" s="152">
        <f t="shared" si="15"/>
        <v>393</v>
      </c>
    </row>
    <row r="64">
      <c r="A64" s="98"/>
      <c r="B64" s="162"/>
      <c r="C64" s="162"/>
      <c r="D64" s="162"/>
      <c r="E64" s="162"/>
      <c r="F64" s="162"/>
      <c r="G64" s="162"/>
      <c r="H64" s="162"/>
      <c r="I64" s="162"/>
      <c r="J64" s="83"/>
      <c r="K64" s="83"/>
      <c r="L64" s="83"/>
      <c r="M64" s="83"/>
      <c r="N64" s="83"/>
      <c r="O64" s="83"/>
      <c r="P64" s="83"/>
      <c r="Q64" s="83"/>
      <c r="R64" s="83"/>
      <c r="S64" s="83"/>
      <c r="T64" s="83"/>
      <c r="U64" s="83"/>
      <c r="V64" s="83"/>
      <c r="W64" s="83"/>
      <c r="X64" s="83"/>
      <c r="Y64" s="83"/>
      <c r="Z64" s="83"/>
      <c r="AA64" s="83"/>
      <c r="AB64" s="83"/>
      <c r="AC64" s="83"/>
      <c r="AD64" s="83"/>
      <c r="AE64" s="83"/>
      <c r="AF64" s="83"/>
      <c r="AG64" s="163"/>
    </row>
    <row r="65">
      <c r="A65" s="153" t="s">
        <v>131</v>
      </c>
      <c r="B65" s="155">
        <v>37.0</v>
      </c>
      <c r="C65" s="155">
        <v>34.0</v>
      </c>
      <c r="D65" s="155">
        <v>46.0</v>
      </c>
      <c r="E65" s="155">
        <v>31.0</v>
      </c>
      <c r="F65" s="155">
        <v>43.0</v>
      </c>
      <c r="G65" s="155">
        <v>35.0</v>
      </c>
      <c r="H65" s="155">
        <v>27.0</v>
      </c>
      <c r="I65" s="141">
        <v>25.0</v>
      </c>
      <c r="J65" s="141">
        <v>15.0</v>
      </c>
      <c r="K65" s="141">
        <v>12.0</v>
      </c>
      <c r="L65" s="141">
        <v>12.0</v>
      </c>
      <c r="M65" s="141">
        <v>25.0</v>
      </c>
      <c r="N65" s="141">
        <v>16.0</v>
      </c>
      <c r="O65" s="141">
        <v>18.0</v>
      </c>
      <c r="P65" s="141">
        <v>9.0</v>
      </c>
      <c r="Q65" s="141">
        <v>18.0</v>
      </c>
      <c r="R65" s="141">
        <v>18.0</v>
      </c>
      <c r="S65" s="84">
        <v>18.0</v>
      </c>
      <c r="T65" s="84">
        <v>15.0</v>
      </c>
      <c r="U65" s="84">
        <v>6.0</v>
      </c>
      <c r="V65" s="84">
        <v>10.0</v>
      </c>
      <c r="W65" s="84">
        <v>12.0</v>
      </c>
      <c r="X65" s="84">
        <v>11.0</v>
      </c>
      <c r="Y65" s="84">
        <v>3.0</v>
      </c>
      <c r="Z65" s="164">
        <v>7.0</v>
      </c>
      <c r="AA65" s="84">
        <v>8.0</v>
      </c>
      <c r="AB65" s="84">
        <v>15.0</v>
      </c>
      <c r="AC65" s="164">
        <v>11.0</v>
      </c>
      <c r="AD65" s="164">
        <v>11.0</v>
      </c>
      <c r="AE65" s="164">
        <v>11.0</v>
      </c>
      <c r="AF65" s="164">
        <v>10.0</v>
      </c>
      <c r="AG65" s="152">
        <f t="shared" ref="AG65:AG75" si="17">SUM(B65:AF65)</f>
        <v>569</v>
      </c>
    </row>
    <row r="66">
      <c r="A66" s="153" t="s">
        <v>132</v>
      </c>
      <c r="B66" s="155">
        <v>15.0</v>
      </c>
      <c r="C66" s="155">
        <v>18.0</v>
      </c>
      <c r="D66" s="155">
        <v>30.0</v>
      </c>
      <c r="E66" s="155">
        <v>20.0</v>
      </c>
      <c r="F66" s="155">
        <v>29.0</v>
      </c>
      <c r="G66" s="155">
        <v>24.0</v>
      </c>
      <c r="H66" s="155">
        <v>15.0</v>
      </c>
      <c r="I66" s="141">
        <v>10.0</v>
      </c>
      <c r="J66" s="141">
        <v>15.0</v>
      </c>
      <c r="K66" s="141">
        <v>9.0</v>
      </c>
      <c r="L66" s="141">
        <v>21.0</v>
      </c>
      <c r="M66" s="141">
        <v>22.0</v>
      </c>
      <c r="N66" s="155">
        <v>12.0</v>
      </c>
      <c r="O66" s="141">
        <v>21.0</v>
      </c>
      <c r="P66" s="155">
        <v>11.0</v>
      </c>
      <c r="Q66" s="141">
        <v>10.0</v>
      </c>
      <c r="R66" s="141">
        <v>10.0</v>
      </c>
      <c r="S66" s="84">
        <v>11.0</v>
      </c>
      <c r="T66" s="84">
        <v>9.0</v>
      </c>
      <c r="U66" s="84">
        <v>7.0</v>
      </c>
      <c r="V66" s="84">
        <v>15.0</v>
      </c>
      <c r="W66" s="84">
        <v>13.0</v>
      </c>
      <c r="X66" s="84">
        <v>13.0</v>
      </c>
      <c r="Y66" s="84">
        <v>11.0</v>
      </c>
      <c r="Z66" s="156">
        <v>8.0</v>
      </c>
      <c r="AA66" s="84">
        <v>8.0</v>
      </c>
      <c r="AB66" s="84">
        <v>11.0</v>
      </c>
      <c r="AC66" s="161">
        <v>10.0</v>
      </c>
      <c r="AD66" s="161">
        <v>10.0</v>
      </c>
      <c r="AE66" s="161">
        <v>7.0</v>
      </c>
      <c r="AF66" s="161">
        <v>7.0</v>
      </c>
      <c r="AG66" s="152">
        <f t="shared" si="17"/>
        <v>432</v>
      </c>
    </row>
    <row r="67">
      <c r="A67" s="153" t="s">
        <v>133</v>
      </c>
      <c r="B67" s="155">
        <v>20.0</v>
      </c>
      <c r="C67" s="155">
        <v>22.0</v>
      </c>
      <c r="D67" s="155">
        <v>41.0</v>
      </c>
      <c r="E67" s="155">
        <v>22.0</v>
      </c>
      <c r="F67" s="155">
        <v>28.0</v>
      </c>
      <c r="G67" s="155">
        <v>33.0</v>
      </c>
      <c r="H67" s="155">
        <v>31.0</v>
      </c>
      <c r="I67" s="155">
        <v>16.0</v>
      </c>
      <c r="J67" s="155">
        <v>25.0</v>
      </c>
      <c r="K67" s="155">
        <v>14.0</v>
      </c>
      <c r="L67" s="155">
        <v>21.0</v>
      </c>
      <c r="M67" s="155">
        <v>27.0</v>
      </c>
      <c r="N67" s="155">
        <v>8.0</v>
      </c>
      <c r="O67" s="155">
        <v>13.0</v>
      </c>
      <c r="P67" s="155">
        <v>14.0</v>
      </c>
      <c r="Q67" s="155">
        <v>13.0</v>
      </c>
      <c r="R67" s="155">
        <v>17.0</v>
      </c>
      <c r="S67" s="155">
        <v>12.0</v>
      </c>
      <c r="T67" s="155">
        <v>12.0</v>
      </c>
      <c r="U67" s="155">
        <v>8.0</v>
      </c>
      <c r="V67" s="155">
        <v>25.0</v>
      </c>
      <c r="W67" s="155">
        <v>15.0</v>
      </c>
      <c r="X67" s="155">
        <v>12.0</v>
      </c>
      <c r="Y67" s="155">
        <v>12.0</v>
      </c>
      <c r="Z67" s="165">
        <v>6.0</v>
      </c>
      <c r="AA67" s="155">
        <v>10.0</v>
      </c>
      <c r="AB67" s="155">
        <v>16.0</v>
      </c>
      <c r="AC67" s="165">
        <v>23.0</v>
      </c>
      <c r="AD67" s="165">
        <v>12.0</v>
      </c>
      <c r="AE67" s="165">
        <v>10.0</v>
      </c>
      <c r="AF67" s="165">
        <v>6.0</v>
      </c>
      <c r="AG67" s="152">
        <f t="shared" si="17"/>
        <v>544</v>
      </c>
    </row>
    <row r="68">
      <c r="A68" s="153" t="s">
        <v>134</v>
      </c>
      <c r="B68" s="154">
        <v>3.0</v>
      </c>
      <c r="C68" s="155">
        <v>3.0</v>
      </c>
      <c r="D68" s="155">
        <v>1.0</v>
      </c>
      <c r="E68" s="155">
        <v>3.0</v>
      </c>
      <c r="F68" s="155">
        <v>3.0</v>
      </c>
      <c r="G68" s="155">
        <v>2.0</v>
      </c>
      <c r="H68" s="155">
        <v>1.0</v>
      </c>
      <c r="I68" s="141">
        <v>1.0</v>
      </c>
      <c r="J68" s="141">
        <v>2.0</v>
      </c>
      <c r="K68" s="141">
        <v>1.0</v>
      </c>
      <c r="L68" s="141">
        <v>2.0</v>
      </c>
      <c r="M68" s="141">
        <v>4.0</v>
      </c>
      <c r="N68" s="141">
        <v>4.0</v>
      </c>
      <c r="O68" s="140">
        <v>0.0</v>
      </c>
      <c r="P68" s="141">
        <v>0.0</v>
      </c>
      <c r="Q68" s="141">
        <v>1.0</v>
      </c>
      <c r="R68" s="141">
        <v>1.0</v>
      </c>
      <c r="S68" s="84">
        <v>1.0</v>
      </c>
      <c r="T68" s="160">
        <v>0.0</v>
      </c>
      <c r="U68" s="155">
        <v>1.0</v>
      </c>
      <c r="V68" s="155">
        <v>4.0</v>
      </c>
      <c r="W68" s="155">
        <v>2.0</v>
      </c>
      <c r="X68" s="155">
        <v>0.0</v>
      </c>
      <c r="Y68" s="155">
        <v>4.0</v>
      </c>
      <c r="Z68" s="165">
        <v>2.0</v>
      </c>
      <c r="AA68" s="155">
        <v>1.0</v>
      </c>
      <c r="AB68" s="155">
        <v>0.0</v>
      </c>
      <c r="AC68" s="165">
        <v>0.0</v>
      </c>
      <c r="AD68" s="165">
        <v>1.0</v>
      </c>
      <c r="AE68" s="165">
        <v>1.0</v>
      </c>
      <c r="AF68" s="165">
        <v>1.0</v>
      </c>
      <c r="AG68" s="152">
        <f t="shared" si="17"/>
        <v>50</v>
      </c>
    </row>
    <row r="69">
      <c r="A69" s="153" t="s">
        <v>135</v>
      </c>
      <c r="B69" s="155">
        <v>24.0</v>
      </c>
      <c r="C69" s="155">
        <v>22.0</v>
      </c>
      <c r="D69" s="155">
        <v>17.0</v>
      </c>
      <c r="E69" s="155">
        <v>17.0</v>
      </c>
      <c r="F69" s="155">
        <v>9.0</v>
      </c>
      <c r="G69" s="155">
        <v>13.0</v>
      </c>
      <c r="H69" s="155">
        <v>26.0</v>
      </c>
      <c r="I69" s="155">
        <v>20.0</v>
      </c>
      <c r="J69" s="155">
        <v>9.0</v>
      </c>
      <c r="K69" s="155">
        <v>10.0</v>
      </c>
      <c r="L69" s="155">
        <v>14.0</v>
      </c>
      <c r="M69" s="155">
        <v>19.0</v>
      </c>
      <c r="N69" s="155">
        <v>22.0</v>
      </c>
      <c r="O69" s="155">
        <v>11.0</v>
      </c>
      <c r="P69" s="155">
        <v>7.0</v>
      </c>
      <c r="Q69" s="155">
        <v>10.0</v>
      </c>
      <c r="R69" s="155">
        <v>7.0</v>
      </c>
      <c r="S69" s="155">
        <v>22.0</v>
      </c>
      <c r="T69" s="155">
        <v>12.0</v>
      </c>
      <c r="U69" s="155">
        <v>9.0</v>
      </c>
      <c r="V69" s="155">
        <v>12.0</v>
      </c>
      <c r="W69" s="155">
        <v>10.0</v>
      </c>
      <c r="X69" s="155">
        <v>8.0</v>
      </c>
      <c r="Y69" s="155">
        <v>10.0</v>
      </c>
      <c r="Z69" s="155">
        <v>11.0</v>
      </c>
      <c r="AA69" s="84">
        <v>11.0</v>
      </c>
      <c r="AB69" s="155">
        <v>11.0</v>
      </c>
      <c r="AC69" s="165">
        <v>9.0</v>
      </c>
      <c r="AD69" s="165">
        <v>14.0</v>
      </c>
      <c r="AE69" s="165">
        <v>5.0</v>
      </c>
      <c r="AF69" s="165">
        <v>5.0</v>
      </c>
      <c r="AG69" s="152">
        <f t="shared" si="17"/>
        <v>406</v>
      </c>
    </row>
    <row r="70">
      <c r="A70" s="153" t="s">
        <v>136</v>
      </c>
      <c r="B70" s="154">
        <v>3.0</v>
      </c>
      <c r="C70" s="155">
        <v>6.0</v>
      </c>
      <c r="D70" s="155">
        <v>0.0</v>
      </c>
      <c r="E70" s="155">
        <v>3.0</v>
      </c>
      <c r="F70" s="155">
        <v>4.0</v>
      </c>
      <c r="G70" s="155">
        <v>6.0</v>
      </c>
      <c r="H70" s="155">
        <v>3.0</v>
      </c>
      <c r="I70" s="141">
        <v>2.0</v>
      </c>
      <c r="J70" s="141">
        <v>3.0</v>
      </c>
      <c r="K70" s="141">
        <v>3.0</v>
      </c>
      <c r="L70" s="141">
        <v>1.0</v>
      </c>
      <c r="M70" s="141">
        <v>1.0</v>
      </c>
      <c r="N70" s="141">
        <v>3.0</v>
      </c>
      <c r="O70" s="140">
        <v>3.0</v>
      </c>
      <c r="P70" s="141">
        <v>1.0</v>
      </c>
      <c r="Q70" s="141">
        <v>0.0</v>
      </c>
      <c r="R70" s="141">
        <v>2.0</v>
      </c>
      <c r="S70" s="84">
        <v>6.0</v>
      </c>
      <c r="T70" s="160">
        <v>3.0</v>
      </c>
      <c r="U70" s="155">
        <v>3.0</v>
      </c>
      <c r="V70" s="155">
        <v>2.0</v>
      </c>
      <c r="W70" s="155">
        <v>2.0</v>
      </c>
      <c r="X70" s="155">
        <v>1.0</v>
      </c>
      <c r="Y70" s="155">
        <v>1.0</v>
      </c>
      <c r="Z70" s="155">
        <v>0.0</v>
      </c>
      <c r="AA70" s="84">
        <v>4.0</v>
      </c>
      <c r="AB70" s="155">
        <v>3.0</v>
      </c>
      <c r="AC70" s="165">
        <v>1.0</v>
      </c>
      <c r="AD70" s="165">
        <v>3.0</v>
      </c>
      <c r="AE70" s="165">
        <v>2.0</v>
      </c>
      <c r="AF70" s="165">
        <v>3.0</v>
      </c>
      <c r="AG70" s="152">
        <f t="shared" si="17"/>
        <v>78</v>
      </c>
    </row>
    <row r="71">
      <c r="A71" s="153" t="s">
        <v>137</v>
      </c>
      <c r="B71" s="155">
        <v>46.0</v>
      </c>
      <c r="C71" s="155">
        <v>47.0</v>
      </c>
      <c r="D71" s="155">
        <v>67.0</v>
      </c>
      <c r="E71" s="155">
        <v>55.0</v>
      </c>
      <c r="F71" s="155">
        <v>55.0</v>
      </c>
      <c r="G71" s="155">
        <v>42.0</v>
      </c>
      <c r="H71" s="155">
        <v>36.0</v>
      </c>
      <c r="I71" s="155">
        <v>31.0</v>
      </c>
      <c r="J71" s="155">
        <v>29.0</v>
      </c>
      <c r="K71" s="155">
        <v>25.0</v>
      </c>
      <c r="L71" s="155">
        <v>42.0</v>
      </c>
      <c r="M71" s="155">
        <v>42.0</v>
      </c>
      <c r="N71" s="155">
        <v>30.0</v>
      </c>
      <c r="O71" s="155">
        <v>30.0</v>
      </c>
      <c r="P71" s="155">
        <v>14.0</v>
      </c>
      <c r="Q71" s="155">
        <v>23.0</v>
      </c>
      <c r="R71" s="155">
        <v>25.0</v>
      </c>
      <c r="S71" s="155">
        <v>23.0</v>
      </c>
      <c r="T71" s="155">
        <v>28.0</v>
      </c>
      <c r="U71" s="155">
        <v>18.0</v>
      </c>
      <c r="V71" s="155">
        <v>20.0</v>
      </c>
      <c r="W71" s="155">
        <v>21.0</v>
      </c>
      <c r="X71" s="155">
        <v>17.0</v>
      </c>
      <c r="Y71" s="155">
        <v>15.0</v>
      </c>
      <c r="Z71" s="155">
        <v>16.0</v>
      </c>
      <c r="AA71" s="84">
        <v>22.0</v>
      </c>
      <c r="AB71" s="155">
        <v>22.0</v>
      </c>
      <c r="AC71" s="165">
        <v>22.0</v>
      </c>
      <c r="AD71" s="165">
        <v>17.0</v>
      </c>
      <c r="AE71" s="165">
        <v>12.0</v>
      </c>
      <c r="AF71" s="165">
        <v>10.0</v>
      </c>
      <c r="AG71" s="152">
        <f t="shared" si="17"/>
        <v>902</v>
      </c>
    </row>
    <row r="72">
      <c r="A72" s="153" t="s">
        <v>138</v>
      </c>
      <c r="B72" s="155">
        <v>9.0</v>
      </c>
      <c r="C72" s="155">
        <v>5.0</v>
      </c>
      <c r="D72" s="155">
        <v>6.0</v>
      </c>
      <c r="E72" s="155">
        <v>4.0</v>
      </c>
      <c r="F72" s="155">
        <v>4.0</v>
      </c>
      <c r="G72" s="155">
        <v>4.0</v>
      </c>
      <c r="H72" s="155">
        <v>6.0</v>
      </c>
      <c r="I72" s="155">
        <v>2.0</v>
      </c>
      <c r="J72" s="155">
        <v>6.0</v>
      </c>
      <c r="K72" s="155">
        <v>2.0</v>
      </c>
      <c r="L72" s="155">
        <v>9.0</v>
      </c>
      <c r="M72" s="155">
        <v>6.0</v>
      </c>
      <c r="N72" s="155">
        <v>6.0</v>
      </c>
      <c r="O72" s="155">
        <v>2.0</v>
      </c>
      <c r="P72" s="155">
        <v>3.0</v>
      </c>
      <c r="Q72" s="155">
        <v>2.0</v>
      </c>
      <c r="R72" s="155">
        <v>2.0</v>
      </c>
      <c r="S72" s="84">
        <v>7.0</v>
      </c>
      <c r="T72" s="84">
        <v>4.0</v>
      </c>
      <c r="U72" s="155">
        <v>1.0</v>
      </c>
      <c r="V72" s="155">
        <v>6.0</v>
      </c>
      <c r="W72" s="155">
        <v>2.0</v>
      </c>
      <c r="X72" s="155">
        <v>3.0</v>
      </c>
      <c r="Y72" s="155">
        <v>2.0</v>
      </c>
      <c r="Z72" s="155">
        <v>3.0</v>
      </c>
      <c r="AA72" s="84">
        <v>2.0</v>
      </c>
      <c r="AB72" s="155">
        <v>0.0</v>
      </c>
      <c r="AC72" s="165">
        <v>3.0</v>
      </c>
      <c r="AD72" s="165">
        <v>2.0</v>
      </c>
      <c r="AE72" s="165">
        <v>2.0</v>
      </c>
      <c r="AF72" s="165">
        <v>0.0</v>
      </c>
      <c r="AG72" s="152">
        <f t="shared" si="17"/>
        <v>115</v>
      </c>
    </row>
    <row r="73">
      <c r="A73" s="153" t="s">
        <v>139</v>
      </c>
      <c r="B73" s="155">
        <v>0.0</v>
      </c>
      <c r="C73" s="155">
        <v>1.0</v>
      </c>
      <c r="D73" s="155">
        <v>1.0</v>
      </c>
      <c r="E73" s="155">
        <v>1.0</v>
      </c>
      <c r="F73" s="155">
        <v>1.0</v>
      </c>
      <c r="G73" s="155">
        <v>0.0</v>
      </c>
      <c r="H73" s="155">
        <v>2.0</v>
      </c>
      <c r="I73" s="155">
        <v>1.0</v>
      </c>
      <c r="J73" s="155">
        <v>2.0</v>
      </c>
      <c r="K73" s="155">
        <v>2.0</v>
      </c>
      <c r="L73" s="155">
        <v>2.0</v>
      </c>
      <c r="M73" s="155">
        <v>4.0</v>
      </c>
      <c r="N73" s="155">
        <v>1.0</v>
      </c>
      <c r="O73" s="155">
        <v>1.0</v>
      </c>
      <c r="P73" s="155">
        <v>3.0</v>
      </c>
      <c r="Q73" s="155">
        <v>2.0</v>
      </c>
      <c r="R73" s="155">
        <v>1.0</v>
      </c>
      <c r="S73" s="155">
        <v>1.0</v>
      </c>
      <c r="T73" s="155">
        <v>1.0</v>
      </c>
      <c r="U73" s="155">
        <v>0.0</v>
      </c>
      <c r="V73" s="155">
        <v>2.0</v>
      </c>
      <c r="W73" s="155">
        <v>2.0</v>
      </c>
      <c r="X73" s="155">
        <v>1.0</v>
      </c>
      <c r="Y73" s="155">
        <v>1.0</v>
      </c>
      <c r="Z73" s="155">
        <v>1.0</v>
      </c>
      <c r="AA73" s="155">
        <v>1.0</v>
      </c>
      <c r="AB73" s="84">
        <v>0.0</v>
      </c>
      <c r="AC73" s="155">
        <v>0.0</v>
      </c>
      <c r="AD73" s="155">
        <v>0.0</v>
      </c>
      <c r="AE73" s="155">
        <v>1.0</v>
      </c>
      <c r="AF73" s="155">
        <v>0.0</v>
      </c>
      <c r="AG73" s="152">
        <f t="shared" si="17"/>
        <v>36</v>
      </c>
    </row>
    <row r="74">
      <c r="A74" s="153" t="s">
        <v>140</v>
      </c>
      <c r="B74" s="155">
        <v>1.0</v>
      </c>
      <c r="C74" s="155">
        <v>0.0</v>
      </c>
      <c r="D74" s="155">
        <v>1.0</v>
      </c>
      <c r="E74" s="155">
        <v>0.0</v>
      </c>
      <c r="F74" s="155">
        <v>3.0</v>
      </c>
      <c r="G74" s="155">
        <v>1.0</v>
      </c>
      <c r="H74" s="155">
        <v>4.0</v>
      </c>
      <c r="I74" s="155">
        <v>2.0</v>
      </c>
      <c r="J74" s="155">
        <v>0.0</v>
      </c>
      <c r="K74" s="155">
        <v>0.0</v>
      </c>
      <c r="L74" s="155">
        <v>2.0</v>
      </c>
      <c r="M74" s="155">
        <v>1.0</v>
      </c>
      <c r="N74" s="155">
        <v>0.0</v>
      </c>
      <c r="O74" s="155">
        <v>2.0</v>
      </c>
      <c r="P74" s="155">
        <v>0.0</v>
      </c>
      <c r="Q74" s="155">
        <v>1.0</v>
      </c>
      <c r="R74" s="155">
        <v>0.0</v>
      </c>
      <c r="S74" s="155">
        <v>0.0</v>
      </c>
      <c r="T74" s="155">
        <v>0.0</v>
      </c>
      <c r="U74" s="155">
        <v>0.0</v>
      </c>
      <c r="V74" s="155">
        <v>2.0</v>
      </c>
      <c r="W74" s="155">
        <v>1.0</v>
      </c>
      <c r="X74" s="155">
        <v>4.0</v>
      </c>
      <c r="Y74" s="155">
        <v>1.0</v>
      </c>
      <c r="Z74" s="155">
        <v>1.0</v>
      </c>
      <c r="AA74" s="155">
        <v>0.0</v>
      </c>
      <c r="AB74" s="84">
        <v>0.0</v>
      </c>
      <c r="AC74" s="155">
        <v>0.0</v>
      </c>
      <c r="AD74" s="155">
        <v>0.0</v>
      </c>
      <c r="AE74" s="155">
        <v>0.0</v>
      </c>
      <c r="AF74" s="155">
        <v>2.0</v>
      </c>
      <c r="AG74" s="152">
        <f t="shared" si="17"/>
        <v>29</v>
      </c>
    </row>
    <row r="75">
      <c r="A75" s="158" t="s">
        <v>141</v>
      </c>
      <c r="B75" s="159">
        <f t="shared" ref="B75:AF75" si="18">SUM(B65:B74)</f>
        <v>158</v>
      </c>
      <c r="C75" s="159">
        <f t="shared" si="18"/>
        <v>158</v>
      </c>
      <c r="D75" s="159">
        <f t="shared" si="18"/>
        <v>210</v>
      </c>
      <c r="E75" s="159">
        <f t="shared" si="18"/>
        <v>156</v>
      </c>
      <c r="F75" s="159">
        <f t="shared" si="18"/>
        <v>179</v>
      </c>
      <c r="G75" s="159">
        <f t="shared" si="18"/>
        <v>160</v>
      </c>
      <c r="H75" s="159">
        <f t="shared" si="18"/>
        <v>151</v>
      </c>
      <c r="I75" s="159">
        <f t="shared" si="18"/>
        <v>110</v>
      </c>
      <c r="J75" s="159">
        <f t="shared" si="18"/>
        <v>106</v>
      </c>
      <c r="K75" s="159">
        <f t="shared" si="18"/>
        <v>78</v>
      </c>
      <c r="L75" s="159">
        <f t="shared" si="18"/>
        <v>126</v>
      </c>
      <c r="M75" s="159">
        <f t="shared" si="18"/>
        <v>151</v>
      </c>
      <c r="N75" s="159">
        <f t="shared" si="18"/>
        <v>102</v>
      </c>
      <c r="O75" s="159">
        <f t="shared" si="18"/>
        <v>101</v>
      </c>
      <c r="P75" s="159">
        <f t="shared" si="18"/>
        <v>62</v>
      </c>
      <c r="Q75" s="159">
        <f t="shared" si="18"/>
        <v>80</v>
      </c>
      <c r="R75" s="159">
        <f t="shared" si="18"/>
        <v>83</v>
      </c>
      <c r="S75" s="159">
        <f t="shared" si="18"/>
        <v>101</v>
      </c>
      <c r="T75" s="159">
        <f t="shared" si="18"/>
        <v>84</v>
      </c>
      <c r="U75" s="159">
        <f t="shared" si="18"/>
        <v>53</v>
      </c>
      <c r="V75" s="159">
        <f t="shared" si="18"/>
        <v>98</v>
      </c>
      <c r="W75" s="159">
        <f t="shared" si="18"/>
        <v>80</v>
      </c>
      <c r="X75" s="159">
        <f t="shared" si="18"/>
        <v>70</v>
      </c>
      <c r="Y75" s="159">
        <f t="shared" si="18"/>
        <v>60</v>
      </c>
      <c r="Z75" s="159">
        <f t="shared" si="18"/>
        <v>55</v>
      </c>
      <c r="AA75" s="159">
        <f t="shared" si="18"/>
        <v>67</v>
      </c>
      <c r="AB75" s="159">
        <f t="shared" si="18"/>
        <v>78</v>
      </c>
      <c r="AC75" s="159">
        <f t="shared" si="18"/>
        <v>79</v>
      </c>
      <c r="AD75" s="159">
        <f t="shared" si="18"/>
        <v>70</v>
      </c>
      <c r="AE75" s="159">
        <f t="shared" si="18"/>
        <v>51</v>
      </c>
      <c r="AF75" s="159">
        <f t="shared" si="18"/>
        <v>44</v>
      </c>
      <c r="AG75" s="152">
        <f t="shared" si="17"/>
        <v>3161</v>
      </c>
    </row>
    <row r="76">
      <c r="A76" s="166"/>
      <c r="AG76" s="152"/>
    </row>
    <row r="77">
      <c r="A77" s="153" t="s">
        <v>142</v>
      </c>
      <c r="B77" s="154">
        <v>49.0</v>
      </c>
      <c r="C77" s="154">
        <v>44.0</v>
      </c>
      <c r="D77" s="154">
        <v>67.0</v>
      </c>
      <c r="E77" s="154">
        <v>65.0</v>
      </c>
      <c r="F77" s="154">
        <v>66.0</v>
      </c>
      <c r="G77" s="154">
        <v>58.0</v>
      </c>
      <c r="H77" s="154">
        <v>59.0</v>
      </c>
      <c r="I77" s="154">
        <v>49.0</v>
      </c>
      <c r="J77" s="154">
        <v>48.0</v>
      </c>
      <c r="K77" s="154">
        <v>19.0</v>
      </c>
      <c r="L77" s="154">
        <v>30.0</v>
      </c>
      <c r="M77" s="154">
        <v>38.0</v>
      </c>
      <c r="N77" s="154">
        <v>19.0</v>
      </c>
      <c r="O77" s="154">
        <v>21.0</v>
      </c>
      <c r="P77" s="154">
        <v>25.0</v>
      </c>
      <c r="Q77" s="154">
        <v>20.0</v>
      </c>
      <c r="R77" s="154">
        <v>21.0</v>
      </c>
      <c r="S77" s="154">
        <v>28.0</v>
      </c>
      <c r="T77" s="154">
        <v>21.0</v>
      </c>
      <c r="U77" s="154">
        <v>20.0</v>
      </c>
      <c r="V77" s="154">
        <v>23.0</v>
      </c>
      <c r="W77" s="154">
        <v>24.0</v>
      </c>
      <c r="X77" s="154">
        <v>32.0</v>
      </c>
      <c r="Y77" s="154">
        <v>34.0</v>
      </c>
      <c r="Z77" s="154">
        <v>21.0</v>
      </c>
      <c r="AA77" s="154">
        <v>26.0</v>
      </c>
      <c r="AB77" s="154">
        <v>25.0</v>
      </c>
      <c r="AC77" s="154">
        <v>44.0</v>
      </c>
      <c r="AD77" s="154">
        <v>17.0</v>
      </c>
      <c r="AE77" s="154">
        <v>9.0</v>
      </c>
      <c r="AF77" s="154">
        <v>28.0</v>
      </c>
      <c r="AG77" s="152">
        <f t="shared" ref="AG77:AG85" si="19">SUM(B77:AF77)</f>
        <v>1050</v>
      </c>
    </row>
    <row r="78">
      <c r="A78" s="153" t="s">
        <v>143</v>
      </c>
      <c r="B78" s="154">
        <v>1.0</v>
      </c>
      <c r="C78" s="154">
        <v>1.0</v>
      </c>
      <c r="D78" s="154">
        <v>1.0</v>
      </c>
      <c r="E78" s="154">
        <v>3.0</v>
      </c>
      <c r="F78" s="154">
        <v>2.0</v>
      </c>
      <c r="G78" s="154">
        <v>0.0</v>
      </c>
      <c r="H78" s="154">
        <v>0.0</v>
      </c>
      <c r="I78" s="154">
        <v>1.0</v>
      </c>
      <c r="J78" s="154">
        <v>1.0</v>
      </c>
      <c r="K78" s="154">
        <v>0.0</v>
      </c>
      <c r="L78" s="154">
        <v>1.0</v>
      </c>
      <c r="M78" s="154">
        <v>1.0</v>
      </c>
      <c r="N78" s="154">
        <v>1.0</v>
      </c>
      <c r="O78" s="154">
        <v>0.0</v>
      </c>
      <c r="P78" s="154">
        <v>2.0</v>
      </c>
      <c r="Q78" s="154">
        <v>0.0</v>
      </c>
      <c r="R78" s="154">
        <v>1.0</v>
      </c>
      <c r="S78" s="154">
        <v>3.0</v>
      </c>
      <c r="T78" s="154">
        <v>1.0</v>
      </c>
      <c r="U78" s="154">
        <v>1.0</v>
      </c>
      <c r="V78" s="154">
        <v>0.0</v>
      </c>
      <c r="W78" s="154">
        <v>0.0</v>
      </c>
      <c r="X78" s="154">
        <v>1.0</v>
      </c>
      <c r="Y78" s="154">
        <v>0.0</v>
      </c>
      <c r="Z78" s="154">
        <v>3.0</v>
      </c>
      <c r="AA78" s="154">
        <v>0.0</v>
      </c>
      <c r="AB78" s="154">
        <v>0.0</v>
      </c>
      <c r="AC78" s="154">
        <v>0.0</v>
      </c>
      <c r="AD78" s="154">
        <v>0.0</v>
      </c>
      <c r="AE78" s="154">
        <v>0.0</v>
      </c>
      <c r="AF78" s="154">
        <v>0.0</v>
      </c>
      <c r="AG78" s="152">
        <f t="shared" si="19"/>
        <v>25</v>
      </c>
    </row>
    <row r="79">
      <c r="A79" s="153" t="s">
        <v>144</v>
      </c>
      <c r="B79" s="154">
        <v>0.0</v>
      </c>
      <c r="C79" s="154">
        <v>1.0</v>
      </c>
      <c r="D79" s="154">
        <v>2.0</v>
      </c>
      <c r="E79" s="154">
        <v>1.0</v>
      </c>
      <c r="F79" s="154">
        <v>1.0</v>
      </c>
      <c r="G79" s="154">
        <v>2.0</v>
      </c>
      <c r="H79" s="154">
        <v>1.0</v>
      </c>
      <c r="I79" s="154">
        <v>2.0</v>
      </c>
      <c r="J79" s="154">
        <v>0.0</v>
      </c>
      <c r="K79" s="154">
        <v>2.0</v>
      </c>
      <c r="L79" s="154">
        <v>2.0</v>
      </c>
      <c r="M79" s="154">
        <v>1.0</v>
      </c>
      <c r="N79" s="154">
        <v>0.0</v>
      </c>
      <c r="O79" s="154">
        <v>1.0</v>
      </c>
      <c r="P79" s="154">
        <v>3.0</v>
      </c>
      <c r="Q79" s="154">
        <v>1.0</v>
      </c>
      <c r="R79" s="154">
        <v>0.0</v>
      </c>
      <c r="S79" s="154">
        <v>0.0</v>
      </c>
      <c r="T79" s="154">
        <v>1.0</v>
      </c>
      <c r="U79" s="154">
        <v>2.0</v>
      </c>
      <c r="V79" s="154">
        <v>1.0</v>
      </c>
      <c r="W79" s="154">
        <v>2.0</v>
      </c>
      <c r="X79" s="154">
        <v>2.0</v>
      </c>
      <c r="Y79" s="154">
        <v>2.0</v>
      </c>
      <c r="Z79" s="154">
        <v>0.0</v>
      </c>
      <c r="AA79" s="154">
        <v>0.0</v>
      </c>
      <c r="AB79" s="154">
        <v>1.0</v>
      </c>
      <c r="AC79" s="154">
        <v>1.0</v>
      </c>
      <c r="AD79" s="154">
        <v>2.0</v>
      </c>
      <c r="AE79" s="154">
        <v>0.0</v>
      </c>
      <c r="AF79" s="154">
        <v>1.0</v>
      </c>
      <c r="AG79" s="152">
        <f t="shared" si="19"/>
        <v>35</v>
      </c>
    </row>
    <row r="80">
      <c r="A80" s="153" t="s">
        <v>145</v>
      </c>
      <c r="B80" s="154">
        <v>0.0</v>
      </c>
      <c r="C80" s="154">
        <v>0.0</v>
      </c>
      <c r="D80" s="154">
        <v>0.0</v>
      </c>
      <c r="E80" s="154">
        <v>1.0</v>
      </c>
      <c r="F80" s="154">
        <v>0.0</v>
      </c>
      <c r="G80" s="154">
        <v>0.0</v>
      </c>
      <c r="H80" s="154">
        <v>0.0</v>
      </c>
      <c r="I80" s="154">
        <v>0.0</v>
      </c>
      <c r="J80" s="154">
        <v>0.0</v>
      </c>
      <c r="K80" s="154">
        <v>0.0</v>
      </c>
      <c r="L80" s="154">
        <v>0.0</v>
      </c>
      <c r="M80" s="154">
        <v>1.0</v>
      </c>
      <c r="N80" s="154">
        <v>0.0</v>
      </c>
      <c r="O80" s="154">
        <v>0.0</v>
      </c>
      <c r="P80" s="154">
        <v>0.0</v>
      </c>
      <c r="Q80" s="154">
        <v>0.0</v>
      </c>
      <c r="R80" s="154">
        <v>0.0</v>
      </c>
      <c r="S80" s="154">
        <v>0.0</v>
      </c>
      <c r="T80" s="154">
        <v>0.0</v>
      </c>
      <c r="U80" s="154">
        <v>0.0</v>
      </c>
      <c r="V80" s="154">
        <v>0.0</v>
      </c>
      <c r="W80" s="154">
        <v>1.0</v>
      </c>
      <c r="X80" s="154">
        <v>0.0</v>
      </c>
      <c r="Y80" s="154">
        <v>0.0</v>
      </c>
      <c r="Z80" s="154">
        <v>0.0</v>
      </c>
      <c r="AA80" s="154">
        <v>0.0</v>
      </c>
      <c r="AB80" s="154">
        <v>1.0</v>
      </c>
      <c r="AC80" s="154">
        <v>0.0</v>
      </c>
      <c r="AD80" s="154">
        <v>0.0</v>
      </c>
      <c r="AE80" s="154">
        <v>0.0</v>
      </c>
      <c r="AF80" s="154">
        <v>0.0</v>
      </c>
      <c r="AG80" s="152">
        <f t="shared" si="19"/>
        <v>4</v>
      </c>
    </row>
    <row r="81">
      <c r="A81" s="153" t="s">
        <v>146</v>
      </c>
      <c r="B81" s="154">
        <v>3.0</v>
      </c>
      <c r="C81" s="154">
        <v>2.0</v>
      </c>
      <c r="D81" s="154">
        <v>4.0</v>
      </c>
      <c r="E81" s="154">
        <v>2.0</v>
      </c>
      <c r="F81" s="154">
        <v>2.0</v>
      </c>
      <c r="G81" s="154">
        <v>3.0</v>
      </c>
      <c r="H81" s="154">
        <v>1.0</v>
      </c>
      <c r="I81" s="154">
        <v>3.0</v>
      </c>
      <c r="J81" s="154">
        <v>3.0</v>
      </c>
      <c r="K81" s="154">
        <v>3.0</v>
      </c>
      <c r="L81" s="154">
        <v>1.0</v>
      </c>
      <c r="M81" s="154">
        <v>1.0</v>
      </c>
      <c r="N81" s="154">
        <v>1.0</v>
      </c>
      <c r="O81" s="154">
        <v>1.0</v>
      </c>
      <c r="P81" s="154">
        <v>2.0</v>
      </c>
      <c r="Q81" s="154">
        <v>0.0</v>
      </c>
      <c r="R81" s="154">
        <v>1.0</v>
      </c>
      <c r="S81" s="154">
        <v>1.0</v>
      </c>
      <c r="T81" s="154">
        <v>0.0</v>
      </c>
      <c r="U81" s="154">
        <v>0.0</v>
      </c>
      <c r="V81" s="154">
        <v>0.0</v>
      </c>
      <c r="W81" s="154">
        <v>1.0</v>
      </c>
      <c r="X81" s="154">
        <v>0.0</v>
      </c>
      <c r="Y81" s="154">
        <v>1.0</v>
      </c>
      <c r="Z81" s="154">
        <v>0.0</v>
      </c>
      <c r="AA81" s="154">
        <v>1.0</v>
      </c>
      <c r="AB81" s="154">
        <v>0.0</v>
      </c>
      <c r="AC81" s="154">
        <v>2.0</v>
      </c>
      <c r="AD81" s="154">
        <v>1.0</v>
      </c>
      <c r="AE81" s="154">
        <v>1.0</v>
      </c>
      <c r="AF81" s="154">
        <v>2.0</v>
      </c>
      <c r="AG81" s="152">
        <f t="shared" si="19"/>
        <v>43</v>
      </c>
    </row>
    <row r="82">
      <c r="A82" s="153" t="s">
        <v>147</v>
      </c>
      <c r="B82" s="154">
        <v>0.0</v>
      </c>
      <c r="C82" s="154">
        <v>0.0</v>
      </c>
      <c r="D82" s="154">
        <v>0.0</v>
      </c>
      <c r="E82" s="154">
        <v>0.0</v>
      </c>
      <c r="F82" s="154">
        <v>0.0</v>
      </c>
      <c r="G82" s="154">
        <v>0.0</v>
      </c>
      <c r="H82" s="154">
        <v>0.0</v>
      </c>
      <c r="I82" s="154">
        <v>0.0</v>
      </c>
      <c r="J82" s="154">
        <v>0.0</v>
      </c>
      <c r="K82" s="154">
        <v>0.0</v>
      </c>
      <c r="L82" s="154">
        <v>0.0</v>
      </c>
      <c r="M82" s="154">
        <v>0.0</v>
      </c>
      <c r="N82" s="154">
        <v>0.0</v>
      </c>
      <c r="O82" s="154">
        <v>0.0</v>
      </c>
      <c r="P82" s="154">
        <v>0.0</v>
      </c>
      <c r="Q82" s="154">
        <v>0.0</v>
      </c>
      <c r="R82" s="154">
        <v>1.0</v>
      </c>
      <c r="S82" s="154">
        <v>0.0</v>
      </c>
      <c r="T82" s="154">
        <v>0.0</v>
      </c>
      <c r="U82" s="154">
        <v>0.0</v>
      </c>
      <c r="V82" s="154">
        <v>0.0</v>
      </c>
      <c r="W82" s="154">
        <v>0.0</v>
      </c>
      <c r="X82" s="154">
        <v>0.0</v>
      </c>
      <c r="Y82" s="154">
        <v>0.0</v>
      </c>
      <c r="Z82" s="154">
        <v>0.0</v>
      </c>
      <c r="AA82" s="154">
        <v>0.0</v>
      </c>
      <c r="AB82" s="154">
        <v>0.0</v>
      </c>
      <c r="AC82" s="154">
        <v>0.0</v>
      </c>
      <c r="AD82" s="154">
        <v>0.0</v>
      </c>
      <c r="AE82" s="154">
        <v>0.0</v>
      </c>
      <c r="AF82" s="154">
        <v>0.0</v>
      </c>
      <c r="AG82" s="152">
        <f t="shared" si="19"/>
        <v>1</v>
      </c>
    </row>
    <row r="83">
      <c r="A83" s="153" t="s">
        <v>148</v>
      </c>
      <c r="B83" s="154">
        <v>0.0</v>
      </c>
      <c r="C83" s="154">
        <v>4.0</v>
      </c>
      <c r="D83" s="154">
        <v>2.0</v>
      </c>
      <c r="E83" s="154">
        <v>1.0</v>
      </c>
      <c r="F83" s="154">
        <v>0.0</v>
      </c>
      <c r="G83" s="154">
        <v>3.0</v>
      </c>
      <c r="H83" s="154">
        <v>1.0</v>
      </c>
      <c r="I83" s="154">
        <v>0.0</v>
      </c>
      <c r="J83" s="154">
        <v>4.0</v>
      </c>
      <c r="K83" s="154">
        <v>3.0</v>
      </c>
      <c r="L83" s="154">
        <v>0.0</v>
      </c>
      <c r="M83" s="154">
        <v>0.0</v>
      </c>
      <c r="N83" s="154">
        <v>0.0</v>
      </c>
      <c r="O83" s="154">
        <v>1.0</v>
      </c>
      <c r="P83" s="154">
        <v>2.0</v>
      </c>
      <c r="Q83" s="154">
        <v>0.0</v>
      </c>
      <c r="R83" s="154">
        <v>0.0</v>
      </c>
      <c r="S83" s="154">
        <v>0.0</v>
      </c>
      <c r="T83" s="154">
        <v>1.0</v>
      </c>
      <c r="U83" s="154">
        <v>0.0</v>
      </c>
      <c r="V83" s="154">
        <v>0.0</v>
      </c>
      <c r="W83" s="154">
        <v>2.0</v>
      </c>
      <c r="X83" s="154">
        <v>0.0</v>
      </c>
      <c r="Y83" s="154">
        <v>1.0</v>
      </c>
      <c r="Z83" s="154">
        <v>1.0</v>
      </c>
      <c r="AA83" s="154">
        <v>0.0</v>
      </c>
      <c r="AB83" s="154">
        <v>2.0</v>
      </c>
      <c r="AC83" s="154">
        <v>0.0</v>
      </c>
      <c r="AD83" s="154">
        <v>0.0</v>
      </c>
      <c r="AE83" s="154">
        <v>1.0</v>
      </c>
      <c r="AF83" s="154">
        <v>0.0</v>
      </c>
      <c r="AG83" s="152">
        <f t="shared" si="19"/>
        <v>29</v>
      </c>
    </row>
    <row r="84">
      <c r="A84" s="153" t="s">
        <v>149</v>
      </c>
      <c r="B84" s="154">
        <v>0.0</v>
      </c>
      <c r="C84" s="154">
        <v>0.0</v>
      </c>
      <c r="D84" s="154">
        <v>1.0</v>
      </c>
      <c r="E84" s="154">
        <v>0.0</v>
      </c>
      <c r="F84" s="154">
        <v>0.0</v>
      </c>
      <c r="G84" s="154">
        <v>0.0</v>
      </c>
      <c r="H84" s="154">
        <v>0.0</v>
      </c>
      <c r="I84" s="154">
        <v>0.0</v>
      </c>
      <c r="J84" s="154">
        <v>0.0</v>
      </c>
      <c r="K84" s="154">
        <v>0.0</v>
      </c>
      <c r="L84" s="154">
        <v>0.0</v>
      </c>
      <c r="M84" s="154">
        <v>0.0</v>
      </c>
      <c r="N84" s="154">
        <v>0.0</v>
      </c>
      <c r="O84" s="154">
        <v>0.0</v>
      </c>
      <c r="P84" s="154">
        <v>0.0</v>
      </c>
      <c r="Q84" s="154">
        <v>0.0</v>
      </c>
      <c r="R84" s="154">
        <v>1.0</v>
      </c>
      <c r="S84" s="154">
        <v>0.0</v>
      </c>
      <c r="T84" s="154">
        <v>1.0</v>
      </c>
      <c r="U84" s="154">
        <v>0.0</v>
      </c>
      <c r="V84" s="154">
        <v>0.0</v>
      </c>
      <c r="W84" s="154">
        <v>1.0</v>
      </c>
      <c r="X84" s="154">
        <v>0.0</v>
      </c>
      <c r="Y84" s="154">
        <v>2.0</v>
      </c>
      <c r="Z84" s="154">
        <v>0.0</v>
      </c>
      <c r="AA84" s="154">
        <v>0.0</v>
      </c>
      <c r="AB84" s="154">
        <v>0.0</v>
      </c>
      <c r="AC84" s="154">
        <v>1.0</v>
      </c>
      <c r="AD84" s="154">
        <v>0.0</v>
      </c>
      <c r="AE84" s="154">
        <v>0.0</v>
      </c>
      <c r="AF84" s="154">
        <v>2.0</v>
      </c>
      <c r="AG84" s="152">
        <f t="shared" si="19"/>
        <v>9</v>
      </c>
    </row>
    <row r="85">
      <c r="A85" s="158" t="s">
        <v>150</v>
      </c>
      <c r="B85" s="159">
        <f t="shared" ref="B85:AF85" si="20">SUM(B77:B84)</f>
        <v>53</v>
      </c>
      <c r="C85" s="159">
        <f t="shared" si="20"/>
        <v>52</v>
      </c>
      <c r="D85" s="159">
        <f t="shared" si="20"/>
        <v>77</v>
      </c>
      <c r="E85" s="159">
        <f t="shared" si="20"/>
        <v>73</v>
      </c>
      <c r="F85" s="159">
        <f t="shared" si="20"/>
        <v>71</v>
      </c>
      <c r="G85" s="159">
        <f t="shared" si="20"/>
        <v>66</v>
      </c>
      <c r="H85" s="159">
        <f t="shared" si="20"/>
        <v>62</v>
      </c>
      <c r="I85" s="159">
        <f t="shared" si="20"/>
        <v>55</v>
      </c>
      <c r="J85" s="159">
        <f t="shared" si="20"/>
        <v>56</v>
      </c>
      <c r="K85" s="159">
        <f t="shared" si="20"/>
        <v>27</v>
      </c>
      <c r="L85" s="159">
        <f t="shared" si="20"/>
        <v>34</v>
      </c>
      <c r="M85" s="159">
        <f t="shared" si="20"/>
        <v>42</v>
      </c>
      <c r="N85" s="159">
        <f t="shared" si="20"/>
        <v>21</v>
      </c>
      <c r="O85" s="159">
        <f t="shared" si="20"/>
        <v>24</v>
      </c>
      <c r="P85" s="159">
        <f t="shared" si="20"/>
        <v>34</v>
      </c>
      <c r="Q85" s="159">
        <f t="shared" si="20"/>
        <v>21</v>
      </c>
      <c r="R85" s="159">
        <f t="shared" si="20"/>
        <v>25</v>
      </c>
      <c r="S85" s="159">
        <f t="shared" si="20"/>
        <v>32</v>
      </c>
      <c r="T85" s="159">
        <f t="shared" si="20"/>
        <v>25</v>
      </c>
      <c r="U85" s="159">
        <f t="shared" si="20"/>
        <v>23</v>
      </c>
      <c r="V85" s="159">
        <f t="shared" si="20"/>
        <v>24</v>
      </c>
      <c r="W85" s="159">
        <f t="shared" si="20"/>
        <v>31</v>
      </c>
      <c r="X85" s="159">
        <f t="shared" si="20"/>
        <v>35</v>
      </c>
      <c r="Y85" s="159">
        <f t="shared" si="20"/>
        <v>40</v>
      </c>
      <c r="Z85" s="159">
        <f t="shared" si="20"/>
        <v>25</v>
      </c>
      <c r="AA85" s="159">
        <f t="shared" si="20"/>
        <v>27</v>
      </c>
      <c r="AB85" s="159">
        <f t="shared" si="20"/>
        <v>29</v>
      </c>
      <c r="AC85" s="159">
        <f t="shared" si="20"/>
        <v>48</v>
      </c>
      <c r="AD85" s="159">
        <f t="shared" si="20"/>
        <v>20</v>
      </c>
      <c r="AE85" s="159">
        <f t="shared" si="20"/>
        <v>11</v>
      </c>
      <c r="AF85" s="159">
        <f t="shared" si="20"/>
        <v>33</v>
      </c>
      <c r="AG85" s="152">
        <f t="shared" si="19"/>
        <v>1196</v>
      </c>
    </row>
    <row r="86">
      <c r="A86" s="166"/>
      <c r="AG86" s="152"/>
    </row>
    <row r="87">
      <c r="A87" s="145" t="s">
        <v>151</v>
      </c>
      <c r="AG87" s="152"/>
    </row>
    <row r="88">
      <c r="A88" s="167" t="s">
        <v>152</v>
      </c>
      <c r="B88" s="168">
        <v>0.0</v>
      </c>
      <c r="C88" s="169">
        <v>0.0</v>
      </c>
      <c r="D88" s="169">
        <v>0.0</v>
      </c>
      <c r="E88" s="169">
        <v>0.0</v>
      </c>
      <c r="F88" s="169">
        <v>0.0</v>
      </c>
      <c r="G88" s="169">
        <v>0.0</v>
      </c>
      <c r="H88" s="169">
        <v>0.0</v>
      </c>
      <c r="I88" s="169">
        <v>0.0</v>
      </c>
      <c r="J88" s="169">
        <v>0.0</v>
      </c>
      <c r="K88" s="169">
        <v>1.0</v>
      </c>
      <c r="L88" s="169">
        <v>0.0</v>
      </c>
      <c r="M88" s="169">
        <v>3.0</v>
      </c>
      <c r="N88" s="169">
        <v>0.0</v>
      </c>
      <c r="O88" s="169">
        <v>0.0</v>
      </c>
      <c r="P88" s="169">
        <v>0.0</v>
      </c>
      <c r="Q88" s="169">
        <v>0.0</v>
      </c>
      <c r="R88" s="169">
        <v>0.0</v>
      </c>
      <c r="S88" s="169">
        <v>0.0</v>
      </c>
      <c r="T88" s="169">
        <v>0.0</v>
      </c>
      <c r="U88" s="169">
        <v>0.0</v>
      </c>
      <c r="V88" s="169">
        <v>0.0</v>
      </c>
      <c r="W88" s="169">
        <v>1.0</v>
      </c>
      <c r="X88" s="169">
        <v>0.0</v>
      </c>
      <c r="Y88" s="169">
        <v>0.0</v>
      </c>
      <c r="Z88" s="169">
        <v>0.0</v>
      </c>
      <c r="AA88" s="169">
        <v>0.0</v>
      </c>
      <c r="AB88" s="169">
        <v>0.0</v>
      </c>
      <c r="AC88" s="169">
        <v>0.0</v>
      </c>
      <c r="AD88" s="169">
        <v>0.0</v>
      </c>
      <c r="AE88" s="169">
        <v>0.0</v>
      </c>
      <c r="AF88" s="169">
        <v>0.0</v>
      </c>
      <c r="AG88" s="152">
        <f>SUM(B88:AF88)</f>
        <v>5</v>
      </c>
    </row>
    <row r="89">
      <c r="A89" s="166"/>
      <c r="AG89" s="152"/>
    </row>
    <row r="90">
      <c r="A90" s="145" t="s">
        <v>153</v>
      </c>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0"/>
      <c r="AA90" s="170"/>
      <c r="AB90" s="170"/>
      <c r="AC90" s="170"/>
      <c r="AD90" s="170"/>
      <c r="AE90" s="170"/>
      <c r="AF90" s="170"/>
      <c r="AG90" s="152"/>
    </row>
    <row r="91">
      <c r="A91" s="153" t="s">
        <v>154</v>
      </c>
      <c r="B91" s="171">
        <f t="shared" ref="B91:AF91" si="21">B55-B114</f>
        <v>34</v>
      </c>
      <c r="C91" s="172">
        <f t="shared" si="21"/>
        <v>39</v>
      </c>
      <c r="D91" s="172">
        <f t="shared" si="21"/>
        <v>36</v>
      </c>
      <c r="E91" s="172">
        <f t="shared" si="21"/>
        <v>37</v>
      </c>
      <c r="F91" s="172">
        <f t="shared" si="21"/>
        <v>36</v>
      </c>
      <c r="G91" s="172">
        <f t="shared" si="21"/>
        <v>63</v>
      </c>
      <c r="H91" s="172">
        <f t="shared" si="21"/>
        <v>49</v>
      </c>
      <c r="I91" s="172">
        <f t="shared" si="21"/>
        <v>30</v>
      </c>
      <c r="J91" s="172">
        <f t="shared" si="21"/>
        <v>23</v>
      </c>
      <c r="K91" s="172">
        <f t="shared" si="21"/>
        <v>19</v>
      </c>
      <c r="L91" s="172">
        <f t="shared" si="21"/>
        <v>21</v>
      </c>
      <c r="M91" s="172">
        <f t="shared" si="21"/>
        <v>24</v>
      </c>
      <c r="N91" s="172">
        <f t="shared" si="21"/>
        <v>15</v>
      </c>
      <c r="O91" s="172">
        <f t="shared" si="21"/>
        <v>19</v>
      </c>
      <c r="P91" s="172">
        <f t="shared" si="21"/>
        <v>10</v>
      </c>
      <c r="Q91" s="172">
        <f t="shared" si="21"/>
        <v>9</v>
      </c>
      <c r="R91" s="172">
        <f t="shared" si="21"/>
        <v>7</v>
      </c>
      <c r="S91" s="172">
        <f t="shared" si="21"/>
        <v>10</v>
      </c>
      <c r="T91" s="172">
        <f t="shared" si="21"/>
        <v>12</v>
      </c>
      <c r="U91" s="172">
        <f t="shared" si="21"/>
        <v>12</v>
      </c>
      <c r="V91" s="172">
        <f t="shared" si="21"/>
        <v>19</v>
      </c>
      <c r="W91" s="172">
        <f t="shared" si="21"/>
        <v>7</v>
      </c>
      <c r="X91" s="172">
        <f t="shared" si="21"/>
        <v>6</v>
      </c>
      <c r="Y91" s="172">
        <f t="shared" si="21"/>
        <v>8</v>
      </c>
      <c r="Z91" s="172">
        <f t="shared" si="21"/>
        <v>7</v>
      </c>
      <c r="AA91" s="172">
        <f t="shared" si="21"/>
        <v>10</v>
      </c>
      <c r="AB91" s="172">
        <f t="shared" si="21"/>
        <v>12</v>
      </c>
      <c r="AC91" s="172">
        <f t="shared" si="21"/>
        <v>11</v>
      </c>
      <c r="AD91" s="172">
        <f t="shared" si="21"/>
        <v>11</v>
      </c>
      <c r="AE91" s="172">
        <f t="shared" si="21"/>
        <v>9</v>
      </c>
      <c r="AF91" s="171">
        <f t="shared" si="21"/>
        <v>11</v>
      </c>
      <c r="AG91" s="152">
        <f t="shared" ref="AG91:AG95" si="23">SUM(B91:AF91)</f>
        <v>616</v>
      </c>
    </row>
    <row r="92">
      <c r="A92" s="153" t="s">
        <v>155</v>
      </c>
      <c r="B92" s="171">
        <f t="shared" ref="B92:AF92" si="22">B56-B115</f>
        <v>0</v>
      </c>
      <c r="C92" s="172">
        <f t="shared" si="22"/>
        <v>0</v>
      </c>
      <c r="D92" s="172">
        <f t="shared" si="22"/>
        <v>0</v>
      </c>
      <c r="E92" s="172">
        <f t="shared" si="22"/>
        <v>0</v>
      </c>
      <c r="F92" s="172">
        <f t="shared" si="22"/>
        <v>0</v>
      </c>
      <c r="G92" s="172">
        <f t="shared" si="22"/>
        <v>0</v>
      </c>
      <c r="H92" s="172">
        <f t="shared" si="22"/>
        <v>0</v>
      </c>
      <c r="I92" s="172">
        <f t="shared" si="22"/>
        <v>0</v>
      </c>
      <c r="J92" s="172">
        <f t="shared" si="22"/>
        <v>0</v>
      </c>
      <c r="K92" s="172">
        <f t="shared" si="22"/>
        <v>0</v>
      </c>
      <c r="L92" s="172">
        <f t="shared" si="22"/>
        <v>0</v>
      </c>
      <c r="M92" s="172">
        <f t="shared" si="22"/>
        <v>0</v>
      </c>
      <c r="N92" s="172">
        <f t="shared" si="22"/>
        <v>0</v>
      </c>
      <c r="O92" s="172">
        <f t="shared" si="22"/>
        <v>0</v>
      </c>
      <c r="P92" s="172">
        <f t="shared" si="22"/>
        <v>0</v>
      </c>
      <c r="Q92" s="172">
        <f t="shared" si="22"/>
        <v>0</v>
      </c>
      <c r="R92" s="172">
        <f t="shared" si="22"/>
        <v>0</v>
      </c>
      <c r="S92" s="172">
        <f t="shared" si="22"/>
        <v>0</v>
      </c>
      <c r="T92" s="172">
        <f t="shared" si="22"/>
        <v>0</v>
      </c>
      <c r="U92" s="172">
        <f t="shared" si="22"/>
        <v>0</v>
      </c>
      <c r="V92" s="172">
        <f t="shared" si="22"/>
        <v>0</v>
      </c>
      <c r="W92" s="172">
        <f t="shared" si="22"/>
        <v>0</v>
      </c>
      <c r="X92" s="172">
        <f t="shared" si="22"/>
        <v>0</v>
      </c>
      <c r="Y92" s="172">
        <f t="shared" si="22"/>
        <v>0</v>
      </c>
      <c r="Z92" s="172">
        <f t="shared" si="22"/>
        <v>0</v>
      </c>
      <c r="AA92" s="172">
        <f t="shared" si="22"/>
        <v>0</v>
      </c>
      <c r="AB92" s="172">
        <f t="shared" si="22"/>
        <v>0</v>
      </c>
      <c r="AC92" s="172">
        <f t="shared" si="22"/>
        <v>0</v>
      </c>
      <c r="AD92" s="172">
        <f t="shared" si="22"/>
        <v>0</v>
      </c>
      <c r="AE92" s="172">
        <f t="shared" si="22"/>
        <v>0</v>
      </c>
      <c r="AF92" s="171">
        <f t="shared" si="22"/>
        <v>0</v>
      </c>
      <c r="AG92" s="152">
        <f t="shared" si="23"/>
        <v>0</v>
      </c>
    </row>
    <row r="93">
      <c r="A93" s="153" t="s">
        <v>156</v>
      </c>
      <c r="B93" s="171">
        <f t="shared" ref="B93:AF93" si="24">B57-B116</f>
        <v>110</v>
      </c>
      <c r="C93" s="172">
        <f t="shared" si="24"/>
        <v>114</v>
      </c>
      <c r="D93" s="172">
        <f t="shared" si="24"/>
        <v>157</v>
      </c>
      <c r="E93" s="172">
        <f t="shared" si="24"/>
        <v>96</v>
      </c>
      <c r="F93" s="172">
        <f t="shared" si="24"/>
        <v>109</v>
      </c>
      <c r="G93" s="172">
        <f t="shared" si="24"/>
        <v>111</v>
      </c>
      <c r="H93" s="172">
        <f t="shared" si="24"/>
        <v>88</v>
      </c>
      <c r="I93" s="172">
        <f t="shared" si="24"/>
        <v>87</v>
      </c>
      <c r="J93" s="172">
        <f t="shared" si="24"/>
        <v>56</v>
      </c>
      <c r="K93" s="172">
        <f t="shared" si="24"/>
        <v>48</v>
      </c>
      <c r="L93" s="172">
        <f t="shared" si="24"/>
        <v>54</v>
      </c>
      <c r="M93" s="172">
        <f t="shared" si="24"/>
        <v>45</v>
      </c>
      <c r="N93" s="172">
        <f t="shared" si="24"/>
        <v>38</v>
      </c>
      <c r="O93" s="172">
        <f t="shared" si="24"/>
        <v>31</v>
      </c>
      <c r="P93" s="172">
        <f t="shared" si="24"/>
        <v>32</v>
      </c>
      <c r="Q93" s="172">
        <f t="shared" si="24"/>
        <v>25</v>
      </c>
      <c r="R93" s="172">
        <f t="shared" si="24"/>
        <v>46</v>
      </c>
      <c r="S93" s="172">
        <f t="shared" si="24"/>
        <v>37</v>
      </c>
      <c r="T93" s="172">
        <f t="shared" si="24"/>
        <v>35</v>
      </c>
      <c r="U93" s="172">
        <f t="shared" si="24"/>
        <v>41</v>
      </c>
      <c r="V93" s="172">
        <f t="shared" si="24"/>
        <v>27</v>
      </c>
      <c r="W93" s="172">
        <f t="shared" si="24"/>
        <v>26</v>
      </c>
      <c r="X93" s="172">
        <f t="shared" si="24"/>
        <v>22</v>
      </c>
      <c r="Y93" s="172">
        <f t="shared" si="24"/>
        <v>23</v>
      </c>
      <c r="Z93" s="172">
        <f t="shared" si="24"/>
        <v>16</v>
      </c>
      <c r="AA93" s="172">
        <f t="shared" si="24"/>
        <v>34</v>
      </c>
      <c r="AB93" s="172">
        <f t="shared" si="24"/>
        <v>22</v>
      </c>
      <c r="AC93" s="172">
        <f t="shared" si="24"/>
        <v>30</v>
      </c>
      <c r="AD93" s="172">
        <f t="shared" si="24"/>
        <v>26</v>
      </c>
      <c r="AE93" s="172">
        <f t="shared" si="24"/>
        <v>17</v>
      </c>
      <c r="AF93" s="171">
        <f t="shared" si="24"/>
        <v>29</v>
      </c>
      <c r="AG93" s="152">
        <f t="shared" si="23"/>
        <v>1632</v>
      </c>
    </row>
    <row r="94">
      <c r="A94" s="153" t="s">
        <v>157</v>
      </c>
      <c r="B94" s="171">
        <f t="shared" ref="B94:AF94" si="25">B58-B117</f>
        <v>0</v>
      </c>
      <c r="C94" s="172">
        <f t="shared" si="25"/>
        <v>0</v>
      </c>
      <c r="D94" s="172">
        <f t="shared" si="25"/>
        <v>0</v>
      </c>
      <c r="E94" s="172">
        <f t="shared" si="25"/>
        <v>0</v>
      </c>
      <c r="F94" s="172">
        <f t="shared" si="25"/>
        <v>0</v>
      </c>
      <c r="G94" s="172">
        <f t="shared" si="25"/>
        <v>0</v>
      </c>
      <c r="H94" s="172">
        <f t="shared" si="25"/>
        <v>0</v>
      </c>
      <c r="I94" s="172">
        <f t="shared" si="25"/>
        <v>0</v>
      </c>
      <c r="J94" s="172">
        <f t="shared" si="25"/>
        <v>0</v>
      </c>
      <c r="K94" s="172">
        <f t="shared" si="25"/>
        <v>0</v>
      </c>
      <c r="L94" s="172">
        <f t="shared" si="25"/>
        <v>0</v>
      </c>
      <c r="M94" s="172">
        <f t="shared" si="25"/>
        <v>0</v>
      </c>
      <c r="N94" s="172">
        <f t="shared" si="25"/>
        <v>0</v>
      </c>
      <c r="O94" s="172">
        <f t="shared" si="25"/>
        <v>0</v>
      </c>
      <c r="P94" s="172">
        <f t="shared" si="25"/>
        <v>0</v>
      </c>
      <c r="Q94" s="172">
        <f t="shared" si="25"/>
        <v>0</v>
      </c>
      <c r="R94" s="172">
        <f t="shared" si="25"/>
        <v>0</v>
      </c>
      <c r="S94" s="172">
        <f t="shared" si="25"/>
        <v>0</v>
      </c>
      <c r="T94" s="172">
        <f t="shared" si="25"/>
        <v>0</v>
      </c>
      <c r="U94" s="172">
        <f t="shared" si="25"/>
        <v>0</v>
      </c>
      <c r="V94" s="172">
        <f t="shared" si="25"/>
        <v>0</v>
      </c>
      <c r="W94" s="172">
        <f t="shared" si="25"/>
        <v>0</v>
      </c>
      <c r="X94" s="172">
        <f t="shared" si="25"/>
        <v>0</v>
      </c>
      <c r="Y94" s="172">
        <f t="shared" si="25"/>
        <v>0</v>
      </c>
      <c r="Z94" s="172">
        <f t="shared" si="25"/>
        <v>0</v>
      </c>
      <c r="AA94" s="172">
        <f t="shared" si="25"/>
        <v>0</v>
      </c>
      <c r="AB94" s="172">
        <f t="shared" si="25"/>
        <v>0</v>
      </c>
      <c r="AC94" s="172">
        <f t="shared" si="25"/>
        <v>0</v>
      </c>
      <c r="AD94" s="172">
        <f t="shared" si="25"/>
        <v>0</v>
      </c>
      <c r="AE94" s="172">
        <f t="shared" si="25"/>
        <v>0</v>
      </c>
      <c r="AF94" s="171">
        <f t="shared" si="25"/>
        <v>0</v>
      </c>
      <c r="AG94" s="152">
        <f t="shared" si="23"/>
        <v>0</v>
      </c>
    </row>
    <row r="95">
      <c r="A95" s="158" t="s">
        <v>127</v>
      </c>
      <c r="B95" s="173">
        <f t="shared" ref="B95:AF95" si="26">SUM(B91:B94)</f>
        <v>144</v>
      </c>
      <c r="C95" s="173">
        <f t="shared" si="26"/>
        <v>153</v>
      </c>
      <c r="D95" s="173">
        <f t="shared" si="26"/>
        <v>193</v>
      </c>
      <c r="E95" s="173">
        <f t="shared" si="26"/>
        <v>133</v>
      </c>
      <c r="F95" s="173">
        <f t="shared" si="26"/>
        <v>145</v>
      </c>
      <c r="G95" s="173">
        <f t="shared" si="26"/>
        <v>174</v>
      </c>
      <c r="H95" s="173">
        <f t="shared" si="26"/>
        <v>137</v>
      </c>
      <c r="I95" s="173">
        <f t="shared" si="26"/>
        <v>117</v>
      </c>
      <c r="J95" s="173">
        <f t="shared" si="26"/>
        <v>79</v>
      </c>
      <c r="K95" s="173">
        <f t="shared" si="26"/>
        <v>67</v>
      </c>
      <c r="L95" s="173">
        <f t="shared" si="26"/>
        <v>75</v>
      </c>
      <c r="M95" s="173">
        <f t="shared" si="26"/>
        <v>69</v>
      </c>
      <c r="N95" s="173">
        <f t="shared" si="26"/>
        <v>53</v>
      </c>
      <c r="O95" s="173">
        <f t="shared" si="26"/>
        <v>50</v>
      </c>
      <c r="P95" s="173">
        <f t="shared" si="26"/>
        <v>42</v>
      </c>
      <c r="Q95" s="173">
        <f t="shared" si="26"/>
        <v>34</v>
      </c>
      <c r="R95" s="173">
        <f t="shared" si="26"/>
        <v>53</v>
      </c>
      <c r="S95" s="173">
        <f t="shared" si="26"/>
        <v>47</v>
      </c>
      <c r="T95" s="173">
        <f t="shared" si="26"/>
        <v>47</v>
      </c>
      <c r="U95" s="173">
        <f t="shared" si="26"/>
        <v>53</v>
      </c>
      <c r="V95" s="173">
        <f t="shared" si="26"/>
        <v>46</v>
      </c>
      <c r="W95" s="173">
        <f t="shared" si="26"/>
        <v>33</v>
      </c>
      <c r="X95" s="173">
        <f t="shared" si="26"/>
        <v>28</v>
      </c>
      <c r="Y95" s="173">
        <f t="shared" si="26"/>
        <v>31</v>
      </c>
      <c r="Z95" s="173">
        <f t="shared" si="26"/>
        <v>23</v>
      </c>
      <c r="AA95" s="173">
        <f t="shared" si="26"/>
        <v>44</v>
      </c>
      <c r="AB95" s="173">
        <f t="shared" si="26"/>
        <v>34</v>
      </c>
      <c r="AC95" s="173">
        <f t="shared" si="26"/>
        <v>41</v>
      </c>
      <c r="AD95" s="173">
        <f t="shared" si="26"/>
        <v>37</v>
      </c>
      <c r="AE95" s="173">
        <f t="shared" si="26"/>
        <v>26</v>
      </c>
      <c r="AF95" s="173">
        <f t="shared" si="26"/>
        <v>40</v>
      </c>
      <c r="AG95" s="152">
        <f t="shared" si="23"/>
        <v>2248</v>
      </c>
    </row>
    <row r="96">
      <c r="A96" s="105"/>
      <c r="B96" s="106"/>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52"/>
    </row>
    <row r="97">
      <c r="A97" s="174" t="s">
        <v>158</v>
      </c>
      <c r="B97" s="171">
        <f t="shared" ref="B97:AF97" si="27">B61-B120</f>
        <v>1</v>
      </c>
      <c r="C97" s="172">
        <f t="shared" si="27"/>
        <v>2</v>
      </c>
      <c r="D97" s="172">
        <f t="shared" si="27"/>
        <v>3</v>
      </c>
      <c r="E97" s="172">
        <f t="shared" si="27"/>
        <v>4</v>
      </c>
      <c r="F97" s="172">
        <f t="shared" si="27"/>
        <v>6</v>
      </c>
      <c r="G97" s="172">
        <f t="shared" si="27"/>
        <v>3</v>
      </c>
      <c r="H97" s="172">
        <f t="shared" si="27"/>
        <v>5</v>
      </c>
      <c r="I97" s="172">
        <f t="shared" si="27"/>
        <v>5</v>
      </c>
      <c r="J97" s="172">
        <f t="shared" si="27"/>
        <v>5</v>
      </c>
      <c r="K97" s="172">
        <f t="shared" si="27"/>
        <v>4</v>
      </c>
      <c r="L97" s="172">
        <f t="shared" si="27"/>
        <v>6</v>
      </c>
      <c r="M97" s="172">
        <f t="shared" si="27"/>
        <v>6</v>
      </c>
      <c r="N97" s="172">
        <f t="shared" si="27"/>
        <v>1</v>
      </c>
      <c r="O97" s="172">
        <f t="shared" si="27"/>
        <v>2</v>
      </c>
      <c r="P97" s="172">
        <f t="shared" si="27"/>
        <v>5</v>
      </c>
      <c r="Q97" s="172">
        <f t="shared" si="27"/>
        <v>2</v>
      </c>
      <c r="R97" s="172">
        <f t="shared" si="27"/>
        <v>3</v>
      </c>
      <c r="S97" s="172">
        <f t="shared" si="27"/>
        <v>2</v>
      </c>
      <c r="T97" s="172">
        <f t="shared" si="27"/>
        <v>2</v>
      </c>
      <c r="U97" s="172">
        <f t="shared" si="27"/>
        <v>1</v>
      </c>
      <c r="V97" s="172">
        <f t="shared" si="27"/>
        <v>3</v>
      </c>
      <c r="W97" s="172">
        <f t="shared" si="27"/>
        <v>2</v>
      </c>
      <c r="X97" s="172">
        <f t="shared" si="27"/>
        <v>2</v>
      </c>
      <c r="Y97" s="172">
        <f t="shared" si="27"/>
        <v>1</v>
      </c>
      <c r="Z97" s="172">
        <f t="shared" si="27"/>
        <v>2</v>
      </c>
      <c r="AA97" s="172">
        <f t="shared" si="27"/>
        <v>3</v>
      </c>
      <c r="AB97" s="172">
        <f t="shared" si="27"/>
        <v>1</v>
      </c>
      <c r="AC97" s="172">
        <f t="shared" si="27"/>
        <v>5</v>
      </c>
      <c r="AD97" s="172">
        <f t="shared" si="27"/>
        <v>1</v>
      </c>
      <c r="AE97" s="172">
        <f t="shared" si="27"/>
        <v>2</v>
      </c>
      <c r="AF97" s="172">
        <f t="shared" si="27"/>
        <v>0</v>
      </c>
      <c r="AG97" s="152">
        <f t="shared" ref="AG97:AG99" si="29">SUM(B97:AF97)</f>
        <v>90</v>
      </c>
    </row>
    <row r="98">
      <c r="A98" s="174" t="s">
        <v>159</v>
      </c>
      <c r="B98" s="171">
        <f t="shared" ref="B98:AF98" si="28">B62-B121</f>
        <v>7</v>
      </c>
      <c r="C98" s="172">
        <f t="shared" si="28"/>
        <v>8</v>
      </c>
      <c r="D98" s="172">
        <f t="shared" si="28"/>
        <v>12</v>
      </c>
      <c r="E98" s="172">
        <f t="shared" si="28"/>
        <v>6</v>
      </c>
      <c r="F98" s="172">
        <f t="shared" si="28"/>
        <v>12</v>
      </c>
      <c r="G98" s="172">
        <f t="shared" si="28"/>
        <v>8</v>
      </c>
      <c r="H98" s="172">
        <f t="shared" si="28"/>
        <v>5</v>
      </c>
      <c r="I98" s="172">
        <f t="shared" si="28"/>
        <v>3</v>
      </c>
      <c r="J98" s="172">
        <f t="shared" si="28"/>
        <v>6</v>
      </c>
      <c r="K98" s="172">
        <f t="shared" si="28"/>
        <v>5</v>
      </c>
      <c r="L98" s="172">
        <f t="shared" si="28"/>
        <v>10</v>
      </c>
      <c r="M98" s="172">
        <f t="shared" si="28"/>
        <v>18</v>
      </c>
      <c r="N98" s="172">
        <f t="shared" si="28"/>
        <v>5</v>
      </c>
      <c r="O98" s="172">
        <f t="shared" si="28"/>
        <v>10</v>
      </c>
      <c r="P98" s="172">
        <f t="shared" si="28"/>
        <v>2</v>
      </c>
      <c r="Q98" s="172">
        <f t="shared" si="28"/>
        <v>4</v>
      </c>
      <c r="R98" s="172">
        <f t="shared" si="28"/>
        <v>5</v>
      </c>
      <c r="S98" s="172">
        <f t="shared" si="28"/>
        <v>7</v>
      </c>
      <c r="T98" s="172">
        <f t="shared" si="28"/>
        <v>4</v>
      </c>
      <c r="U98" s="172">
        <f t="shared" si="28"/>
        <v>4</v>
      </c>
      <c r="V98" s="172">
        <f t="shared" si="28"/>
        <v>7</v>
      </c>
      <c r="W98" s="172">
        <f t="shared" si="28"/>
        <v>5</v>
      </c>
      <c r="X98" s="172">
        <f t="shared" si="28"/>
        <v>6</v>
      </c>
      <c r="Y98" s="172">
        <f t="shared" si="28"/>
        <v>6</v>
      </c>
      <c r="Z98" s="172">
        <f t="shared" si="28"/>
        <v>10</v>
      </c>
      <c r="AA98" s="172">
        <f t="shared" si="28"/>
        <v>6</v>
      </c>
      <c r="AB98" s="172">
        <f t="shared" si="28"/>
        <v>6</v>
      </c>
      <c r="AC98" s="172">
        <f t="shared" si="28"/>
        <v>2</v>
      </c>
      <c r="AD98" s="172">
        <f t="shared" si="28"/>
        <v>4</v>
      </c>
      <c r="AE98" s="172">
        <f t="shared" si="28"/>
        <v>4</v>
      </c>
      <c r="AF98" s="172">
        <f t="shared" si="28"/>
        <v>6</v>
      </c>
      <c r="AG98" s="152">
        <f t="shared" si="29"/>
        <v>203</v>
      </c>
    </row>
    <row r="99">
      <c r="A99" s="158" t="s">
        <v>130</v>
      </c>
      <c r="B99" s="159">
        <f t="shared" ref="B99:AF99" si="30">SUM(B97:B98)</f>
        <v>8</v>
      </c>
      <c r="C99" s="159">
        <f t="shared" si="30"/>
        <v>10</v>
      </c>
      <c r="D99" s="159">
        <f t="shared" si="30"/>
        <v>15</v>
      </c>
      <c r="E99" s="159">
        <f t="shared" si="30"/>
        <v>10</v>
      </c>
      <c r="F99" s="159">
        <f t="shared" si="30"/>
        <v>18</v>
      </c>
      <c r="G99" s="159">
        <f t="shared" si="30"/>
        <v>11</v>
      </c>
      <c r="H99" s="159">
        <f t="shared" si="30"/>
        <v>10</v>
      </c>
      <c r="I99" s="159">
        <f t="shared" si="30"/>
        <v>8</v>
      </c>
      <c r="J99" s="159">
        <f t="shared" si="30"/>
        <v>11</v>
      </c>
      <c r="K99" s="159">
        <f t="shared" si="30"/>
        <v>9</v>
      </c>
      <c r="L99" s="159">
        <f t="shared" si="30"/>
        <v>16</v>
      </c>
      <c r="M99" s="159">
        <f t="shared" si="30"/>
        <v>24</v>
      </c>
      <c r="N99" s="159">
        <f t="shared" si="30"/>
        <v>6</v>
      </c>
      <c r="O99" s="159">
        <f t="shared" si="30"/>
        <v>12</v>
      </c>
      <c r="P99" s="159">
        <f t="shared" si="30"/>
        <v>7</v>
      </c>
      <c r="Q99" s="159">
        <f t="shared" si="30"/>
        <v>6</v>
      </c>
      <c r="R99" s="159">
        <f t="shared" si="30"/>
        <v>8</v>
      </c>
      <c r="S99" s="159">
        <f t="shared" si="30"/>
        <v>9</v>
      </c>
      <c r="T99" s="159">
        <f t="shared" si="30"/>
        <v>6</v>
      </c>
      <c r="U99" s="159">
        <f t="shared" si="30"/>
        <v>5</v>
      </c>
      <c r="V99" s="159">
        <f t="shared" si="30"/>
        <v>10</v>
      </c>
      <c r="W99" s="159">
        <f t="shared" si="30"/>
        <v>7</v>
      </c>
      <c r="X99" s="159">
        <f t="shared" si="30"/>
        <v>8</v>
      </c>
      <c r="Y99" s="159">
        <f t="shared" si="30"/>
        <v>7</v>
      </c>
      <c r="Z99" s="159">
        <f t="shared" si="30"/>
        <v>12</v>
      </c>
      <c r="AA99" s="159">
        <f t="shared" si="30"/>
        <v>9</v>
      </c>
      <c r="AB99" s="159">
        <f t="shared" si="30"/>
        <v>7</v>
      </c>
      <c r="AC99" s="159">
        <f t="shared" si="30"/>
        <v>7</v>
      </c>
      <c r="AD99" s="159">
        <f t="shared" si="30"/>
        <v>5</v>
      </c>
      <c r="AE99" s="159">
        <f t="shared" si="30"/>
        <v>6</v>
      </c>
      <c r="AF99" s="159">
        <f t="shared" si="30"/>
        <v>6</v>
      </c>
      <c r="AG99" s="152">
        <f t="shared" si="29"/>
        <v>293</v>
      </c>
    </row>
    <row r="100">
      <c r="A100" s="98"/>
      <c r="AG100" s="152"/>
    </row>
    <row r="101">
      <c r="A101" s="174" t="s">
        <v>131</v>
      </c>
      <c r="B101" s="171">
        <f t="shared" ref="B101:AF101" si="31">B65-B124</f>
        <v>32</v>
      </c>
      <c r="C101" s="172">
        <f t="shared" si="31"/>
        <v>32</v>
      </c>
      <c r="D101" s="172">
        <f t="shared" si="31"/>
        <v>40</v>
      </c>
      <c r="E101" s="172">
        <f t="shared" si="31"/>
        <v>28</v>
      </c>
      <c r="F101" s="172">
        <f t="shared" si="31"/>
        <v>40</v>
      </c>
      <c r="G101" s="172">
        <f t="shared" si="31"/>
        <v>33</v>
      </c>
      <c r="H101" s="172">
        <f t="shared" si="31"/>
        <v>25</v>
      </c>
      <c r="I101" s="172">
        <f t="shared" si="31"/>
        <v>22</v>
      </c>
      <c r="J101" s="172">
        <f t="shared" si="31"/>
        <v>14</v>
      </c>
      <c r="K101" s="172">
        <f t="shared" si="31"/>
        <v>9</v>
      </c>
      <c r="L101" s="172">
        <f t="shared" si="31"/>
        <v>10</v>
      </c>
      <c r="M101" s="172">
        <f t="shared" si="31"/>
        <v>19</v>
      </c>
      <c r="N101" s="172">
        <f t="shared" si="31"/>
        <v>14</v>
      </c>
      <c r="O101" s="172">
        <f t="shared" si="31"/>
        <v>15</v>
      </c>
      <c r="P101" s="172">
        <f t="shared" si="31"/>
        <v>7</v>
      </c>
      <c r="Q101" s="172">
        <f t="shared" si="31"/>
        <v>14</v>
      </c>
      <c r="R101" s="172">
        <f t="shared" si="31"/>
        <v>17</v>
      </c>
      <c r="S101" s="172">
        <f t="shared" si="31"/>
        <v>15</v>
      </c>
      <c r="T101" s="172">
        <f t="shared" si="31"/>
        <v>14</v>
      </c>
      <c r="U101" s="172">
        <f t="shared" si="31"/>
        <v>3</v>
      </c>
      <c r="V101" s="172">
        <f t="shared" si="31"/>
        <v>9</v>
      </c>
      <c r="W101" s="172">
        <f t="shared" si="31"/>
        <v>8</v>
      </c>
      <c r="X101" s="172">
        <f t="shared" si="31"/>
        <v>6</v>
      </c>
      <c r="Y101" s="172">
        <f t="shared" si="31"/>
        <v>3</v>
      </c>
      <c r="Z101" s="172">
        <f t="shared" si="31"/>
        <v>4</v>
      </c>
      <c r="AA101" s="172">
        <f t="shared" si="31"/>
        <v>8</v>
      </c>
      <c r="AB101" s="172">
        <f t="shared" si="31"/>
        <v>13</v>
      </c>
      <c r="AC101" s="172">
        <f t="shared" si="31"/>
        <v>8</v>
      </c>
      <c r="AD101" s="172">
        <f t="shared" si="31"/>
        <v>8</v>
      </c>
      <c r="AE101" s="172">
        <f t="shared" si="31"/>
        <v>10</v>
      </c>
      <c r="AF101" s="172">
        <f t="shared" si="31"/>
        <v>9</v>
      </c>
      <c r="AG101" s="152">
        <f t="shared" ref="AG101:AG111" si="33">SUM(B101:AF101)</f>
        <v>489</v>
      </c>
    </row>
    <row r="102">
      <c r="A102" s="174" t="s">
        <v>132</v>
      </c>
      <c r="B102" s="171">
        <f t="shared" ref="B102:AF102" si="32">B66-B125</f>
        <v>6</v>
      </c>
      <c r="C102" s="172">
        <f t="shared" si="32"/>
        <v>11</v>
      </c>
      <c r="D102" s="172">
        <f t="shared" si="32"/>
        <v>25</v>
      </c>
      <c r="E102" s="172">
        <f t="shared" si="32"/>
        <v>14</v>
      </c>
      <c r="F102" s="172">
        <f t="shared" si="32"/>
        <v>21</v>
      </c>
      <c r="G102" s="172">
        <f t="shared" si="32"/>
        <v>18</v>
      </c>
      <c r="H102" s="172">
        <f t="shared" si="32"/>
        <v>9</v>
      </c>
      <c r="I102" s="172">
        <f t="shared" si="32"/>
        <v>6</v>
      </c>
      <c r="J102" s="172">
        <f t="shared" si="32"/>
        <v>10</v>
      </c>
      <c r="K102" s="172">
        <f t="shared" si="32"/>
        <v>6</v>
      </c>
      <c r="L102" s="172">
        <f t="shared" si="32"/>
        <v>12</v>
      </c>
      <c r="M102" s="172">
        <f t="shared" si="32"/>
        <v>15</v>
      </c>
      <c r="N102" s="172">
        <f t="shared" si="32"/>
        <v>5</v>
      </c>
      <c r="O102" s="172">
        <f t="shared" si="32"/>
        <v>8</v>
      </c>
      <c r="P102" s="172">
        <f t="shared" si="32"/>
        <v>3</v>
      </c>
      <c r="Q102" s="172">
        <f t="shared" si="32"/>
        <v>6</v>
      </c>
      <c r="R102" s="172">
        <f t="shared" si="32"/>
        <v>5</v>
      </c>
      <c r="S102" s="172">
        <f t="shared" si="32"/>
        <v>8</v>
      </c>
      <c r="T102" s="172">
        <f t="shared" si="32"/>
        <v>6</v>
      </c>
      <c r="U102" s="172">
        <f t="shared" si="32"/>
        <v>2</v>
      </c>
      <c r="V102" s="172">
        <f t="shared" si="32"/>
        <v>7</v>
      </c>
      <c r="W102" s="172">
        <f t="shared" si="32"/>
        <v>0</v>
      </c>
      <c r="X102" s="172">
        <f t="shared" si="32"/>
        <v>1</v>
      </c>
      <c r="Y102" s="172">
        <f t="shared" si="32"/>
        <v>3</v>
      </c>
      <c r="Z102" s="172">
        <f t="shared" si="32"/>
        <v>4</v>
      </c>
      <c r="AA102" s="172">
        <f t="shared" si="32"/>
        <v>5</v>
      </c>
      <c r="AB102" s="172">
        <f t="shared" si="32"/>
        <v>8</v>
      </c>
      <c r="AC102" s="172">
        <f t="shared" si="32"/>
        <v>5</v>
      </c>
      <c r="AD102" s="172">
        <f t="shared" si="32"/>
        <v>5</v>
      </c>
      <c r="AE102" s="172">
        <f t="shared" si="32"/>
        <v>4</v>
      </c>
      <c r="AF102" s="172">
        <f t="shared" si="32"/>
        <v>3</v>
      </c>
      <c r="AG102" s="152">
        <f t="shared" si="33"/>
        <v>241</v>
      </c>
    </row>
    <row r="103">
      <c r="A103" s="174" t="s">
        <v>160</v>
      </c>
      <c r="B103" s="171">
        <f t="shared" ref="B103:AF103" si="34">B67-B126</f>
        <v>12</v>
      </c>
      <c r="C103" s="172">
        <f t="shared" si="34"/>
        <v>16</v>
      </c>
      <c r="D103" s="172">
        <f t="shared" si="34"/>
        <v>32</v>
      </c>
      <c r="E103" s="172">
        <f t="shared" si="34"/>
        <v>19</v>
      </c>
      <c r="F103" s="172">
        <f t="shared" si="34"/>
        <v>26</v>
      </c>
      <c r="G103" s="172">
        <f t="shared" si="34"/>
        <v>29</v>
      </c>
      <c r="H103" s="172">
        <f t="shared" si="34"/>
        <v>24</v>
      </c>
      <c r="I103" s="172">
        <f t="shared" si="34"/>
        <v>11</v>
      </c>
      <c r="J103" s="172">
        <f t="shared" si="34"/>
        <v>19</v>
      </c>
      <c r="K103" s="172">
        <f t="shared" si="34"/>
        <v>12</v>
      </c>
      <c r="L103" s="172">
        <f t="shared" si="34"/>
        <v>15</v>
      </c>
      <c r="M103" s="172">
        <f t="shared" si="34"/>
        <v>19</v>
      </c>
      <c r="N103" s="172">
        <f t="shared" si="34"/>
        <v>6</v>
      </c>
      <c r="O103" s="172">
        <f t="shared" si="34"/>
        <v>10</v>
      </c>
      <c r="P103" s="172">
        <f t="shared" si="34"/>
        <v>11</v>
      </c>
      <c r="Q103" s="172">
        <f t="shared" si="34"/>
        <v>13</v>
      </c>
      <c r="R103" s="172">
        <f t="shared" si="34"/>
        <v>15</v>
      </c>
      <c r="S103" s="172">
        <f t="shared" si="34"/>
        <v>11</v>
      </c>
      <c r="T103" s="172">
        <f t="shared" si="34"/>
        <v>11</v>
      </c>
      <c r="U103" s="172">
        <f t="shared" si="34"/>
        <v>6</v>
      </c>
      <c r="V103" s="172">
        <f t="shared" si="34"/>
        <v>20</v>
      </c>
      <c r="W103" s="172">
        <f t="shared" si="34"/>
        <v>7</v>
      </c>
      <c r="X103" s="172">
        <f t="shared" si="34"/>
        <v>8</v>
      </c>
      <c r="Y103" s="172">
        <f t="shared" si="34"/>
        <v>8</v>
      </c>
      <c r="Z103" s="172">
        <f t="shared" si="34"/>
        <v>5</v>
      </c>
      <c r="AA103" s="172">
        <f t="shared" si="34"/>
        <v>10</v>
      </c>
      <c r="AB103" s="172">
        <f t="shared" si="34"/>
        <v>13</v>
      </c>
      <c r="AC103" s="172">
        <f t="shared" si="34"/>
        <v>18</v>
      </c>
      <c r="AD103" s="172">
        <f t="shared" si="34"/>
        <v>9</v>
      </c>
      <c r="AE103" s="172">
        <f t="shared" si="34"/>
        <v>10</v>
      </c>
      <c r="AF103" s="172">
        <f t="shared" si="34"/>
        <v>4</v>
      </c>
      <c r="AG103" s="152">
        <f t="shared" si="33"/>
        <v>429</v>
      </c>
    </row>
    <row r="104">
      <c r="A104" s="174" t="s">
        <v>161</v>
      </c>
      <c r="B104" s="171">
        <f t="shared" ref="B104:AF104" si="35">B68-B127</f>
        <v>2</v>
      </c>
      <c r="C104" s="172">
        <f t="shared" si="35"/>
        <v>2</v>
      </c>
      <c r="D104" s="172">
        <f t="shared" si="35"/>
        <v>0</v>
      </c>
      <c r="E104" s="172">
        <f t="shared" si="35"/>
        <v>2</v>
      </c>
      <c r="F104" s="172">
        <f t="shared" si="35"/>
        <v>0</v>
      </c>
      <c r="G104" s="172">
        <f t="shared" si="35"/>
        <v>2</v>
      </c>
      <c r="H104" s="172">
        <f t="shared" si="35"/>
        <v>1</v>
      </c>
      <c r="I104" s="172">
        <f t="shared" si="35"/>
        <v>1</v>
      </c>
      <c r="J104" s="172">
        <f t="shared" si="35"/>
        <v>1</v>
      </c>
      <c r="K104" s="172">
        <f t="shared" si="35"/>
        <v>0</v>
      </c>
      <c r="L104" s="172">
        <f t="shared" si="35"/>
        <v>2</v>
      </c>
      <c r="M104" s="172">
        <f t="shared" si="35"/>
        <v>0</v>
      </c>
      <c r="N104" s="172">
        <f t="shared" si="35"/>
        <v>2</v>
      </c>
      <c r="O104" s="172">
        <f t="shared" si="35"/>
        <v>0</v>
      </c>
      <c r="P104" s="172">
        <f t="shared" si="35"/>
        <v>0</v>
      </c>
      <c r="Q104" s="172">
        <f t="shared" si="35"/>
        <v>0</v>
      </c>
      <c r="R104" s="172">
        <f t="shared" si="35"/>
        <v>1</v>
      </c>
      <c r="S104" s="172">
        <f t="shared" si="35"/>
        <v>1</v>
      </c>
      <c r="T104" s="172">
        <f t="shared" si="35"/>
        <v>0</v>
      </c>
      <c r="U104" s="172">
        <f t="shared" si="35"/>
        <v>0</v>
      </c>
      <c r="V104" s="172">
        <f t="shared" si="35"/>
        <v>4</v>
      </c>
      <c r="W104" s="172">
        <f t="shared" si="35"/>
        <v>1</v>
      </c>
      <c r="X104" s="172">
        <f t="shared" si="35"/>
        <v>0</v>
      </c>
      <c r="Y104" s="172">
        <f t="shared" si="35"/>
        <v>3</v>
      </c>
      <c r="Z104" s="172">
        <f t="shared" si="35"/>
        <v>2</v>
      </c>
      <c r="AA104" s="172">
        <f t="shared" si="35"/>
        <v>1</v>
      </c>
      <c r="AB104" s="172">
        <f t="shared" si="35"/>
        <v>0</v>
      </c>
      <c r="AC104" s="172">
        <f t="shared" si="35"/>
        <v>0</v>
      </c>
      <c r="AD104" s="172">
        <f t="shared" si="35"/>
        <v>1</v>
      </c>
      <c r="AE104" s="172">
        <f t="shared" si="35"/>
        <v>1</v>
      </c>
      <c r="AF104" s="172">
        <f t="shared" si="35"/>
        <v>1</v>
      </c>
      <c r="AG104" s="152">
        <f t="shared" si="33"/>
        <v>31</v>
      </c>
    </row>
    <row r="105">
      <c r="A105" s="174" t="s">
        <v>162</v>
      </c>
      <c r="B105" s="171">
        <f t="shared" ref="B105:AF105" si="36">B69-B128</f>
        <v>16</v>
      </c>
      <c r="C105" s="172">
        <f t="shared" si="36"/>
        <v>16</v>
      </c>
      <c r="D105" s="172">
        <f t="shared" si="36"/>
        <v>13</v>
      </c>
      <c r="E105" s="172">
        <f t="shared" si="36"/>
        <v>11</v>
      </c>
      <c r="F105" s="172">
        <f t="shared" si="36"/>
        <v>3</v>
      </c>
      <c r="G105" s="172">
        <f t="shared" si="36"/>
        <v>8</v>
      </c>
      <c r="H105" s="172">
        <f t="shared" si="36"/>
        <v>19</v>
      </c>
      <c r="I105" s="172">
        <f t="shared" si="36"/>
        <v>16</v>
      </c>
      <c r="J105" s="172">
        <f t="shared" si="36"/>
        <v>5</v>
      </c>
      <c r="K105" s="172">
        <f t="shared" si="36"/>
        <v>5</v>
      </c>
      <c r="L105" s="172">
        <f t="shared" si="36"/>
        <v>9</v>
      </c>
      <c r="M105" s="172">
        <f t="shared" si="36"/>
        <v>16</v>
      </c>
      <c r="N105" s="172">
        <f t="shared" si="36"/>
        <v>14</v>
      </c>
      <c r="O105" s="172">
        <f t="shared" si="36"/>
        <v>10</v>
      </c>
      <c r="P105" s="172">
        <f t="shared" si="36"/>
        <v>7</v>
      </c>
      <c r="Q105" s="172">
        <f t="shared" si="36"/>
        <v>9</v>
      </c>
      <c r="R105" s="172">
        <f t="shared" si="36"/>
        <v>5</v>
      </c>
      <c r="S105" s="172">
        <f t="shared" si="36"/>
        <v>13</v>
      </c>
      <c r="T105" s="172">
        <f t="shared" si="36"/>
        <v>8</v>
      </c>
      <c r="U105" s="172">
        <f t="shared" si="36"/>
        <v>7</v>
      </c>
      <c r="V105" s="172">
        <f t="shared" si="36"/>
        <v>10</v>
      </c>
      <c r="W105" s="172">
        <f t="shared" si="36"/>
        <v>8</v>
      </c>
      <c r="X105" s="172">
        <f t="shared" si="36"/>
        <v>6</v>
      </c>
      <c r="Y105" s="172">
        <f t="shared" si="36"/>
        <v>6</v>
      </c>
      <c r="Z105" s="172">
        <f t="shared" si="36"/>
        <v>8</v>
      </c>
      <c r="AA105" s="172">
        <f t="shared" si="36"/>
        <v>8</v>
      </c>
      <c r="AB105" s="172">
        <f t="shared" si="36"/>
        <v>10</v>
      </c>
      <c r="AC105" s="172">
        <f t="shared" si="36"/>
        <v>5</v>
      </c>
      <c r="AD105" s="172">
        <f t="shared" si="36"/>
        <v>12</v>
      </c>
      <c r="AE105" s="172">
        <f t="shared" si="36"/>
        <v>2</v>
      </c>
      <c r="AF105" s="172">
        <f t="shared" si="36"/>
        <v>4</v>
      </c>
      <c r="AG105" s="152">
        <f t="shared" si="33"/>
        <v>289</v>
      </c>
    </row>
    <row r="106">
      <c r="A106" s="174" t="s">
        <v>163</v>
      </c>
      <c r="B106" s="171">
        <f t="shared" ref="B106:AF106" si="37">B70-B129</f>
        <v>2</v>
      </c>
      <c r="C106" s="172">
        <f t="shared" si="37"/>
        <v>5</v>
      </c>
      <c r="D106" s="172">
        <f t="shared" si="37"/>
        <v>0</v>
      </c>
      <c r="E106" s="172">
        <f t="shared" si="37"/>
        <v>3</v>
      </c>
      <c r="F106" s="172">
        <f t="shared" si="37"/>
        <v>2</v>
      </c>
      <c r="G106" s="172">
        <f t="shared" si="37"/>
        <v>4</v>
      </c>
      <c r="H106" s="172">
        <f t="shared" si="37"/>
        <v>3</v>
      </c>
      <c r="I106" s="172">
        <f t="shared" si="37"/>
        <v>1</v>
      </c>
      <c r="J106" s="172">
        <f t="shared" si="37"/>
        <v>2</v>
      </c>
      <c r="K106" s="172">
        <f t="shared" si="37"/>
        <v>1</v>
      </c>
      <c r="L106" s="172">
        <f t="shared" si="37"/>
        <v>1</v>
      </c>
      <c r="M106" s="172">
        <f t="shared" si="37"/>
        <v>1</v>
      </c>
      <c r="N106" s="172">
        <f t="shared" si="37"/>
        <v>2</v>
      </c>
      <c r="O106" s="172">
        <f t="shared" si="37"/>
        <v>2</v>
      </c>
      <c r="P106" s="172">
        <f t="shared" si="37"/>
        <v>1</v>
      </c>
      <c r="Q106" s="172">
        <f t="shared" si="37"/>
        <v>0</v>
      </c>
      <c r="R106" s="172">
        <f t="shared" si="37"/>
        <v>2</v>
      </c>
      <c r="S106" s="172">
        <f t="shared" si="37"/>
        <v>6</v>
      </c>
      <c r="T106" s="172">
        <f t="shared" si="37"/>
        <v>1</v>
      </c>
      <c r="U106" s="172">
        <f t="shared" si="37"/>
        <v>2</v>
      </c>
      <c r="V106" s="172">
        <f t="shared" si="37"/>
        <v>1</v>
      </c>
      <c r="W106" s="172">
        <f t="shared" si="37"/>
        <v>2</v>
      </c>
      <c r="X106" s="172">
        <f t="shared" si="37"/>
        <v>0</v>
      </c>
      <c r="Y106" s="172">
        <f t="shared" si="37"/>
        <v>0</v>
      </c>
      <c r="Z106" s="172">
        <f t="shared" si="37"/>
        <v>0</v>
      </c>
      <c r="AA106" s="172">
        <f t="shared" si="37"/>
        <v>1</v>
      </c>
      <c r="AB106" s="172">
        <f t="shared" si="37"/>
        <v>1</v>
      </c>
      <c r="AC106" s="172">
        <f t="shared" si="37"/>
        <v>0</v>
      </c>
      <c r="AD106" s="172">
        <f t="shared" si="37"/>
        <v>2</v>
      </c>
      <c r="AE106" s="172">
        <f t="shared" si="37"/>
        <v>1</v>
      </c>
      <c r="AF106" s="172">
        <f t="shared" si="37"/>
        <v>1</v>
      </c>
      <c r="AG106" s="152">
        <f t="shared" si="33"/>
        <v>50</v>
      </c>
    </row>
    <row r="107">
      <c r="A107" s="174" t="s">
        <v>164</v>
      </c>
      <c r="B107" s="171">
        <f t="shared" ref="B107:AF107" si="38">B71-B130</f>
        <v>34</v>
      </c>
      <c r="C107" s="172">
        <f t="shared" si="38"/>
        <v>44</v>
      </c>
      <c r="D107" s="172">
        <f t="shared" si="38"/>
        <v>58</v>
      </c>
      <c r="E107" s="172">
        <f t="shared" si="38"/>
        <v>49</v>
      </c>
      <c r="F107" s="172">
        <f t="shared" si="38"/>
        <v>46</v>
      </c>
      <c r="G107" s="172">
        <f t="shared" si="38"/>
        <v>37</v>
      </c>
      <c r="H107" s="172">
        <f t="shared" si="38"/>
        <v>29</v>
      </c>
      <c r="I107" s="172">
        <f t="shared" si="38"/>
        <v>25</v>
      </c>
      <c r="J107" s="172">
        <f t="shared" si="38"/>
        <v>23</v>
      </c>
      <c r="K107" s="172">
        <f t="shared" si="38"/>
        <v>20</v>
      </c>
      <c r="L107" s="172">
        <f t="shared" si="38"/>
        <v>31</v>
      </c>
      <c r="M107" s="172">
        <f t="shared" si="38"/>
        <v>33</v>
      </c>
      <c r="N107" s="172">
        <f t="shared" si="38"/>
        <v>25</v>
      </c>
      <c r="O107" s="172">
        <f t="shared" si="38"/>
        <v>27</v>
      </c>
      <c r="P107" s="172">
        <f t="shared" si="38"/>
        <v>13</v>
      </c>
      <c r="Q107" s="172">
        <f t="shared" si="38"/>
        <v>15</v>
      </c>
      <c r="R107" s="172">
        <f t="shared" si="38"/>
        <v>22</v>
      </c>
      <c r="S107" s="172">
        <f t="shared" si="38"/>
        <v>22</v>
      </c>
      <c r="T107" s="172">
        <f t="shared" si="38"/>
        <v>23</v>
      </c>
      <c r="U107" s="172">
        <f t="shared" si="38"/>
        <v>16</v>
      </c>
      <c r="V107" s="172">
        <f t="shared" si="38"/>
        <v>16</v>
      </c>
      <c r="W107" s="172">
        <f t="shared" si="38"/>
        <v>18</v>
      </c>
      <c r="X107" s="172">
        <f t="shared" si="38"/>
        <v>10</v>
      </c>
      <c r="Y107" s="172">
        <f t="shared" si="38"/>
        <v>14</v>
      </c>
      <c r="Z107" s="172">
        <f t="shared" si="38"/>
        <v>9</v>
      </c>
      <c r="AA107" s="172">
        <f t="shared" si="38"/>
        <v>20</v>
      </c>
      <c r="AB107" s="172">
        <f t="shared" si="38"/>
        <v>18</v>
      </c>
      <c r="AC107" s="172">
        <f t="shared" si="38"/>
        <v>20</v>
      </c>
      <c r="AD107" s="172">
        <f t="shared" si="38"/>
        <v>12</v>
      </c>
      <c r="AE107" s="172">
        <f t="shared" si="38"/>
        <v>12</v>
      </c>
      <c r="AF107" s="172">
        <f t="shared" si="38"/>
        <v>5</v>
      </c>
      <c r="AG107" s="152">
        <f t="shared" si="33"/>
        <v>746</v>
      </c>
    </row>
    <row r="108">
      <c r="A108" s="174" t="s">
        <v>165</v>
      </c>
      <c r="B108" s="171">
        <f t="shared" ref="B108:AF108" si="39">B72-B131</f>
        <v>8</v>
      </c>
      <c r="C108" s="172">
        <f t="shared" si="39"/>
        <v>4</v>
      </c>
      <c r="D108" s="172">
        <f t="shared" si="39"/>
        <v>4</v>
      </c>
      <c r="E108" s="172">
        <f t="shared" si="39"/>
        <v>3</v>
      </c>
      <c r="F108" s="172">
        <f t="shared" si="39"/>
        <v>2</v>
      </c>
      <c r="G108" s="172">
        <f t="shared" si="39"/>
        <v>3</v>
      </c>
      <c r="H108" s="172">
        <f t="shared" si="39"/>
        <v>3</v>
      </c>
      <c r="I108" s="172">
        <f t="shared" si="39"/>
        <v>1</v>
      </c>
      <c r="J108" s="172">
        <f t="shared" si="39"/>
        <v>4</v>
      </c>
      <c r="K108" s="172">
        <f t="shared" si="39"/>
        <v>1</v>
      </c>
      <c r="L108" s="172">
        <f t="shared" si="39"/>
        <v>4</v>
      </c>
      <c r="M108" s="172">
        <f t="shared" si="39"/>
        <v>3</v>
      </c>
      <c r="N108" s="172">
        <f t="shared" si="39"/>
        <v>5</v>
      </c>
      <c r="O108" s="172">
        <f t="shared" si="39"/>
        <v>2</v>
      </c>
      <c r="P108" s="172">
        <f t="shared" si="39"/>
        <v>2</v>
      </c>
      <c r="Q108" s="172">
        <f t="shared" si="39"/>
        <v>0</v>
      </c>
      <c r="R108" s="172">
        <f t="shared" si="39"/>
        <v>2</v>
      </c>
      <c r="S108" s="172">
        <f t="shared" si="39"/>
        <v>6</v>
      </c>
      <c r="T108" s="172">
        <f t="shared" si="39"/>
        <v>3</v>
      </c>
      <c r="U108" s="172">
        <f t="shared" si="39"/>
        <v>0</v>
      </c>
      <c r="V108" s="172">
        <f t="shared" si="39"/>
        <v>5</v>
      </c>
      <c r="W108" s="172">
        <f t="shared" si="39"/>
        <v>2</v>
      </c>
      <c r="X108" s="172">
        <f t="shared" si="39"/>
        <v>1</v>
      </c>
      <c r="Y108" s="172">
        <f t="shared" si="39"/>
        <v>2</v>
      </c>
      <c r="Z108" s="172">
        <f t="shared" si="39"/>
        <v>2</v>
      </c>
      <c r="AA108" s="172">
        <f t="shared" si="39"/>
        <v>0</v>
      </c>
      <c r="AB108" s="172">
        <f t="shared" si="39"/>
        <v>0</v>
      </c>
      <c r="AC108" s="172">
        <f t="shared" si="39"/>
        <v>2</v>
      </c>
      <c r="AD108" s="172">
        <f t="shared" si="39"/>
        <v>2</v>
      </c>
      <c r="AE108" s="172">
        <f t="shared" si="39"/>
        <v>2</v>
      </c>
      <c r="AF108" s="172">
        <f t="shared" si="39"/>
        <v>0</v>
      </c>
      <c r="AG108" s="152">
        <f t="shared" si="33"/>
        <v>78</v>
      </c>
    </row>
    <row r="109">
      <c r="A109" s="174" t="s">
        <v>166</v>
      </c>
      <c r="B109" s="171">
        <f t="shared" ref="B109:AF109" si="40">B73-B132</f>
        <v>0</v>
      </c>
      <c r="C109" s="172">
        <f t="shared" si="40"/>
        <v>0</v>
      </c>
      <c r="D109" s="172">
        <f t="shared" si="40"/>
        <v>0</v>
      </c>
      <c r="E109" s="172">
        <f t="shared" si="40"/>
        <v>1</v>
      </c>
      <c r="F109" s="172">
        <f t="shared" si="40"/>
        <v>1</v>
      </c>
      <c r="G109" s="172">
        <f t="shared" si="40"/>
        <v>0</v>
      </c>
      <c r="H109" s="172">
        <f t="shared" si="40"/>
        <v>1</v>
      </c>
      <c r="I109" s="172">
        <f t="shared" si="40"/>
        <v>1</v>
      </c>
      <c r="J109" s="172">
        <f t="shared" si="40"/>
        <v>1</v>
      </c>
      <c r="K109" s="172">
        <f t="shared" si="40"/>
        <v>1</v>
      </c>
      <c r="L109" s="172">
        <f t="shared" si="40"/>
        <v>1</v>
      </c>
      <c r="M109" s="172">
        <f t="shared" si="40"/>
        <v>3</v>
      </c>
      <c r="N109" s="172">
        <f t="shared" si="40"/>
        <v>0</v>
      </c>
      <c r="O109" s="172">
        <f t="shared" si="40"/>
        <v>1</v>
      </c>
      <c r="P109" s="172">
        <f t="shared" si="40"/>
        <v>2</v>
      </c>
      <c r="Q109" s="172">
        <f t="shared" si="40"/>
        <v>1</v>
      </c>
      <c r="R109" s="172">
        <f t="shared" si="40"/>
        <v>1</v>
      </c>
      <c r="S109" s="172">
        <f t="shared" si="40"/>
        <v>1</v>
      </c>
      <c r="T109" s="172">
        <f t="shared" si="40"/>
        <v>1</v>
      </c>
      <c r="U109" s="172">
        <f t="shared" si="40"/>
        <v>0</v>
      </c>
      <c r="V109" s="172">
        <f t="shared" si="40"/>
        <v>2</v>
      </c>
      <c r="W109" s="172">
        <f t="shared" si="40"/>
        <v>1</v>
      </c>
      <c r="X109" s="172">
        <f t="shared" si="40"/>
        <v>1</v>
      </c>
      <c r="Y109" s="172">
        <f t="shared" si="40"/>
        <v>0</v>
      </c>
      <c r="Z109" s="172">
        <f t="shared" si="40"/>
        <v>1</v>
      </c>
      <c r="AA109" s="172">
        <f t="shared" si="40"/>
        <v>1</v>
      </c>
      <c r="AB109" s="172">
        <f t="shared" si="40"/>
        <v>0</v>
      </c>
      <c r="AC109" s="172">
        <f t="shared" si="40"/>
        <v>0</v>
      </c>
      <c r="AD109" s="172">
        <f t="shared" si="40"/>
        <v>0</v>
      </c>
      <c r="AE109" s="172">
        <f t="shared" si="40"/>
        <v>1</v>
      </c>
      <c r="AF109" s="172">
        <f t="shared" si="40"/>
        <v>0</v>
      </c>
      <c r="AG109" s="152">
        <f t="shared" si="33"/>
        <v>24</v>
      </c>
    </row>
    <row r="110">
      <c r="A110" s="174" t="s">
        <v>167</v>
      </c>
      <c r="B110" s="171">
        <f t="shared" ref="B110:AF110" si="41">B74-B133</f>
        <v>0</v>
      </c>
      <c r="C110" s="172">
        <f t="shared" si="41"/>
        <v>0</v>
      </c>
      <c r="D110" s="172">
        <f t="shared" si="41"/>
        <v>1</v>
      </c>
      <c r="E110" s="172">
        <f t="shared" si="41"/>
        <v>0</v>
      </c>
      <c r="F110" s="172">
        <f t="shared" si="41"/>
        <v>3</v>
      </c>
      <c r="G110" s="172">
        <f t="shared" si="41"/>
        <v>0</v>
      </c>
      <c r="H110" s="172">
        <f t="shared" si="41"/>
        <v>4</v>
      </c>
      <c r="I110" s="172">
        <f t="shared" si="41"/>
        <v>1</v>
      </c>
      <c r="J110" s="172">
        <f t="shared" si="41"/>
        <v>0</v>
      </c>
      <c r="K110" s="172">
        <f t="shared" si="41"/>
        <v>0</v>
      </c>
      <c r="L110" s="172">
        <f t="shared" si="41"/>
        <v>2</v>
      </c>
      <c r="M110" s="172">
        <f t="shared" si="41"/>
        <v>1</v>
      </c>
      <c r="N110" s="172">
        <f t="shared" si="41"/>
        <v>0</v>
      </c>
      <c r="O110" s="172">
        <f t="shared" si="41"/>
        <v>1</v>
      </c>
      <c r="P110" s="172">
        <f t="shared" si="41"/>
        <v>0</v>
      </c>
      <c r="Q110" s="172">
        <f t="shared" si="41"/>
        <v>0</v>
      </c>
      <c r="R110" s="172">
        <f t="shared" si="41"/>
        <v>0</v>
      </c>
      <c r="S110" s="172">
        <f t="shared" si="41"/>
        <v>0</v>
      </c>
      <c r="T110" s="172">
        <f t="shared" si="41"/>
        <v>0</v>
      </c>
      <c r="U110" s="172">
        <f t="shared" si="41"/>
        <v>0</v>
      </c>
      <c r="V110" s="172">
        <f t="shared" si="41"/>
        <v>2</v>
      </c>
      <c r="W110" s="172">
        <f t="shared" si="41"/>
        <v>1</v>
      </c>
      <c r="X110" s="172">
        <f t="shared" si="41"/>
        <v>3</v>
      </c>
      <c r="Y110" s="172">
        <f t="shared" si="41"/>
        <v>0</v>
      </c>
      <c r="Z110" s="172">
        <f t="shared" si="41"/>
        <v>1</v>
      </c>
      <c r="AA110" s="172">
        <f t="shared" si="41"/>
        <v>0</v>
      </c>
      <c r="AB110" s="172">
        <f t="shared" si="41"/>
        <v>0</v>
      </c>
      <c r="AC110" s="172">
        <f t="shared" si="41"/>
        <v>0</v>
      </c>
      <c r="AD110" s="172">
        <f t="shared" si="41"/>
        <v>0</v>
      </c>
      <c r="AE110" s="172">
        <f t="shared" si="41"/>
        <v>0</v>
      </c>
      <c r="AF110" s="172">
        <f t="shared" si="41"/>
        <v>1</v>
      </c>
      <c r="AG110" s="152">
        <f t="shared" si="33"/>
        <v>21</v>
      </c>
    </row>
    <row r="111">
      <c r="A111" s="158" t="s">
        <v>141</v>
      </c>
      <c r="B111" s="173">
        <f t="shared" ref="B111:AF111" si="42">SUM(B101:B110)</f>
        <v>112</v>
      </c>
      <c r="C111" s="173">
        <f t="shared" si="42"/>
        <v>130</v>
      </c>
      <c r="D111" s="173">
        <f t="shared" si="42"/>
        <v>173</v>
      </c>
      <c r="E111" s="173">
        <f t="shared" si="42"/>
        <v>130</v>
      </c>
      <c r="F111" s="173">
        <f t="shared" si="42"/>
        <v>144</v>
      </c>
      <c r="G111" s="173">
        <f t="shared" si="42"/>
        <v>134</v>
      </c>
      <c r="H111" s="173">
        <f t="shared" si="42"/>
        <v>118</v>
      </c>
      <c r="I111" s="173">
        <f t="shared" si="42"/>
        <v>85</v>
      </c>
      <c r="J111" s="173">
        <f t="shared" si="42"/>
        <v>79</v>
      </c>
      <c r="K111" s="173">
        <f t="shared" si="42"/>
        <v>55</v>
      </c>
      <c r="L111" s="173">
        <f t="shared" si="42"/>
        <v>87</v>
      </c>
      <c r="M111" s="173">
        <f t="shared" si="42"/>
        <v>110</v>
      </c>
      <c r="N111" s="173">
        <f t="shared" si="42"/>
        <v>73</v>
      </c>
      <c r="O111" s="173">
        <f t="shared" si="42"/>
        <v>76</v>
      </c>
      <c r="P111" s="173">
        <f t="shared" si="42"/>
        <v>46</v>
      </c>
      <c r="Q111" s="173">
        <f t="shared" si="42"/>
        <v>58</v>
      </c>
      <c r="R111" s="173">
        <f t="shared" si="42"/>
        <v>70</v>
      </c>
      <c r="S111" s="173">
        <f t="shared" si="42"/>
        <v>83</v>
      </c>
      <c r="T111" s="173">
        <f t="shared" si="42"/>
        <v>67</v>
      </c>
      <c r="U111" s="173">
        <f t="shared" si="42"/>
        <v>36</v>
      </c>
      <c r="V111" s="173">
        <f t="shared" si="42"/>
        <v>76</v>
      </c>
      <c r="W111" s="173">
        <f t="shared" si="42"/>
        <v>48</v>
      </c>
      <c r="X111" s="173">
        <f t="shared" si="42"/>
        <v>36</v>
      </c>
      <c r="Y111" s="173">
        <f t="shared" si="42"/>
        <v>39</v>
      </c>
      <c r="Z111" s="173">
        <f t="shared" si="42"/>
        <v>36</v>
      </c>
      <c r="AA111" s="173">
        <f t="shared" si="42"/>
        <v>54</v>
      </c>
      <c r="AB111" s="173">
        <f t="shared" si="42"/>
        <v>63</v>
      </c>
      <c r="AC111" s="173">
        <f t="shared" si="42"/>
        <v>58</v>
      </c>
      <c r="AD111" s="173">
        <f t="shared" si="42"/>
        <v>51</v>
      </c>
      <c r="AE111" s="173">
        <f t="shared" si="42"/>
        <v>43</v>
      </c>
      <c r="AF111" s="173">
        <f t="shared" si="42"/>
        <v>28</v>
      </c>
      <c r="AG111" s="152">
        <f t="shared" si="33"/>
        <v>2398</v>
      </c>
    </row>
    <row r="112">
      <c r="A112" s="166"/>
      <c r="AG112" s="152"/>
    </row>
    <row r="113">
      <c r="A113" s="145" t="s">
        <v>168</v>
      </c>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0"/>
      <c r="AA113" s="170"/>
      <c r="AB113" s="170"/>
      <c r="AC113" s="170"/>
      <c r="AD113" s="170"/>
      <c r="AE113" s="170"/>
      <c r="AF113" s="170"/>
      <c r="AG113" s="152"/>
    </row>
    <row r="114">
      <c r="A114" s="153" t="s">
        <v>169</v>
      </c>
      <c r="B114" s="175">
        <v>0.0</v>
      </c>
      <c r="C114" s="175">
        <v>2.0</v>
      </c>
      <c r="D114" s="175">
        <v>2.0</v>
      </c>
      <c r="E114" s="175">
        <v>4.0</v>
      </c>
      <c r="F114" s="175">
        <v>3.0</v>
      </c>
      <c r="G114" s="175">
        <v>6.0</v>
      </c>
      <c r="H114" s="175">
        <v>3.0</v>
      </c>
      <c r="I114" s="175">
        <v>3.0</v>
      </c>
      <c r="J114" s="175">
        <v>1.0</v>
      </c>
      <c r="K114" s="175">
        <v>3.0</v>
      </c>
      <c r="L114" s="175">
        <v>4.0</v>
      </c>
      <c r="M114" s="175">
        <v>5.0</v>
      </c>
      <c r="N114" s="175">
        <v>0.0</v>
      </c>
      <c r="O114" s="175">
        <v>0.0</v>
      </c>
      <c r="P114" s="175">
        <v>1.0</v>
      </c>
      <c r="Q114" s="141">
        <v>0.0</v>
      </c>
      <c r="R114" s="175">
        <v>0.0</v>
      </c>
      <c r="S114" s="175">
        <v>3.0</v>
      </c>
      <c r="T114" s="175">
        <v>1.0</v>
      </c>
      <c r="U114" s="175">
        <v>0.0</v>
      </c>
      <c r="V114" s="175">
        <v>1.0</v>
      </c>
      <c r="W114" s="175">
        <v>1.0</v>
      </c>
      <c r="X114" s="175">
        <v>0.0</v>
      </c>
      <c r="Y114" s="175">
        <v>0.0</v>
      </c>
      <c r="Z114" s="175">
        <v>0.0</v>
      </c>
      <c r="AA114" s="176">
        <v>2.0</v>
      </c>
      <c r="AB114" s="175">
        <v>2.0</v>
      </c>
      <c r="AC114" s="175">
        <v>1.0</v>
      </c>
      <c r="AD114" s="175">
        <v>0.0</v>
      </c>
      <c r="AE114" s="175">
        <v>1.0</v>
      </c>
      <c r="AF114" s="175">
        <v>1.0</v>
      </c>
      <c r="AG114" s="152">
        <f t="shared" ref="AG114:AG118" si="43">SUM(B114:AF114)</f>
        <v>50</v>
      </c>
    </row>
    <row r="115">
      <c r="A115" s="153" t="s">
        <v>170</v>
      </c>
      <c r="B115" s="155">
        <v>0.0</v>
      </c>
      <c r="C115" s="155">
        <v>0.0</v>
      </c>
      <c r="D115" s="155">
        <v>0.0</v>
      </c>
      <c r="E115" s="155">
        <v>0.0</v>
      </c>
      <c r="F115" s="155">
        <v>0.0</v>
      </c>
      <c r="G115" s="155">
        <v>0.0</v>
      </c>
      <c r="H115" s="155">
        <v>0.0</v>
      </c>
      <c r="I115" s="155">
        <v>0.0</v>
      </c>
      <c r="J115" s="155">
        <v>0.0</v>
      </c>
      <c r="K115" s="155">
        <v>0.0</v>
      </c>
      <c r="L115" s="155">
        <v>0.0</v>
      </c>
      <c r="M115" s="155">
        <v>0.0</v>
      </c>
      <c r="N115" s="155">
        <v>0.0</v>
      </c>
      <c r="O115" s="155">
        <v>0.0</v>
      </c>
      <c r="P115" s="155">
        <v>0.0</v>
      </c>
      <c r="Q115" s="141">
        <v>0.0</v>
      </c>
      <c r="R115" s="155">
        <v>0.0</v>
      </c>
      <c r="S115" s="84">
        <v>0.0</v>
      </c>
      <c r="T115" s="84">
        <v>0.0</v>
      </c>
      <c r="U115" s="175">
        <v>0.0</v>
      </c>
      <c r="V115" s="175">
        <v>0.0</v>
      </c>
      <c r="W115" s="175">
        <v>0.0</v>
      </c>
      <c r="X115" s="175">
        <v>0.0</v>
      </c>
      <c r="Y115" s="175">
        <v>0.0</v>
      </c>
      <c r="Z115" s="175">
        <v>0.0</v>
      </c>
      <c r="AA115" s="176">
        <v>0.0</v>
      </c>
      <c r="AB115" s="175">
        <v>0.0</v>
      </c>
      <c r="AC115" s="175">
        <v>0.0</v>
      </c>
      <c r="AD115" s="175">
        <v>0.0</v>
      </c>
      <c r="AE115" s="175">
        <v>0.0</v>
      </c>
      <c r="AF115" s="175">
        <v>0.0</v>
      </c>
      <c r="AG115" s="152">
        <f t="shared" si="43"/>
        <v>0</v>
      </c>
    </row>
    <row r="116">
      <c r="A116" s="153" t="s">
        <v>171</v>
      </c>
      <c r="B116" s="175">
        <v>15.0</v>
      </c>
      <c r="C116" s="175">
        <v>7.0</v>
      </c>
      <c r="D116" s="175">
        <v>16.0</v>
      </c>
      <c r="E116" s="175">
        <v>10.0</v>
      </c>
      <c r="F116" s="175">
        <v>8.0</v>
      </c>
      <c r="G116" s="175">
        <v>6.0</v>
      </c>
      <c r="H116" s="175">
        <v>10.0</v>
      </c>
      <c r="I116" s="175">
        <v>5.0</v>
      </c>
      <c r="J116" s="175">
        <v>8.0</v>
      </c>
      <c r="K116" s="175">
        <v>7.0</v>
      </c>
      <c r="L116" s="175">
        <v>6.0</v>
      </c>
      <c r="M116" s="175">
        <v>9.0</v>
      </c>
      <c r="N116" s="175">
        <v>4.0</v>
      </c>
      <c r="O116" s="175">
        <v>3.0</v>
      </c>
      <c r="P116" s="175">
        <v>6.0</v>
      </c>
      <c r="Q116" s="141">
        <v>3.0</v>
      </c>
      <c r="R116" s="175">
        <v>4.0</v>
      </c>
      <c r="S116" s="175">
        <v>1.0</v>
      </c>
      <c r="T116" s="175">
        <v>1.0</v>
      </c>
      <c r="U116" s="175">
        <v>5.0</v>
      </c>
      <c r="V116" s="175">
        <v>3.0</v>
      </c>
      <c r="W116" s="175">
        <v>3.0</v>
      </c>
      <c r="X116" s="175">
        <v>3.0</v>
      </c>
      <c r="Y116" s="175">
        <v>3.0</v>
      </c>
      <c r="Z116" s="175">
        <v>5.0</v>
      </c>
      <c r="AA116" s="176">
        <v>3.0</v>
      </c>
      <c r="AB116" s="175">
        <v>7.0</v>
      </c>
      <c r="AC116" s="175">
        <v>5.0</v>
      </c>
      <c r="AD116" s="175">
        <v>6.0</v>
      </c>
      <c r="AE116" s="175">
        <v>3.0</v>
      </c>
      <c r="AF116" s="175">
        <v>5.0</v>
      </c>
      <c r="AG116" s="152">
        <f t="shared" si="43"/>
        <v>180</v>
      </c>
    </row>
    <row r="117">
      <c r="A117" s="153" t="s">
        <v>172</v>
      </c>
      <c r="B117" s="155">
        <v>0.0</v>
      </c>
      <c r="C117" s="155">
        <v>0.0</v>
      </c>
      <c r="D117" s="155">
        <v>0.0</v>
      </c>
      <c r="E117" s="155">
        <v>0.0</v>
      </c>
      <c r="F117" s="155">
        <v>0.0</v>
      </c>
      <c r="G117" s="155">
        <v>0.0</v>
      </c>
      <c r="H117" s="155">
        <v>0.0</v>
      </c>
      <c r="I117" s="155">
        <v>0.0</v>
      </c>
      <c r="J117" s="155">
        <v>0.0</v>
      </c>
      <c r="K117" s="155">
        <v>0.0</v>
      </c>
      <c r="L117" s="155">
        <v>0.0</v>
      </c>
      <c r="M117" s="155">
        <v>0.0</v>
      </c>
      <c r="N117" s="155">
        <v>0.0</v>
      </c>
      <c r="O117" s="155">
        <v>0.0</v>
      </c>
      <c r="P117" s="155">
        <v>0.0</v>
      </c>
      <c r="Q117" s="141">
        <v>0.0</v>
      </c>
      <c r="R117" s="155">
        <v>0.0</v>
      </c>
      <c r="S117" s="84">
        <v>0.0</v>
      </c>
      <c r="T117" s="84">
        <v>0.0</v>
      </c>
      <c r="U117" s="175">
        <v>0.0</v>
      </c>
      <c r="V117" s="175">
        <v>0.0</v>
      </c>
      <c r="W117" s="175">
        <v>0.0</v>
      </c>
      <c r="X117" s="175">
        <v>0.0</v>
      </c>
      <c r="Y117" s="175">
        <v>0.0</v>
      </c>
      <c r="Z117" s="175">
        <v>0.0</v>
      </c>
      <c r="AA117" s="176">
        <v>0.0</v>
      </c>
      <c r="AB117" s="175">
        <v>0.0</v>
      </c>
      <c r="AC117" s="175">
        <v>0.0</v>
      </c>
      <c r="AD117" s="175">
        <v>0.0</v>
      </c>
      <c r="AE117" s="175">
        <v>0.0</v>
      </c>
      <c r="AF117" s="175">
        <v>0.0</v>
      </c>
      <c r="AG117" s="152">
        <f t="shared" si="43"/>
        <v>0</v>
      </c>
    </row>
    <row r="118">
      <c r="A118" s="158" t="s">
        <v>127</v>
      </c>
      <c r="B118" s="173">
        <f t="shared" ref="B118:AF118" si="44">SUM(B114:B117)</f>
        <v>15</v>
      </c>
      <c r="C118" s="173">
        <f t="shared" si="44"/>
        <v>9</v>
      </c>
      <c r="D118" s="173">
        <f t="shared" si="44"/>
        <v>18</v>
      </c>
      <c r="E118" s="173">
        <f t="shared" si="44"/>
        <v>14</v>
      </c>
      <c r="F118" s="173">
        <f t="shared" si="44"/>
        <v>11</v>
      </c>
      <c r="G118" s="173">
        <f t="shared" si="44"/>
        <v>12</v>
      </c>
      <c r="H118" s="173">
        <f t="shared" si="44"/>
        <v>13</v>
      </c>
      <c r="I118" s="173">
        <f t="shared" si="44"/>
        <v>8</v>
      </c>
      <c r="J118" s="173">
        <f t="shared" si="44"/>
        <v>9</v>
      </c>
      <c r="K118" s="173">
        <f t="shared" si="44"/>
        <v>10</v>
      </c>
      <c r="L118" s="173">
        <f t="shared" si="44"/>
        <v>10</v>
      </c>
      <c r="M118" s="173">
        <f t="shared" si="44"/>
        <v>14</v>
      </c>
      <c r="N118" s="173">
        <f t="shared" si="44"/>
        <v>4</v>
      </c>
      <c r="O118" s="173">
        <f t="shared" si="44"/>
        <v>3</v>
      </c>
      <c r="P118" s="173">
        <f t="shared" si="44"/>
        <v>7</v>
      </c>
      <c r="Q118" s="173">
        <f t="shared" si="44"/>
        <v>3</v>
      </c>
      <c r="R118" s="173">
        <f t="shared" si="44"/>
        <v>4</v>
      </c>
      <c r="S118" s="173">
        <f t="shared" si="44"/>
        <v>4</v>
      </c>
      <c r="T118" s="173">
        <f t="shared" si="44"/>
        <v>2</v>
      </c>
      <c r="U118" s="173">
        <f t="shared" si="44"/>
        <v>5</v>
      </c>
      <c r="V118" s="173">
        <f t="shared" si="44"/>
        <v>4</v>
      </c>
      <c r="W118" s="173">
        <f t="shared" si="44"/>
        <v>4</v>
      </c>
      <c r="X118" s="173">
        <f t="shared" si="44"/>
        <v>3</v>
      </c>
      <c r="Y118" s="173">
        <f t="shared" si="44"/>
        <v>3</v>
      </c>
      <c r="Z118" s="173">
        <f t="shared" si="44"/>
        <v>5</v>
      </c>
      <c r="AA118" s="173">
        <f t="shared" si="44"/>
        <v>5</v>
      </c>
      <c r="AB118" s="173">
        <f t="shared" si="44"/>
        <v>9</v>
      </c>
      <c r="AC118" s="173">
        <f t="shared" si="44"/>
        <v>6</v>
      </c>
      <c r="AD118" s="173">
        <f t="shared" si="44"/>
        <v>6</v>
      </c>
      <c r="AE118" s="173">
        <f t="shared" si="44"/>
        <v>4</v>
      </c>
      <c r="AF118" s="173">
        <f t="shared" si="44"/>
        <v>6</v>
      </c>
      <c r="AG118" s="152">
        <f t="shared" si="43"/>
        <v>230</v>
      </c>
    </row>
    <row r="119">
      <c r="A119" s="105"/>
      <c r="B119" s="106"/>
      <c r="C119" s="106"/>
      <c r="D119" s="106"/>
      <c r="E119" s="106"/>
      <c r="F119" s="106"/>
      <c r="G119" s="106"/>
      <c r="H119" s="106"/>
      <c r="I119" s="106"/>
      <c r="J119" s="106"/>
      <c r="K119" s="106"/>
      <c r="L119" s="106"/>
      <c r="M119" s="106"/>
      <c r="N119" s="106"/>
      <c r="O119" s="106"/>
      <c r="P119" s="106"/>
      <c r="Q119" s="106"/>
      <c r="R119" s="106"/>
      <c r="S119" s="106"/>
      <c r="T119" s="106"/>
      <c r="U119" s="106"/>
      <c r="V119" s="106"/>
      <c r="W119" s="106"/>
      <c r="X119" s="106"/>
      <c r="Y119" s="106"/>
      <c r="Z119" s="106"/>
      <c r="AA119" s="106"/>
      <c r="AB119" s="106"/>
      <c r="AC119" s="106"/>
      <c r="AD119" s="106"/>
      <c r="AE119" s="106"/>
      <c r="AF119" s="106"/>
      <c r="AG119" s="152"/>
    </row>
    <row r="120">
      <c r="A120" s="153" t="s">
        <v>173</v>
      </c>
      <c r="B120" s="160">
        <v>0.0</v>
      </c>
      <c r="C120" s="160">
        <v>1.0</v>
      </c>
      <c r="D120" s="160">
        <v>0.0</v>
      </c>
      <c r="E120" s="160">
        <v>2.0</v>
      </c>
      <c r="F120" s="160">
        <v>2.0</v>
      </c>
      <c r="G120" s="160">
        <v>2.0</v>
      </c>
      <c r="H120" s="160">
        <v>1.0</v>
      </c>
      <c r="I120" s="160">
        <v>0.0</v>
      </c>
      <c r="J120" s="84">
        <v>2.0</v>
      </c>
      <c r="K120" s="84">
        <v>0.0</v>
      </c>
      <c r="L120" s="84">
        <v>5.0</v>
      </c>
      <c r="M120" s="84">
        <v>3.0</v>
      </c>
      <c r="N120" s="84">
        <v>0.0</v>
      </c>
      <c r="O120" s="84">
        <v>1.0</v>
      </c>
      <c r="P120" s="84">
        <v>1.0</v>
      </c>
      <c r="Q120" s="84">
        <v>1.0</v>
      </c>
      <c r="R120" s="84">
        <v>0.0</v>
      </c>
      <c r="S120" s="84">
        <v>0.0</v>
      </c>
      <c r="T120" s="84">
        <v>0.0</v>
      </c>
      <c r="U120" s="84">
        <v>0.0</v>
      </c>
      <c r="V120" s="84">
        <v>0.0</v>
      </c>
      <c r="W120" s="84">
        <v>3.0</v>
      </c>
      <c r="X120" s="84">
        <v>0.0</v>
      </c>
      <c r="Y120" s="84">
        <v>0.0</v>
      </c>
      <c r="Z120" s="84">
        <v>2.0</v>
      </c>
      <c r="AA120" s="84">
        <v>1.0</v>
      </c>
      <c r="AB120" s="84">
        <v>1.0</v>
      </c>
      <c r="AC120" s="84">
        <v>0.0</v>
      </c>
      <c r="AD120" s="84">
        <v>0.0</v>
      </c>
      <c r="AE120" s="84">
        <v>0.0</v>
      </c>
      <c r="AF120" s="84">
        <v>1.0</v>
      </c>
      <c r="AG120" s="152">
        <f t="shared" ref="AG120:AG122" si="45">SUM(B120:AF120)</f>
        <v>29</v>
      </c>
    </row>
    <row r="121">
      <c r="A121" s="153" t="s">
        <v>174</v>
      </c>
      <c r="B121" s="160">
        <v>3.0</v>
      </c>
      <c r="C121" s="160">
        <v>4.0</v>
      </c>
      <c r="D121" s="160">
        <v>1.0</v>
      </c>
      <c r="E121" s="160">
        <v>2.0</v>
      </c>
      <c r="F121" s="160">
        <v>5.0</v>
      </c>
      <c r="G121" s="160">
        <v>2.0</v>
      </c>
      <c r="H121" s="160">
        <v>0.0</v>
      </c>
      <c r="I121" s="160">
        <v>4.0</v>
      </c>
      <c r="J121" s="84">
        <v>3.0</v>
      </c>
      <c r="K121" s="84">
        <v>1.0</v>
      </c>
      <c r="L121" s="84">
        <v>4.0</v>
      </c>
      <c r="M121" s="84">
        <v>3.0</v>
      </c>
      <c r="N121" s="84">
        <v>3.0</v>
      </c>
      <c r="O121" s="84">
        <v>2.0</v>
      </c>
      <c r="P121" s="84">
        <v>1.0</v>
      </c>
      <c r="Q121" s="84">
        <v>2.0</v>
      </c>
      <c r="R121" s="84">
        <v>3.0</v>
      </c>
      <c r="S121" s="84">
        <v>5.0</v>
      </c>
      <c r="T121" s="84">
        <v>2.0</v>
      </c>
      <c r="U121" s="84">
        <v>2.0</v>
      </c>
      <c r="V121" s="84">
        <v>0.0</v>
      </c>
      <c r="W121" s="84">
        <v>1.0</v>
      </c>
      <c r="X121" s="84">
        <v>1.0</v>
      </c>
      <c r="Y121" s="84">
        <v>2.0</v>
      </c>
      <c r="Z121" s="84">
        <v>2.0</v>
      </c>
      <c r="AA121" s="84">
        <v>4.0</v>
      </c>
      <c r="AB121" s="84">
        <v>1.0</v>
      </c>
      <c r="AC121" s="84">
        <v>4.0</v>
      </c>
      <c r="AD121" s="84">
        <v>2.0</v>
      </c>
      <c r="AE121" s="84">
        <v>1.0</v>
      </c>
      <c r="AF121" s="84">
        <v>1.0</v>
      </c>
      <c r="AG121" s="152">
        <f t="shared" si="45"/>
        <v>71</v>
      </c>
    </row>
    <row r="122">
      <c r="A122" s="158" t="s">
        <v>130</v>
      </c>
      <c r="B122" s="159">
        <f t="shared" ref="B122:AF122" si="46">SUM(B120:B121)</f>
        <v>3</v>
      </c>
      <c r="C122" s="159">
        <f t="shared" si="46"/>
        <v>5</v>
      </c>
      <c r="D122" s="159">
        <f t="shared" si="46"/>
        <v>1</v>
      </c>
      <c r="E122" s="159">
        <f t="shared" si="46"/>
        <v>4</v>
      </c>
      <c r="F122" s="159">
        <f t="shared" si="46"/>
        <v>7</v>
      </c>
      <c r="G122" s="159">
        <f t="shared" si="46"/>
        <v>4</v>
      </c>
      <c r="H122" s="159">
        <f t="shared" si="46"/>
        <v>1</v>
      </c>
      <c r="I122" s="159">
        <f t="shared" si="46"/>
        <v>4</v>
      </c>
      <c r="J122" s="159">
        <f t="shared" si="46"/>
        <v>5</v>
      </c>
      <c r="K122" s="159">
        <f t="shared" si="46"/>
        <v>1</v>
      </c>
      <c r="L122" s="159">
        <f t="shared" si="46"/>
        <v>9</v>
      </c>
      <c r="M122" s="159">
        <f t="shared" si="46"/>
        <v>6</v>
      </c>
      <c r="N122" s="159">
        <f t="shared" si="46"/>
        <v>3</v>
      </c>
      <c r="O122" s="159">
        <f t="shared" si="46"/>
        <v>3</v>
      </c>
      <c r="P122" s="159">
        <f t="shared" si="46"/>
        <v>2</v>
      </c>
      <c r="Q122" s="159">
        <f t="shared" si="46"/>
        <v>3</v>
      </c>
      <c r="R122" s="159">
        <f t="shared" si="46"/>
        <v>3</v>
      </c>
      <c r="S122" s="159">
        <f t="shared" si="46"/>
        <v>5</v>
      </c>
      <c r="T122" s="159">
        <f t="shared" si="46"/>
        <v>2</v>
      </c>
      <c r="U122" s="159">
        <f t="shared" si="46"/>
        <v>2</v>
      </c>
      <c r="V122" s="159">
        <f t="shared" si="46"/>
        <v>0</v>
      </c>
      <c r="W122" s="159">
        <f t="shared" si="46"/>
        <v>4</v>
      </c>
      <c r="X122" s="159">
        <f t="shared" si="46"/>
        <v>1</v>
      </c>
      <c r="Y122" s="159">
        <f t="shared" si="46"/>
        <v>2</v>
      </c>
      <c r="Z122" s="159">
        <f t="shared" si="46"/>
        <v>4</v>
      </c>
      <c r="AA122" s="159">
        <f t="shared" si="46"/>
        <v>5</v>
      </c>
      <c r="AB122" s="159">
        <f t="shared" si="46"/>
        <v>2</v>
      </c>
      <c r="AC122" s="159">
        <f t="shared" si="46"/>
        <v>4</v>
      </c>
      <c r="AD122" s="159">
        <f t="shared" si="46"/>
        <v>2</v>
      </c>
      <c r="AE122" s="159">
        <f t="shared" si="46"/>
        <v>1</v>
      </c>
      <c r="AF122" s="159">
        <f t="shared" si="46"/>
        <v>2</v>
      </c>
      <c r="AG122" s="152">
        <f t="shared" si="45"/>
        <v>100</v>
      </c>
    </row>
    <row r="123">
      <c r="A123" s="98"/>
      <c r="AB123" s="177"/>
      <c r="AC123" s="177"/>
      <c r="AG123" s="152"/>
    </row>
    <row r="124">
      <c r="A124" s="153" t="s">
        <v>131</v>
      </c>
      <c r="B124" s="175">
        <v>5.0</v>
      </c>
      <c r="C124" s="175">
        <v>2.0</v>
      </c>
      <c r="D124" s="175">
        <v>6.0</v>
      </c>
      <c r="E124" s="175">
        <v>3.0</v>
      </c>
      <c r="F124" s="175">
        <v>3.0</v>
      </c>
      <c r="G124" s="175">
        <v>2.0</v>
      </c>
      <c r="H124" s="175">
        <v>2.0</v>
      </c>
      <c r="I124" s="175">
        <v>3.0</v>
      </c>
      <c r="J124" s="175">
        <v>1.0</v>
      </c>
      <c r="K124" s="175">
        <v>3.0</v>
      </c>
      <c r="L124" s="154">
        <v>2.0</v>
      </c>
      <c r="M124" s="175">
        <v>6.0</v>
      </c>
      <c r="N124" s="175">
        <v>2.0</v>
      </c>
      <c r="O124" s="175">
        <v>3.0</v>
      </c>
      <c r="P124" s="175">
        <v>2.0</v>
      </c>
      <c r="Q124" s="141">
        <v>4.0</v>
      </c>
      <c r="R124" s="175">
        <v>1.0</v>
      </c>
      <c r="S124" s="175">
        <v>3.0</v>
      </c>
      <c r="T124" s="175">
        <v>1.0</v>
      </c>
      <c r="U124" s="175">
        <v>3.0</v>
      </c>
      <c r="V124" s="175">
        <v>1.0</v>
      </c>
      <c r="W124" s="175">
        <v>4.0</v>
      </c>
      <c r="X124" s="175">
        <v>5.0</v>
      </c>
      <c r="Y124" s="175">
        <v>0.0</v>
      </c>
      <c r="Z124" s="175">
        <v>3.0</v>
      </c>
      <c r="AA124" s="154">
        <v>0.0</v>
      </c>
      <c r="AB124" s="175">
        <v>2.0</v>
      </c>
      <c r="AC124" s="175">
        <v>3.0</v>
      </c>
      <c r="AD124" s="175">
        <v>3.0</v>
      </c>
      <c r="AE124" s="175">
        <v>1.0</v>
      </c>
      <c r="AF124" s="175">
        <v>1.0</v>
      </c>
      <c r="AG124" s="152">
        <f t="shared" ref="AG124:AG134" si="47">SUM(B124:AF124)</f>
        <v>80</v>
      </c>
    </row>
    <row r="125">
      <c r="A125" s="153" t="s">
        <v>132</v>
      </c>
      <c r="B125" s="175">
        <v>9.0</v>
      </c>
      <c r="C125" s="175">
        <v>7.0</v>
      </c>
      <c r="D125" s="175">
        <v>5.0</v>
      </c>
      <c r="E125" s="175">
        <v>6.0</v>
      </c>
      <c r="F125" s="175">
        <v>8.0</v>
      </c>
      <c r="G125" s="175">
        <v>6.0</v>
      </c>
      <c r="H125" s="175">
        <v>6.0</v>
      </c>
      <c r="I125" s="175">
        <v>4.0</v>
      </c>
      <c r="J125" s="175">
        <v>5.0</v>
      </c>
      <c r="K125" s="175">
        <v>3.0</v>
      </c>
      <c r="L125" s="175">
        <v>9.0</v>
      </c>
      <c r="M125" s="175">
        <v>7.0</v>
      </c>
      <c r="N125" s="175">
        <v>7.0</v>
      </c>
      <c r="O125" s="175">
        <v>13.0</v>
      </c>
      <c r="P125" s="175">
        <v>8.0</v>
      </c>
      <c r="Q125" s="141">
        <v>4.0</v>
      </c>
      <c r="R125" s="175">
        <v>5.0</v>
      </c>
      <c r="S125" s="175">
        <v>3.0</v>
      </c>
      <c r="T125" s="175">
        <v>3.0</v>
      </c>
      <c r="U125" s="175">
        <v>5.0</v>
      </c>
      <c r="V125" s="175">
        <v>8.0</v>
      </c>
      <c r="W125" s="175">
        <v>13.0</v>
      </c>
      <c r="X125" s="175">
        <v>12.0</v>
      </c>
      <c r="Y125" s="175">
        <v>8.0</v>
      </c>
      <c r="Z125" s="175">
        <v>4.0</v>
      </c>
      <c r="AA125" s="178">
        <v>3.0</v>
      </c>
      <c r="AB125" s="175">
        <v>3.0</v>
      </c>
      <c r="AC125" s="175">
        <v>5.0</v>
      </c>
      <c r="AD125" s="175">
        <v>5.0</v>
      </c>
      <c r="AE125" s="175">
        <v>3.0</v>
      </c>
      <c r="AF125" s="175">
        <v>4.0</v>
      </c>
      <c r="AG125" s="152">
        <f t="shared" si="47"/>
        <v>191</v>
      </c>
    </row>
    <row r="126">
      <c r="A126" s="153" t="s">
        <v>175</v>
      </c>
      <c r="B126" s="175">
        <v>8.0</v>
      </c>
      <c r="C126" s="175">
        <v>6.0</v>
      </c>
      <c r="D126" s="175">
        <v>9.0</v>
      </c>
      <c r="E126" s="175">
        <v>3.0</v>
      </c>
      <c r="F126" s="175">
        <v>2.0</v>
      </c>
      <c r="G126" s="175">
        <v>4.0</v>
      </c>
      <c r="H126" s="175">
        <v>7.0</v>
      </c>
      <c r="I126" s="175">
        <v>5.0</v>
      </c>
      <c r="J126" s="175">
        <v>6.0</v>
      </c>
      <c r="K126" s="175">
        <v>2.0</v>
      </c>
      <c r="L126" s="175">
        <v>6.0</v>
      </c>
      <c r="M126" s="175">
        <v>8.0</v>
      </c>
      <c r="N126" s="175">
        <v>2.0</v>
      </c>
      <c r="O126" s="175">
        <v>3.0</v>
      </c>
      <c r="P126" s="175">
        <v>3.0</v>
      </c>
      <c r="Q126" s="155">
        <v>0.0</v>
      </c>
      <c r="R126" s="175">
        <v>2.0</v>
      </c>
      <c r="S126" s="175">
        <v>1.0</v>
      </c>
      <c r="T126" s="175">
        <v>1.0</v>
      </c>
      <c r="U126" s="175">
        <v>2.0</v>
      </c>
      <c r="V126" s="175">
        <v>5.0</v>
      </c>
      <c r="W126" s="175">
        <v>8.0</v>
      </c>
      <c r="X126" s="175">
        <v>4.0</v>
      </c>
      <c r="Y126" s="175">
        <v>4.0</v>
      </c>
      <c r="Z126" s="175">
        <v>1.0</v>
      </c>
      <c r="AA126" s="175">
        <v>0.0</v>
      </c>
      <c r="AB126" s="175">
        <v>3.0</v>
      </c>
      <c r="AC126" s="175">
        <v>5.0</v>
      </c>
      <c r="AD126" s="175">
        <v>3.0</v>
      </c>
      <c r="AE126" s="175">
        <v>0.0</v>
      </c>
      <c r="AF126" s="175">
        <v>2.0</v>
      </c>
      <c r="AG126" s="152">
        <f t="shared" si="47"/>
        <v>115</v>
      </c>
    </row>
    <row r="127">
      <c r="A127" s="153" t="s">
        <v>176</v>
      </c>
      <c r="B127" s="155">
        <v>1.0</v>
      </c>
      <c r="C127" s="155">
        <v>1.0</v>
      </c>
      <c r="D127" s="155">
        <v>1.0</v>
      </c>
      <c r="E127" s="155">
        <v>1.0</v>
      </c>
      <c r="F127" s="155">
        <v>3.0</v>
      </c>
      <c r="G127" s="155">
        <v>0.0</v>
      </c>
      <c r="H127" s="155">
        <v>0.0</v>
      </c>
      <c r="I127" s="155">
        <v>0.0</v>
      </c>
      <c r="J127" s="155">
        <v>1.0</v>
      </c>
      <c r="K127" s="155">
        <v>1.0</v>
      </c>
      <c r="L127" s="155">
        <v>0.0</v>
      </c>
      <c r="M127" s="155">
        <v>4.0</v>
      </c>
      <c r="N127" s="155">
        <v>2.0</v>
      </c>
      <c r="O127" s="155">
        <v>0.0</v>
      </c>
      <c r="P127" s="155">
        <v>0.0</v>
      </c>
      <c r="Q127" s="141">
        <v>1.0</v>
      </c>
      <c r="R127" s="155">
        <v>0.0</v>
      </c>
      <c r="S127" s="84">
        <v>0.0</v>
      </c>
      <c r="T127" s="84">
        <v>0.0</v>
      </c>
      <c r="U127" s="175">
        <v>1.0</v>
      </c>
      <c r="V127" s="175">
        <v>0.0</v>
      </c>
      <c r="W127" s="175">
        <v>1.0</v>
      </c>
      <c r="X127" s="175">
        <v>0.0</v>
      </c>
      <c r="Y127" s="175">
        <v>1.0</v>
      </c>
      <c r="Z127" s="175">
        <v>0.0</v>
      </c>
      <c r="AA127" s="175">
        <v>0.0</v>
      </c>
      <c r="AB127" s="175">
        <v>0.0</v>
      </c>
      <c r="AC127" s="175">
        <v>0.0</v>
      </c>
      <c r="AD127" s="175">
        <v>0.0</v>
      </c>
      <c r="AE127" s="175">
        <v>0.0</v>
      </c>
      <c r="AF127" s="175">
        <v>0.0</v>
      </c>
      <c r="AG127" s="152">
        <f t="shared" si="47"/>
        <v>19</v>
      </c>
    </row>
    <row r="128">
      <c r="A128" s="153" t="s">
        <v>177</v>
      </c>
      <c r="B128" s="175">
        <v>8.0</v>
      </c>
      <c r="C128" s="175">
        <v>6.0</v>
      </c>
      <c r="D128" s="175">
        <v>4.0</v>
      </c>
      <c r="E128" s="175">
        <v>6.0</v>
      </c>
      <c r="F128" s="175">
        <v>6.0</v>
      </c>
      <c r="G128" s="175">
        <v>5.0</v>
      </c>
      <c r="H128" s="175">
        <v>7.0</v>
      </c>
      <c r="I128" s="175">
        <v>4.0</v>
      </c>
      <c r="J128" s="175">
        <v>4.0</v>
      </c>
      <c r="K128" s="175">
        <v>5.0</v>
      </c>
      <c r="L128" s="175">
        <v>5.0</v>
      </c>
      <c r="M128" s="175">
        <v>3.0</v>
      </c>
      <c r="N128" s="175">
        <v>8.0</v>
      </c>
      <c r="O128" s="175">
        <v>1.0</v>
      </c>
      <c r="P128" s="175">
        <v>0.0</v>
      </c>
      <c r="Q128" s="155">
        <v>1.0</v>
      </c>
      <c r="R128" s="175">
        <v>2.0</v>
      </c>
      <c r="S128" s="175">
        <v>9.0</v>
      </c>
      <c r="T128" s="175">
        <v>4.0</v>
      </c>
      <c r="U128" s="175">
        <v>2.0</v>
      </c>
      <c r="V128" s="175">
        <v>2.0</v>
      </c>
      <c r="W128" s="175">
        <v>2.0</v>
      </c>
      <c r="X128" s="175">
        <v>2.0</v>
      </c>
      <c r="Y128" s="175">
        <v>4.0</v>
      </c>
      <c r="Z128" s="175">
        <v>3.0</v>
      </c>
      <c r="AA128" s="154">
        <v>3.0</v>
      </c>
      <c r="AB128" s="175">
        <v>1.0</v>
      </c>
      <c r="AC128" s="175">
        <v>4.0</v>
      </c>
      <c r="AD128" s="175">
        <v>2.0</v>
      </c>
      <c r="AE128" s="175">
        <v>3.0</v>
      </c>
      <c r="AF128" s="175">
        <v>1.0</v>
      </c>
      <c r="AG128" s="152">
        <f t="shared" si="47"/>
        <v>117</v>
      </c>
    </row>
    <row r="129">
      <c r="A129" s="153" t="s">
        <v>178</v>
      </c>
      <c r="B129" s="155">
        <v>1.0</v>
      </c>
      <c r="C129" s="155">
        <v>1.0</v>
      </c>
      <c r="D129" s="155">
        <v>0.0</v>
      </c>
      <c r="E129" s="155">
        <v>0.0</v>
      </c>
      <c r="F129" s="155">
        <v>2.0</v>
      </c>
      <c r="G129" s="155">
        <v>2.0</v>
      </c>
      <c r="H129" s="155">
        <v>0.0</v>
      </c>
      <c r="I129" s="155">
        <v>1.0</v>
      </c>
      <c r="J129" s="155">
        <v>1.0</v>
      </c>
      <c r="K129" s="155">
        <v>2.0</v>
      </c>
      <c r="L129" s="155">
        <v>0.0</v>
      </c>
      <c r="M129" s="155">
        <v>0.0</v>
      </c>
      <c r="N129" s="155">
        <v>1.0</v>
      </c>
      <c r="O129" s="155">
        <v>1.0</v>
      </c>
      <c r="P129" s="155">
        <v>0.0</v>
      </c>
      <c r="Q129" s="141">
        <v>0.0</v>
      </c>
      <c r="R129" s="155">
        <v>0.0</v>
      </c>
      <c r="S129" s="84">
        <v>0.0</v>
      </c>
      <c r="T129" s="84">
        <v>2.0</v>
      </c>
      <c r="U129" s="175">
        <v>1.0</v>
      </c>
      <c r="V129" s="175">
        <v>1.0</v>
      </c>
      <c r="W129" s="175">
        <v>0.0</v>
      </c>
      <c r="X129" s="175">
        <v>1.0</v>
      </c>
      <c r="Y129" s="175">
        <v>1.0</v>
      </c>
      <c r="Z129" s="175">
        <v>0.0</v>
      </c>
      <c r="AA129" s="154">
        <v>3.0</v>
      </c>
      <c r="AB129" s="175">
        <v>2.0</v>
      </c>
      <c r="AC129" s="175">
        <v>1.0</v>
      </c>
      <c r="AD129" s="175">
        <v>1.0</v>
      </c>
      <c r="AE129" s="175">
        <v>1.0</v>
      </c>
      <c r="AF129" s="175">
        <v>2.0</v>
      </c>
      <c r="AG129" s="152">
        <f t="shared" si="47"/>
        <v>28</v>
      </c>
    </row>
    <row r="130">
      <c r="A130" s="153" t="s">
        <v>179</v>
      </c>
      <c r="B130" s="175">
        <v>12.0</v>
      </c>
      <c r="C130" s="175">
        <v>3.0</v>
      </c>
      <c r="D130" s="175">
        <v>9.0</v>
      </c>
      <c r="E130" s="175">
        <v>6.0</v>
      </c>
      <c r="F130" s="175">
        <v>9.0</v>
      </c>
      <c r="G130" s="175">
        <v>5.0</v>
      </c>
      <c r="H130" s="175">
        <v>7.0</v>
      </c>
      <c r="I130" s="175">
        <v>6.0</v>
      </c>
      <c r="J130" s="175">
        <v>6.0</v>
      </c>
      <c r="K130" s="175">
        <v>5.0</v>
      </c>
      <c r="L130" s="175">
        <v>11.0</v>
      </c>
      <c r="M130" s="175">
        <v>9.0</v>
      </c>
      <c r="N130" s="175">
        <v>5.0</v>
      </c>
      <c r="O130" s="175">
        <v>3.0</v>
      </c>
      <c r="P130" s="175">
        <v>1.0</v>
      </c>
      <c r="Q130" s="155">
        <v>8.0</v>
      </c>
      <c r="R130" s="175">
        <v>3.0</v>
      </c>
      <c r="S130" s="175">
        <v>1.0</v>
      </c>
      <c r="T130" s="175">
        <v>5.0</v>
      </c>
      <c r="U130" s="175">
        <v>2.0</v>
      </c>
      <c r="V130" s="175">
        <v>4.0</v>
      </c>
      <c r="W130" s="175">
        <v>3.0</v>
      </c>
      <c r="X130" s="175">
        <v>7.0</v>
      </c>
      <c r="Y130" s="175">
        <v>1.0</v>
      </c>
      <c r="Z130" s="175">
        <v>7.0</v>
      </c>
      <c r="AA130" s="154">
        <v>2.0</v>
      </c>
      <c r="AB130" s="175">
        <v>4.0</v>
      </c>
      <c r="AC130" s="175">
        <v>2.0</v>
      </c>
      <c r="AD130" s="175">
        <v>5.0</v>
      </c>
      <c r="AE130" s="175">
        <v>0.0</v>
      </c>
      <c r="AF130" s="175">
        <v>5.0</v>
      </c>
      <c r="AG130" s="152">
        <f t="shared" si="47"/>
        <v>156</v>
      </c>
    </row>
    <row r="131">
      <c r="A131" s="153" t="s">
        <v>180</v>
      </c>
      <c r="B131" s="175">
        <v>1.0</v>
      </c>
      <c r="C131" s="175">
        <v>1.0</v>
      </c>
      <c r="D131" s="175">
        <v>2.0</v>
      </c>
      <c r="E131" s="175">
        <v>1.0</v>
      </c>
      <c r="F131" s="175">
        <v>2.0</v>
      </c>
      <c r="G131" s="175">
        <v>1.0</v>
      </c>
      <c r="H131" s="175">
        <v>3.0</v>
      </c>
      <c r="I131" s="175">
        <v>1.0</v>
      </c>
      <c r="J131" s="175">
        <v>2.0</v>
      </c>
      <c r="K131" s="175">
        <v>1.0</v>
      </c>
      <c r="L131" s="175">
        <v>5.0</v>
      </c>
      <c r="M131" s="175">
        <v>3.0</v>
      </c>
      <c r="N131" s="175">
        <v>1.0</v>
      </c>
      <c r="O131" s="175">
        <v>0.0</v>
      </c>
      <c r="P131" s="175">
        <v>1.0</v>
      </c>
      <c r="Q131" s="155">
        <v>2.0</v>
      </c>
      <c r="R131" s="175">
        <v>0.0</v>
      </c>
      <c r="S131" s="84">
        <v>1.0</v>
      </c>
      <c r="T131" s="84">
        <v>1.0</v>
      </c>
      <c r="U131" s="175">
        <v>1.0</v>
      </c>
      <c r="V131" s="175">
        <v>1.0</v>
      </c>
      <c r="W131" s="175">
        <v>0.0</v>
      </c>
      <c r="X131" s="175">
        <v>2.0</v>
      </c>
      <c r="Y131" s="175">
        <v>0.0</v>
      </c>
      <c r="Z131" s="175">
        <v>1.0</v>
      </c>
      <c r="AA131" s="154">
        <v>2.0</v>
      </c>
      <c r="AB131" s="175">
        <v>0.0</v>
      </c>
      <c r="AC131" s="175">
        <v>1.0</v>
      </c>
      <c r="AD131" s="175">
        <v>0.0</v>
      </c>
      <c r="AE131" s="175">
        <v>0.0</v>
      </c>
      <c r="AF131" s="175">
        <v>0.0</v>
      </c>
      <c r="AG131" s="152">
        <f t="shared" si="47"/>
        <v>37</v>
      </c>
    </row>
    <row r="132">
      <c r="A132" s="153" t="s">
        <v>181</v>
      </c>
      <c r="B132" s="160">
        <v>0.0</v>
      </c>
      <c r="C132" s="160">
        <v>1.0</v>
      </c>
      <c r="D132" s="160">
        <v>1.0</v>
      </c>
      <c r="E132" s="160">
        <v>0.0</v>
      </c>
      <c r="F132" s="160">
        <v>0.0</v>
      </c>
      <c r="G132" s="160">
        <v>0.0</v>
      </c>
      <c r="H132" s="160">
        <v>1.0</v>
      </c>
      <c r="I132" s="160">
        <v>0.0</v>
      </c>
      <c r="J132" s="160">
        <v>1.0</v>
      </c>
      <c r="K132" s="160">
        <v>1.0</v>
      </c>
      <c r="L132" s="160">
        <v>1.0</v>
      </c>
      <c r="M132" s="160">
        <v>1.0</v>
      </c>
      <c r="N132" s="160">
        <v>1.0</v>
      </c>
      <c r="O132" s="160">
        <v>0.0</v>
      </c>
      <c r="P132" s="160">
        <v>1.0</v>
      </c>
      <c r="Q132" s="160">
        <v>1.0</v>
      </c>
      <c r="R132" s="160">
        <v>0.0</v>
      </c>
      <c r="S132" s="160">
        <v>0.0</v>
      </c>
      <c r="T132" s="160">
        <v>0.0</v>
      </c>
      <c r="U132" s="160">
        <v>0.0</v>
      </c>
      <c r="V132" s="160">
        <v>0.0</v>
      </c>
      <c r="W132" s="160">
        <v>1.0</v>
      </c>
      <c r="X132" s="160">
        <v>0.0</v>
      </c>
      <c r="Y132" s="160">
        <v>1.0</v>
      </c>
      <c r="Z132" s="160">
        <v>0.0</v>
      </c>
      <c r="AA132" s="160">
        <v>0.0</v>
      </c>
      <c r="AB132" s="160">
        <v>0.0</v>
      </c>
      <c r="AC132" s="160">
        <v>0.0</v>
      </c>
      <c r="AD132" s="160">
        <v>0.0</v>
      </c>
      <c r="AE132" s="160">
        <v>0.0</v>
      </c>
      <c r="AF132" s="160">
        <v>0.0</v>
      </c>
      <c r="AG132" s="152">
        <f t="shared" si="47"/>
        <v>12</v>
      </c>
    </row>
    <row r="133">
      <c r="A133" s="153" t="s">
        <v>182</v>
      </c>
      <c r="B133" s="160">
        <v>1.0</v>
      </c>
      <c r="C133" s="160">
        <v>0.0</v>
      </c>
      <c r="D133" s="160">
        <v>0.0</v>
      </c>
      <c r="E133" s="160">
        <v>0.0</v>
      </c>
      <c r="F133" s="160">
        <v>0.0</v>
      </c>
      <c r="G133" s="160">
        <v>1.0</v>
      </c>
      <c r="H133" s="160">
        <v>0.0</v>
      </c>
      <c r="I133" s="160">
        <v>1.0</v>
      </c>
      <c r="J133" s="160">
        <v>0.0</v>
      </c>
      <c r="K133" s="160">
        <v>0.0</v>
      </c>
      <c r="L133" s="160">
        <v>0.0</v>
      </c>
      <c r="M133" s="160">
        <v>0.0</v>
      </c>
      <c r="N133" s="160">
        <v>0.0</v>
      </c>
      <c r="O133" s="160">
        <v>1.0</v>
      </c>
      <c r="P133" s="160">
        <v>0.0</v>
      </c>
      <c r="Q133" s="160">
        <v>1.0</v>
      </c>
      <c r="R133" s="160">
        <v>0.0</v>
      </c>
      <c r="S133" s="160">
        <v>0.0</v>
      </c>
      <c r="T133" s="160">
        <v>0.0</v>
      </c>
      <c r="U133" s="160">
        <v>0.0</v>
      </c>
      <c r="V133" s="160">
        <v>0.0</v>
      </c>
      <c r="W133" s="160">
        <v>0.0</v>
      </c>
      <c r="X133" s="160">
        <v>1.0</v>
      </c>
      <c r="Y133" s="160">
        <v>1.0</v>
      </c>
      <c r="Z133" s="160">
        <v>0.0</v>
      </c>
      <c r="AA133" s="160">
        <v>0.0</v>
      </c>
      <c r="AB133" s="160">
        <v>0.0</v>
      </c>
      <c r="AC133" s="160">
        <v>0.0</v>
      </c>
      <c r="AD133" s="160">
        <v>0.0</v>
      </c>
      <c r="AE133" s="160">
        <v>0.0</v>
      </c>
      <c r="AF133" s="160">
        <v>1.0</v>
      </c>
      <c r="AG133" s="152">
        <f t="shared" si="47"/>
        <v>8</v>
      </c>
    </row>
    <row r="134">
      <c r="A134" s="158" t="s">
        <v>141</v>
      </c>
      <c r="B134" s="173">
        <f t="shared" ref="B134:AF134" si="48">SUM(B124:B133)</f>
        <v>46</v>
      </c>
      <c r="C134" s="173">
        <f t="shared" si="48"/>
        <v>28</v>
      </c>
      <c r="D134" s="173">
        <f t="shared" si="48"/>
        <v>37</v>
      </c>
      <c r="E134" s="173">
        <f t="shared" si="48"/>
        <v>26</v>
      </c>
      <c r="F134" s="173">
        <f t="shared" si="48"/>
        <v>35</v>
      </c>
      <c r="G134" s="173">
        <f t="shared" si="48"/>
        <v>26</v>
      </c>
      <c r="H134" s="173">
        <f t="shared" si="48"/>
        <v>33</v>
      </c>
      <c r="I134" s="173">
        <f t="shared" si="48"/>
        <v>25</v>
      </c>
      <c r="J134" s="173">
        <f t="shared" si="48"/>
        <v>27</v>
      </c>
      <c r="K134" s="173">
        <f t="shared" si="48"/>
        <v>23</v>
      </c>
      <c r="L134" s="173">
        <f t="shared" si="48"/>
        <v>39</v>
      </c>
      <c r="M134" s="173">
        <f t="shared" si="48"/>
        <v>41</v>
      </c>
      <c r="N134" s="173">
        <f t="shared" si="48"/>
        <v>29</v>
      </c>
      <c r="O134" s="173">
        <f t="shared" si="48"/>
        <v>25</v>
      </c>
      <c r="P134" s="173">
        <f t="shared" si="48"/>
        <v>16</v>
      </c>
      <c r="Q134" s="173">
        <f t="shared" si="48"/>
        <v>22</v>
      </c>
      <c r="R134" s="173">
        <f t="shared" si="48"/>
        <v>13</v>
      </c>
      <c r="S134" s="173">
        <f t="shared" si="48"/>
        <v>18</v>
      </c>
      <c r="T134" s="173">
        <f t="shared" si="48"/>
        <v>17</v>
      </c>
      <c r="U134" s="173">
        <f t="shared" si="48"/>
        <v>17</v>
      </c>
      <c r="V134" s="173">
        <f t="shared" si="48"/>
        <v>22</v>
      </c>
      <c r="W134" s="173">
        <f t="shared" si="48"/>
        <v>32</v>
      </c>
      <c r="X134" s="173">
        <f t="shared" si="48"/>
        <v>34</v>
      </c>
      <c r="Y134" s="173">
        <f t="shared" si="48"/>
        <v>21</v>
      </c>
      <c r="Z134" s="173">
        <f t="shared" si="48"/>
        <v>19</v>
      </c>
      <c r="AA134" s="173">
        <f t="shared" si="48"/>
        <v>13</v>
      </c>
      <c r="AB134" s="173">
        <f t="shared" si="48"/>
        <v>15</v>
      </c>
      <c r="AC134" s="173">
        <f t="shared" si="48"/>
        <v>21</v>
      </c>
      <c r="AD134" s="173">
        <f t="shared" si="48"/>
        <v>19</v>
      </c>
      <c r="AE134" s="173">
        <f t="shared" si="48"/>
        <v>8</v>
      </c>
      <c r="AF134" s="173">
        <f t="shared" si="48"/>
        <v>16</v>
      </c>
      <c r="AG134" s="152">
        <f t="shared" si="47"/>
        <v>763</v>
      </c>
    </row>
    <row r="135">
      <c r="A135" s="166"/>
      <c r="AG135" s="152"/>
    </row>
    <row r="136">
      <c r="A136" s="153" t="s">
        <v>183</v>
      </c>
      <c r="B136" s="154">
        <v>14.0</v>
      </c>
      <c r="C136" s="154">
        <v>7.0</v>
      </c>
      <c r="D136" s="154">
        <v>13.0</v>
      </c>
      <c r="E136" s="154">
        <v>16.0</v>
      </c>
      <c r="F136" s="154">
        <v>14.0</v>
      </c>
      <c r="G136" s="154">
        <v>13.0</v>
      </c>
      <c r="H136" s="154">
        <v>10.0</v>
      </c>
      <c r="I136" s="154">
        <v>9.0</v>
      </c>
      <c r="J136" s="154">
        <v>15.0</v>
      </c>
      <c r="K136" s="154">
        <v>7.0</v>
      </c>
      <c r="L136" s="154">
        <v>13.0</v>
      </c>
      <c r="M136" s="154">
        <v>10.0</v>
      </c>
      <c r="N136" s="154">
        <v>5.0</v>
      </c>
      <c r="O136" s="154">
        <v>6.0</v>
      </c>
      <c r="P136" s="154">
        <v>7.0</v>
      </c>
      <c r="Q136" s="154">
        <v>7.0</v>
      </c>
      <c r="R136" s="154">
        <v>7.0</v>
      </c>
      <c r="S136" s="154">
        <v>11.0</v>
      </c>
      <c r="T136" s="154">
        <v>10.0</v>
      </c>
      <c r="U136" s="154">
        <v>8.0</v>
      </c>
      <c r="V136" s="154">
        <v>13.0</v>
      </c>
      <c r="W136" s="154">
        <v>15.0</v>
      </c>
      <c r="X136" s="154">
        <v>11.0</v>
      </c>
      <c r="Y136" s="154">
        <v>24.0</v>
      </c>
      <c r="Z136" s="154">
        <v>13.0</v>
      </c>
      <c r="AA136" s="154">
        <v>13.0</v>
      </c>
      <c r="AB136" s="154">
        <v>16.0</v>
      </c>
      <c r="AC136" s="154">
        <v>33.0</v>
      </c>
      <c r="AD136" s="154">
        <v>8.0</v>
      </c>
      <c r="AE136" s="154">
        <v>2.0</v>
      </c>
      <c r="AF136" s="154">
        <v>18.0</v>
      </c>
      <c r="AG136" s="152">
        <f t="shared" ref="AG136:AG144" si="49">SUM(B136:AF136)</f>
        <v>368</v>
      </c>
    </row>
    <row r="137">
      <c r="A137" s="153" t="s">
        <v>184</v>
      </c>
      <c r="B137" s="154">
        <v>1.0</v>
      </c>
      <c r="C137" s="154">
        <v>1.0</v>
      </c>
      <c r="D137" s="154">
        <v>1.0</v>
      </c>
      <c r="E137" s="154">
        <v>3.0</v>
      </c>
      <c r="F137" s="154">
        <v>2.0</v>
      </c>
      <c r="G137" s="154">
        <v>0.0</v>
      </c>
      <c r="H137" s="154">
        <v>0.0</v>
      </c>
      <c r="I137" s="154">
        <v>1.0</v>
      </c>
      <c r="J137" s="154">
        <v>1.0</v>
      </c>
      <c r="K137" s="154">
        <v>0.0</v>
      </c>
      <c r="L137" s="154">
        <v>1.0</v>
      </c>
      <c r="M137" s="154">
        <v>1.0</v>
      </c>
      <c r="N137" s="154">
        <v>1.0</v>
      </c>
      <c r="O137" s="154">
        <v>0.0</v>
      </c>
      <c r="P137" s="154">
        <v>2.0</v>
      </c>
      <c r="Q137" s="154">
        <v>0.0</v>
      </c>
      <c r="R137" s="154">
        <v>1.0</v>
      </c>
      <c r="S137" s="154">
        <v>3.0</v>
      </c>
      <c r="T137" s="154">
        <v>1.0</v>
      </c>
      <c r="U137" s="154">
        <v>1.0</v>
      </c>
      <c r="V137" s="154">
        <v>0.0</v>
      </c>
      <c r="W137" s="154">
        <v>0.0</v>
      </c>
      <c r="X137" s="154">
        <v>1.0</v>
      </c>
      <c r="Y137" s="154">
        <v>0.0</v>
      </c>
      <c r="Z137" s="154">
        <v>3.0</v>
      </c>
      <c r="AA137" s="154">
        <v>0.0</v>
      </c>
      <c r="AB137" s="154">
        <v>0.0</v>
      </c>
      <c r="AC137" s="154">
        <v>0.0</v>
      </c>
      <c r="AD137" s="154">
        <v>0.0</v>
      </c>
      <c r="AE137" s="154">
        <v>0.0</v>
      </c>
      <c r="AF137" s="154">
        <v>0.0</v>
      </c>
      <c r="AG137" s="152">
        <f t="shared" si="49"/>
        <v>25</v>
      </c>
    </row>
    <row r="138">
      <c r="A138" s="153" t="s">
        <v>185</v>
      </c>
      <c r="B138" s="154">
        <v>0.0</v>
      </c>
      <c r="C138" s="154">
        <v>1.0</v>
      </c>
      <c r="D138" s="154">
        <v>0.0</v>
      </c>
      <c r="E138" s="154">
        <v>1.0</v>
      </c>
      <c r="F138" s="154">
        <v>1.0</v>
      </c>
      <c r="G138" s="154">
        <v>1.0</v>
      </c>
      <c r="H138" s="154">
        <v>0.0</v>
      </c>
      <c r="I138" s="154">
        <v>1.0</v>
      </c>
      <c r="J138" s="154">
        <v>0.0</v>
      </c>
      <c r="K138" s="154">
        <v>0.0</v>
      </c>
      <c r="L138" s="154">
        <v>0.0</v>
      </c>
      <c r="M138" s="154">
        <v>0.0</v>
      </c>
      <c r="N138" s="154">
        <v>0.0</v>
      </c>
      <c r="O138" s="154">
        <v>1.0</v>
      </c>
      <c r="P138" s="154">
        <v>1.0</v>
      </c>
      <c r="Q138" s="154">
        <v>1.0</v>
      </c>
      <c r="R138" s="154">
        <v>0.0</v>
      </c>
      <c r="S138" s="154">
        <v>0.0</v>
      </c>
      <c r="T138" s="154">
        <v>0.0</v>
      </c>
      <c r="U138" s="154">
        <v>1.0</v>
      </c>
      <c r="V138" s="154">
        <v>0.0</v>
      </c>
      <c r="W138" s="154">
        <v>0.0</v>
      </c>
      <c r="X138" s="154">
        <v>1.0</v>
      </c>
      <c r="Y138" s="154">
        <v>1.0</v>
      </c>
      <c r="Z138" s="154">
        <v>0.0</v>
      </c>
      <c r="AA138" s="154">
        <v>0.0</v>
      </c>
      <c r="AB138" s="154">
        <v>0.0</v>
      </c>
      <c r="AC138" s="154">
        <v>1.0</v>
      </c>
      <c r="AD138" s="154">
        <v>1.0</v>
      </c>
      <c r="AE138" s="154">
        <v>0.0</v>
      </c>
      <c r="AF138" s="154">
        <v>0.0</v>
      </c>
      <c r="AG138" s="152">
        <f t="shared" si="49"/>
        <v>13</v>
      </c>
    </row>
    <row r="139">
      <c r="A139" s="153" t="s">
        <v>186</v>
      </c>
      <c r="B139" s="154">
        <v>0.0</v>
      </c>
      <c r="C139" s="154">
        <v>0.0</v>
      </c>
      <c r="D139" s="154">
        <v>0.0</v>
      </c>
      <c r="E139" s="154">
        <v>1.0</v>
      </c>
      <c r="F139" s="154">
        <v>0.0</v>
      </c>
      <c r="G139" s="154">
        <v>0.0</v>
      </c>
      <c r="H139" s="154">
        <v>0.0</v>
      </c>
      <c r="I139" s="154">
        <v>0.0</v>
      </c>
      <c r="J139" s="154">
        <v>0.0</v>
      </c>
      <c r="K139" s="154">
        <v>0.0</v>
      </c>
      <c r="L139" s="154">
        <v>0.0</v>
      </c>
      <c r="M139" s="154">
        <v>1.0</v>
      </c>
      <c r="N139" s="154">
        <v>0.0</v>
      </c>
      <c r="O139" s="154">
        <v>0.0</v>
      </c>
      <c r="P139" s="154">
        <v>0.0</v>
      </c>
      <c r="Q139" s="154">
        <v>0.0</v>
      </c>
      <c r="R139" s="154">
        <v>0.0</v>
      </c>
      <c r="S139" s="154">
        <v>0.0</v>
      </c>
      <c r="T139" s="154">
        <v>0.0</v>
      </c>
      <c r="U139" s="154">
        <v>0.0</v>
      </c>
      <c r="V139" s="154">
        <v>0.0</v>
      </c>
      <c r="W139" s="154">
        <v>0.0</v>
      </c>
      <c r="X139" s="154">
        <v>0.0</v>
      </c>
      <c r="Y139" s="154">
        <v>0.0</v>
      </c>
      <c r="Z139" s="154">
        <v>0.0</v>
      </c>
      <c r="AA139" s="154">
        <v>0.0</v>
      </c>
      <c r="AB139" s="154">
        <v>0.0</v>
      </c>
      <c r="AC139" s="154">
        <v>0.0</v>
      </c>
      <c r="AD139" s="154">
        <v>0.0</v>
      </c>
      <c r="AE139" s="154">
        <v>0.0</v>
      </c>
      <c r="AF139" s="154">
        <v>0.0</v>
      </c>
      <c r="AG139" s="152">
        <f t="shared" si="49"/>
        <v>2</v>
      </c>
    </row>
    <row r="140">
      <c r="A140" s="153" t="s">
        <v>187</v>
      </c>
      <c r="B140" s="154">
        <v>0.0</v>
      </c>
      <c r="C140" s="154">
        <v>2.0</v>
      </c>
      <c r="D140" s="154">
        <v>1.0</v>
      </c>
      <c r="E140" s="154">
        <v>0.0</v>
      </c>
      <c r="F140" s="154">
        <v>0.0</v>
      </c>
      <c r="G140" s="154">
        <v>10.0</v>
      </c>
      <c r="H140" s="154">
        <v>11.0</v>
      </c>
      <c r="I140" s="154">
        <v>10.0</v>
      </c>
      <c r="J140" s="154">
        <v>15.0</v>
      </c>
      <c r="K140" s="154">
        <v>7.0</v>
      </c>
      <c r="L140" s="154">
        <v>13.0</v>
      </c>
      <c r="M140" s="154">
        <v>11.0</v>
      </c>
      <c r="N140" s="154">
        <v>6.0</v>
      </c>
      <c r="O140" s="154">
        <v>7.0</v>
      </c>
      <c r="P140" s="154">
        <v>7.0</v>
      </c>
      <c r="Q140" s="154">
        <v>7.0</v>
      </c>
      <c r="R140" s="154">
        <v>8.0</v>
      </c>
      <c r="S140" s="154">
        <v>11.0</v>
      </c>
      <c r="T140" s="154">
        <v>10.0</v>
      </c>
      <c r="U140" s="154">
        <v>8.0</v>
      </c>
      <c r="V140" s="154">
        <v>13.0</v>
      </c>
      <c r="W140" s="154">
        <v>15.0</v>
      </c>
      <c r="X140" s="154">
        <v>11.0</v>
      </c>
      <c r="Y140" s="154">
        <v>25.0</v>
      </c>
      <c r="Z140" s="154">
        <v>13.0</v>
      </c>
      <c r="AA140" s="154">
        <v>13.0</v>
      </c>
      <c r="AB140" s="154">
        <v>16.0</v>
      </c>
      <c r="AC140" s="154">
        <v>33.0</v>
      </c>
      <c r="AD140" s="154">
        <v>8.0</v>
      </c>
      <c r="AE140" s="154">
        <v>2.0</v>
      </c>
      <c r="AF140" s="154">
        <v>18.0</v>
      </c>
      <c r="AG140" s="152">
        <f t="shared" si="49"/>
        <v>311</v>
      </c>
    </row>
    <row r="141">
      <c r="A141" s="153" t="s">
        <v>188</v>
      </c>
      <c r="B141" s="154">
        <v>0.0</v>
      </c>
      <c r="C141" s="154">
        <v>0.0</v>
      </c>
      <c r="D141" s="154">
        <v>0.0</v>
      </c>
      <c r="E141" s="154">
        <v>0.0</v>
      </c>
      <c r="F141" s="154">
        <v>0.0</v>
      </c>
      <c r="G141" s="154">
        <v>0.0</v>
      </c>
      <c r="H141" s="154">
        <v>0.0</v>
      </c>
      <c r="I141" s="154">
        <v>1.0</v>
      </c>
      <c r="J141" s="154">
        <v>1.0</v>
      </c>
      <c r="K141" s="154">
        <v>0.0</v>
      </c>
      <c r="L141" s="154">
        <v>1.0</v>
      </c>
      <c r="M141" s="154">
        <v>1.0</v>
      </c>
      <c r="N141" s="154">
        <v>1.0</v>
      </c>
      <c r="O141" s="154">
        <v>0.0</v>
      </c>
      <c r="P141" s="154">
        <v>2.0</v>
      </c>
      <c r="Q141" s="154">
        <v>0.0</v>
      </c>
      <c r="R141" s="154">
        <v>1.0</v>
      </c>
      <c r="S141" s="154">
        <v>3.0</v>
      </c>
      <c r="T141" s="154">
        <v>1.0</v>
      </c>
      <c r="U141" s="154">
        <v>1.0</v>
      </c>
      <c r="V141" s="154">
        <v>0.0</v>
      </c>
      <c r="W141" s="154">
        <v>0.0</v>
      </c>
      <c r="X141" s="154">
        <v>1.0</v>
      </c>
      <c r="Y141" s="154">
        <v>0.0</v>
      </c>
      <c r="Z141" s="154">
        <v>3.0</v>
      </c>
      <c r="AA141" s="154">
        <v>0.0</v>
      </c>
      <c r="AB141" s="154">
        <v>0.0</v>
      </c>
      <c r="AC141" s="154">
        <v>0.0</v>
      </c>
      <c r="AD141" s="154">
        <v>0.0</v>
      </c>
      <c r="AE141" s="154">
        <v>0.0</v>
      </c>
      <c r="AF141" s="154">
        <v>0.0</v>
      </c>
      <c r="AG141" s="152">
        <f t="shared" si="49"/>
        <v>17</v>
      </c>
    </row>
    <row r="142">
      <c r="A142" s="153" t="s">
        <v>189</v>
      </c>
      <c r="B142" s="154">
        <v>0.0</v>
      </c>
      <c r="C142" s="154">
        <v>2.0</v>
      </c>
      <c r="D142" s="154">
        <v>0.0</v>
      </c>
      <c r="E142" s="154">
        <v>1.0</v>
      </c>
      <c r="F142" s="154">
        <v>0.0</v>
      </c>
      <c r="G142" s="154">
        <v>1.0</v>
      </c>
      <c r="H142" s="154">
        <v>0.0</v>
      </c>
      <c r="I142" s="154">
        <v>0.0</v>
      </c>
      <c r="J142" s="154">
        <v>0.0</v>
      </c>
      <c r="K142" s="154">
        <v>1.0</v>
      </c>
      <c r="L142" s="154">
        <v>0.0</v>
      </c>
      <c r="M142" s="154">
        <v>0.0</v>
      </c>
      <c r="N142" s="154">
        <v>0.0</v>
      </c>
      <c r="O142" s="154">
        <v>0.0</v>
      </c>
      <c r="P142" s="154">
        <v>0.0</v>
      </c>
      <c r="Q142" s="154">
        <v>0.0</v>
      </c>
      <c r="R142" s="154">
        <v>0.0</v>
      </c>
      <c r="S142" s="154">
        <v>0.0</v>
      </c>
      <c r="T142" s="154">
        <v>0.0</v>
      </c>
      <c r="U142" s="154">
        <v>0.0</v>
      </c>
      <c r="V142" s="154">
        <v>0.0</v>
      </c>
      <c r="W142" s="154">
        <v>1.0</v>
      </c>
      <c r="X142" s="154">
        <v>0.0</v>
      </c>
      <c r="Y142" s="154">
        <v>0.0</v>
      </c>
      <c r="Z142" s="154">
        <v>1.0</v>
      </c>
      <c r="AA142" s="154">
        <v>0.0</v>
      </c>
      <c r="AB142" s="154">
        <v>1.0</v>
      </c>
      <c r="AC142" s="154">
        <v>0.0</v>
      </c>
      <c r="AD142" s="154">
        <v>1.0</v>
      </c>
      <c r="AE142" s="154">
        <v>0.0</v>
      </c>
      <c r="AF142" s="154">
        <v>0.0</v>
      </c>
      <c r="AG142" s="152">
        <f t="shared" si="49"/>
        <v>9</v>
      </c>
    </row>
    <row r="143">
      <c r="A143" s="153" t="s">
        <v>190</v>
      </c>
      <c r="B143" s="154">
        <v>0.0</v>
      </c>
      <c r="C143" s="154">
        <v>0.0</v>
      </c>
      <c r="D143" s="154">
        <v>0.0</v>
      </c>
      <c r="E143" s="154">
        <v>0.0</v>
      </c>
      <c r="F143" s="154">
        <v>0.0</v>
      </c>
      <c r="G143" s="154">
        <v>0.0</v>
      </c>
      <c r="H143" s="154">
        <v>0.0</v>
      </c>
      <c r="I143" s="154">
        <v>0.0</v>
      </c>
      <c r="J143" s="154">
        <v>0.0</v>
      </c>
      <c r="K143" s="154">
        <v>0.0</v>
      </c>
      <c r="L143" s="154">
        <v>0.0</v>
      </c>
      <c r="M143" s="154">
        <v>0.0</v>
      </c>
      <c r="N143" s="154">
        <v>0.0</v>
      </c>
      <c r="O143" s="154">
        <v>0.0</v>
      </c>
      <c r="P143" s="154">
        <v>0.0</v>
      </c>
      <c r="Q143" s="154">
        <v>0.0</v>
      </c>
      <c r="R143" s="154">
        <v>0.0</v>
      </c>
      <c r="S143" s="154">
        <v>0.0</v>
      </c>
      <c r="T143" s="154">
        <v>0.0</v>
      </c>
      <c r="U143" s="154">
        <v>0.0</v>
      </c>
      <c r="V143" s="154">
        <v>0.0</v>
      </c>
      <c r="W143" s="154">
        <v>0.0</v>
      </c>
      <c r="X143" s="154">
        <v>0.0</v>
      </c>
      <c r="Y143" s="154">
        <v>1.0</v>
      </c>
      <c r="Z143" s="154">
        <v>1.0</v>
      </c>
      <c r="AA143" s="154">
        <v>0.0</v>
      </c>
      <c r="AB143" s="154">
        <v>0.0</v>
      </c>
      <c r="AC143" s="154">
        <v>0.0</v>
      </c>
      <c r="AD143" s="154">
        <v>0.0</v>
      </c>
      <c r="AE143" s="154">
        <v>0.0</v>
      </c>
      <c r="AF143" s="154">
        <v>0.0</v>
      </c>
      <c r="AG143" s="152">
        <f t="shared" si="49"/>
        <v>2</v>
      </c>
    </row>
    <row r="144">
      <c r="A144" s="158" t="s">
        <v>150</v>
      </c>
      <c r="B144" s="173">
        <f t="shared" ref="B144:AF144" si="50">SUM(B136:B143)</f>
        <v>15</v>
      </c>
      <c r="C144" s="173">
        <f t="shared" si="50"/>
        <v>13</v>
      </c>
      <c r="D144" s="173">
        <f t="shared" si="50"/>
        <v>15</v>
      </c>
      <c r="E144" s="173">
        <f t="shared" si="50"/>
        <v>22</v>
      </c>
      <c r="F144" s="173">
        <f t="shared" si="50"/>
        <v>17</v>
      </c>
      <c r="G144" s="173">
        <f t="shared" si="50"/>
        <v>25</v>
      </c>
      <c r="H144" s="173">
        <f t="shared" si="50"/>
        <v>21</v>
      </c>
      <c r="I144" s="173">
        <f t="shared" si="50"/>
        <v>22</v>
      </c>
      <c r="J144" s="173">
        <f t="shared" si="50"/>
        <v>32</v>
      </c>
      <c r="K144" s="173">
        <f t="shared" si="50"/>
        <v>15</v>
      </c>
      <c r="L144" s="173">
        <f t="shared" si="50"/>
        <v>28</v>
      </c>
      <c r="M144" s="173">
        <f t="shared" si="50"/>
        <v>24</v>
      </c>
      <c r="N144" s="173">
        <f t="shared" si="50"/>
        <v>13</v>
      </c>
      <c r="O144" s="173">
        <f t="shared" si="50"/>
        <v>14</v>
      </c>
      <c r="P144" s="173">
        <f t="shared" si="50"/>
        <v>19</v>
      </c>
      <c r="Q144" s="173">
        <f t="shared" si="50"/>
        <v>15</v>
      </c>
      <c r="R144" s="173">
        <f t="shared" si="50"/>
        <v>17</v>
      </c>
      <c r="S144" s="173">
        <f t="shared" si="50"/>
        <v>28</v>
      </c>
      <c r="T144" s="173">
        <f t="shared" si="50"/>
        <v>22</v>
      </c>
      <c r="U144" s="173">
        <f t="shared" si="50"/>
        <v>19</v>
      </c>
      <c r="V144" s="173">
        <f t="shared" si="50"/>
        <v>26</v>
      </c>
      <c r="W144" s="173">
        <f t="shared" si="50"/>
        <v>31</v>
      </c>
      <c r="X144" s="173">
        <f t="shared" si="50"/>
        <v>25</v>
      </c>
      <c r="Y144" s="173">
        <f t="shared" si="50"/>
        <v>51</v>
      </c>
      <c r="Z144" s="173">
        <f t="shared" si="50"/>
        <v>34</v>
      </c>
      <c r="AA144" s="173">
        <f t="shared" si="50"/>
        <v>26</v>
      </c>
      <c r="AB144" s="173">
        <f t="shared" si="50"/>
        <v>33</v>
      </c>
      <c r="AC144" s="173">
        <f t="shared" si="50"/>
        <v>67</v>
      </c>
      <c r="AD144" s="173">
        <f t="shared" si="50"/>
        <v>18</v>
      </c>
      <c r="AE144" s="173">
        <f t="shared" si="50"/>
        <v>4</v>
      </c>
      <c r="AF144" s="173">
        <f t="shared" si="50"/>
        <v>36</v>
      </c>
      <c r="AG144" s="152">
        <f t="shared" si="49"/>
        <v>747</v>
      </c>
    </row>
    <row r="145">
      <c r="A145" s="166"/>
      <c r="AG145" s="152"/>
    </row>
    <row r="146">
      <c r="A146" s="145" t="s">
        <v>191</v>
      </c>
      <c r="B146" s="155"/>
      <c r="C146" s="83"/>
      <c r="D146" s="83"/>
      <c r="E146" s="83"/>
      <c r="F146" s="83"/>
      <c r="G146" s="83"/>
      <c r="H146" s="83"/>
      <c r="I146" s="83"/>
      <c r="J146" s="83"/>
      <c r="K146" s="83"/>
      <c r="L146" s="83"/>
      <c r="M146" s="83"/>
      <c r="N146" s="83"/>
      <c r="O146" s="83"/>
      <c r="P146" s="83"/>
      <c r="Q146" s="83"/>
      <c r="R146" s="83"/>
      <c r="S146" s="83"/>
      <c r="T146" s="83"/>
      <c r="U146" s="83"/>
      <c r="V146" s="83"/>
      <c r="W146" s="83"/>
      <c r="X146" s="83"/>
      <c r="Y146" s="83"/>
      <c r="Z146" s="83"/>
      <c r="AA146" s="83"/>
      <c r="AB146" s="83"/>
      <c r="AC146" s="83"/>
      <c r="AD146" s="83"/>
      <c r="AE146" s="83"/>
      <c r="AF146" s="83"/>
      <c r="AG146" s="152"/>
    </row>
    <row r="147">
      <c r="A147" s="174" t="s">
        <v>192</v>
      </c>
      <c r="B147" s="171">
        <f t="shared" ref="B147:AF147" si="51">B55-(B262+B269+B317+B324+B375+B386)</f>
        <v>34</v>
      </c>
      <c r="C147" s="172">
        <f t="shared" si="51"/>
        <v>40</v>
      </c>
      <c r="D147" s="172">
        <f t="shared" si="51"/>
        <v>38</v>
      </c>
      <c r="E147" s="172">
        <f t="shared" si="51"/>
        <v>41</v>
      </c>
      <c r="F147" s="172">
        <f t="shared" si="51"/>
        <v>39</v>
      </c>
      <c r="G147" s="172">
        <f t="shared" si="51"/>
        <v>68</v>
      </c>
      <c r="H147" s="172">
        <f t="shared" si="51"/>
        <v>52</v>
      </c>
      <c r="I147" s="172">
        <f t="shared" si="51"/>
        <v>33</v>
      </c>
      <c r="J147" s="172">
        <f t="shared" si="51"/>
        <v>22</v>
      </c>
      <c r="K147" s="172">
        <f t="shared" si="51"/>
        <v>22</v>
      </c>
      <c r="L147" s="172">
        <f t="shared" si="51"/>
        <v>25</v>
      </c>
      <c r="M147" s="172">
        <f t="shared" si="51"/>
        <v>29</v>
      </c>
      <c r="N147" s="172">
        <f t="shared" si="51"/>
        <v>15</v>
      </c>
      <c r="O147" s="172">
        <f t="shared" si="51"/>
        <v>19</v>
      </c>
      <c r="P147" s="172">
        <f t="shared" si="51"/>
        <v>10</v>
      </c>
      <c r="Q147" s="172">
        <f t="shared" si="51"/>
        <v>8</v>
      </c>
      <c r="R147" s="172">
        <f t="shared" si="51"/>
        <v>7</v>
      </c>
      <c r="S147" s="172">
        <f t="shared" si="51"/>
        <v>13</v>
      </c>
      <c r="T147" s="172">
        <f t="shared" si="51"/>
        <v>13</v>
      </c>
      <c r="U147" s="172">
        <f t="shared" si="51"/>
        <v>12</v>
      </c>
      <c r="V147" s="172">
        <f t="shared" si="51"/>
        <v>20</v>
      </c>
      <c r="W147" s="172">
        <f t="shared" si="51"/>
        <v>7</v>
      </c>
      <c r="X147" s="172">
        <f t="shared" si="51"/>
        <v>1</v>
      </c>
      <c r="Y147" s="172">
        <f t="shared" si="51"/>
        <v>7</v>
      </c>
      <c r="Z147" s="172">
        <f t="shared" si="51"/>
        <v>7</v>
      </c>
      <c r="AA147" s="172">
        <f t="shared" si="51"/>
        <v>12</v>
      </c>
      <c r="AB147" s="172">
        <f t="shared" si="51"/>
        <v>14</v>
      </c>
      <c r="AC147" s="172">
        <f t="shared" si="51"/>
        <v>12</v>
      </c>
      <c r="AD147" s="172">
        <f t="shared" si="51"/>
        <v>11</v>
      </c>
      <c r="AE147" s="172">
        <f t="shared" si="51"/>
        <v>8</v>
      </c>
      <c r="AF147" s="172">
        <f t="shared" si="51"/>
        <v>12</v>
      </c>
      <c r="AG147" s="152">
        <f t="shared" ref="AG147:AG151" si="53">SUM(B147:AF147)</f>
        <v>651</v>
      </c>
    </row>
    <row r="148">
      <c r="A148" s="174" t="s">
        <v>193</v>
      </c>
      <c r="B148" s="171">
        <f t="shared" ref="B148:AF148" si="52">B56-(B263+B270+B318+B376+B387)</f>
        <v>0</v>
      </c>
      <c r="C148" s="172">
        <f t="shared" si="52"/>
        <v>0</v>
      </c>
      <c r="D148" s="172">
        <f t="shared" si="52"/>
        <v>0</v>
      </c>
      <c r="E148" s="172">
        <f t="shared" si="52"/>
        <v>0</v>
      </c>
      <c r="F148" s="172">
        <f t="shared" si="52"/>
        <v>0</v>
      </c>
      <c r="G148" s="172">
        <f t="shared" si="52"/>
        <v>0</v>
      </c>
      <c r="H148" s="172">
        <f t="shared" si="52"/>
        <v>0</v>
      </c>
      <c r="I148" s="172">
        <f t="shared" si="52"/>
        <v>0</v>
      </c>
      <c r="J148" s="172">
        <f t="shared" si="52"/>
        <v>0</v>
      </c>
      <c r="K148" s="172">
        <f t="shared" si="52"/>
        <v>0</v>
      </c>
      <c r="L148" s="172">
        <f t="shared" si="52"/>
        <v>0</v>
      </c>
      <c r="M148" s="172">
        <f t="shared" si="52"/>
        <v>0</v>
      </c>
      <c r="N148" s="172">
        <f t="shared" si="52"/>
        <v>0</v>
      </c>
      <c r="O148" s="172">
        <f t="shared" si="52"/>
        <v>0</v>
      </c>
      <c r="P148" s="172">
        <f t="shared" si="52"/>
        <v>0</v>
      </c>
      <c r="Q148" s="172">
        <f t="shared" si="52"/>
        <v>0</v>
      </c>
      <c r="R148" s="172">
        <f t="shared" si="52"/>
        <v>0</v>
      </c>
      <c r="S148" s="172">
        <f t="shared" si="52"/>
        <v>0</v>
      </c>
      <c r="T148" s="172">
        <f t="shared" si="52"/>
        <v>0</v>
      </c>
      <c r="U148" s="172">
        <f t="shared" si="52"/>
        <v>0</v>
      </c>
      <c r="V148" s="172">
        <f t="shared" si="52"/>
        <v>0</v>
      </c>
      <c r="W148" s="172">
        <f t="shared" si="52"/>
        <v>0</v>
      </c>
      <c r="X148" s="172">
        <f t="shared" si="52"/>
        <v>-2</v>
      </c>
      <c r="Y148" s="172">
        <f t="shared" si="52"/>
        <v>0</v>
      </c>
      <c r="Z148" s="172">
        <f t="shared" si="52"/>
        <v>0</v>
      </c>
      <c r="AA148" s="172">
        <f t="shared" si="52"/>
        <v>0</v>
      </c>
      <c r="AB148" s="172">
        <f t="shared" si="52"/>
        <v>0</v>
      </c>
      <c r="AC148" s="172">
        <f t="shared" si="52"/>
        <v>0</v>
      </c>
      <c r="AD148" s="172">
        <f t="shared" si="52"/>
        <v>0</v>
      </c>
      <c r="AE148" s="172">
        <f t="shared" si="52"/>
        <v>0</v>
      </c>
      <c r="AF148" s="172">
        <f t="shared" si="52"/>
        <v>0</v>
      </c>
      <c r="AG148" s="152">
        <f t="shared" si="53"/>
        <v>-2</v>
      </c>
    </row>
    <row r="149">
      <c r="A149" s="174" t="s">
        <v>194</v>
      </c>
      <c r="B149" s="171">
        <f t="shared" ref="B149:AF149" si="54">B57-(B264+B271+B319+B377+B388)</f>
        <v>124</v>
      </c>
      <c r="C149" s="172">
        <f t="shared" si="54"/>
        <v>121</v>
      </c>
      <c r="D149" s="172">
        <f t="shared" si="54"/>
        <v>173</v>
      </c>
      <c r="E149" s="172">
        <f t="shared" si="54"/>
        <v>106</v>
      </c>
      <c r="F149" s="172">
        <f t="shared" si="54"/>
        <v>117</v>
      </c>
      <c r="G149" s="172">
        <f t="shared" si="54"/>
        <v>117</v>
      </c>
      <c r="H149" s="172">
        <f t="shared" si="54"/>
        <v>91</v>
      </c>
      <c r="I149" s="172">
        <f t="shared" si="54"/>
        <v>90</v>
      </c>
      <c r="J149" s="172">
        <f t="shared" si="54"/>
        <v>64</v>
      </c>
      <c r="K149" s="172">
        <f t="shared" si="54"/>
        <v>53</v>
      </c>
      <c r="L149" s="172">
        <f t="shared" si="54"/>
        <v>60</v>
      </c>
      <c r="M149" s="172">
        <f t="shared" si="54"/>
        <v>54</v>
      </c>
      <c r="N149" s="172">
        <f t="shared" si="54"/>
        <v>40</v>
      </c>
      <c r="O149" s="172">
        <f t="shared" si="54"/>
        <v>32</v>
      </c>
      <c r="P149" s="172">
        <f t="shared" si="54"/>
        <v>37</v>
      </c>
      <c r="Q149" s="172">
        <f t="shared" si="54"/>
        <v>26</v>
      </c>
      <c r="R149" s="172">
        <f t="shared" si="54"/>
        <v>50</v>
      </c>
      <c r="S149" s="172">
        <f t="shared" si="54"/>
        <v>37</v>
      </c>
      <c r="T149" s="172">
        <f t="shared" si="54"/>
        <v>36</v>
      </c>
      <c r="U149" s="172">
        <f t="shared" si="54"/>
        <v>42</v>
      </c>
      <c r="V149" s="172">
        <f t="shared" si="54"/>
        <v>29</v>
      </c>
      <c r="W149" s="172">
        <f t="shared" si="54"/>
        <v>28</v>
      </c>
      <c r="X149" s="172">
        <f t="shared" si="54"/>
        <v>13</v>
      </c>
      <c r="Y149" s="172">
        <f t="shared" si="54"/>
        <v>25</v>
      </c>
      <c r="Z149" s="172">
        <f t="shared" si="54"/>
        <v>21</v>
      </c>
      <c r="AA149" s="172">
        <f t="shared" si="54"/>
        <v>36</v>
      </c>
      <c r="AB149" s="172">
        <f t="shared" si="54"/>
        <v>28</v>
      </c>
      <c r="AC149" s="172">
        <f t="shared" si="54"/>
        <v>34</v>
      </c>
      <c r="AD149" s="172">
        <f t="shared" si="54"/>
        <v>28</v>
      </c>
      <c r="AE149" s="172">
        <f t="shared" si="54"/>
        <v>18</v>
      </c>
      <c r="AF149" s="172">
        <f t="shared" si="54"/>
        <v>34</v>
      </c>
      <c r="AG149" s="152">
        <f t="shared" si="53"/>
        <v>1764</v>
      </c>
    </row>
    <row r="150">
      <c r="A150" s="174" t="s">
        <v>195</v>
      </c>
      <c r="B150" s="171">
        <f t="shared" ref="B150:AF150" si="55">B58-(B265+B272+B320+B378+B389)</f>
        <v>0</v>
      </c>
      <c r="C150" s="172">
        <f t="shared" si="55"/>
        <v>0</v>
      </c>
      <c r="D150" s="172">
        <f t="shared" si="55"/>
        <v>-1</v>
      </c>
      <c r="E150" s="172">
        <f t="shared" si="55"/>
        <v>0</v>
      </c>
      <c r="F150" s="172">
        <f t="shared" si="55"/>
        <v>0</v>
      </c>
      <c r="G150" s="172">
        <f t="shared" si="55"/>
        <v>0</v>
      </c>
      <c r="H150" s="172">
        <f t="shared" si="55"/>
        <v>0</v>
      </c>
      <c r="I150" s="172">
        <f t="shared" si="55"/>
        <v>0</v>
      </c>
      <c r="J150" s="172">
        <f t="shared" si="55"/>
        <v>0</v>
      </c>
      <c r="K150" s="172">
        <f t="shared" si="55"/>
        <v>0</v>
      </c>
      <c r="L150" s="172">
        <f t="shared" si="55"/>
        <v>0</v>
      </c>
      <c r="M150" s="172">
        <f t="shared" si="55"/>
        <v>0</v>
      </c>
      <c r="N150" s="172">
        <f t="shared" si="55"/>
        <v>0</v>
      </c>
      <c r="O150" s="172">
        <f t="shared" si="55"/>
        <v>0</v>
      </c>
      <c r="P150" s="172">
        <f t="shared" si="55"/>
        <v>0</v>
      </c>
      <c r="Q150" s="172">
        <f t="shared" si="55"/>
        <v>0</v>
      </c>
      <c r="R150" s="172">
        <f t="shared" si="55"/>
        <v>0</v>
      </c>
      <c r="S150" s="172">
        <f t="shared" si="55"/>
        <v>0</v>
      </c>
      <c r="T150" s="172">
        <f t="shared" si="55"/>
        <v>0</v>
      </c>
      <c r="U150" s="172">
        <f t="shared" si="55"/>
        <v>0</v>
      </c>
      <c r="V150" s="172">
        <f t="shared" si="55"/>
        <v>0</v>
      </c>
      <c r="W150" s="172">
        <f t="shared" si="55"/>
        <v>0</v>
      </c>
      <c r="X150" s="172">
        <f t="shared" si="55"/>
        <v>-3</v>
      </c>
      <c r="Y150" s="172">
        <f t="shared" si="55"/>
        <v>0</v>
      </c>
      <c r="Z150" s="172">
        <f t="shared" si="55"/>
        <v>0</v>
      </c>
      <c r="AA150" s="172">
        <f t="shared" si="55"/>
        <v>0</v>
      </c>
      <c r="AB150" s="172">
        <f t="shared" si="55"/>
        <v>-1</v>
      </c>
      <c r="AC150" s="172">
        <f t="shared" si="55"/>
        <v>0</v>
      </c>
      <c r="AD150" s="172">
        <f t="shared" si="55"/>
        <v>0</v>
      </c>
      <c r="AE150" s="172">
        <f t="shared" si="55"/>
        <v>0</v>
      </c>
      <c r="AF150" s="172">
        <f t="shared" si="55"/>
        <v>0</v>
      </c>
      <c r="AG150" s="152">
        <f t="shared" si="53"/>
        <v>-5</v>
      </c>
    </row>
    <row r="151">
      <c r="A151" s="158" t="s">
        <v>127</v>
      </c>
      <c r="B151" s="159">
        <f t="shared" ref="B151:AF151" si="56">SUM(B147:B150)</f>
        <v>158</v>
      </c>
      <c r="C151" s="159">
        <f t="shared" si="56"/>
        <v>161</v>
      </c>
      <c r="D151" s="159">
        <f t="shared" si="56"/>
        <v>210</v>
      </c>
      <c r="E151" s="159">
        <f t="shared" si="56"/>
        <v>147</v>
      </c>
      <c r="F151" s="159">
        <f t="shared" si="56"/>
        <v>156</v>
      </c>
      <c r="G151" s="159">
        <f t="shared" si="56"/>
        <v>185</v>
      </c>
      <c r="H151" s="159">
        <f t="shared" si="56"/>
        <v>143</v>
      </c>
      <c r="I151" s="159">
        <f t="shared" si="56"/>
        <v>123</v>
      </c>
      <c r="J151" s="159">
        <f t="shared" si="56"/>
        <v>86</v>
      </c>
      <c r="K151" s="159">
        <f t="shared" si="56"/>
        <v>75</v>
      </c>
      <c r="L151" s="159">
        <f t="shared" si="56"/>
        <v>85</v>
      </c>
      <c r="M151" s="159">
        <f t="shared" si="56"/>
        <v>83</v>
      </c>
      <c r="N151" s="159">
        <f t="shared" si="56"/>
        <v>55</v>
      </c>
      <c r="O151" s="159">
        <f t="shared" si="56"/>
        <v>51</v>
      </c>
      <c r="P151" s="159">
        <f t="shared" si="56"/>
        <v>47</v>
      </c>
      <c r="Q151" s="159">
        <f t="shared" si="56"/>
        <v>34</v>
      </c>
      <c r="R151" s="159">
        <f t="shared" si="56"/>
        <v>57</v>
      </c>
      <c r="S151" s="159">
        <f t="shared" si="56"/>
        <v>50</v>
      </c>
      <c r="T151" s="159">
        <f t="shared" si="56"/>
        <v>49</v>
      </c>
      <c r="U151" s="159">
        <f t="shared" si="56"/>
        <v>54</v>
      </c>
      <c r="V151" s="159">
        <f t="shared" si="56"/>
        <v>49</v>
      </c>
      <c r="W151" s="159">
        <f t="shared" si="56"/>
        <v>35</v>
      </c>
      <c r="X151" s="159">
        <f t="shared" si="56"/>
        <v>9</v>
      </c>
      <c r="Y151" s="159">
        <f t="shared" si="56"/>
        <v>32</v>
      </c>
      <c r="Z151" s="159">
        <f t="shared" si="56"/>
        <v>28</v>
      </c>
      <c r="AA151" s="159">
        <f t="shared" si="56"/>
        <v>48</v>
      </c>
      <c r="AB151" s="159">
        <f t="shared" si="56"/>
        <v>41</v>
      </c>
      <c r="AC151" s="159">
        <f t="shared" si="56"/>
        <v>46</v>
      </c>
      <c r="AD151" s="159">
        <f t="shared" si="56"/>
        <v>39</v>
      </c>
      <c r="AE151" s="159">
        <f t="shared" si="56"/>
        <v>26</v>
      </c>
      <c r="AF151" s="159">
        <f t="shared" si="56"/>
        <v>46</v>
      </c>
      <c r="AG151" s="152">
        <f t="shared" si="53"/>
        <v>2408</v>
      </c>
    </row>
    <row r="152">
      <c r="A152" s="105"/>
      <c r="B152" s="106"/>
      <c r="C152" s="106"/>
      <c r="D152" s="106"/>
      <c r="E152" s="106"/>
      <c r="F152" s="106"/>
      <c r="G152" s="106"/>
      <c r="H152" s="106"/>
      <c r="I152" s="106"/>
      <c r="J152" s="106"/>
      <c r="K152" s="106"/>
      <c r="L152" s="106"/>
      <c r="M152" s="106"/>
      <c r="N152" s="106"/>
      <c r="O152" s="106"/>
      <c r="P152" s="106"/>
      <c r="Q152" s="106"/>
      <c r="R152" s="106"/>
      <c r="S152" s="106"/>
      <c r="T152" s="106"/>
      <c r="U152" s="106"/>
      <c r="V152" s="106"/>
      <c r="W152" s="106"/>
      <c r="X152" s="106"/>
      <c r="Y152" s="106"/>
      <c r="Z152" s="106"/>
      <c r="AA152" s="106"/>
      <c r="AB152" s="106"/>
      <c r="AC152" s="106"/>
      <c r="AD152" s="106"/>
      <c r="AE152" s="106"/>
      <c r="AF152" s="106"/>
      <c r="AG152" s="152"/>
    </row>
    <row r="153">
      <c r="A153" s="174" t="s">
        <v>196</v>
      </c>
      <c r="B153" s="171">
        <f t="shared" ref="B153:AF153" si="57">B61-(B266+B273+B321+B328+B379+B390)</f>
        <v>1</v>
      </c>
      <c r="C153" s="172">
        <f t="shared" si="57"/>
        <v>3</v>
      </c>
      <c r="D153" s="172">
        <f t="shared" si="57"/>
        <v>3</v>
      </c>
      <c r="E153" s="172">
        <f t="shared" si="57"/>
        <v>5</v>
      </c>
      <c r="F153" s="172">
        <f t="shared" si="57"/>
        <v>8</v>
      </c>
      <c r="G153" s="172">
        <f t="shared" si="57"/>
        <v>5</v>
      </c>
      <c r="H153" s="172">
        <f t="shared" si="57"/>
        <v>6</v>
      </c>
      <c r="I153" s="172">
        <f t="shared" si="57"/>
        <v>5</v>
      </c>
      <c r="J153" s="172">
        <f t="shared" si="57"/>
        <v>7</v>
      </c>
      <c r="K153" s="172">
        <f t="shared" si="57"/>
        <v>4</v>
      </c>
      <c r="L153" s="172">
        <f t="shared" si="57"/>
        <v>10</v>
      </c>
      <c r="M153" s="172">
        <f t="shared" si="57"/>
        <v>8</v>
      </c>
      <c r="N153" s="172">
        <f t="shared" si="57"/>
        <v>-1</v>
      </c>
      <c r="O153" s="172">
        <f t="shared" si="57"/>
        <v>2</v>
      </c>
      <c r="P153" s="172">
        <f t="shared" si="57"/>
        <v>4</v>
      </c>
      <c r="Q153" s="172">
        <f t="shared" si="57"/>
        <v>2</v>
      </c>
      <c r="R153" s="172">
        <f t="shared" si="57"/>
        <v>3</v>
      </c>
      <c r="S153" s="172">
        <f t="shared" si="57"/>
        <v>2</v>
      </c>
      <c r="T153" s="172">
        <f t="shared" si="57"/>
        <v>2</v>
      </c>
      <c r="U153" s="172">
        <f t="shared" si="57"/>
        <v>-4</v>
      </c>
      <c r="V153" s="172">
        <f t="shared" si="57"/>
        <v>3</v>
      </c>
      <c r="W153" s="172">
        <f t="shared" si="57"/>
        <v>4</v>
      </c>
      <c r="X153" s="172">
        <f t="shared" si="57"/>
        <v>2</v>
      </c>
      <c r="Y153" s="172">
        <f t="shared" si="57"/>
        <v>1</v>
      </c>
      <c r="Z153" s="172">
        <f t="shared" si="57"/>
        <v>2</v>
      </c>
      <c r="AA153" s="172">
        <f t="shared" si="57"/>
        <v>4</v>
      </c>
      <c r="AB153" s="172">
        <f t="shared" si="57"/>
        <v>1</v>
      </c>
      <c r="AC153" s="172">
        <f t="shared" si="57"/>
        <v>5</v>
      </c>
      <c r="AD153" s="172">
        <f t="shared" si="57"/>
        <v>0</v>
      </c>
      <c r="AE153" s="172">
        <f t="shared" si="57"/>
        <v>2</v>
      </c>
      <c r="AF153" s="172">
        <f t="shared" si="57"/>
        <v>1</v>
      </c>
      <c r="AG153" s="152">
        <f t="shared" ref="AG153:AG155" si="59">SUM(B153:AF153)</f>
        <v>100</v>
      </c>
    </row>
    <row r="154">
      <c r="A154" s="174" t="s">
        <v>197</v>
      </c>
      <c r="B154" s="171">
        <f t="shared" ref="B154:AF154" si="58">B62-(B267+B274+B322+B329+B380+B391)</f>
        <v>8</v>
      </c>
      <c r="C154" s="172">
        <f t="shared" si="58"/>
        <v>10</v>
      </c>
      <c r="D154" s="172">
        <f t="shared" si="58"/>
        <v>11</v>
      </c>
      <c r="E154" s="172">
        <f t="shared" si="58"/>
        <v>8</v>
      </c>
      <c r="F154" s="172">
        <f t="shared" si="58"/>
        <v>17</v>
      </c>
      <c r="G154" s="172">
        <f t="shared" si="58"/>
        <v>9</v>
      </c>
      <c r="H154" s="172">
        <f t="shared" si="58"/>
        <v>5</v>
      </c>
      <c r="I154" s="172">
        <f t="shared" si="58"/>
        <v>6</v>
      </c>
      <c r="J154" s="172">
        <f t="shared" si="58"/>
        <v>-1</v>
      </c>
      <c r="K154" s="172">
        <f t="shared" si="58"/>
        <v>6</v>
      </c>
      <c r="L154" s="172">
        <f t="shared" si="58"/>
        <v>14</v>
      </c>
      <c r="M154" s="172">
        <f t="shared" si="58"/>
        <v>20</v>
      </c>
      <c r="N154" s="172">
        <f t="shared" si="58"/>
        <v>6</v>
      </c>
      <c r="O154" s="172">
        <f t="shared" si="58"/>
        <v>10</v>
      </c>
      <c r="P154" s="172">
        <f t="shared" si="58"/>
        <v>-2</v>
      </c>
      <c r="Q154" s="172">
        <f t="shared" si="58"/>
        <v>5</v>
      </c>
      <c r="R154" s="172">
        <f t="shared" si="58"/>
        <v>7</v>
      </c>
      <c r="S154" s="172">
        <f t="shared" si="58"/>
        <v>12</v>
      </c>
      <c r="T154" s="172">
        <f t="shared" si="58"/>
        <v>6</v>
      </c>
      <c r="U154" s="172">
        <f t="shared" si="58"/>
        <v>-6</v>
      </c>
      <c r="V154" s="172">
        <f t="shared" si="58"/>
        <v>6</v>
      </c>
      <c r="W154" s="172">
        <f t="shared" si="58"/>
        <v>2</v>
      </c>
      <c r="X154" s="172">
        <f t="shared" si="58"/>
        <v>3</v>
      </c>
      <c r="Y154" s="172">
        <f t="shared" si="58"/>
        <v>8</v>
      </c>
      <c r="Z154" s="172">
        <f t="shared" si="58"/>
        <v>9</v>
      </c>
      <c r="AA154" s="172">
        <f t="shared" si="58"/>
        <v>10</v>
      </c>
      <c r="AB154" s="172">
        <f t="shared" si="58"/>
        <v>6</v>
      </c>
      <c r="AC154" s="172">
        <f t="shared" si="58"/>
        <v>6</v>
      </c>
      <c r="AD154" s="172">
        <f t="shared" si="58"/>
        <v>6</v>
      </c>
      <c r="AE154" s="172">
        <f t="shared" si="58"/>
        <v>5</v>
      </c>
      <c r="AF154" s="172">
        <f t="shared" si="58"/>
        <v>7</v>
      </c>
      <c r="AG154" s="152">
        <f t="shared" si="59"/>
        <v>219</v>
      </c>
    </row>
    <row r="155">
      <c r="A155" s="158" t="s">
        <v>130</v>
      </c>
      <c r="B155" s="159">
        <f t="shared" ref="B155:AF155" si="60">SUM(B153:B154)</f>
        <v>9</v>
      </c>
      <c r="C155" s="159">
        <f t="shared" si="60"/>
        <v>13</v>
      </c>
      <c r="D155" s="159">
        <f t="shared" si="60"/>
        <v>14</v>
      </c>
      <c r="E155" s="159">
        <f t="shared" si="60"/>
        <v>13</v>
      </c>
      <c r="F155" s="159">
        <f t="shared" si="60"/>
        <v>25</v>
      </c>
      <c r="G155" s="159">
        <f t="shared" si="60"/>
        <v>14</v>
      </c>
      <c r="H155" s="159">
        <f t="shared" si="60"/>
        <v>11</v>
      </c>
      <c r="I155" s="159">
        <f t="shared" si="60"/>
        <v>11</v>
      </c>
      <c r="J155" s="159">
        <f t="shared" si="60"/>
        <v>6</v>
      </c>
      <c r="K155" s="159">
        <f t="shared" si="60"/>
        <v>10</v>
      </c>
      <c r="L155" s="159">
        <f t="shared" si="60"/>
        <v>24</v>
      </c>
      <c r="M155" s="159">
        <f t="shared" si="60"/>
        <v>28</v>
      </c>
      <c r="N155" s="159">
        <f t="shared" si="60"/>
        <v>5</v>
      </c>
      <c r="O155" s="159">
        <f t="shared" si="60"/>
        <v>12</v>
      </c>
      <c r="P155" s="159">
        <f t="shared" si="60"/>
        <v>2</v>
      </c>
      <c r="Q155" s="159">
        <f t="shared" si="60"/>
        <v>7</v>
      </c>
      <c r="R155" s="159">
        <f t="shared" si="60"/>
        <v>10</v>
      </c>
      <c r="S155" s="159">
        <f t="shared" si="60"/>
        <v>14</v>
      </c>
      <c r="T155" s="159">
        <f t="shared" si="60"/>
        <v>8</v>
      </c>
      <c r="U155" s="159">
        <f t="shared" si="60"/>
        <v>-10</v>
      </c>
      <c r="V155" s="159">
        <f t="shared" si="60"/>
        <v>9</v>
      </c>
      <c r="W155" s="159">
        <f t="shared" si="60"/>
        <v>6</v>
      </c>
      <c r="X155" s="159">
        <f t="shared" si="60"/>
        <v>5</v>
      </c>
      <c r="Y155" s="159">
        <f t="shared" si="60"/>
        <v>9</v>
      </c>
      <c r="Z155" s="159">
        <f t="shared" si="60"/>
        <v>11</v>
      </c>
      <c r="AA155" s="159">
        <f t="shared" si="60"/>
        <v>14</v>
      </c>
      <c r="AB155" s="159">
        <f t="shared" si="60"/>
        <v>7</v>
      </c>
      <c r="AC155" s="159">
        <f t="shared" si="60"/>
        <v>11</v>
      </c>
      <c r="AD155" s="159">
        <f t="shared" si="60"/>
        <v>6</v>
      </c>
      <c r="AE155" s="159">
        <f t="shared" si="60"/>
        <v>7</v>
      </c>
      <c r="AF155" s="159">
        <f t="shared" si="60"/>
        <v>8</v>
      </c>
      <c r="AG155" s="152">
        <f t="shared" si="59"/>
        <v>319</v>
      </c>
    </row>
    <row r="156">
      <c r="A156" s="98"/>
      <c r="B156" s="162"/>
      <c r="C156" s="162"/>
      <c r="D156" s="162"/>
      <c r="E156" s="162"/>
      <c r="F156" s="162"/>
      <c r="G156" s="162"/>
      <c r="H156" s="162"/>
      <c r="I156" s="162"/>
      <c r="J156" s="83"/>
      <c r="K156" s="83"/>
      <c r="L156" s="83"/>
      <c r="M156" s="83"/>
      <c r="N156" s="83"/>
      <c r="O156" s="83"/>
      <c r="P156" s="83"/>
      <c r="Q156" s="83"/>
      <c r="R156" s="83"/>
      <c r="S156" s="83"/>
      <c r="T156" s="83"/>
      <c r="U156" s="83"/>
      <c r="V156" s="83"/>
      <c r="W156" s="83"/>
      <c r="X156" s="83"/>
      <c r="Y156" s="83"/>
      <c r="Z156" s="83"/>
      <c r="AA156" s="83"/>
      <c r="AB156" s="83"/>
      <c r="AC156" s="83"/>
      <c r="AD156" s="83"/>
      <c r="AE156" s="83"/>
      <c r="AF156" s="83"/>
      <c r="AG156" s="152"/>
    </row>
    <row r="157">
      <c r="A157" s="174" t="s">
        <v>131</v>
      </c>
      <c r="B157" s="171">
        <f t="shared" ref="B157:AF157" si="61">B65-(B279+B293+B334+B400+B413)</f>
        <v>36</v>
      </c>
      <c r="C157" s="172">
        <f t="shared" si="61"/>
        <v>33</v>
      </c>
      <c r="D157" s="172">
        <f t="shared" si="61"/>
        <v>46</v>
      </c>
      <c r="E157" s="172">
        <f t="shared" si="61"/>
        <v>31</v>
      </c>
      <c r="F157" s="172">
        <f t="shared" si="61"/>
        <v>43</v>
      </c>
      <c r="G157" s="172">
        <f t="shared" si="61"/>
        <v>35</v>
      </c>
      <c r="H157" s="172">
        <f t="shared" si="61"/>
        <v>23</v>
      </c>
      <c r="I157" s="172">
        <f t="shared" si="61"/>
        <v>25</v>
      </c>
      <c r="J157" s="172">
        <f t="shared" si="61"/>
        <v>15</v>
      </c>
      <c r="K157" s="172">
        <f t="shared" si="61"/>
        <v>11</v>
      </c>
      <c r="L157" s="172">
        <f t="shared" si="61"/>
        <v>12</v>
      </c>
      <c r="M157" s="172">
        <f t="shared" si="61"/>
        <v>25</v>
      </c>
      <c r="N157" s="172">
        <f t="shared" si="61"/>
        <v>15</v>
      </c>
      <c r="O157" s="172">
        <f t="shared" si="61"/>
        <v>17</v>
      </c>
      <c r="P157" s="172">
        <f t="shared" si="61"/>
        <v>8</v>
      </c>
      <c r="Q157" s="172">
        <f t="shared" si="61"/>
        <v>17</v>
      </c>
      <c r="R157" s="172">
        <f t="shared" si="61"/>
        <v>18</v>
      </c>
      <c r="S157" s="172">
        <f t="shared" si="61"/>
        <v>18</v>
      </c>
      <c r="T157" s="172">
        <f t="shared" si="61"/>
        <v>15</v>
      </c>
      <c r="U157" s="172">
        <f t="shared" si="61"/>
        <v>5</v>
      </c>
      <c r="V157" s="172">
        <f t="shared" si="61"/>
        <v>9</v>
      </c>
      <c r="W157" s="172">
        <f t="shared" si="61"/>
        <v>12</v>
      </c>
      <c r="X157" s="172">
        <f t="shared" si="61"/>
        <v>6</v>
      </c>
      <c r="Y157" s="172">
        <f t="shared" si="61"/>
        <v>3</v>
      </c>
      <c r="Z157" s="172">
        <f t="shared" si="61"/>
        <v>7</v>
      </c>
      <c r="AA157" s="172">
        <f t="shared" si="61"/>
        <v>8</v>
      </c>
      <c r="AB157" s="172">
        <f t="shared" si="61"/>
        <v>15</v>
      </c>
      <c r="AC157" s="172">
        <f t="shared" si="61"/>
        <v>10</v>
      </c>
      <c r="AD157" s="172">
        <f t="shared" si="61"/>
        <v>10</v>
      </c>
      <c r="AE157" s="172">
        <f t="shared" si="61"/>
        <v>9</v>
      </c>
      <c r="AF157" s="172">
        <f t="shared" si="61"/>
        <v>10</v>
      </c>
      <c r="AG157" s="152">
        <f t="shared" ref="AG157:AG167" si="64">SUM(B157:AF157)</f>
        <v>547</v>
      </c>
    </row>
    <row r="158">
      <c r="A158" s="174" t="s">
        <v>132</v>
      </c>
      <c r="B158" s="171">
        <f t="shared" ref="B158:O158" si="62">B66-(B280+B294+B335+B401+B414)</f>
        <v>9</v>
      </c>
      <c r="C158" s="172">
        <f t="shared" si="62"/>
        <v>17</v>
      </c>
      <c r="D158" s="172">
        <f t="shared" si="62"/>
        <v>30</v>
      </c>
      <c r="E158" s="172">
        <f t="shared" si="62"/>
        <v>19</v>
      </c>
      <c r="F158" s="172">
        <f t="shared" si="62"/>
        <v>29</v>
      </c>
      <c r="G158" s="172">
        <f t="shared" si="62"/>
        <v>24</v>
      </c>
      <c r="H158" s="172">
        <f t="shared" si="62"/>
        <v>14</v>
      </c>
      <c r="I158" s="172">
        <f t="shared" si="62"/>
        <v>10</v>
      </c>
      <c r="J158" s="172">
        <f t="shared" si="62"/>
        <v>14</v>
      </c>
      <c r="K158" s="172">
        <f t="shared" si="62"/>
        <v>8</v>
      </c>
      <c r="L158" s="172">
        <f t="shared" si="62"/>
        <v>21</v>
      </c>
      <c r="M158" s="172">
        <f t="shared" si="62"/>
        <v>22</v>
      </c>
      <c r="N158" s="172">
        <f t="shared" si="62"/>
        <v>12</v>
      </c>
      <c r="O158" s="172">
        <f t="shared" si="62"/>
        <v>19</v>
      </c>
      <c r="P158" s="172">
        <f>P66-(P279+P294+P335+P401+P414)</f>
        <v>11</v>
      </c>
      <c r="Q158" s="172">
        <f t="shared" ref="Q158:AF158" si="63">Q66-(Q280+Q294+Q335+Q401+Q414)</f>
        <v>9</v>
      </c>
      <c r="R158" s="172">
        <f t="shared" si="63"/>
        <v>10</v>
      </c>
      <c r="S158" s="172">
        <f t="shared" si="63"/>
        <v>11</v>
      </c>
      <c r="T158" s="172">
        <f t="shared" si="63"/>
        <v>9</v>
      </c>
      <c r="U158" s="172">
        <f t="shared" si="63"/>
        <v>6</v>
      </c>
      <c r="V158" s="172">
        <f t="shared" si="63"/>
        <v>15</v>
      </c>
      <c r="W158" s="172">
        <f t="shared" si="63"/>
        <v>13</v>
      </c>
      <c r="X158" s="172">
        <f t="shared" si="63"/>
        <v>10</v>
      </c>
      <c r="Y158" s="172">
        <f t="shared" si="63"/>
        <v>11</v>
      </c>
      <c r="Z158" s="172">
        <f t="shared" si="63"/>
        <v>8</v>
      </c>
      <c r="AA158" s="172">
        <f t="shared" si="63"/>
        <v>8</v>
      </c>
      <c r="AB158" s="172">
        <f t="shared" si="63"/>
        <v>11</v>
      </c>
      <c r="AC158" s="172">
        <f t="shared" si="63"/>
        <v>9</v>
      </c>
      <c r="AD158" s="172">
        <f t="shared" si="63"/>
        <v>7</v>
      </c>
      <c r="AE158" s="172">
        <f t="shared" si="63"/>
        <v>6</v>
      </c>
      <c r="AF158" s="172">
        <f t="shared" si="63"/>
        <v>7</v>
      </c>
      <c r="AG158" s="152">
        <f t="shared" si="64"/>
        <v>409</v>
      </c>
    </row>
    <row r="159">
      <c r="A159" s="174" t="s">
        <v>198</v>
      </c>
      <c r="B159" s="171">
        <f t="shared" ref="B159:AF159" si="65">B67-(B281+B295+B336+B402+B415)</f>
        <v>20</v>
      </c>
      <c r="C159" s="172">
        <f t="shared" si="65"/>
        <v>22</v>
      </c>
      <c r="D159" s="172">
        <f t="shared" si="65"/>
        <v>40</v>
      </c>
      <c r="E159" s="172">
        <f t="shared" si="65"/>
        <v>22</v>
      </c>
      <c r="F159" s="172">
        <f t="shared" si="65"/>
        <v>28</v>
      </c>
      <c r="G159" s="172">
        <f t="shared" si="65"/>
        <v>33</v>
      </c>
      <c r="H159" s="172">
        <f t="shared" si="65"/>
        <v>30</v>
      </c>
      <c r="I159" s="172">
        <f t="shared" si="65"/>
        <v>16</v>
      </c>
      <c r="J159" s="172">
        <f t="shared" si="65"/>
        <v>23</v>
      </c>
      <c r="K159" s="172">
        <f t="shared" si="65"/>
        <v>13</v>
      </c>
      <c r="L159" s="172">
        <f t="shared" si="65"/>
        <v>21</v>
      </c>
      <c r="M159" s="172">
        <f t="shared" si="65"/>
        <v>27</v>
      </c>
      <c r="N159" s="172">
        <f t="shared" si="65"/>
        <v>8</v>
      </c>
      <c r="O159" s="172">
        <f t="shared" si="65"/>
        <v>13</v>
      </c>
      <c r="P159" s="172">
        <f t="shared" si="65"/>
        <v>14</v>
      </c>
      <c r="Q159" s="172">
        <f t="shared" si="65"/>
        <v>13</v>
      </c>
      <c r="R159" s="172">
        <f t="shared" si="65"/>
        <v>17</v>
      </c>
      <c r="S159" s="172">
        <f t="shared" si="65"/>
        <v>12</v>
      </c>
      <c r="T159" s="172">
        <f t="shared" si="65"/>
        <v>12</v>
      </c>
      <c r="U159" s="172">
        <f t="shared" si="65"/>
        <v>8</v>
      </c>
      <c r="V159" s="172">
        <f t="shared" si="65"/>
        <v>25</v>
      </c>
      <c r="W159" s="172">
        <f t="shared" si="65"/>
        <v>15</v>
      </c>
      <c r="X159" s="172">
        <f t="shared" si="65"/>
        <v>8</v>
      </c>
      <c r="Y159" s="172">
        <f t="shared" si="65"/>
        <v>12</v>
      </c>
      <c r="Z159" s="172">
        <f t="shared" si="65"/>
        <v>6</v>
      </c>
      <c r="AA159" s="172">
        <f t="shared" si="65"/>
        <v>10</v>
      </c>
      <c r="AB159" s="172">
        <f t="shared" si="65"/>
        <v>16</v>
      </c>
      <c r="AC159" s="172">
        <f t="shared" si="65"/>
        <v>22</v>
      </c>
      <c r="AD159" s="172">
        <f t="shared" si="65"/>
        <v>11</v>
      </c>
      <c r="AE159" s="172">
        <f t="shared" si="65"/>
        <v>10</v>
      </c>
      <c r="AF159" s="172">
        <f t="shared" si="65"/>
        <v>6</v>
      </c>
      <c r="AG159" s="152">
        <f t="shared" si="64"/>
        <v>533</v>
      </c>
    </row>
    <row r="160">
      <c r="A160" s="174" t="s">
        <v>199</v>
      </c>
      <c r="B160" s="171">
        <f t="shared" ref="B160:AF160" si="66">B68-(B282+B296+B337+B403+B416)</f>
        <v>3</v>
      </c>
      <c r="C160" s="172">
        <f t="shared" si="66"/>
        <v>3</v>
      </c>
      <c r="D160" s="172">
        <f t="shared" si="66"/>
        <v>1</v>
      </c>
      <c r="E160" s="172">
        <f t="shared" si="66"/>
        <v>3</v>
      </c>
      <c r="F160" s="172">
        <f t="shared" si="66"/>
        <v>3</v>
      </c>
      <c r="G160" s="172">
        <f t="shared" si="66"/>
        <v>2</v>
      </c>
      <c r="H160" s="172">
        <f t="shared" si="66"/>
        <v>1</v>
      </c>
      <c r="I160" s="172">
        <f t="shared" si="66"/>
        <v>1</v>
      </c>
      <c r="J160" s="172">
        <f t="shared" si="66"/>
        <v>2</v>
      </c>
      <c r="K160" s="172">
        <f t="shared" si="66"/>
        <v>1</v>
      </c>
      <c r="L160" s="172">
        <f t="shared" si="66"/>
        <v>2</v>
      </c>
      <c r="M160" s="172">
        <f t="shared" si="66"/>
        <v>4</v>
      </c>
      <c r="N160" s="172">
        <f t="shared" si="66"/>
        <v>4</v>
      </c>
      <c r="O160" s="172">
        <f t="shared" si="66"/>
        <v>-1</v>
      </c>
      <c r="P160" s="172">
        <f t="shared" si="66"/>
        <v>0</v>
      </c>
      <c r="Q160" s="172">
        <f t="shared" si="66"/>
        <v>1</v>
      </c>
      <c r="R160" s="172">
        <f t="shared" si="66"/>
        <v>1</v>
      </c>
      <c r="S160" s="172">
        <f t="shared" si="66"/>
        <v>1</v>
      </c>
      <c r="T160" s="172">
        <f t="shared" si="66"/>
        <v>0</v>
      </c>
      <c r="U160" s="172">
        <f t="shared" si="66"/>
        <v>0</v>
      </c>
      <c r="V160" s="172">
        <f t="shared" si="66"/>
        <v>4</v>
      </c>
      <c r="W160" s="172">
        <f t="shared" si="66"/>
        <v>2</v>
      </c>
      <c r="X160" s="172">
        <f t="shared" si="66"/>
        <v>0</v>
      </c>
      <c r="Y160" s="172">
        <f t="shared" si="66"/>
        <v>4</v>
      </c>
      <c r="Z160" s="172">
        <f t="shared" si="66"/>
        <v>2</v>
      </c>
      <c r="AA160" s="172">
        <f t="shared" si="66"/>
        <v>1</v>
      </c>
      <c r="AB160" s="172">
        <f t="shared" si="66"/>
        <v>0</v>
      </c>
      <c r="AC160" s="172">
        <f t="shared" si="66"/>
        <v>0</v>
      </c>
      <c r="AD160" s="172">
        <f t="shared" si="66"/>
        <v>1</v>
      </c>
      <c r="AE160" s="172">
        <f t="shared" si="66"/>
        <v>1</v>
      </c>
      <c r="AF160" s="172">
        <f t="shared" si="66"/>
        <v>0</v>
      </c>
      <c r="AG160" s="152">
        <f t="shared" si="64"/>
        <v>47</v>
      </c>
    </row>
    <row r="161">
      <c r="A161" s="174" t="s">
        <v>200</v>
      </c>
      <c r="B161" s="171">
        <f t="shared" ref="B161:AF161" si="67">B69-(B283+B297+B338+B404+B417)</f>
        <v>23</v>
      </c>
      <c r="C161" s="172">
        <f t="shared" si="67"/>
        <v>21</v>
      </c>
      <c r="D161" s="172">
        <f t="shared" si="67"/>
        <v>17</v>
      </c>
      <c r="E161" s="172">
        <f t="shared" si="67"/>
        <v>17</v>
      </c>
      <c r="F161" s="172">
        <f t="shared" si="67"/>
        <v>9</v>
      </c>
      <c r="G161" s="172">
        <f t="shared" si="67"/>
        <v>12</v>
      </c>
      <c r="H161" s="172">
        <f t="shared" si="67"/>
        <v>26</v>
      </c>
      <c r="I161" s="172">
        <f t="shared" si="67"/>
        <v>19</v>
      </c>
      <c r="J161" s="172">
        <f t="shared" si="67"/>
        <v>9</v>
      </c>
      <c r="K161" s="172">
        <f t="shared" si="67"/>
        <v>8</v>
      </c>
      <c r="L161" s="172">
        <f t="shared" si="67"/>
        <v>14</v>
      </c>
      <c r="M161" s="172">
        <f t="shared" si="67"/>
        <v>19</v>
      </c>
      <c r="N161" s="172">
        <f t="shared" si="67"/>
        <v>22</v>
      </c>
      <c r="O161" s="172">
        <f t="shared" si="67"/>
        <v>10</v>
      </c>
      <c r="P161" s="172">
        <f t="shared" si="67"/>
        <v>7</v>
      </c>
      <c r="Q161" s="172">
        <f t="shared" si="67"/>
        <v>9</v>
      </c>
      <c r="R161" s="172">
        <f t="shared" si="67"/>
        <v>7</v>
      </c>
      <c r="S161" s="172">
        <f t="shared" si="67"/>
        <v>22</v>
      </c>
      <c r="T161" s="172">
        <f t="shared" si="67"/>
        <v>12</v>
      </c>
      <c r="U161" s="172">
        <f t="shared" si="67"/>
        <v>7</v>
      </c>
      <c r="V161" s="172">
        <f t="shared" si="67"/>
        <v>9</v>
      </c>
      <c r="W161" s="172">
        <f t="shared" si="67"/>
        <v>10</v>
      </c>
      <c r="X161" s="172">
        <f t="shared" si="67"/>
        <v>8</v>
      </c>
      <c r="Y161" s="172">
        <f t="shared" si="67"/>
        <v>10</v>
      </c>
      <c r="Z161" s="172">
        <f t="shared" si="67"/>
        <v>11</v>
      </c>
      <c r="AA161" s="172">
        <f t="shared" si="67"/>
        <v>11</v>
      </c>
      <c r="AB161" s="172">
        <f t="shared" si="67"/>
        <v>11</v>
      </c>
      <c r="AC161" s="172">
        <f t="shared" si="67"/>
        <v>9</v>
      </c>
      <c r="AD161" s="172">
        <f t="shared" si="67"/>
        <v>13</v>
      </c>
      <c r="AE161" s="172">
        <f t="shared" si="67"/>
        <v>5</v>
      </c>
      <c r="AF161" s="172">
        <f t="shared" si="67"/>
        <v>5</v>
      </c>
      <c r="AG161" s="152">
        <f t="shared" si="64"/>
        <v>392</v>
      </c>
    </row>
    <row r="162">
      <c r="A162" s="174" t="s">
        <v>201</v>
      </c>
      <c r="B162" s="171">
        <f t="shared" ref="B162:AF162" si="68">B70-(B284+B298+B339+B405+B418)</f>
        <v>3</v>
      </c>
      <c r="C162" s="172">
        <f t="shared" si="68"/>
        <v>6</v>
      </c>
      <c r="D162" s="172">
        <f t="shared" si="68"/>
        <v>0</v>
      </c>
      <c r="E162" s="172">
        <f t="shared" si="68"/>
        <v>3</v>
      </c>
      <c r="F162" s="172">
        <f t="shared" si="68"/>
        <v>4</v>
      </c>
      <c r="G162" s="172">
        <f t="shared" si="68"/>
        <v>5</v>
      </c>
      <c r="H162" s="172">
        <f t="shared" si="68"/>
        <v>3</v>
      </c>
      <c r="I162" s="172">
        <f t="shared" si="68"/>
        <v>2</v>
      </c>
      <c r="J162" s="172">
        <f t="shared" si="68"/>
        <v>3</v>
      </c>
      <c r="K162" s="172">
        <f t="shared" si="68"/>
        <v>3</v>
      </c>
      <c r="L162" s="172">
        <f t="shared" si="68"/>
        <v>1</v>
      </c>
      <c r="M162" s="172">
        <f t="shared" si="68"/>
        <v>1</v>
      </c>
      <c r="N162" s="172">
        <f t="shared" si="68"/>
        <v>3</v>
      </c>
      <c r="O162" s="172">
        <f t="shared" si="68"/>
        <v>0</v>
      </c>
      <c r="P162" s="172">
        <f t="shared" si="68"/>
        <v>1</v>
      </c>
      <c r="Q162" s="172">
        <f t="shared" si="68"/>
        <v>0</v>
      </c>
      <c r="R162" s="172">
        <f t="shared" si="68"/>
        <v>2</v>
      </c>
      <c r="S162" s="172">
        <f t="shared" si="68"/>
        <v>6</v>
      </c>
      <c r="T162" s="172">
        <f t="shared" si="68"/>
        <v>3</v>
      </c>
      <c r="U162" s="172">
        <f t="shared" si="68"/>
        <v>3</v>
      </c>
      <c r="V162" s="172">
        <f t="shared" si="68"/>
        <v>2</v>
      </c>
      <c r="W162" s="172">
        <f t="shared" si="68"/>
        <v>2</v>
      </c>
      <c r="X162" s="172">
        <f t="shared" si="68"/>
        <v>1</v>
      </c>
      <c r="Y162" s="172">
        <f t="shared" si="68"/>
        <v>1</v>
      </c>
      <c r="Z162" s="172">
        <f t="shared" si="68"/>
        <v>0</v>
      </c>
      <c r="AA162" s="172">
        <f t="shared" si="68"/>
        <v>4</v>
      </c>
      <c r="AB162" s="172">
        <f t="shared" si="68"/>
        <v>3</v>
      </c>
      <c r="AC162" s="172">
        <f t="shared" si="68"/>
        <v>1</v>
      </c>
      <c r="AD162" s="172">
        <f t="shared" si="68"/>
        <v>3</v>
      </c>
      <c r="AE162" s="172">
        <f t="shared" si="68"/>
        <v>1</v>
      </c>
      <c r="AF162" s="172">
        <f t="shared" si="68"/>
        <v>3</v>
      </c>
      <c r="AG162" s="152">
        <f t="shared" si="64"/>
        <v>73</v>
      </c>
    </row>
    <row r="163">
      <c r="A163" s="174" t="s">
        <v>202</v>
      </c>
      <c r="B163" s="171">
        <f t="shared" ref="B163:AF163" si="69">B71-(B285+B299+B340+B406+B419)</f>
        <v>46</v>
      </c>
      <c r="C163" s="172">
        <f t="shared" si="69"/>
        <v>46</v>
      </c>
      <c r="D163" s="172">
        <f t="shared" si="69"/>
        <v>66</v>
      </c>
      <c r="E163" s="172">
        <f t="shared" si="69"/>
        <v>55</v>
      </c>
      <c r="F163" s="172">
        <f t="shared" si="69"/>
        <v>55</v>
      </c>
      <c r="G163" s="172">
        <f t="shared" si="69"/>
        <v>40</v>
      </c>
      <c r="H163" s="172">
        <f t="shared" si="69"/>
        <v>33</v>
      </c>
      <c r="I163" s="172">
        <f t="shared" si="69"/>
        <v>31</v>
      </c>
      <c r="J163" s="172">
        <f t="shared" si="69"/>
        <v>28</v>
      </c>
      <c r="K163" s="172">
        <f t="shared" si="69"/>
        <v>24</v>
      </c>
      <c r="L163" s="172">
        <f t="shared" si="69"/>
        <v>42</v>
      </c>
      <c r="M163" s="172">
        <f t="shared" si="69"/>
        <v>42</v>
      </c>
      <c r="N163" s="172">
        <f t="shared" si="69"/>
        <v>29</v>
      </c>
      <c r="O163" s="172">
        <f t="shared" si="69"/>
        <v>29</v>
      </c>
      <c r="P163" s="172">
        <f t="shared" si="69"/>
        <v>13</v>
      </c>
      <c r="Q163" s="172">
        <f t="shared" si="69"/>
        <v>21</v>
      </c>
      <c r="R163" s="172">
        <f t="shared" si="69"/>
        <v>25</v>
      </c>
      <c r="S163" s="172">
        <f t="shared" si="69"/>
        <v>23</v>
      </c>
      <c r="T163" s="172">
        <f t="shared" si="69"/>
        <v>28</v>
      </c>
      <c r="U163" s="172">
        <f t="shared" si="69"/>
        <v>15</v>
      </c>
      <c r="V163" s="172">
        <f t="shared" si="69"/>
        <v>19</v>
      </c>
      <c r="W163" s="172">
        <f t="shared" si="69"/>
        <v>20</v>
      </c>
      <c r="X163" s="172">
        <f t="shared" si="69"/>
        <v>10</v>
      </c>
      <c r="Y163" s="172">
        <f t="shared" si="69"/>
        <v>15</v>
      </c>
      <c r="Z163" s="172">
        <f t="shared" si="69"/>
        <v>16</v>
      </c>
      <c r="AA163" s="172">
        <f t="shared" si="69"/>
        <v>22</v>
      </c>
      <c r="AB163" s="172">
        <f t="shared" si="69"/>
        <v>22</v>
      </c>
      <c r="AC163" s="172">
        <f t="shared" si="69"/>
        <v>21</v>
      </c>
      <c r="AD163" s="172">
        <f t="shared" si="69"/>
        <v>15</v>
      </c>
      <c r="AE163" s="172">
        <f t="shared" si="69"/>
        <v>12</v>
      </c>
      <c r="AF163" s="172">
        <f t="shared" si="69"/>
        <v>10</v>
      </c>
      <c r="AG163" s="152">
        <f t="shared" si="64"/>
        <v>873</v>
      </c>
    </row>
    <row r="164">
      <c r="A164" s="174" t="s">
        <v>203</v>
      </c>
      <c r="B164" s="171">
        <f t="shared" ref="B164:AF164" si="70">B72-(B286+B300+B341+B407+B420)</f>
        <v>9</v>
      </c>
      <c r="C164" s="172">
        <f t="shared" si="70"/>
        <v>5</v>
      </c>
      <c r="D164" s="172">
        <f t="shared" si="70"/>
        <v>6</v>
      </c>
      <c r="E164" s="172">
        <f t="shared" si="70"/>
        <v>4</v>
      </c>
      <c r="F164" s="172">
        <f t="shared" si="70"/>
        <v>4</v>
      </c>
      <c r="G164" s="172">
        <f t="shared" si="70"/>
        <v>4</v>
      </c>
      <c r="H164" s="172">
        <f t="shared" si="70"/>
        <v>6</v>
      </c>
      <c r="I164" s="172">
        <f t="shared" si="70"/>
        <v>2</v>
      </c>
      <c r="J164" s="172">
        <f t="shared" si="70"/>
        <v>6</v>
      </c>
      <c r="K164" s="172">
        <f t="shared" si="70"/>
        <v>2</v>
      </c>
      <c r="L164" s="172">
        <f t="shared" si="70"/>
        <v>9</v>
      </c>
      <c r="M164" s="172">
        <f t="shared" si="70"/>
        <v>6</v>
      </c>
      <c r="N164" s="172">
        <f t="shared" si="70"/>
        <v>6</v>
      </c>
      <c r="O164" s="172">
        <f t="shared" si="70"/>
        <v>2</v>
      </c>
      <c r="P164" s="172">
        <f t="shared" si="70"/>
        <v>3</v>
      </c>
      <c r="Q164" s="172">
        <f t="shared" si="70"/>
        <v>2</v>
      </c>
      <c r="R164" s="172">
        <f t="shared" si="70"/>
        <v>2</v>
      </c>
      <c r="S164" s="172">
        <f t="shared" si="70"/>
        <v>7</v>
      </c>
      <c r="T164" s="172">
        <f t="shared" si="70"/>
        <v>4</v>
      </c>
      <c r="U164" s="172">
        <f t="shared" si="70"/>
        <v>1</v>
      </c>
      <c r="V164" s="172">
        <f t="shared" si="70"/>
        <v>6</v>
      </c>
      <c r="W164" s="172">
        <f t="shared" si="70"/>
        <v>2</v>
      </c>
      <c r="X164" s="172">
        <f t="shared" si="70"/>
        <v>3</v>
      </c>
      <c r="Y164" s="172">
        <f t="shared" si="70"/>
        <v>2</v>
      </c>
      <c r="Z164" s="172">
        <f t="shared" si="70"/>
        <v>3</v>
      </c>
      <c r="AA164" s="172">
        <f t="shared" si="70"/>
        <v>2</v>
      </c>
      <c r="AB164" s="172">
        <f t="shared" si="70"/>
        <v>0</v>
      </c>
      <c r="AC164" s="172">
        <f t="shared" si="70"/>
        <v>3</v>
      </c>
      <c r="AD164" s="172">
        <f t="shared" si="70"/>
        <v>2</v>
      </c>
      <c r="AE164" s="172">
        <f t="shared" si="70"/>
        <v>2</v>
      </c>
      <c r="AF164" s="172">
        <f t="shared" si="70"/>
        <v>0</v>
      </c>
      <c r="AG164" s="152">
        <f t="shared" si="64"/>
        <v>115</v>
      </c>
    </row>
    <row r="165">
      <c r="A165" s="153" t="s">
        <v>204</v>
      </c>
      <c r="B165" s="179"/>
      <c r="C165" s="180"/>
      <c r="D165" s="180"/>
      <c r="E165" s="180"/>
      <c r="F165" s="180"/>
      <c r="G165" s="180"/>
      <c r="H165" s="180"/>
      <c r="I165" s="180"/>
      <c r="J165" s="180"/>
      <c r="K165" s="180"/>
      <c r="L165" s="180"/>
      <c r="M165" s="180"/>
      <c r="N165" s="180"/>
      <c r="O165" s="180"/>
      <c r="P165" s="180"/>
      <c r="Q165" s="180"/>
      <c r="R165" s="180"/>
      <c r="S165" s="180"/>
      <c r="T165" s="180"/>
      <c r="U165" s="180"/>
      <c r="V165" s="180"/>
      <c r="W165" s="180"/>
      <c r="X165" s="180"/>
      <c r="Y165" s="180"/>
      <c r="Z165" s="180"/>
      <c r="AA165" s="180"/>
      <c r="AB165" s="181"/>
      <c r="AC165" s="181"/>
      <c r="AD165" s="181"/>
      <c r="AE165" s="181"/>
      <c r="AF165" s="181"/>
      <c r="AG165" s="152">
        <f t="shared" si="64"/>
        <v>0</v>
      </c>
    </row>
    <row r="166">
      <c r="A166" s="153" t="s">
        <v>205</v>
      </c>
      <c r="B166" s="179"/>
      <c r="C166" s="180"/>
      <c r="D166" s="180"/>
      <c r="E166" s="180"/>
      <c r="F166" s="180"/>
      <c r="G166" s="180"/>
      <c r="H166" s="180"/>
      <c r="I166" s="180"/>
      <c r="J166" s="180"/>
      <c r="K166" s="180"/>
      <c r="L166" s="180"/>
      <c r="M166" s="180"/>
      <c r="N166" s="180"/>
      <c r="O166" s="180"/>
      <c r="P166" s="180"/>
      <c r="Q166" s="180"/>
      <c r="R166" s="180"/>
      <c r="S166" s="180"/>
      <c r="T166" s="180"/>
      <c r="U166" s="180"/>
      <c r="V166" s="180"/>
      <c r="W166" s="180"/>
      <c r="X166" s="180"/>
      <c r="Y166" s="180"/>
      <c r="Z166" s="180"/>
      <c r="AA166" s="180"/>
      <c r="AB166" s="181"/>
      <c r="AC166" s="181"/>
      <c r="AD166" s="181"/>
      <c r="AE166" s="181"/>
      <c r="AF166" s="181"/>
      <c r="AG166" s="152">
        <f t="shared" si="64"/>
        <v>0</v>
      </c>
    </row>
    <row r="167">
      <c r="A167" s="158" t="s">
        <v>141</v>
      </c>
      <c r="B167" s="159">
        <f t="shared" ref="B167:AF167" si="71">SUM(B157:B166)</f>
        <v>149</v>
      </c>
      <c r="C167" s="159">
        <f t="shared" si="71"/>
        <v>153</v>
      </c>
      <c r="D167" s="159">
        <f t="shared" si="71"/>
        <v>206</v>
      </c>
      <c r="E167" s="159">
        <f t="shared" si="71"/>
        <v>154</v>
      </c>
      <c r="F167" s="159">
        <f t="shared" si="71"/>
        <v>175</v>
      </c>
      <c r="G167" s="159">
        <f t="shared" si="71"/>
        <v>155</v>
      </c>
      <c r="H167" s="159">
        <f t="shared" si="71"/>
        <v>136</v>
      </c>
      <c r="I167" s="159">
        <f t="shared" si="71"/>
        <v>106</v>
      </c>
      <c r="J167" s="159">
        <f t="shared" si="71"/>
        <v>100</v>
      </c>
      <c r="K167" s="159">
        <f t="shared" si="71"/>
        <v>70</v>
      </c>
      <c r="L167" s="159">
        <f t="shared" si="71"/>
        <v>122</v>
      </c>
      <c r="M167" s="159">
        <f t="shared" si="71"/>
        <v>146</v>
      </c>
      <c r="N167" s="159">
        <f t="shared" si="71"/>
        <v>99</v>
      </c>
      <c r="O167" s="159">
        <f t="shared" si="71"/>
        <v>89</v>
      </c>
      <c r="P167" s="159">
        <f t="shared" si="71"/>
        <v>57</v>
      </c>
      <c r="Q167" s="159">
        <f t="shared" si="71"/>
        <v>72</v>
      </c>
      <c r="R167" s="159">
        <f t="shared" si="71"/>
        <v>82</v>
      </c>
      <c r="S167" s="159">
        <f t="shared" si="71"/>
        <v>100</v>
      </c>
      <c r="T167" s="159">
        <f t="shared" si="71"/>
        <v>83</v>
      </c>
      <c r="U167" s="159">
        <f t="shared" si="71"/>
        <v>45</v>
      </c>
      <c r="V167" s="159">
        <f t="shared" si="71"/>
        <v>89</v>
      </c>
      <c r="W167" s="159">
        <f t="shared" si="71"/>
        <v>76</v>
      </c>
      <c r="X167" s="159">
        <f t="shared" si="71"/>
        <v>46</v>
      </c>
      <c r="Y167" s="159">
        <f t="shared" si="71"/>
        <v>58</v>
      </c>
      <c r="Z167" s="159">
        <f t="shared" si="71"/>
        <v>53</v>
      </c>
      <c r="AA167" s="159">
        <f t="shared" si="71"/>
        <v>66</v>
      </c>
      <c r="AB167" s="159">
        <f t="shared" si="71"/>
        <v>78</v>
      </c>
      <c r="AC167" s="159">
        <f t="shared" si="71"/>
        <v>75</v>
      </c>
      <c r="AD167" s="159">
        <f t="shared" si="71"/>
        <v>62</v>
      </c>
      <c r="AE167" s="159">
        <f t="shared" si="71"/>
        <v>46</v>
      </c>
      <c r="AF167" s="159">
        <f t="shared" si="71"/>
        <v>41</v>
      </c>
      <c r="AG167" s="152">
        <f t="shared" si="64"/>
        <v>2989</v>
      </c>
    </row>
    <row r="168">
      <c r="A168" s="166"/>
      <c r="AG168" s="152"/>
    </row>
    <row r="169">
      <c r="A169" s="182" t="s">
        <v>206</v>
      </c>
      <c r="B169" s="183"/>
      <c r="C169" s="183"/>
      <c r="D169" s="183"/>
      <c r="E169" s="183"/>
      <c r="F169" s="183"/>
      <c r="G169" s="183"/>
      <c r="H169" s="183"/>
      <c r="I169" s="146"/>
      <c r="J169" s="146"/>
      <c r="K169" s="146"/>
      <c r="L169" s="146"/>
      <c r="M169" s="146"/>
      <c r="N169" s="146"/>
      <c r="O169" s="146"/>
      <c r="P169" s="146"/>
      <c r="Q169" s="146"/>
      <c r="R169" s="146"/>
      <c r="S169" s="146"/>
      <c r="T169" s="146"/>
      <c r="U169" s="146"/>
      <c r="V169" s="146"/>
      <c r="W169" s="146"/>
      <c r="X169" s="146"/>
      <c r="Y169" s="146"/>
      <c r="Z169" s="146"/>
      <c r="AA169" s="146"/>
      <c r="AB169" s="146"/>
      <c r="AC169" s="146"/>
      <c r="AD169" s="146"/>
      <c r="AE169" s="146"/>
      <c r="AF169" s="146"/>
      <c r="AG169" s="152"/>
    </row>
    <row r="170">
      <c r="A170" s="184" t="s">
        <v>207</v>
      </c>
      <c r="B170" s="185"/>
      <c r="C170" s="185"/>
      <c r="D170" s="186"/>
      <c r="E170" s="186"/>
      <c r="F170" s="186"/>
      <c r="G170" s="186"/>
      <c r="H170" s="186"/>
      <c r="I170" s="186"/>
      <c r="J170" s="186"/>
      <c r="K170" s="185"/>
      <c r="L170" s="185"/>
      <c r="M170" s="185"/>
      <c r="N170" s="185"/>
      <c r="O170" s="185"/>
      <c r="P170" s="185"/>
      <c r="Q170" s="185"/>
      <c r="R170" s="185"/>
      <c r="S170" s="185"/>
      <c r="T170" s="185"/>
      <c r="U170" s="185"/>
      <c r="V170" s="185"/>
      <c r="W170" s="185"/>
      <c r="X170" s="185"/>
      <c r="Y170" s="185"/>
      <c r="Z170" s="185"/>
      <c r="AA170" s="185"/>
      <c r="AB170" s="185"/>
      <c r="AC170" s="185"/>
      <c r="AD170" s="185"/>
      <c r="AE170" s="185"/>
      <c r="AF170" s="185"/>
      <c r="AG170" s="152"/>
    </row>
    <row r="171" outlineLevel="1">
      <c r="A171" s="184" t="s">
        <v>208</v>
      </c>
      <c r="B171" s="160">
        <v>34.0</v>
      </c>
      <c r="C171" s="160">
        <v>41.0</v>
      </c>
      <c r="D171" s="160">
        <v>38.0</v>
      </c>
      <c r="E171" s="160">
        <v>41.0</v>
      </c>
      <c r="F171" s="160">
        <v>39.0</v>
      </c>
      <c r="G171" s="160">
        <v>69.0</v>
      </c>
      <c r="H171" s="160">
        <v>52.0</v>
      </c>
      <c r="I171" s="160">
        <v>33.0</v>
      </c>
      <c r="J171" s="160">
        <v>24.0</v>
      </c>
      <c r="K171" s="160">
        <v>22.0</v>
      </c>
      <c r="L171" s="160">
        <v>25.0</v>
      </c>
      <c r="M171" s="160">
        <v>29.0</v>
      </c>
      <c r="N171" s="160">
        <v>15.0</v>
      </c>
      <c r="O171" s="160">
        <v>19.0</v>
      </c>
      <c r="P171" s="160">
        <v>11.0</v>
      </c>
      <c r="Q171" s="160">
        <v>9.0</v>
      </c>
      <c r="R171" s="160">
        <v>7.0</v>
      </c>
      <c r="S171" s="160">
        <v>13.0</v>
      </c>
      <c r="T171" s="160">
        <v>13.0</v>
      </c>
      <c r="U171" s="160">
        <v>12.0</v>
      </c>
      <c r="V171" s="160">
        <v>20.0</v>
      </c>
      <c r="W171" s="160">
        <v>8.0</v>
      </c>
      <c r="X171" s="160">
        <v>6.0</v>
      </c>
      <c r="Y171" s="160">
        <v>8.0</v>
      </c>
      <c r="Z171" s="160">
        <v>7.0</v>
      </c>
      <c r="AA171" s="160">
        <v>12.0</v>
      </c>
      <c r="AB171" s="160">
        <v>14.0</v>
      </c>
      <c r="AC171" s="160">
        <v>12.0</v>
      </c>
      <c r="AD171" s="160">
        <v>11.0</v>
      </c>
      <c r="AE171" s="160">
        <v>10.0</v>
      </c>
      <c r="AF171" s="160">
        <v>12.0</v>
      </c>
      <c r="AG171" s="152">
        <f t="shared" ref="AG171:AG176" si="72">SUM(B171:AF171)</f>
        <v>666</v>
      </c>
    </row>
    <row r="172" outlineLevel="1">
      <c r="A172" s="184" t="s">
        <v>209</v>
      </c>
      <c r="B172" s="175">
        <v>0.0</v>
      </c>
      <c r="C172" s="175">
        <v>0.0</v>
      </c>
      <c r="D172" s="175">
        <v>0.0</v>
      </c>
      <c r="E172" s="175">
        <v>0.0</v>
      </c>
      <c r="F172" s="175">
        <v>0.0</v>
      </c>
      <c r="G172" s="175">
        <v>0.0</v>
      </c>
      <c r="H172" s="175">
        <v>0.0</v>
      </c>
      <c r="I172" s="175">
        <v>0.0</v>
      </c>
      <c r="J172" s="175">
        <v>0.0</v>
      </c>
      <c r="K172" s="175">
        <v>0.0</v>
      </c>
      <c r="L172" s="175">
        <v>0.0</v>
      </c>
      <c r="M172" s="175">
        <v>0.0</v>
      </c>
      <c r="N172" s="175">
        <v>0.0</v>
      </c>
      <c r="O172" s="175">
        <v>0.0</v>
      </c>
      <c r="P172" s="175">
        <v>0.0</v>
      </c>
      <c r="Q172" s="175">
        <v>0.0</v>
      </c>
      <c r="R172" s="175">
        <v>0.0</v>
      </c>
      <c r="S172" s="84">
        <v>0.0</v>
      </c>
      <c r="T172" s="84">
        <v>0.0</v>
      </c>
      <c r="U172" s="160">
        <v>0.0</v>
      </c>
      <c r="V172" s="160">
        <v>0.0</v>
      </c>
      <c r="W172" s="160">
        <v>0.0</v>
      </c>
      <c r="X172" s="160">
        <v>0.0</v>
      </c>
      <c r="Y172" s="160">
        <v>0.0</v>
      </c>
      <c r="Z172" s="160">
        <v>0.0</v>
      </c>
      <c r="AA172" s="160">
        <v>0.0</v>
      </c>
      <c r="AB172" s="160">
        <v>0.0</v>
      </c>
      <c r="AC172" s="160">
        <v>0.0</v>
      </c>
      <c r="AD172" s="160">
        <v>0.0</v>
      </c>
      <c r="AE172" s="160">
        <v>0.0</v>
      </c>
      <c r="AF172" s="160">
        <v>0.0</v>
      </c>
      <c r="AG172" s="152">
        <f t="shared" si="72"/>
        <v>0</v>
      </c>
    </row>
    <row r="173" outlineLevel="1">
      <c r="A173" s="184" t="s">
        <v>210</v>
      </c>
      <c r="B173" s="160">
        <v>125.0</v>
      </c>
      <c r="C173" s="160">
        <v>121.0</v>
      </c>
      <c r="D173" s="160">
        <v>173.0</v>
      </c>
      <c r="E173" s="160">
        <v>106.0</v>
      </c>
      <c r="F173" s="160">
        <v>117.0</v>
      </c>
      <c r="G173" s="160">
        <v>117.0</v>
      </c>
      <c r="H173" s="160">
        <v>98.0</v>
      </c>
      <c r="I173" s="160">
        <v>92.0</v>
      </c>
      <c r="J173" s="160">
        <v>64.0</v>
      </c>
      <c r="K173" s="160">
        <v>55.0</v>
      </c>
      <c r="L173" s="160">
        <v>60.0</v>
      </c>
      <c r="M173" s="160">
        <v>54.0</v>
      </c>
      <c r="N173" s="160">
        <v>42.0</v>
      </c>
      <c r="O173" s="160">
        <v>34.0</v>
      </c>
      <c r="P173" s="160">
        <v>38.0</v>
      </c>
      <c r="Q173" s="160">
        <v>28.0</v>
      </c>
      <c r="R173" s="160">
        <v>50.0</v>
      </c>
      <c r="S173" s="160">
        <v>38.0</v>
      </c>
      <c r="T173" s="160">
        <v>36.0</v>
      </c>
      <c r="U173" s="160">
        <v>46.0</v>
      </c>
      <c r="V173" s="160">
        <v>30.0</v>
      </c>
      <c r="W173" s="160">
        <v>29.0</v>
      </c>
      <c r="X173" s="160">
        <v>25.0</v>
      </c>
      <c r="Y173" s="160">
        <v>26.0</v>
      </c>
      <c r="Z173" s="160">
        <v>22.0</v>
      </c>
      <c r="AA173" s="160">
        <v>37.0</v>
      </c>
      <c r="AB173" s="160">
        <v>31.0</v>
      </c>
      <c r="AC173" s="160">
        <v>36.0</v>
      </c>
      <c r="AD173" s="160">
        <v>32.0</v>
      </c>
      <c r="AE173" s="160">
        <v>20.0</v>
      </c>
      <c r="AF173" s="160">
        <v>34.0</v>
      </c>
      <c r="AG173" s="152">
        <f t="shared" si="72"/>
        <v>1816</v>
      </c>
    </row>
    <row r="174" outlineLevel="1">
      <c r="A174" s="184" t="s">
        <v>211</v>
      </c>
      <c r="B174" s="175">
        <v>0.0</v>
      </c>
      <c r="C174" s="175">
        <v>0.0</v>
      </c>
      <c r="D174" s="175">
        <v>0.0</v>
      </c>
      <c r="E174" s="175">
        <v>0.0</v>
      </c>
      <c r="F174" s="175">
        <v>0.0</v>
      </c>
      <c r="G174" s="175">
        <v>0.0</v>
      </c>
      <c r="H174" s="175">
        <v>0.0</v>
      </c>
      <c r="I174" s="175">
        <v>0.0</v>
      </c>
      <c r="J174" s="175">
        <v>0.0</v>
      </c>
      <c r="K174" s="175">
        <v>0.0</v>
      </c>
      <c r="L174" s="175">
        <v>0.0</v>
      </c>
      <c r="M174" s="175">
        <v>0.0</v>
      </c>
      <c r="N174" s="175">
        <v>0.0</v>
      </c>
      <c r="O174" s="175">
        <v>0.0</v>
      </c>
      <c r="P174" s="175">
        <v>0.0</v>
      </c>
      <c r="Q174" s="175">
        <v>0.0</v>
      </c>
      <c r="R174" s="175">
        <v>0.0</v>
      </c>
      <c r="S174" s="84">
        <v>0.0</v>
      </c>
      <c r="T174" s="84">
        <v>0.0</v>
      </c>
      <c r="U174" s="160">
        <v>0.0</v>
      </c>
      <c r="V174" s="160">
        <v>0.0</v>
      </c>
      <c r="W174" s="160">
        <v>0.0</v>
      </c>
      <c r="X174" s="160">
        <v>0.0</v>
      </c>
      <c r="Y174" s="160">
        <v>0.0</v>
      </c>
      <c r="Z174" s="160">
        <v>0.0</v>
      </c>
      <c r="AA174" s="160">
        <v>0.0</v>
      </c>
      <c r="AB174" s="160">
        <v>0.0</v>
      </c>
      <c r="AC174" s="160">
        <v>0.0</v>
      </c>
      <c r="AD174" s="160">
        <v>0.0</v>
      </c>
      <c r="AE174" s="160">
        <v>0.0</v>
      </c>
      <c r="AF174" s="160">
        <v>0.0</v>
      </c>
      <c r="AG174" s="152">
        <f t="shared" si="72"/>
        <v>0</v>
      </c>
    </row>
    <row r="175" outlineLevel="1">
      <c r="A175" s="184" t="s">
        <v>212</v>
      </c>
      <c r="B175" s="160">
        <v>1.0</v>
      </c>
      <c r="C175" s="160">
        <v>3.0</v>
      </c>
      <c r="D175" s="160">
        <v>3.0</v>
      </c>
      <c r="E175" s="160">
        <v>6.0</v>
      </c>
      <c r="F175" s="160">
        <v>8.0</v>
      </c>
      <c r="G175" s="160">
        <v>5.0</v>
      </c>
      <c r="H175" s="160">
        <v>6.0</v>
      </c>
      <c r="I175" s="160">
        <v>5.0</v>
      </c>
      <c r="J175" s="84">
        <v>7.0</v>
      </c>
      <c r="K175" s="84">
        <v>4.0</v>
      </c>
      <c r="L175" s="84">
        <v>11.0</v>
      </c>
      <c r="M175" s="84">
        <v>9.0</v>
      </c>
      <c r="N175" s="84">
        <v>1.0</v>
      </c>
      <c r="O175" s="84">
        <v>3.0</v>
      </c>
      <c r="P175" s="84">
        <v>6.0</v>
      </c>
      <c r="Q175" s="84">
        <v>3.0</v>
      </c>
      <c r="R175" s="84">
        <v>3.0</v>
      </c>
      <c r="S175" s="84">
        <v>2.0</v>
      </c>
      <c r="T175" s="84">
        <v>2.0</v>
      </c>
      <c r="U175" s="84">
        <v>1.0</v>
      </c>
      <c r="V175" s="84">
        <v>3.0</v>
      </c>
      <c r="W175" s="84">
        <v>5.0</v>
      </c>
      <c r="X175" s="84">
        <v>2.0</v>
      </c>
      <c r="Y175" s="84">
        <v>1.0</v>
      </c>
      <c r="Z175" s="84">
        <v>4.0</v>
      </c>
      <c r="AA175" s="84">
        <v>4.0</v>
      </c>
      <c r="AB175" s="84">
        <v>2.0</v>
      </c>
      <c r="AC175" s="160">
        <v>5.0</v>
      </c>
      <c r="AD175" s="160">
        <v>1.0</v>
      </c>
      <c r="AE175" s="160">
        <v>2.0</v>
      </c>
      <c r="AF175" s="160">
        <v>1.0</v>
      </c>
      <c r="AG175" s="152">
        <f t="shared" si="72"/>
        <v>119</v>
      </c>
    </row>
    <row r="176" outlineLevel="1">
      <c r="A176" s="184" t="s">
        <v>213</v>
      </c>
      <c r="B176" s="160">
        <v>10.0</v>
      </c>
      <c r="C176" s="160">
        <v>12.0</v>
      </c>
      <c r="D176" s="160">
        <v>13.0</v>
      </c>
      <c r="E176" s="160">
        <v>8.0</v>
      </c>
      <c r="F176" s="160">
        <v>17.0</v>
      </c>
      <c r="G176" s="160">
        <v>10.0</v>
      </c>
      <c r="H176" s="160">
        <v>5.0</v>
      </c>
      <c r="I176" s="160">
        <v>7.0</v>
      </c>
      <c r="J176" s="84">
        <v>9.0</v>
      </c>
      <c r="K176" s="84">
        <v>6.0</v>
      </c>
      <c r="L176" s="84">
        <v>14.0</v>
      </c>
      <c r="M176" s="84">
        <v>21.0</v>
      </c>
      <c r="N176" s="84">
        <v>8.0</v>
      </c>
      <c r="O176" s="84">
        <v>12.0</v>
      </c>
      <c r="P176" s="84">
        <v>3.0</v>
      </c>
      <c r="Q176" s="84">
        <v>6.0</v>
      </c>
      <c r="R176" s="84">
        <v>8.0</v>
      </c>
      <c r="S176" s="84">
        <v>12.0</v>
      </c>
      <c r="T176" s="84">
        <v>6.0</v>
      </c>
      <c r="U176" s="84">
        <v>6.0</v>
      </c>
      <c r="V176" s="84">
        <v>7.0</v>
      </c>
      <c r="W176" s="84">
        <v>6.0</v>
      </c>
      <c r="X176" s="84">
        <v>7.0</v>
      </c>
      <c r="Y176" s="84">
        <v>8.0</v>
      </c>
      <c r="Z176" s="84">
        <v>12.0</v>
      </c>
      <c r="AA176" s="84">
        <v>10.0</v>
      </c>
      <c r="AB176" s="84">
        <v>7.0</v>
      </c>
      <c r="AC176" s="160">
        <v>6.0</v>
      </c>
      <c r="AD176" s="160">
        <v>6.0</v>
      </c>
      <c r="AE176" s="160">
        <v>5.0</v>
      </c>
      <c r="AF176" s="160">
        <v>7.0</v>
      </c>
      <c r="AG176" s="152">
        <f t="shared" si="72"/>
        <v>274</v>
      </c>
    </row>
    <row r="177">
      <c r="A177" s="184" t="s">
        <v>214</v>
      </c>
      <c r="B177" s="185"/>
      <c r="C177" s="185"/>
      <c r="D177" s="186"/>
      <c r="E177" s="186"/>
      <c r="F177" s="186"/>
      <c r="G177" s="186"/>
      <c r="H177" s="186"/>
      <c r="I177" s="186"/>
      <c r="J177" s="186"/>
      <c r="K177" s="185"/>
      <c r="L177" s="185"/>
      <c r="M177" s="185"/>
      <c r="N177" s="185"/>
      <c r="O177" s="185"/>
      <c r="P177" s="185"/>
      <c r="Q177" s="185"/>
      <c r="R177" s="185"/>
      <c r="S177" s="185"/>
      <c r="T177" s="185"/>
      <c r="U177" s="185"/>
      <c r="V177" s="185"/>
      <c r="W177" s="185"/>
      <c r="X177" s="185"/>
      <c r="Y177" s="185"/>
      <c r="Z177" s="185"/>
      <c r="AA177" s="185"/>
      <c r="AB177" s="185"/>
      <c r="AC177" s="185"/>
      <c r="AD177" s="185"/>
      <c r="AE177" s="185"/>
      <c r="AF177" s="185"/>
      <c r="AG177" s="152"/>
    </row>
    <row r="178" outlineLevel="1">
      <c r="A178" s="184" t="s">
        <v>215</v>
      </c>
      <c r="B178" s="187"/>
      <c r="C178" s="187"/>
      <c r="D178" s="187"/>
      <c r="E178" s="187"/>
      <c r="F178" s="187"/>
      <c r="G178" s="187"/>
      <c r="H178" s="187"/>
      <c r="I178" s="187"/>
      <c r="J178" s="187"/>
      <c r="K178" s="187"/>
      <c r="L178" s="187"/>
      <c r="M178" s="187"/>
      <c r="N178" s="187"/>
      <c r="O178" s="187"/>
      <c r="P178" s="187"/>
      <c r="Q178" s="187"/>
      <c r="R178" s="187"/>
      <c r="S178" s="187"/>
      <c r="T178" s="187"/>
      <c r="U178" s="187"/>
      <c r="V178" s="187"/>
      <c r="W178" s="187"/>
      <c r="X178" s="187"/>
      <c r="Y178" s="187"/>
      <c r="Z178" s="187"/>
      <c r="AA178" s="187"/>
      <c r="AB178" s="187"/>
      <c r="AC178" s="187"/>
      <c r="AD178" s="187"/>
      <c r="AE178" s="187"/>
      <c r="AF178" s="187"/>
      <c r="AG178" s="152">
        <f t="shared" ref="AG178:AG185" si="73">SUM(B178:AF178)</f>
        <v>0</v>
      </c>
    </row>
    <row r="179" outlineLevel="1">
      <c r="A179" s="184" t="s">
        <v>216</v>
      </c>
      <c r="B179" s="188"/>
      <c r="C179" s="188"/>
      <c r="D179" s="188"/>
      <c r="E179" s="188"/>
      <c r="F179" s="188"/>
      <c r="G179" s="188"/>
      <c r="H179" s="188"/>
      <c r="I179" s="188"/>
      <c r="J179" s="188"/>
      <c r="K179" s="188"/>
      <c r="L179" s="188"/>
      <c r="M179" s="188"/>
      <c r="N179" s="188"/>
      <c r="O179" s="188"/>
      <c r="P179" s="188"/>
      <c r="Q179" s="188"/>
      <c r="R179" s="188"/>
      <c r="S179" s="92"/>
      <c r="T179" s="92"/>
      <c r="U179" s="187"/>
      <c r="V179" s="187"/>
      <c r="W179" s="187"/>
      <c r="X179" s="187"/>
      <c r="Y179" s="187"/>
      <c r="Z179" s="187"/>
      <c r="AA179" s="187"/>
      <c r="AB179" s="187"/>
      <c r="AC179" s="187"/>
      <c r="AD179" s="187"/>
      <c r="AE179" s="187"/>
      <c r="AF179" s="187"/>
      <c r="AG179" s="152">
        <f t="shared" si="73"/>
        <v>0</v>
      </c>
    </row>
    <row r="180" outlineLevel="1">
      <c r="A180" s="184" t="s">
        <v>217</v>
      </c>
      <c r="B180" s="187"/>
      <c r="C180" s="187"/>
      <c r="D180" s="187"/>
      <c r="E180" s="187"/>
      <c r="F180" s="187"/>
      <c r="G180" s="187"/>
      <c r="H180" s="187"/>
      <c r="I180" s="187"/>
      <c r="J180" s="187"/>
      <c r="K180" s="187"/>
      <c r="L180" s="187"/>
      <c r="M180" s="187"/>
      <c r="N180" s="187"/>
      <c r="O180" s="187"/>
      <c r="P180" s="187"/>
      <c r="Q180" s="187"/>
      <c r="R180" s="187"/>
      <c r="S180" s="187"/>
      <c r="T180" s="187"/>
      <c r="U180" s="187"/>
      <c r="V180" s="187"/>
      <c r="W180" s="187"/>
      <c r="X180" s="187"/>
      <c r="Y180" s="187"/>
      <c r="Z180" s="187"/>
      <c r="AA180" s="187"/>
      <c r="AB180" s="187"/>
      <c r="AC180" s="187"/>
      <c r="AD180" s="187"/>
      <c r="AE180" s="187"/>
      <c r="AF180" s="187"/>
      <c r="AG180" s="152">
        <f t="shared" si="73"/>
        <v>0</v>
      </c>
    </row>
    <row r="181" outlineLevel="1">
      <c r="A181" s="184" t="s">
        <v>218</v>
      </c>
      <c r="B181" s="188"/>
      <c r="C181" s="188"/>
      <c r="D181" s="188"/>
      <c r="E181" s="188"/>
      <c r="F181" s="188"/>
      <c r="G181" s="188"/>
      <c r="H181" s="188"/>
      <c r="I181" s="188"/>
      <c r="J181" s="188"/>
      <c r="K181" s="188"/>
      <c r="L181" s="188"/>
      <c r="M181" s="188"/>
      <c r="N181" s="188"/>
      <c r="O181" s="188"/>
      <c r="P181" s="188"/>
      <c r="Q181" s="188"/>
      <c r="R181" s="188"/>
      <c r="S181" s="92"/>
      <c r="T181" s="92"/>
      <c r="U181" s="187"/>
      <c r="V181" s="187"/>
      <c r="W181" s="187"/>
      <c r="X181" s="187"/>
      <c r="Y181" s="187"/>
      <c r="Z181" s="187"/>
      <c r="AA181" s="187"/>
      <c r="AB181" s="187"/>
      <c r="AC181" s="187"/>
      <c r="AD181" s="187"/>
      <c r="AE181" s="187"/>
      <c r="AF181" s="187"/>
      <c r="AG181" s="152">
        <f t="shared" si="73"/>
        <v>0</v>
      </c>
    </row>
    <row r="182" outlineLevel="1">
      <c r="A182" s="184" t="s">
        <v>219</v>
      </c>
      <c r="B182" s="187"/>
      <c r="C182" s="187"/>
      <c r="D182" s="187"/>
      <c r="E182" s="187"/>
      <c r="F182" s="187"/>
      <c r="G182" s="187"/>
      <c r="H182" s="187"/>
      <c r="I182" s="187"/>
      <c r="J182" s="92"/>
      <c r="K182" s="92"/>
      <c r="L182" s="92"/>
      <c r="M182" s="92"/>
      <c r="N182" s="92"/>
      <c r="O182" s="92"/>
      <c r="P182" s="92"/>
      <c r="Q182" s="92"/>
      <c r="R182" s="92"/>
      <c r="S182" s="92"/>
      <c r="T182" s="92"/>
      <c r="U182" s="92"/>
      <c r="V182" s="92"/>
      <c r="W182" s="92"/>
      <c r="X182" s="92"/>
      <c r="Y182" s="92"/>
      <c r="Z182" s="92"/>
      <c r="AA182" s="92"/>
      <c r="AB182" s="187"/>
      <c r="AC182" s="187"/>
      <c r="AD182" s="187"/>
      <c r="AE182" s="187"/>
      <c r="AF182" s="187"/>
      <c r="AG182" s="152">
        <f t="shared" si="73"/>
        <v>0</v>
      </c>
    </row>
    <row r="183" outlineLevel="1">
      <c r="A183" s="184" t="s">
        <v>220</v>
      </c>
      <c r="B183" s="187"/>
      <c r="C183" s="187"/>
      <c r="D183" s="187"/>
      <c r="E183" s="187"/>
      <c r="F183" s="187"/>
      <c r="G183" s="187"/>
      <c r="H183" s="187"/>
      <c r="I183" s="187"/>
      <c r="J183" s="92"/>
      <c r="K183" s="92"/>
      <c r="L183" s="92"/>
      <c r="M183" s="92"/>
      <c r="N183" s="92"/>
      <c r="O183" s="92"/>
      <c r="P183" s="92"/>
      <c r="Q183" s="92"/>
      <c r="R183" s="92"/>
      <c r="S183" s="92"/>
      <c r="T183" s="92"/>
      <c r="U183" s="92"/>
      <c r="V183" s="92"/>
      <c r="W183" s="92"/>
      <c r="X183" s="92"/>
      <c r="Y183" s="92"/>
      <c r="Z183" s="92"/>
      <c r="AA183" s="92"/>
      <c r="AB183" s="187"/>
      <c r="AC183" s="187"/>
      <c r="AD183" s="187"/>
      <c r="AE183" s="187"/>
      <c r="AF183" s="187"/>
      <c r="AG183" s="152">
        <f t="shared" si="73"/>
        <v>0</v>
      </c>
    </row>
    <row r="184">
      <c r="A184" s="189" t="s">
        <v>221</v>
      </c>
      <c r="B184" s="190">
        <f t="shared" ref="B184:AF184" si="74">B171+B178+B172+B179</f>
        <v>34</v>
      </c>
      <c r="C184" s="190">
        <f t="shared" si="74"/>
        <v>41</v>
      </c>
      <c r="D184" s="190">
        <f t="shared" si="74"/>
        <v>38</v>
      </c>
      <c r="E184" s="190">
        <f t="shared" si="74"/>
        <v>41</v>
      </c>
      <c r="F184" s="190">
        <f t="shared" si="74"/>
        <v>39</v>
      </c>
      <c r="G184" s="190">
        <f t="shared" si="74"/>
        <v>69</v>
      </c>
      <c r="H184" s="190">
        <f t="shared" si="74"/>
        <v>52</v>
      </c>
      <c r="I184" s="190">
        <f t="shared" si="74"/>
        <v>33</v>
      </c>
      <c r="J184" s="190">
        <f t="shared" si="74"/>
        <v>24</v>
      </c>
      <c r="K184" s="190">
        <f t="shared" si="74"/>
        <v>22</v>
      </c>
      <c r="L184" s="190">
        <f t="shared" si="74"/>
        <v>25</v>
      </c>
      <c r="M184" s="190">
        <f t="shared" si="74"/>
        <v>29</v>
      </c>
      <c r="N184" s="190">
        <f t="shared" si="74"/>
        <v>15</v>
      </c>
      <c r="O184" s="190">
        <f t="shared" si="74"/>
        <v>19</v>
      </c>
      <c r="P184" s="190">
        <f t="shared" si="74"/>
        <v>11</v>
      </c>
      <c r="Q184" s="190">
        <f t="shared" si="74"/>
        <v>9</v>
      </c>
      <c r="R184" s="190">
        <f t="shared" si="74"/>
        <v>7</v>
      </c>
      <c r="S184" s="190">
        <f t="shared" si="74"/>
        <v>13</v>
      </c>
      <c r="T184" s="190">
        <f t="shared" si="74"/>
        <v>13</v>
      </c>
      <c r="U184" s="190">
        <f t="shared" si="74"/>
        <v>12</v>
      </c>
      <c r="V184" s="190">
        <f t="shared" si="74"/>
        <v>20</v>
      </c>
      <c r="W184" s="190">
        <f t="shared" si="74"/>
        <v>8</v>
      </c>
      <c r="X184" s="190">
        <f t="shared" si="74"/>
        <v>6</v>
      </c>
      <c r="Y184" s="190">
        <f t="shared" si="74"/>
        <v>8</v>
      </c>
      <c r="Z184" s="190">
        <f t="shared" si="74"/>
        <v>7</v>
      </c>
      <c r="AA184" s="190">
        <f t="shared" si="74"/>
        <v>12</v>
      </c>
      <c r="AB184" s="190">
        <f t="shared" si="74"/>
        <v>14</v>
      </c>
      <c r="AC184" s="190">
        <f t="shared" si="74"/>
        <v>12</v>
      </c>
      <c r="AD184" s="190">
        <f t="shared" si="74"/>
        <v>11</v>
      </c>
      <c r="AE184" s="190">
        <f t="shared" si="74"/>
        <v>10</v>
      </c>
      <c r="AF184" s="190">
        <f t="shared" si="74"/>
        <v>12</v>
      </c>
      <c r="AG184" s="152">
        <f t="shared" si="73"/>
        <v>666</v>
      </c>
    </row>
    <row r="185">
      <c r="A185" s="189" t="s">
        <v>222</v>
      </c>
      <c r="B185" s="190">
        <f t="shared" ref="B185:AF185" si="75">B173+B180+B174+B181</f>
        <v>125</v>
      </c>
      <c r="C185" s="190">
        <f t="shared" si="75"/>
        <v>121</v>
      </c>
      <c r="D185" s="190">
        <f t="shared" si="75"/>
        <v>173</v>
      </c>
      <c r="E185" s="190">
        <f t="shared" si="75"/>
        <v>106</v>
      </c>
      <c r="F185" s="190">
        <f t="shared" si="75"/>
        <v>117</v>
      </c>
      <c r="G185" s="190">
        <f t="shared" si="75"/>
        <v>117</v>
      </c>
      <c r="H185" s="190">
        <f t="shared" si="75"/>
        <v>98</v>
      </c>
      <c r="I185" s="190">
        <f t="shared" si="75"/>
        <v>92</v>
      </c>
      <c r="J185" s="190">
        <f t="shared" si="75"/>
        <v>64</v>
      </c>
      <c r="K185" s="190">
        <f t="shared" si="75"/>
        <v>55</v>
      </c>
      <c r="L185" s="190">
        <f t="shared" si="75"/>
        <v>60</v>
      </c>
      <c r="M185" s="190">
        <f t="shared" si="75"/>
        <v>54</v>
      </c>
      <c r="N185" s="190">
        <f t="shared" si="75"/>
        <v>42</v>
      </c>
      <c r="O185" s="190">
        <f t="shared" si="75"/>
        <v>34</v>
      </c>
      <c r="P185" s="190">
        <f t="shared" si="75"/>
        <v>38</v>
      </c>
      <c r="Q185" s="190">
        <f t="shared" si="75"/>
        <v>28</v>
      </c>
      <c r="R185" s="190">
        <f t="shared" si="75"/>
        <v>50</v>
      </c>
      <c r="S185" s="190">
        <f t="shared" si="75"/>
        <v>38</v>
      </c>
      <c r="T185" s="190">
        <f t="shared" si="75"/>
        <v>36</v>
      </c>
      <c r="U185" s="190">
        <f t="shared" si="75"/>
        <v>46</v>
      </c>
      <c r="V185" s="190">
        <f t="shared" si="75"/>
        <v>30</v>
      </c>
      <c r="W185" s="190">
        <f t="shared" si="75"/>
        <v>29</v>
      </c>
      <c r="X185" s="190">
        <f t="shared" si="75"/>
        <v>25</v>
      </c>
      <c r="Y185" s="190">
        <f t="shared" si="75"/>
        <v>26</v>
      </c>
      <c r="Z185" s="190">
        <f t="shared" si="75"/>
        <v>22</v>
      </c>
      <c r="AA185" s="190">
        <f t="shared" si="75"/>
        <v>37</v>
      </c>
      <c r="AB185" s="190">
        <f t="shared" si="75"/>
        <v>31</v>
      </c>
      <c r="AC185" s="190">
        <f t="shared" si="75"/>
        <v>36</v>
      </c>
      <c r="AD185" s="190">
        <f t="shared" si="75"/>
        <v>32</v>
      </c>
      <c r="AE185" s="190">
        <f t="shared" si="75"/>
        <v>20</v>
      </c>
      <c r="AF185" s="190">
        <f t="shared" si="75"/>
        <v>34</v>
      </c>
      <c r="AG185" s="152">
        <f t="shared" si="73"/>
        <v>1816</v>
      </c>
    </row>
    <row r="186" ht="21.0" customHeight="1">
      <c r="A186" s="98"/>
      <c r="B186" s="127"/>
      <c r="C186" s="127"/>
      <c r="D186" s="127"/>
      <c r="E186" s="127"/>
      <c r="F186" s="127"/>
      <c r="G186" s="127"/>
      <c r="H186" s="127"/>
      <c r="I186" s="83"/>
      <c r="J186" s="83"/>
      <c r="K186" s="83"/>
      <c r="L186" s="83"/>
      <c r="M186" s="83"/>
      <c r="N186" s="83"/>
      <c r="O186" s="83"/>
      <c r="P186" s="83"/>
      <c r="Q186" s="83"/>
      <c r="R186" s="83"/>
      <c r="S186" s="83"/>
      <c r="T186" s="83"/>
      <c r="U186" s="83"/>
      <c r="V186" s="83"/>
      <c r="W186" s="83"/>
      <c r="X186" s="83"/>
      <c r="Y186" s="83"/>
      <c r="Z186" s="83"/>
      <c r="AA186" s="83"/>
      <c r="AB186" s="83"/>
      <c r="AC186" s="83"/>
      <c r="AD186" s="83"/>
      <c r="AE186" s="83"/>
      <c r="AF186" s="83"/>
      <c r="AG186" s="152"/>
    </row>
    <row r="187">
      <c r="A187" s="184" t="s">
        <v>223</v>
      </c>
      <c r="B187" s="185"/>
      <c r="C187" s="185"/>
      <c r="D187" s="185"/>
      <c r="E187" s="185"/>
      <c r="F187" s="185"/>
      <c r="G187" s="185"/>
      <c r="H187" s="185"/>
      <c r="I187" s="185"/>
      <c r="J187" s="185"/>
      <c r="K187" s="185"/>
      <c r="L187" s="185"/>
      <c r="M187" s="185"/>
      <c r="N187" s="185"/>
      <c r="O187" s="185"/>
      <c r="P187" s="185"/>
      <c r="Q187" s="185"/>
      <c r="R187" s="185"/>
      <c r="S187" s="185"/>
      <c r="T187" s="185"/>
      <c r="U187" s="185"/>
      <c r="V187" s="185"/>
      <c r="W187" s="185"/>
      <c r="X187" s="185"/>
      <c r="Y187" s="185"/>
      <c r="Z187" s="185"/>
      <c r="AA187" s="185"/>
      <c r="AB187" s="185"/>
      <c r="AC187" s="185"/>
      <c r="AD187" s="185"/>
      <c r="AE187" s="185"/>
      <c r="AF187" s="185"/>
      <c r="AG187" s="152"/>
    </row>
    <row r="188" outlineLevel="1">
      <c r="A188" s="184" t="s">
        <v>224</v>
      </c>
      <c r="B188" s="160">
        <v>37.0</v>
      </c>
      <c r="C188" s="160">
        <v>34.0</v>
      </c>
      <c r="D188" s="160">
        <v>46.0</v>
      </c>
      <c r="E188" s="160">
        <v>31.0</v>
      </c>
      <c r="F188" s="160">
        <v>43.0</v>
      </c>
      <c r="G188" s="160">
        <v>35.0</v>
      </c>
      <c r="H188" s="160">
        <v>27.0</v>
      </c>
      <c r="I188" s="160">
        <v>25.0</v>
      </c>
      <c r="J188" s="160">
        <v>15.0</v>
      </c>
      <c r="K188" s="160">
        <v>12.0</v>
      </c>
      <c r="L188" s="160">
        <v>12.0</v>
      </c>
      <c r="M188" s="160">
        <v>25.0</v>
      </c>
      <c r="N188" s="160">
        <v>16.0</v>
      </c>
      <c r="O188" s="160">
        <v>18.0</v>
      </c>
      <c r="P188" s="160">
        <v>9.0</v>
      </c>
      <c r="Q188" s="160">
        <v>18.0</v>
      </c>
      <c r="R188" s="160">
        <v>18.0</v>
      </c>
      <c r="S188" s="160">
        <v>18.0</v>
      </c>
      <c r="T188" s="160">
        <v>15.0</v>
      </c>
      <c r="U188" s="84">
        <v>6.0</v>
      </c>
      <c r="V188" s="84">
        <v>10.0</v>
      </c>
      <c r="W188" s="84">
        <v>12.0</v>
      </c>
      <c r="X188" s="84">
        <v>11.0</v>
      </c>
      <c r="Y188" s="160">
        <v>3.0</v>
      </c>
      <c r="Z188" s="160">
        <v>7.0</v>
      </c>
      <c r="AA188" s="160">
        <v>8.0</v>
      </c>
      <c r="AB188" s="160">
        <v>15.0</v>
      </c>
      <c r="AC188" s="160">
        <v>11.0</v>
      </c>
      <c r="AD188" s="160">
        <v>11.0</v>
      </c>
      <c r="AE188" s="160">
        <v>11.0</v>
      </c>
      <c r="AF188" s="160">
        <v>10.0</v>
      </c>
      <c r="AG188" s="152">
        <f t="shared" ref="AG188:AG198" si="76">SUM(B188:AF188)</f>
        <v>569</v>
      </c>
    </row>
    <row r="189" outlineLevel="1">
      <c r="A189" s="184" t="s">
        <v>225</v>
      </c>
      <c r="B189" s="160">
        <v>15.0</v>
      </c>
      <c r="C189" s="160">
        <v>18.0</v>
      </c>
      <c r="D189" s="160">
        <v>30.0</v>
      </c>
      <c r="E189" s="160">
        <v>20.0</v>
      </c>
      <c r="F189" s="160">
        <v>29.0</v>
      </c>
      <c r="G189" s="160">
        <v>24.0</v>
      </c>
      <c r="H189" s="160">
        <v>15.0</v>
      </c>
      <c r="I189" s="160">
        <v>10.0</v>
      </c>
      <c r="J189" s="160">
        <v>15.0</v>
      </c>
      <c r="K189" s="160">
        <v>9.0</v>
      </c>
      <c r="L189" s="160">
        <v>21.0</v>
      </c>
      <c r="M189" s="160">
        <v>22.0</v>
      </c>
      <c r="N189" s="160">
        <v>12.0</v>
      </c>
      <c r="O189" s="160">
        <v>21.0</v>
      </c>
      <c r="P189" s="160">
        <v>11.0</v>
      </c>
      <c r="Q189" s="160">
        <v>10.0</v>
      </c>
      <c r="R189" s="160">
        <v>10.0</v>
      </c>
      <c r="S189" s="160">
        <v>11.0</v>
      </c>
      <c r="T189" s="160">
        <v>9.0</v>
      </c>
      <c r="U189" s="84">
        <v>7.0</v>
      </c>
      <c r="V189" s="84">
        <v>15.0</v>
      </c>
      <c r="W189" s="84">
        <v>13.0</v>
      </c>
      <c r="X189" s="84">
        <v>13.0</v>
      </c>
      <c r="Y189" s="160">
        <v>11.0</v>
      </c>
      <c r="Z189" s="160">
        <v>8.0</v>
      </c>
      <c r="AA189" s="160">
        <v>8.0</v>
      </c>
      <c r="AB189" s="160">
        <v>11.0</v>
      </c>
      <c r="AC189" s="160">
        <v>10.0</v>
      </c>
      <c r="AD189" s="160">
        <v>10.0</v>
      </c>
      <c r="AE189" s="160">
        <v>7.0</v>
      </c>
      <c r="AF189" s="160">
        <v>7.0</v>
      </c>
      <c r="AG189" s="152">
        <f t="shared" si="76"/>
        <v>432</v>
      </c>
    </row>
    <row r="190" outlineLevel="1">
      <c r="A190" s="184" t="s">
        <v>226</v>
      </c>
      <c r="B190" s="160">
        <v>20.0</v>
      </c>
      <c r="C190" s="160">
        <v>22.0</v>
      </c>
      <c r="D190" s="160">
        <v>41.0</v>
      </c>
      <c r="E190" s="160">
        <v>22.0</v>
      </c>
      <c r="F190" s="160">
        <v>28.0</v>
      </c>
      <c r="G190" s="160">
        <v>33.0</v>
      </c>
      <c r="H190" s="160">
        <v>31.0</v>
      </c>
      <c r="I190" s="160">
        <v>16.0</v>
      </c>
      <c r="J190" s="160">
        <v>25.0</v>
      </c>
      <c r="K190" s="160">
        <v>14.0</v>
      </c>
      <c r="L190" s="160">
        <v>21.0</v>
      </c>
      <c r="M190" s="160">
        <v>27.0</v>
      </c>
      <c r="N190" s="160">
        <v>8.0</v>
      </c>
      <c r="O190" s="160">
        <v>13.0</v>
      </c>
      <c r="P190" s="160">
        <v>14.0</v>
      </c>
      <c r="Q190" s="160">
        <v>13.0</v>
      </c>
      <c r="R190" s="160">
        <v>17.0</v>
      </c>
      <c r="S190" s="160">
        <v>12.0</v>
      </c>
      <c r="T190" s="160">
        <v>12.0</v>
      </c>
      <c r="U190" s="155">
        <v>8.0</v>
      </c>
      <c r="V190" s="155">
        <v>25.0</v>
      </c>
      <c r="W190" s="155">
        <v>15.0</v>
      </c>
      <c r="X190" s="155">
        <v>12.0</v>
      </c>
      <c r="Y190" s="160">
        <v>12.0</v>
      </c>
      <c r="Z190" s="84">
        <v>6.0</v>
      </c>
      <c r="AA190" s="160">
        <v>10.0</v>
      </c>
      <c r="AB190" s="160">
        <v>16.0</v>
      </c>
      <c r="AC190" s="160">
        <v>24.0</v>
      </c>
      <c r="AD190" s="160">
        <v>12.0</v>
      </c>
      <c r="AE190" s="160">
        <v>10.0</v>
      </c>
      <c r="AF190" s="160">
        <v>6.0</v>
      </c>
      <c r="AG190" s="152">
        <f t="shared" si="76"/>
        <v>545</v>
      </c>
    </row>
    <row r="191" outlineLevel="1">
      <c r="A191" s="184" t="s">
        <v>227</v>
      </c>
      <c r="B191" s="160">
        <v>3.0</v>
      </c>
      <c r="C191" s="160">
        <v>3.0</v>
      </c>
      <c r="D191" s="160">
        <v>1.0</v>
      </c>
      <c r="E191" s="160">
        <v>3.0</v>
      </c>
      <c r="F191" s="160">
        <v>3.0</v>
      </c>
      <c r="G191" s="160">
        <v>2.0</v>
      </c>
      <c r="H191" s="160">
        <v>1.0</v>
      </c>
      <c r="I191" s="160">
        <v>1.0</v>
      </c>
      <c r="J191" s="160">
        <v>2.0</v>
      </c>
      <c r="K191" s="160">
        <v>1.0</v>
      </c>
      <c r="L191" s="160">
        <v>2.0</v>
      </c>
      <c r="M191" s="160">
        <v>4.0</v>
      </c>
      <c r="N191" s="160">
        <v>4.0</v>
      </c>
      <c r="O191" s="160">
        <v>0.0</v>
      </c>
      <c r="P191" s="160">
        <v>0.0</v>
      </c>
      <c r="Q191" s="160">
        <v>1.0</v>
      </c>
      <c r="R191" s="160">
        <v>1.0</v>
      </c>
      <c r="S191" s="84">
        <v>1.0</v>
      </c>
      <c r="T191" s="84">
        <v>0.0</v>
      </c>
      <c r="U191" s="154">
        <v>1.0</v>
      </c>
      <c r="V191" s="155">
        <v>4.0</v>
      </c>
      <c r="W191" s="155">
        <v>2.0</v>
      </c>
      <c r="X191" s="155">
        <v>0.0</v>
      </c>
      <c r="Y191" s="160">
        <v>4.0</v>
      </c>
      <c r="Z191" s="84">
        <v>2.0</v>
      </c>
      <c r="AA191" s="160">
        <v>1.0</v>
      </c>
      <c r="AB191" s="160">
        <v>0.0</v>
      </c>
      <c r="AC191" s="160">
        <v>0.0</v>
      </c>
      <c r="AD191" s="160">
        <v>1.0</v>
      </c>
      <c r="AE191" s="160">
        <v>1.0</v>
      </c>
      <c r="AF191" s="160">
        <v>1.0</v>
      </c>
      <c r="AG191" s="152">
        <f t="shared" si="76"/>
        <v>50</v>
      </c>
    </row>
    <row r="192" outlineLevel="1">
      <c r="A192" s="184" t="s">
        <v>228</v>
      </c>
      <c r="B192" s="160">
        <v>24.0</v>
      </c>
      <c r="C192" s="160">
        <v>22.0</v>
      </c>
      <c r="D192" s="160">
        <v>17.0</v>
      </c>
      <c r="E192" s="160">
        <v>17.0</v>
      </c>
      <c r="F192" s="160">
        <v>9.0</v>
      </c>
      <c r="G192" s="160">
        <v>13.0</v>
      </c>
      <c r="H192" s="160">
        <v>26.0</v>
      </c>
      <c r="I192" s="160">
        <v>20.0</v>
      </c>
      <c r="J192" s="160">
        <v>9.0</v>
      </c>
      <c r="K192" s="160">
        <v>10.0</v>
      </c>
      <c r="L192" s="160">
        <v>14.0</v>
      </c>
      <c r="M192" s="160">
        <v>19.0</v>
      </c>
      <c r="N192" s="160">
        <v>22.0</v>
      </c>
      <c r="O192" s="160">
        <v>11.0</v>
      </c>
      <c r="P192" s="160">
        <v>7.0</v>
      </c>
      <c r="Q192" s="160">
        <v>10.0</v>
      </c>
      <c r="R192" s="160">
        <v>7.0</v>
      </c>
      <c r="S192" s="160">
        <v>22.0</v>
      </c>
      <c r="T192" s="160">
        <v>12.0</v>
      </c>
      <c r="U192" s="155">
        <v>9.0</v>
      </c>
      <c r="V192" s="155">
        <v>12.0</v>
      </c>
      <c r="W192" s="155">
        <v>10.0</v>
      </c>
      <c r="X192" s="155">
        <v>8.0</v>
      </c>
      <c r="Y192" s="160">
        <v>10.0</v>
      </c>
      <c r="Z192" s="160">
        <v>11.0</v>
      </c>
      <c r="AA192" s="160">
        <v>11.0</v>
      </c>
      <c r="AB192" s="160">
        <v>11.0</v>
      </c>
      <c r="AC192" s="160">
        <v>9.0</v>
      </c>
      <c r="AD192" s="160">
        <v>14.0</v>
      </c>
      <c r="AE192" s="160">
        <v>5.0</v>
      </c>
      <c r="AF192" s="160">
        <v>5.0</v>
      </c>
      <c r="AG192" s="152">
        <f t="shared" si="76"/>
        <v>406</v>
      </c>
    </row>
    <row r="193" outlineLevel="1">
      <c r="A193" s="184" t="s">
        <v>229</v>
      </c>
      <c r="B193" s="160">
        <v>3.0</v>
      </c>
      <c r="C193" s="160">
        <v>6.0</v>
      </c>
      <c r="D193" s="160">
        <v>0.0</v>
      </c>
      <c r="E193" s="160">
        <v>3.0</v>
      </c>
      <c r="F193" s="160">
        <v>4.0</v>
      </c>
      <c r="G193" s="160">
        <v>6.0</v>
      </c>
      <c r="H193" s="160">
        <v>3.0</v>
      </c>
      <c r="I193" s="160">
        <v>2.0</v>
      </c>
      <c r="J193" s="160">
        <v>3.0</v>
      </c>
      <c r="K193" s="160">
        <v>3.0</v>
      </c>
      <c r="L193" s="160">
        <v>1.0</v>
      </c>
      <c r="M193" s="160">
        <v>1.0</v>
      </c>
      <c r="N193" s="160">
        <v>3.0</v>
      </c>
      <c r="O193" s="160">
        <v>3.0</v>
      </c>
      <c r="P193" s="160">
        <v>1.0</v>
      </c>
      <c r="Q193" s="160">
        <v>0.0</v>
      </c>
      <c r="R193" s="160">
        <v>2.0</v>
      </c>
      <c r="S193" s="84">
        <v>6.0</v>
      </c>
      <c r="T193" s="84">
        <v>3.0</v>
      </c>
      <c r="U193" s="155">
        <v>3.0</v>
      </c>
      <c r="V193" s="155">
        <v>2.0</v>
      </c>
      <c r="W193" s="155">
        <v>2.0</v>
      </c>
      <c r="X193" s="155">
        <v>1.0</v>
      </c>
      <c r="Y193" s="160">
        <v>1.0</v>
      </c>
      <c r="Z193" s="160">
        <v>0.0</v>
      </c>
      <c r="AA193" s="160">
        <v>4.0</v>
      </c>
      <c r="AB193" s="160">
        <v>4.0</v>
      </c>
      <c r="AC193" s="160">
        <v>1.0</v>
      </c>
      <c r="AD193" s="160">
        <v>3.0</v>
      </c>
      <c r="AE193" s="160">
        <v>2.0</v>
      </c>
      <c r="AF193" s="160">
        <v>3.0</v>
      </c>
      <c r="AG193" s="152">
        <f t="shared" si="76"/>
        <v>79</v>
      </c>
    </row>
    <row r="194" outlineLevel="1">
      <c r="A194" s="184" t="s">
        <v>230</v>
      </c>
      <c r="B194" s="160">
        <v>46.0</v>
      </c>
      <c r="C194" s="160">
        <v>47.0</v>
      </c>
      <c r="D194" s="160">
        <v>67.0</v>
      </c>
      <c r="E194" s="160">
        <v>55.0</v>
      </c>
      <c r="F194" s="160">
        <v>55.0</v>
      </c>
      <c r="G194" s="160">
        <v>42.0</v>
      </c>
      <c r="H194" s="160">
        <v>36.0</v>
      </c>
      <c r="I194" s="160">
        <v>31.0</v>
      </c>
      <c r="J194" s="160">
        <v>29.0</v>
      </c>
      <c r="K194" s="160">
        <v>25.0</v>
      </c>
      <c r="L194" s="160">
        <v>42.0</v>
      </c>
      <c r="M194" s="160">
        <v>42.0</v>
      </c>
      <c r="N194" s="160">
        <v>30.0</v>
      </c>
      <c r="O194" s="160">
        <v>30.0</v>
      </c>
      <c r="P194" s="160">
        <v>14.0</v>
      </c>
      <c r="Q194" s="160">
        <v>23.0</v>
      </c>
      <c r="R194" s="160">
        <v>25.0</v>
      </c>
      <c r="S194" s="160">
        <v>23.0</v>
      </c>
      <c r="T194" s="160">
        <v>28.0</v>
      </c>
      <c r="U194" s="155">
        <v>18.0</v>
      </c>
      <c r="V194" s="155">
        <v>20.0</v>
      </c>
      <c r="W194" s="155">
        <v>21.0</v>
      </c>
      <c r="X194" s="155">
        <v>17.0</v>
      </c>
      <c r="Y194" s="160">
        <v>15.0</v>
      </c>
      <c r="Z194" s="160">
        <v>16.0</v>
      </c>
      <c r="AA194" s="160">
        <v>22.0</v>
      </c>
      <c r="AB194" s="160">
        <v>22.0</v>
      </c>
      <c r="AC194" s="160">
        <v>23.0</v>
      </c>
      <c r="AD194" s="160">
        <v>17.0</v>
      </c>
      <c r="AE194" s="160">
        <v>12.0</v>
      </c>
      <c r="AF194" s="160">
        <v>10.0</v>
      </c>
      <c r="AG194" s="152">
        <f t="shared" si="76"/>
        <v>903</v>
      </c>
    </row>
    <row r="195" outlineLevel="1">
      <c r="A195" s="184" t="s">
        <v>231</v>
      </c>
      <c r="B195" s="160">
        <v>9.0</v>
      </c>
      <c r="C195" s="160">
        <v>5.0</v>
      </c>
      <c r="D195" s="160">
        <v>6.0</v>
      </c>
      <c r="E195" s="160">
        <v>4.0</v>
      </c>
      <c r="F195" s="160">
        <v>4.0</v>
      </c>
      <c r="G195" s="160">
        <v>4.0</v>
      </c>
      <c r="H195" s="160">
        <v>6.0</v>
      </c>
      <c r="I195" s="160">
        <v>2.0</v>
      </c>
      <c r="J195" s="160">
        <v>6.0</v>
      </c>
      <c r="K195" s="160">
        <v>2.0</v>
      </c>
      <c r="L195" s="160">
        <v>9.0</v>
      </c>
      <c r="M195" s="160">
        <v>6.0</v>
      </c>
      <c r="N195" s="160">
        <v>6.0</v>
      </c>
      <c r="O195" s="160">
        <v>2.0</v>
      </c>
      <c r="P195" s="160">
        <v>3.0</v>
      </c>
      <c r="Q195" s="160">
        <v>2.0</v>
      </c>
      <c r="R195" s="160">
        <v>2.0</v>
      </c>
      <c r="S195" s="84">
        <v>7.0</v>
      </c>
      <c r="T195" s="84">
        <v>4.0</v>
      </c>
      <c r="U195" s="155">
        <v>1.0</v>
      </c>
      <c r="V195" s="155">
        <v>6.0</v>
      </c>
      <c r="W195" s="155">
        <v>2.0</v>
      </c>
      <c r="X195" s="155">
        <v>3.0</v>
      </c>
      <c r="Y195" s="160">
        <v>2.0</v>
      </c>
      <c r="Z195" s="160">
        <v>3.0</v>
      </c>
      <c r="AA195" s="160">
        <v>2.0</v>
      </c>
      <c r="AB195" s="160">
        <v>1.0</v>
      </c>
      <c r="AC195" s="160">
        <v>3.0</v>
      </c>
      <c r="AD195" s="160">
        <v>2.0</v>
      </c>
      <c r="AE195" s="160">
        <v>2.0</v>
      </c>
      <c r="AF195" s="160">
        <v>0.0</v>
      </c>
      <c r="AG195" s="152">
        <f t="shared" si="76"/>
        <v>116</v>
      </c>
    </row>
    <row r="196" outlineLevel="1">
      <c r="A196" s="184" t="s">
        <v>232</v>
      </c>
      <c r="B196" s="191">
        <v>0.0</v>
      </c>
      <c r="C196" s="160">
        <v>1.0</v>
      </c>
      <c r="D196" s="160">
        <v>1.0</v>
      </c>
      <c r="E196" s="160">
        <v>1.0</v>
      </c>
      <c r="F196" s="160">
        <v>1.0</v>
      </c>
      <c r="G196" s="160">
        <v>0.0</v>
      </c>
      <c r="H196" s="160">
        <v>2.0</v>
      </c>
      <c r="I196" s="160">
        <v>1.0</v>
      </c>
      <c r="J196" s="160">
        <v>2.0</v>
      </c>
      <c r="K196" s="160">
        <v>2.0</v>
      </c>
      <c r="L196" s="160">
        <v>2.0</v>
      </c>
      <c r="M196" s="160">
        <v>4.0</v>
      </c>
      <c r="N196" s="160">
        <v>1.0</v>
      </c>
      <c r="O196" s="160">
        <v>1.0</v>
      </c>
      <c r="P196" s="160">
        <v>3.0</v>
      </c>
      <c r="Q196" s="160">
        <v>2.0</v>
      </c>
      <c r="R196" s="160">
        <v>1.0</v>
      </c>
      <c r="S196" s="84">
        <v>1.0</v>
      </c>
      <c r="T196" s="84">
        <v>1.0</v>
      </c>
      <c r="U196" s="160">
        <v>0.0</v>
      </c>
      <c r="V196" s="160">
        <v>2.0</v>
      </c>
      <c r="W196" s="160">
        <v>2.0</v>
      </c>
      <c r="X196" s="160">
        <v>1.0</v>
      </c>
      <c r="Y196" s="160">
        <v>1.0</v>
      </c>
      <c r="Z196" s="160">
        <v>1.0</v>
      </c>
      <c r="AA196" s="160">
        <v>1.0</v>
      </c>
      <c r="AB196" s="84">
        <v>0.0</v>
      </c>
      <c r="AC196" s="84">
        <v>0.0</v>
      </c>
      <c r="AD196" s="160">
        <v>0.0</v>
      </c>
      <c r="AE196" s="160">
        <v>1.0</v>
      </c>
      <c r="AF196" s="160">
        <v>0.0</v>
      </c>
      <c r="AG196" s="152">
        <f t="shared" si="76"/>
        <v>36</v>
      </c>
    </row>
    <row r="197" outlineLevel="1">
      <c r="A197" s="184" t="s">
        <v>233</v>
      </c>
      <c r="B197" s="191">
        <v>1.0</v>
      </c>
      <c r="C197" s="160">
        <v>0.0</v>
      </c>
      <c r="D197" s="160">
        <v>1.0</v>
      </c>
      <c r="E197" s="160">
        <v>0.0</v>
      </c>
      <c r="F197" s="160">
        <v>3.0</v>
      </c>
      <c r="G197" s="160">
        <v>1.0</v>
      </c>
      <c r="H197" s="160">
        <v>4.0</v>
      </c>
      <c r="I197" s="160">
        <v>2.0</v>
      </c>
      <c r="J197" s="160">
        <v>0.0</v>
      </c>
      <c r="K197" s="160">
        <v>0.0</v>
      </c>
      <c r="L197" s="160">
        <v>2.0</v>
      </c>
      <c r="M197" s="160">
        <v>1.0</v>
      </c>
      <c r="N197" s="160">
        <v>0.0</v>
      </c>
      <c r="O197" s="160">
        <v>2.0</v>
      </c>
      <c r="P197" s="160">
        <v>0.0</v>
      </c>
      <c r="Q197" s="160">
        <v>1.0</v>
      </c>
      <c r="R197" s="160">
        <v>0.0</v>
      </c>
      <c r="S197" s="84">
        <v>0.0</v>
      </c>
      <c r="T197" s="84">
        <v>0.0</v>
      </c>
      <c r="U197" s="160">
        <v>0.0</v>
      </c>
      <c r="V197" s="160">
        <v>2.0</v>
      </c>
      <c r="W197" s="160">
        <v>1.0</v>
      </c>
      <c r="X197" s="160">
        <v>4.0</v>
      </c>
      <c r="Y197" s="160">
        <v>1.0</v>
      </c>
      <c r="Z197" s="160">
        <v>1.0</v>
      </c>
      <c r="AA197" s="160">
        <v>0.0</v>
      </c>
      <c r="AB197" s="84">
        <v>0.0</v>
      </c>
      <c r="AC197" s="84">
        <v>0.0</v>
      </c>
      <c r="AD197" s="160">
        <v>0.0</v>
      </c>
      <c r="AE197" s="160">
        <v>0.0</v>
      </c>
      <c r="AF197" s="160">
        <v>2.0</v>
      </c>
      <c r="AG197" s="152">
        <f t="shared" si="76"/>
        <v>29</v>
      </c>
    </row>
    <row r="198">
      <c r="A198" s="189" t="s">
        <v>141</v>
      </c>
      <c r="B198" s="190">
        <f t="shared" ref="B198:AF198" si="77">SUM(B188:B197)</f>
        <v>158</v>
      </c>
      <c r="C198" s="190">
        <f t="shared" si="77"/>
        <v>158</v>
      </c>
      <c r="D198" s="190">
        <f t="shared" si="77"/>
        <v>210</v>
      </c>
      <c r="E198" s="190">
        <f t="shared" si="77"/>
        <v>156</v>
      </c>
      <c r="F198" s="190">
        <f t="shared" si="77"/>
        <v>179</v>
      </c>
      <c r="G198" s="190">
        <f t="shared" si="77"/>
        <v>160</v>
      </c>
      <c r="H198" s="190">
        <f t="shared" si="77"/>
        <v>151</v>
      </c>
      <c r="I198" s="190">
        <f t="shared" si="77"/>
        <v>110</v>
      </c>
      <c r="J198" s="190">
        <f t="shared" si="77"/>
        <v>106</v>
      </c>
      <c r="K198" s="190">
        <f t="shared" si="77"/>
        <v>78</v>
      </c>
      <c r="L198" s="190">
        <f t="shared" si="77"/>
        <v>126</v>
      </c>
      <c r="M198" s="190">
        <f t="shared" si="77"/>
        <v>151</v>
      </c>
      <c r="N198" s="190">
        <f t="shared" si="77"/>
        <v>102</v>
      </c>
      <c r="O198" s="190">
        <f t="shared" si="77"/>
        <v>101</v>
      </c>
      <c r="P198" s="190">
        <f t="shared" si="77"/>
        <v>62</v>
      </c>
      <c r="Q198" s="190">
        <f t="shared" si="77"/>
        <v>80</v>
      </c>
      <c r="R198" s="190">
        <f t="shared" si="77"/>
        <v>83</v>
      </c>
      <c r="S198" s="190">
        <f t="shared" si="77"/>
        <v>101</v>
      </c>
      <c r="T198" s="190">
        <f t="shared" si="77"/>
        <v>84</v>
      </c>
      <c r="U198" s="190">
        <f t="shared" si="77"/>
        <v>53</v>
      </c>
      <c r="V198" s="190">
        <f t="shared" si="77"/>
        <v>98</v>
      </c>
      <c r="W198" s="190">
        <f t="shared" si="77"/>
        <v>80</v>
      </c>
      <c r="X198" s="190">
        <f t="shared" si="77"/>
        <v>70</v>
      </c>
      <c r="Y198" s="190">
        <f t="shared" si="77"/>
        <v>60</v>
      </c>
      <c r="Z198" s="190">
        <f t="shared" si="77"/>
        <v>55</v>
      </c>
      <c r="AA198" s="190">
        <f t="shared" si="77"/>
        <v>67</v>
      </c>
      <c r="AB198" s="190">
        <f t="shared" si="77"/>
        <v>80</v>
      </c>
      <c r="AC198" s="190">
        <f t="shared" si="77"/>
        <v>81</v>
      </c>
      <c r="AD198" s="190">
        <f t="shared" si="77"/>
        <v>70</v>
      </c>
      <c r="AE198" s="190">
        <f t="shared" si="77"/>
        <v>51</v>
      </c>
      <c r="AF198" s="190">
        <f t="shared" si="77"/>
        <v>44</v>
      </c>
      <c r="AG198" s="152">
        <f t="shared" si="76"/>
        <v>3165</v>
      </c>
    </row>
    <row r="199">
      <c r="A199" s="98"/>
      <c r="B199" s="127"/>
      <c r="C199" s="127"/>
      <c r="D199" s="127"/>
      <c r="E199" s="127"/>
      <c r="F199" s="127"/>
      <c r="G199" s="127"/>
      <c r="H199" s="127"/>
      <c r="I199" s="83"/>
      <c r="J199" s="83"/>
      <c r="K199" s="83"/>
      <c r="L199" s="83"/>
      <c r="M199" s="83"/>
      <c r="N199" s="83"/>
      <c r="O199" s="83"/>
      <c r="P199" s="83"/>
      <c r="Q199" s="83"/>
      <c r="R199" s="83"/>
      <c r="S199" s="83"/>
      <c r="T199" s="83"/>
      <c r="U199" s="83"/>
      <c r="V199" s="83"/>
      <c r="W199" s="83"/>
      <c r="X199" s="83"/>
      <c r="Y199" s="83"/>
      <c r="Z199" s="83"/>
      <c r="AA199" s="83"/>
      <c r="AB199" s="83"/>
      <c r="AC199" s="83"/>
      <c r="AD199" s="83"/>
      <c r="AE199" s="83"/>
      <c r="AF199" s="83"/>
      <c r="AG199" s="152"/>
    </row>
    <row r="200">
      <c r="A200" s="184" t="s">
        <v>234</v>
      </c>
      <c r="B200" s="185"/>
      <c r="C200" s="185"/>
      <c r="D200" s="186"/>
      <c r="E200" s="186"/>
      <c r="F200" s="186"/>
      <c r="G200" s="186"/>
      <c r="H200" s="186"/>
      <c r="I200" s="186"/>
      <c r="J200" s="186"/>
      <c r="K200" s="185"/>
      <c r="L200" s="185"/>
      <c r="M200" s="185"/>
      <c r="N200" s="185"/>
      <c r="O200" s="185"/>
      <c r="P200" s="185"/>
      <c r="Q200" s="185"/>
      <c r="R200" s="185"/>
      <c r="S200" s="185"/>
      <c r="T200" s="185"/>
      <c r="U200" s="185"/>
      <c r="V200" s="185"/>
      <c r="W200" s="185"/>
      <c r="X200" s="185"/>
      <c r="Y200" s="185"/>
      <c r="Z200" s="185"/>
      <c r="AA200" s="185"/>
      <c r="AB200" s="185"/>
      <c r="AC200" s="185"/>
      <c r="AD200" s="185"/>
      <c r="AE200" s="185"/>
      <c r="AF200" s="185"/>
      <c r="AG200" s="152"/>
    </row>
    <row r="201" outlineLevel="1">
      <c r="A201" s="184" t="s">
        <v>224</v>
      </c>
      <c r="B201" s="187"/>
      <c r="C201" s="187"/>
      <c r="D201" s="187"/>
      <c r="E201" s="187"/>
      <c r="F201" s="187"/>
      <c r="G201" s="187"/>
      <c r="H201" s="187"/>
      <c r="I201" s="187"/>
      <c r="J201" s="187"/>
      <c r="K201" s="187"/>
      <c r="L201" s="187"/>
      <c r="M201" s="187"/>
      <c r="N201" s="187"/>
      <c r="O201" s="187"/>
      <c r="P201" s="187"/>
      <c r="Q201" s="187"/>
      <c r="R201" s="187"/>
      <c r="S201" s="187"/>
      <c r="T201" s="192"/>
      <c r="U201" s="187"/>
      <c r="V201" s="187"/>
      <c r="W201" s="187"/>
      <c r="X201" s="187"/>
      <c r="Y201" s="187"/>
      <c r="Z201" s="187"/>
      <c r="AA201" s="187"/>
      <c r="AB201" s="187"/>
      <c r="AC201" s="187"/>
      <c r="AD201" s="187"/>
      <c r="AE201" s="187"/>
      <c r="AF201" s="187"/>
      <c r="AG201" s="152">
        <f t="shared" ref="AG201:AG211" si="78">SUM(B201:AF201)</f>
        <v>0</v>
      </c>
    </row>
    <row r="202" outlineLevel="1">
      <c r="A202" s="184" t="s">
        <v>225</v>
      </c>
      <c r="B202" s="187"/>
      <c r="C202" s="187"/>
      <c r="D202" s="187"/>
      <c r="E202" s="187"/>
      <c r="F202" s="187"/>
      <c r="G202" s="187"/>
      <c r="H202" s="187"/>
      <c r="I202" s="187"/>
      <c r="J202" s="187"/>
      <c r="K202" s="187"/>
      <c r="L202" s="187"/>
      <c r="M202" s="187"/>
      <c r="N202" s="187"/>
      <c r="O202" s="187"/>
      <c r="P202" s="187"/>
      <c r="Q202" s="187"/>
      <c r="R202" s="187"/>
      <c r="S202" s="187"/>
      <c r="T202" s="187"/>
      <c r="U202" s="187"/>
      <c r="V202" s="187"/>
      <c r="W202" s="187"/>
      <c r="X202" s="187"/>
      <c r="Y202" s="187"/>
      <c r="Z202" s="187"/>
      <c r="AA202" s="187"/>
      <c r="AB202" s="187"/>
      <c r="AC202" s="187"/>
      <c r="AD202" s="187"/>
      <c r="AE202" s="187"/>
      <c r="AF202" s="187"/>
      <c r="AG202" s="152">
        <f t="shared" si="78"/>
        <v>0</v>
      </c>
    </row>
    <row r="203" outlineLevel="1">
      <c r="A203" s="184" t="s">
        <v>235</v>
      </c>
      <c r="B203" s="187"/>
      <c r="C203" s="187"/>
      <c r="D203" s="187"/>
      <c r="E203" s="187"/>
      <c r="F203" s="187"/>
      <c r="G203" s="187"/>
      <c r="H203" s="187"/>
      <c r="I203" s="187"/>
      <c r="J203" s="187"/>
      <c r="K203" s="187"/>
      <c r="L203" s="187"/>
      <c r="M203" s="187"/>
      <c r="N203" s="187"/>
      <c r="O203" s="187"/>
      <c r="P203" s="187"/>
      <c r="Q203" s="187"/>
      <c r="R203" s="187"/>
      <c r="S203" s="187"/>
      <c r="T203" s="187"/>
      <c r="U203" s="187"/>
      <c r="V203" s="187"/>
      <c r="W203" s="187"/>
      <c r="X203" s="187"/>
      <c r="Y203" s="187"/>
      <c r="Z203" s="187"/>
      <c r="AA203" s="187"/>
      <c r="AB203" s="187"/>
      <c r="AC203" s="187"/>
      <c r="AD203" s="187"/>
      <c r="AE203" s="187"/>
      <c r="AF203" s="187"/>
      <c r="AG203" s="152">
        <f t="shared" si="78"/>
        <v>0</v>
      </c>
    </row>
    <row r="204" outlineLevel="1">
      <c r="A204" s="184" t="s">
        <v>236</v>
      </c>
      <c r="B204" s="187"/>
      <c r="C204" s="187"/>
      <c r="D204" s="187"/>
      <c r="E204" s="187"/>
      <c r="F204" s="187"/>
      <c r="G204" s="187"/>
      <c r="H204" s="187"/>
      <c r="I204" s="187"/>
      <c r="J204" s="187"/>
      <c r="K204" s="187"/>
      <c r="L204" s="187"/>
      <c r="M204" s="187"/>
      <c r="N204" s="187"/>
      <c r="O204" s="187"/>
      <c r="P204" s="187"/>
      <c r="Q204" s="187"/>
      <c r="R204" s="187"/>
      <c r="S204" s="92"/>
      <c r="T204" s="92"/>
      <c r="U204" s="187"/>
      <c r="V204" s="187"/>
      <c r="W204" s="187"/>
      <c r="X204" s="187"/>
      <c r="Y204" s="187"/>
      <c r="Z204" s="187"/>
      <c r="AA204" s="187"/>
      <c r="AB204" s="187"/>
      <c r="AC204" s="187"/>
      <c r="AD204" s="187"/>
      <c r="AE204" s="187"/>
      <c r="AF204" s="187"/>
      <c r="AG204" s="152">
        <f t="shared" si="78"/>
        <v>0</v>
      </c>
    </row>
    <row r="205" outlineLevel="1">
      <c r="A205" s="184" t="s">
        <v>237</v>
      </c>
      <c r="B205" s="187"/>
      <c r="C205" s="187"/>
      <c r="D205" s="187"/>
      <c r="E205" s="187"/>
      <c r="F205" s="187"/>
      <c r="G205" s="187"/>
      <c r="H205" s="187"/>
      <c r="I205" s="187"/>
      <c r="J205" s="187"/>
      <c r="K205" s="187"/>
      <c r="L205" s="187"/>
      <c r="M205" s="187"/>
      <c r="N205" s="187"/>
      <c r="O205" s="187"/>
      <c r="P205" s="187"/>
      <c r="Q205" s="187"/>
      <c r="R205" s="187"/>
      <c r="S205" s="187"/>
      <c r="T205" s="187"/>
      <c r="U205" s="187"/>
      <c r="V205" s="187"/>
      <c r="W205" s="187"/>
      <c r="X205" s="187"/>
      <c r="Y205" s="187"/>
      <c r="Z205" s="192"/>
      <c r="AA205" s="187"/>
      <c r="AB205" s="187"/>
      <c r="AC205" s="187"/>
      <c r="AD205" s="187"/>
      <c r="AE205" s="187"/>
      <c r="AF205" s="187"/>
      <c r="AG205" s="152">
        <f t="shared" si="78"/>
        <v>0</v>
      </c>
    </row>
    <row r="206" outlineLevel="1">
      <c r="A206" s="184" t="s">
        <v>238</v>
      </c>
      <c r="B206" s="187"/>
      <c r="C206" s="187"/>
      <c r="D206" s="187"/>
      <c r="E206" s="187"/>
      <c r="F206" s="187"/>
      <c r="G206" s="187"/>
      <c r="H206" s="187"/>
      <c r="I206" s="187"/>
      <c r="J206" s="187"/>
      <c r="K206" s="187"/>
      <c r="L206" s="187"/>
      <c r="M206" s="187"/>
      <c r="N206" s="187"/>
      <c r="O206" s="187"/>
      <c r="P206" s="187"/>
      <c r="Q206" s="187"/>
      <c r="R206" s="187"/>
      <c r="S206" s="92"/>
      <c r="T206" s="92"/>
      <c r="U206" s="187"/>
      <c r="V206" s="187"/>
      <c r="W206" s="187"/>
      <c r="X206" s="187"/>
      <c r="Y206" s="187"/>
      <c r="Z206" s="187"/>
      <c r="AA206" s="187"/>
      <c r="AB206" s="187"/>
      <c r="AC206" s="187"/>
      <c r="AD206" s="187"/>
      <c r="AE206" s="187"/>
      <c r="AF206" s="187"/>
      <c r="AG206" s="152">
        <f t="shared" si="78"/>
        <v>0</v>
      </c>
    </row>
    <row r="207" outlineLevel="1">
      <c r="A207" s="184" t="s">
        <v>239</v>
      </c>
      <c r="B207" s="187"/>
      <c r="C207" s="187"/>
      <c r="D207" s="187"/>
      <c r="E207" s="187"/>
      <c r="F207" s="187"/>
      <c r="G207" s="187"/>
      <c r="H207" s="187"/>
      <c r="I207" s="187"/>
      <c r="J207" s="187"/>
      <c r="K207" s="187"/>
      <c r="L207" s="187"/>
      <c r="M207" s="187"/>
      <c r="N207" s="187"/>
      <c r="O207" s="187"/>
      <c r="P207" s="187"/>
      <c r="Q207" s="187"/>
      <c r="R207" s="187"/>
      <c r="S207" s="187"/>
      <c r="T207" s="187"/>
      <c r="U207" s="187"/>
      <c r="V207" s="187"/>
      <c r="W207" s="187"/>
      <c r="X207" s="187"/>
      <c r="Y207" s="187"/>
      <c r="Z207" s="187"/>
      <c r="AA207" s="187"/>
      <c r="AB207" s="187"/>
      <c r="AC207" s="187"/>
      <c r="AD207" s="187"/>
      <c r="AE207" s="187"/>
      <c r="AF207" s="187"/>
      <c r="AG207" s="152">
        <f t="shared" si="78"/>
        <v>0</v>
      </c>
    </row>
    <row r="208" outlineLevel="1">
      <c r="A208" s="184" t="s">
        <v>240</v>
      </c>
      <c r="B208" s="187"/>
      <c r="C208" s="187"/>
      <c r="D208" s="187"/>
      <c r="E208" s="187"/>
      <c r="F208" s="187"/>
      <c r="G208" s="187"/>
      <c r="H208" s="187"/>
      <c r="I208" s="187"/>
      <c r="J208" s="187"/>
      <c r="K208" s="187"/>
      <c r="L208" s="187"/>
      <c r="M208" s="187"/>
      <c r="N208" s="187"/>
      <c r="O208" s="187"/>
      <c r="P208" s="187"/>
      <c r="Q208" s="187"/>
      <c r="R208" s="187"/>
      <c r="S208" s="92"/>
      <c r="T208" s="92"/>
      <c r="U208" s="187"/>
      <c r="V208" s="187"/>
      <c r="W208" s="187"/>
      <c r="X208" s="187"/>
      <c r="Y208" s="187"/>
      <c r="Z208" s="187"/>
      <c r="AA208" s="187"/>
      <c r="AB208" s="187"/>
      <c r="AC208" s="187"/>
      <c r="AD208" s="187"/>
      <c r="AE208" s="187"/>
      <c r="AF208" s="187"/>
      <c r="AG208" s="152">
        <f t="shared" si="78"/>
        <v>0</v>
      </c>
    </row>
    <row r="209" outlineLevel="1">
      <c r="A209" s="184" t="s">
        <v>241</v>
      </c>
      <c r="B209" s="187"/>
      <c r="C209" s="187"/>
      <c r="D209" s="187"/>
      <c r="E209" s="187"/>
      <c r="F209" s="187"/>
      <c r="G209" s="187"/>
      <c r="H209" s="187"/>
      <c r="I209" s="187"/>
      <c r="J209" s="187"/>
      <c r="K209" s="187"/>
      <c r="L209" s="187"/>
      <c r="M209" s="187"/>
      <c r="N209" s="187"/>
      <c r="O209" s="187"/>
      <c r="P209" s="187"/>
      <c r="Q209" s="187"/>
      <c r="R209" s="187"/>
      <c r="S209" s="92"/>
      <c r="T209" s="92"/>
      <c r="U209" s="187"/>
      <c r="V209" s="187"/>
      <c r="W209" s="187"/>
      <c r="X209" s="187"/>
      <c r="Y209" s="187"/>
      <c r="Z209" s="187"/>
      <c r="AA209" s="187"/>
      <c r="AB209" s="92"/>
      <c r="AC209" s="92"/>
      <c r="AD209" s="193"/>
      <c r="AE209" s="187"/>
      <c r="AF209" s="187"/>
      <c r="AG209" s="152">
        <f t="shared" si="78"/>
        <v>0</v>
      </c>
    </row>
    <row r="210" outlineLevel="1">
      <c r="A210" s="184" t="s">
        <v>242</v>
      </c>
      <c r="B210" s="187"/>
      <c r="C210" s="187"/>
      <c r="D210" s="187"/>
      <c r="E210" s="187"/>
      <c r="F210" s="187"/>
      <c r="G210" s="187"/>
      <c r="H210" s="187"/>
      <c r="I210" s="187"/>
      <c r="J210" s="187"/>
      <c r="K210" s="187"/>
      <c r="L210" s="187"/>
      <c r="M210" s="187"/>
      <c r="N210" s="187"/>
      <c r="O210" s="187"/>
      <c r="P210" s="187"/>
      <c r="Q210" s="187"/>
      <c r="R210" s="187"/>
      <c r="S210" s="92"/>
      <c r="T210" s="92"/>
      <c r="U210" s="187"/>
      <c r="V210" s="187"/>
      <c r="W210" s="187"/>
      <c r="X210" s="187"/>
      <c r="Y210" s="187"/>
      <c r="Z210" s="187"/>
      <c r="AA210" s="187"/>
      <c r="AB210" s="92"/>
      <c r="AC210" s="92"/>
      <c r="AD210" s="193"/>
      <c r="AE210" s="187"/>
      <c r="AF210" s="187"/>
      <c r="AG210" s="152">
        <f t="shared" si="78"/>
        <v>0</v>
      </c>
    </row>
    <row r="211">
      <c r="A211" s="189" t="s">
        <v>141</v>
      </c>
      <c r="B211" s="190">
        <f t="shared" ref="B211:AF211" si="79">SUM(B201:B210)</f>
        <v>0</v>
      </c>
      <c r="C211" s="190">
        <f t="shared" si="79"/>
        <v>0</v>
      </c>
      <c r="D211" s="190">
        <f t="shared" si="79"/>
        <v>0</v>
      </c>
      <c r="E211" s="190">
        <f t="shared" si="79"/>
        <v>0</v>
      </c>
      <c r="F211" s="190">
        <f t="shared" si="79"/>
        <v>0</v>
      </c>
      <c r="G211" s="190">
        <f t="shared" si="79"/>
        <v>0</v>
      </c>
      <c r="H211" s="190">
        <f t="shared" si="79"/>
        <v>0</v>
      </c>
      <c r="I211" s="190">
        <f t="shared" si="79"/>
        <v>0</v>
      </c>
      <c r="J211" s="190">
        <f t="shared" si="79"/>
        <v>0</v>
      </c>
      <c r="K211" s="190">
        <f t="shared" si="79"/>
        <v>0</v>
      </c>
      <c r="L211" s="190">
        <f t="shared" si="79"/>
        <v>0</v>
      </c>
      <c r="M211" s="190">
        <f t="shared" si="79"/>
        <v>0</v>
      </c>
      <c r="N211" s="190">
        <f t="shared" si="79"/>
        <v>0</v>
      </c>
      <c r="O211" s="190">
        <f t="shared" si="79"/>
        <v>0</v>
      </c>
      <c r="P211" s="190">
        <f t="shared" si="79"/>
        <v>0</v>
      </c>
      <c r="Q211" s="190">
        <f t="shared" si="79"/>
        <v>0</v>
      </c>
      <c r="R211" s="190">
        <f t="shared" si="79"/>
        <v>0</v>
      </c>
      <c r="S211" s="190">
        <f t="shared" si="79"/>
        <v>0</v>
      </c>
      <c r="T211" s="190">
        <f t="shared" si="79"/>
        <v>0</v>
      </c>
      <c r="U211" s="190">
        <f t="shared" si="79"/>
        <v>0</v>
      </c>
      <c r="V211" s="190">
        <f t="shared" si="79"/>
        <v>0</v>
      </c>
      <c r="W211" s="190">
        <f t="shared" si="79"/>
        <v>0</v>
      </c>
      <c r="X211" s="190">
        <f t="shared" si="79"/>
        <v>0</v>
      </c>
      <c r="Y211" s="190">
        <f t="shared" si="79"/>
        <v>0</v>
      </c>
      <c r="Z211" s="190">
        <f t="shared" si="79"/>
        <v>0</v>
      </c>
      <c r="AA211" s="190">
        <f t="shared" si="79"/>
        <v>0</v>
      </c>
      <c r="AB211" s="190">
        <f t="shared" si="79"/>
        <v>0</v>
      </c>
      <c r="AC211" s="190">
        <f t="shared" si="79"/>
        <v>0</v>
      </c>
      <c r="AD211" s="190">
        <f t="shared" si="79"/>
        <v>0</v>
      </c>
      <c r="AE211" s="190">
        <f t="shared" si="79"/>
        <v>0</v>
      </c>
      <c r="AF211" s="190">
        <f t="shared" si="79"/>
        <v>0</v>
      </c>
      <c r="AG211" s="152">
        <f t="shared" si="78"/>
        <v>0</v>
      </c>
    </row>
    <row r="212">
      <c r="A212" s="98"/>
      <c r="B212" s="127"/>
      <c r="C212" s="127"/>
      <c r="D212" s="127"/>
      <c r="E212" s="127"/>
      <c r="F212" s="127"/>
      <c r="G212" s="127"/>
      <c r="H212" s="127"/>
      <c r="I212" s="83"/>
      <c r="J212" s="83"/>
      <c r="K212" s="83"/>
      <c r="L212" s="83"/>
      <c r="M212" s="83"/>
      <c r="N212" s="83"/>
      <c r="O212" s="83"/>
      <c r="P212" s="83"/>
      <c r="Q212" s="83"/>
      <c r="R212" s="83"/>
      <c r="S212" s="83"/>
      <c r="T212" s="83"/>
      <c r="U212" s="83"/>
      <c r="V212" s="83"/>
      <c r="W212" s="83"/>
      <c r="X212" s="83"/>
      <c r="Y212" s="83"/>
      <c r="Z212" s="83"/>
      <c r="AA212" s="83"/>
      <c r="AB212" s="83"/>
      <c r="AC212" s="83"/>
      <c r="AD212" s="83"/>
      <c r="AE212" s="83"/>
      <c r="AF212" s="83"/>
      <c r="AG212" s="152"/>
    </row>
    <row r="213">
      <c r="A213" s="182" t="s">
        <v>243</v>
      </c>
      <c r="B213" s="194"/>
      <c r="C213" s="195"/>
      <c r="D213" s="195"/>
      <c r="E213" s="195"/>
      <c r="F213" s="195"/>
      <c r="G213" s="195"/>
      <c r="H213" s="195"/>
      <c r="I213" s="195"/>
      <c r="J213" s="195"/>
      <c r="K213" s="195"/>
      <c r="L213" s="195"/>
      <c r="M213" s="195"/>
      <c r="N213" s="195"/>
      <c r="O213" s="195"/>
      <c r="P213" s="195"/>
      <c r="Q213" s="195"/>
      <c r="R213" s="195"/>
      <c r="S213" s="195"/>
      <c r="T213" s="195"/>
      <c r="U213" s="195"/>
      <c r="V213" s="195"/>
      <c r="W213" s="195"/>
      <c r="X213" s="195"/>
      <c r="Y213" s="195"/>
      <c r="Z213" s="195"/>
      <c r="AA213" s="195"/>
      <c r="AB213" s="195"/>
      <c r="AC213" s="195"/>
      <c r="AD213" s="195"/>
      <c r="AE213" s="195"/>
      <c r="AF213" s="195"/>
      <c r="AG213" s="152"/>
    </row>
    <row r="214">
      <c r="A214" s="184" t="s">
        <v>207</v>
      </c>
      <c r="B214" s="185"/>
      <c r="C214" s="185"/>
      <c r="D214" s="186"/>
      <c r="E214" s="186"/>
      <c r="F214" s="186"/>
      <c r="G214" s="186"/>
      <c r="H214" s="186"/>
      <c r="I214" s="186"/>
      <c r="J214" s="186"/>
      <c r="K214" s="185"/>
      <c r="L214" s="185"/>
      <c r="M214" s="185"/>
      <c r="N214" s="185"/>
      <c r="O214" s="185"/>
      <c r="P214" s="185"/>
      <c r="Q214" s="185"/>
      <c r="R214" s="185"/>
      <c r="S214" s="185"/>
      <c r="T214" s="185"/>
      <c r="U214" s="185"/>
      <c r="V214" s="185"/>
      <c r="W214" s="185"/>
      <c r="X214" s="185"/>
      <c r="Y214" s="185"/>
      <c r="Z214" s="185"/>
      <c r="AA214" s="185"/>
      <c r="AB214" s="185"/>
      <c r="AC214" s="185"/>
      <c r="AD214" s="185"/>
      <c r="AE214" s="185"/>
      <c r="AF214" s="185"/>
      <c r="AG214" s="196"/>
    </row>
    <row r="215" outlineLevel="1">
      <c r="A215" s="184" t="s">
        <v>244</v>
      </c>
      <c r="B215" s="197">
        <v>7788.45</v>
      </c>
      <c r="C215" s="197">
        <v>9567.3</v>
      </c>
      <c r="D215" s="197">
        <v>8768.6</v>
      </c>
      <c r="E215" s="197">
        <v>9325.6</v>
      </c>
      <c r="F215" s="197">
        <v>8860.93</v>
      </c>
      <c r="G215" s="197">
        <v>15803.38</v>
      </c>
      <c r="H215" s="197">
        <v>11912.1</v>
      </c>
      <c r="I215" s="197">
        <v>7503.85</v>
      </c>
      <c r="J215" s="197">
        <v>5530.15</v>
      </c>
      <c r="K215" s="197">
        <v>5080.45</v>
      </c>
      <c r="L215" s="197">
        <v>5879.15</v>
      </c>
      <c r="M215" s="197">
        <v>6575.65</v>
      </c>
      <c r="N215" s="197">
        <v>3469.15</v>
      </c>
      <c r="O215" s="197">
        <v>4309.3</v>
      </c>
      <c r="P215" s="197">
        <v>2457.3</v>
      </c>
      <c r="Q215" s="197">
        <v>2115.15</v>
      </c>
      <c r="R215" s="197">
        <v>1633.0</v>
      </c>
      <c r="S215" s="197">
        <v>3024.48</v>
      </c>
      <c r="T215" s="197">
        <v>3097.0</v>
      </c>
      <c r="U215" s="197">
        <v>2719.63</v>
      </c>
      <c r="V215" s="197">
        <v>4686.66</v>
      </c>
      <c r="W215" s="197">
        <v>1756.15</v>
      </c>
      <c r="X215" s="197">
        <v>1374.0</v>
      </c>
      <c r="Y215" s="197">
        <v>1836.15</v>
      </c>
      <c r="Z215" s="197">
        <v>1617.15</v>
      </c>
      <c r="AA215" s="197">
        <v>2580.95</v>
      </c>
      <c r="AB215" s="197">
        <v>3236.81</v>
      </c>
      <c r="AC215" s="197">
        <v>2775.48</v>
      </c>
      <c r="AD215" s="197">
        <v>2573.15</v>
      </c>
      <c r="AE215" s="197">
        <v>2238.3</v>
      </c>
      <c r="AF215" s="197">
        <v>2686.3</v>
      </c>
      <c r="AG215" s="93">
        <f t="shared" ref="AG215:AG220" si="80">SUM(B215:AF215)</f>
        <v>152781.72</v>
      </c>
    </row>
    <row r="216" outlineLevel="1">
      <c r="A216" s="184" t="s">
        <v>245</v>
      </c>
      <c r="B216" s="197">
        <v>0.0</v>
      </c>
      <c r="C216" s="197">
        <v>0.0</v>
      </c>
      <c r="D216" s="197">
        <v>0.0</v>
      </c>
      <c r="E216" s="197">
        <v>0.0</v>
      </c>
      <c r="F216" s="197">
        <v>0.0</v>
      </c>
      <c r="G216" s="197">
        <v>0.0</v>
      </c>
      <c r="H216" s="197">
        <v>0.0</v>
      </c>
      <c r="I216" s="197">
        <v>0.0</v>
      </c>
      <c r="J216" s="197">
        <v>0.0</v>
      </c>
      <c r="K216" s="197">
        <v>0.0</v>
      </c>
      <c r="L216" s="197">
        <v>0.0</v>
      </c>
      <c r="M216" s="197">
        <v>0.0</v>
      </c>
      <c r="N216" s="197">
        <v>0.0</v>
      </c>
      <c r="O216" s="197">
        <v>0.0</v>
      </c>
      <c r="P216" s="197">
        <v>0.0</v>
      </c>
      <c r="Q216" s="197">
        <v>0.0</v>
      </c>
      <c r="R216" s="197">
        <v>0.0</v>
      </c>
      <c r="S216" s="197">
        <v>0.0</v>
      </c>
      <c r="T216" s="197">
        <v>0.0</v>
      </c>
      <c r="U216" s="197">
        <v>0.0</v>
      </c>
      <c r="V216" s="197">
        <v>0.0</v>
      </c>
      <c r="W216" s="197">
        <v>0.0</v>
      </c>
      <c r="X216" s="197">
        <v>0.0</v>
      </c>
      <c r="Y216" s="197">
        <v>0.0</v>
      </c>
      <c r="Z216" s="197">
        <v>0.0</v>
      </c>
      <c r="AA216" s="197">
        <v>0.0</v>
      </c>
      <c r="AB216" s="197">
        <v>0.0</v>
      </c>
      <c r="AC216" s="197">
        <v>0.0</v>
      </c>
      <c r="AD216" s="197">
        <v>0.0</v>
      </c>
      <c r="AE216" s="197">
        <v>0.0</v>
      </c>
      <c r="AF216" s="197">
        <v>0.0</v>
      </c>
      <c r="AG216" s="93">
        <f t="shared" si="80"/>
        <v>0</v>
      </c>
    </row>
    <row r="217" outlineLevel="1">
      <c r="A217" s="184" t="s">
        <v>246</v>
      </c>
      <c r="B217" s="197">
        <v>36183.76</v>
      </c>
      <c r="C217" s="197">
        <v>34841.78</v>
      </c>
      <c r="D217" s="197">
        <v>49696.32</v>
      </c>
      <c r="E217" s="197">
        <v>30425.46</v>
      </c>
      <c r="F217" s="197">
        <v>34053.5</v>
      </c>
      <c r="G217" s="197">
        <v>33820.76</v>
      </c>
      <c r="H217" s="197">
        <v>28415.55</v>
      </c>
      <c r="I217" s="198">
        <v>26570.03</v>
      </c>
      <c r="J217" s="197">
        <v>18593.14</v>
      </c>
      <c r="K217" s="197">
        <v>15960.9</v>
      </c>
      <c r="L217" s="197">
        <v>17503.26</v>
      </c>
      <c r="M217" s="197">
        <v>15514.39</v>
      </c>
      <c r="N217" s="197">
        <v>12198.6</v>
      </c>
      <c r="O217" s="197">
        <v>9813.25</v>
      </c>
      <c r="P217" s="197">
        <v>10967.25</v>
      </c>
      <c r="Q217" s="197">
        <v>7860.86</v>
      </c>
      <c r="R217" s="197">
        <v>14527.89</v>
      </c>
      <c r="S217" s="197">
        <v>11037.44</v>
      </c>
      <c r="T217" s="197">
        <v>10350.99</v>
      </c>
      <c r="U217" s="197">
        <v>13264.9</v>
      </c>
      <c r="V217" s="197">
        <v>8628.93</v>
      </c>
      <c r="W217" s="197">
        <v>8481.29</v>
      </c>
      <c r="X217" s="197">
        <v>7177.66</v>
      </c>
      <c r="Y217" s="197">
        <v>7394.9</v>
      </c>
      <c r="Z217" s="197">
        <v>6333.45</v>
      </c>
      <c r="AA217" s="197">
        <v>10733.59</v>
      </c>
      <c r="AB217" s="197">
        <v>8889.23</v>
      </c>
      <c r="AC217" s="197">
        <v>10106.65</v>
      </c>
      <c r="AD217" s="197">
        <v>9180.95</v>
      </c>
      <c r="AE217" s="197">
        <v>5720.75</v>
      </c>
      <c r="AF217" s="197">
        <v>9836.08</v>
      </c>
      <c r="AG217" s="93">
        <f t="shared" si="80"/>
        <v>524083.51</v>
      </c>
    </row>
    <row r="218" outlineLevel="1">
      <c r="A218" s="184" t="s">
        <v>247</v>
      </c>
      <c r="B218" s="197">
        <v>0.0</v>
      </c>
      <c r="C218" s="197">
        <v>0.0</v>
      </c>
      <c r="D218" s="197">
        <v>0.0</v>
      </c>
      <c r="E218" s="197">
        <v>0.0</v>
      </c>
      <c r="F218" s="197">
        <v>0.0</v>
      </c>
      <c r="G218" s="197">
        <v>0.0</v>
      </c>
      <c r="H218" s="197">
        <v>0.0</v>
      </c>
      <c r="I218" s="197">
        <v>0.0</v>
      </c>
      <c r="J218" s="197">
        <v>0.0</v>
      </c>
      <c r="K218" s="197">
        <v>0.0</v>
      </c>
      <c r="L218" s="197">
        <v>0.0</v>
      </c>
      <c r="M218" s="197">
        <v>0.0</v>
      </c>
      <c r="N218" s="197">
        <v>0.0</v>
      </c>
      <c r="O218" s="197">
        <v>0.0</v>
      </c>
      <c r="P218" s="197">
        <v>0.0</v>
      </c>
      <c r="Q218" s="197">
        <v>0.0</v>
      </c>
      <c r="R218" s="197">
        <v>0.0</v>
      </c>
      <c r="S218" s="197">
        <v>0.0</v>
      </c>
      <c r="T218" s="197">
        <v>0.0</v>
      </c>
      <c r="U218" s="197">
        <v>0.0</v>
      </c>
      <c r="V218" s="197">
        <v>0.0</v>
      </c>
      <c r="W218" s="197">
        <v>0.0</v>
      </c>
      <c r="X218" s="197">
        <v>0.0</v>
      </c>
      <c r="Y218" s="197">
        <v>0.0</v>
      </c>
      <c r="Z218" s="197">
        <v>0.0</v>
      </c>
      <c r="AA218" s="197">
        <v>0.0</v>
      </c>
      <c r="AB218" s="197">
        <v>0.0</v>
      </c>
      <c r="AC218" s="197">
        <v>0.0</v>
      </c>
      <c r="AD218" s="197">
        <v>0.0</v>
      </c>
      <c r="AE218" s="197">
        <v>0.0</v>
      </c>
      <c r="AF218" s="197">
        <v>0.0</v>
      </c>
      <c r="AG218" s="93">
        <f t="shared" si="80"/>
        <v>0</v>
      </c>
    </row>
    <row r="219" outlineLevel="1">
      <c r="A219" s="184" t="s">
        <v>248</v>
      </c>
      <c r="B219" s="197">
        <v>289.0</v>
      </c>
      <c r="C219" s="197">
        <v>867.0</v>
      </c>
      <c r="D219" s="197">
        <v>867.0</v>
      </c>
      <c r="E219" s="197">
        <v>1690.65</v>
      </c>
      <c r="F219" s="197">
        <v>2225.3</v>
      </c>
      <c r="G219" s="197">
        <v>1445.0</v>
      </c>
      <c r="H219" s="197">
        <v>1734.0</v>
      </c>
      <c r="I219" s="197">
        <v>1445.0</v>
      </c>
      <c r="J219" s="197">
        <v>1979.65</v>
      </c>
      <c r="K219" s="197">
        <v>1156.0</v>
      </c>
      <c r="L219" s="197">
        <v>3135.65</v>
      </c>
      <c r="M219" s="197">
        <v>2557.65</v>
      </c>
      <c r="N219" s="197">
        <v>289.0</v>
      </c>
      <c r="O219" s="197">
        <v>867.0</v>
      </c>
      <c r="P219" s="197">
        <v>1690.65</v>
      </c>
      <c r="Q219" s="197">
        <v>823.65</v>
      </c>
      <c r="R219" s="197">
        <v>867.0</v>
      </c>
      <c r="S219" s="197">
        <v>578.0</v>
      </c>
      <c r="T219" s="197">
        <v>578.0</v>
      </c>
      <c r="U219" s="197">
        <v>245.65</v>
      </c>
      <c r="V219" s="197">
        <v>867.0</v>
      </c>
      <c r="W219" s="197">
        <v>1445.0</v>
      </c>
      <c r="X219" s="197">
        <v>578.0</v>
      </c>
      <c r="Y219" s="197">
        <v>289.0</v>
      </c>
      <c r="Z219" s="197">
        <v>1156.0</v>
      </c>
      <c r="AA219" s="197">
        <v>1156.0</v>
      </c>
      <c r="AB219" s="197">
        <v>578.0</v>
      </c>
      <c r="AC219" s="197">
        <v>1300.5</v>
      </c>
      <c r="AD219" s="197">
        <v>289.0</v>
      </c>
      <c r="AE219" s="197">
        <v>578.0</v>
      </c>
      <c r="AF219" s="197">
        <v>289.0</v>
      </c>
      <c r="AG219" s="93">
        <f t="shared" si="80"/>
        <v>33856.35</v>
      </c>
    </row>
    <row r="220" outlineLevel="1">
      <c r="A220" s="184" t="s">
        <v>249</v>
      </c>
      <c r="B220" s="197">
        <v>3536.15</v>
      </c>
      <c r="C220" s="197">
        <v>4200.3</v>
      </c>
      <c r="D220" s="197">
        <v>4660.33</v>
      </c>
      <c r="E220" s="197">
        <v>2811.48</v>
      </c>
      <c r="F220" s="197">
        <v>5986.24</v>
      </c>
      <c r="G220" s="197">
        <v>3590.0</v>
      </c>
      <c r="H220" s="197">
        <v>1795.0</v>
      </c>
      <c r="I220" s="197">
        <v>2513.0</v>
      </c>
      <c r="J220" s="197">
        <v>3231.0</v>
      </c>
      <c r="K220" s="197">
        <v>2046.3</v>
      </c>
      <c r="L220" s="197">
        <v>5026.0</v>
      </c>
      <c r="M220" s="197">
        <v>7431.3</v>
      </c>
      <c r="N220" s="197">
        <v>2872.0</v>
      </c>
      <c r="O220" s="197">
        <v>4254.15</v>
      </c>
      <c r="P220" s="197">
        <v>1077.0</v>
      </c>
      <c r="Q220" s="197">
        <v>2154.0</v>
      </c>
      <c r="R220" s="197">
        <v>2818.15</v>
      </c>
      <c r="S220" s="197">
        <v>4292.0</v>
      </c>
      <c r="T220" s="197">
        <v>2154.0</v>
      </c>
      <c r="U220" s="197">
        <v>2100.15</v>
      </c>
      <c r="V220" s="197">
        <v>2513.0</v>
      </c>
      <c r="W220" s="197">
        <v>2100.15</v>
      </c>
      <c r="X220" s="197">
        <v>2513.0</v>
      </c>
      <c r="Y220" s="197">
        <v>2764.3</v>
      </c>
      <c r="Z220" s="197">
        <v>4308.0</v>
      </c>
      <c r="AA220" s="197">
        <v>3590.0</v>
      </c>
      <c r="AB220" s="197">
        <v>2513.0</v>
      </c>
      <c r="AC220" s="197">
        <v>2144.0</v>
      </c>
      <c r="AD220" s="197">
        <v>2154.0</v>
      </c>
      <c r="AE220" s="197">
        <v>1741.15</v>
      </c>
      <c r="AF220" s="197">
        <v>2513.0</v>
      </c>
      <c r="AG220" s="93">
        <f t="shared" si="80"/>
        <v>97402.15</v>
      </c>
    </row>
    <row r="221">
      <c r="A221" s="184" t="s">
        <v>214</v>
      </c>
      <c r="B221" s="185"/>
      <c r="C221" s="185"/>
      <c r="D221" s="186"/>
      <c r="E221" s="186"/>
      <c r="F221" s="186"/>
      <c r="G221" s="186"/>
      <c r="H221" s="186"/>
      <c r="I221" s="186"/>
      <c r="J221" s="186"/>
      <c r="K221" s="185"/>
      <c r="L221" s="185"/>
      <c r="M221" s="185"/>
      <c r="N221" s="185"/>
      <c r="O221" s="185"/>
      <c r="P221" s="185"/>
      <c r="Q221" s="185"/>
      <c r="R221" s="185"/>
      <c r="S221" s="185"/>
      <c r="T221" s="185"/>
      <c r="U221" s="185"/>
      <c r="V221" s="185"/>
      <c r="W221" s="185"/>
      <c r="X221" s="185"/>
      <c r="Y221" s="185"/>
      <c r="Z221" s="185"/>
      <c r="AA221" s="185"/>
      <c r="AB221" s="185"/>
      <c r="AC221" s="185"/>
      <c r="AD221" s="185"/>
      <c r="AE221" s="185"/>
      <c r="AF221" s="185"/>
      <c r="AG221" s="196"/>
    </row>
    <row r="222" outlineLevel="1">
      <c r="A222" s="184" t="s">
        <v>250</v>
      </c>
      <c r="B222" s="199"/>
      <c r="C222" s="199"/>
      <c r="D222" s="199"/>
      <c r="E222" s="199"/>
      <c r="F222" s="199"/>
      <c r="G222" s="199"/>
      <c r="H222" s="199"/>
      <c r="I222" s="200"/>
      <c r="J222" s="200"/>
      <c r="K222" s="200"/>
      <c r="L222" s="200"/>
      <c r="M222" s="200"/>
      <c r="N222" s="201"/>
      <c r="O222" s="200"/>
      <c r="P222" s="200"/>
      <c r="Q222" s="200"/>
      <c r="R222" s="200"/>
      <c r="S222" s="200"/>
      <c r="T222" s="200"/>
      <c r="U222" s="200"/>
      <c r="V222" s="200"/>
      <c r="W222" s="200"/>
      <c r="X222" s="200"/>
      <c r="Y222" s="200"/>
      <c r="Z222" s="200"/>
      <c r="AA222" s="200"/>
      <c r="AB222" s="200"/>
      <c r="AC222" s="200"/>
      <c r="AD222" s="200"/>
      <c r="AE222" s="200"/>
      <c r="AF222" s="200"/>
      <c r="AG222" s="93">
        <f t="shared" ref="AG222:AG229" si="81">SUM(B222:AF222)</f>
        <v>0</v>
      </c>
    </row>
    <row r="223" outlineLevel="1">
      <c r="A223" s="184" t="s">
        <v>251</v>
      </c>
      <c r="B223" s="199"/>
      <c r="C223" s="199"/>
      <c r="D223" s="199"/>
      <c r="E223" s="199"/>
      <c r="F223" s="199"/>
      <c r="G223" s="199"/>
      <c r="H223" s="199"/>
      <c r="I223" s="200"/>
      <c r="J223" s="200"/>
      <c r="K223" s="200"/>
      <c r="L223" s="200"/>
      <c r="M223" s="200"/>
      <c r="N223" s="200"/>
      <c r="O223" s="200"/>
      <c r="P223" s="200"/>
      <c r="Q223" s="200"/>
      <c r="R223" s="200"/>
      <c r="S223" s="200"/>
      <c r="T223" s="200"/>
      <c r="U223" s="200"/>
      <c r="V223" s="200"/>
      <c r="W223" s="200"/>
      <c r="X223" s="200"/>
      <c r="Y223" s="200"/>
      <c r="Z223" s="200"/>
      <c r="AA223" s="200"/>
      <c r="AB223" s="200"/>
      <c r="AC223" s="200"/>
      <c r="AD223" s="200"/>
      <c r="AE223" s="200"/>
      <c r="AF223" s="200"/>
      <c r="AG223" s="93">
        <f t="shared" si="81"/>
        <v>0</v>
      </c>
    </row>
    <row r="224" outlineLevel="1">
      <c r="A224" s="184" t="s">
        <v>252</v>
      </c>
      <c r="B224" s="199"/>
      <c r="C224" s="199"/>
      <c r="D224" s="199"/>
      <c r="E224" s="199"/>
      <c r="F224" s="199"/>
      <c r="G224" s="199"/>
      <c r="H224" s="199"/>
      <c r="I224" s="200"/>
      <c r="J224" s="200"/>
      <c r="K224" s="200"/>
      <c r="L224" s="200"/>
      <c r="M224" s="200"/>
      <c r="N224" s="200"/>
      <c r="O224" s="200"/>
      <c r="P224" s="200"/>
      <c r="Q224" s="200"/>
      <c r="R224" s="200"/>
      <c r="S224" s="201"/>
      <c r="T224" s="200"/>
      <c r="U224" s="200"/>
      <c r="V224" s="200"/>
      <c r="W224" s="200"/>
      <c r="X224" s="200"/>
      <c r="Y224" s="200"/>
      <c r="Z224" s="200"/>
      <c r="AA224" s="200"/>
      <c r="AB224" s="200"/>
      <c r="AC224" s="200"/>
      <c r="AD224" s="200"/>
      <c r="AE224" s="200"/>
      <c r="AF224" s="200"/>
      <c r="AG224" s="93">
        <f t="shared" si="81"/>
        <v>0</v>
      </c>
    </row>
    <row r="225" outlineLevel="1">
      <c r="A225" s="184" t="s">
        <v>253</v>
      </c>
      <c r="B225" s="199"/>
      <c r="C225" s="199"/>
      <c r="D225" s="199"/>
      <c r="E225" s="199"/>
      <c r="F225" s="199"/>
      <c r="G225" s="199"/>
      <c r="H225" s="199"/>
      <c r="I225" s="200"/>
      <c r="J225" s="200"/>
      <c r="K225" s="200"/>
      <c r="L225" s="200"/>
      <c r="M225" s="200"/>
      <c r="N225" s="200"/>
      <c r="O225" s="200"/>
      <c r="P225" s="200"/>
      <c r="Q225" s="200"/>
      <c r="R225" s="200"/>
      <c r="S225" s="200"/>
      <c r="T225" s="200"/>
      <c r="U225" s="200"/>
      <c r="V225" s="200"/>
      <c r="W225" s="200"/>
      <c r="X225" s="200"/>
      <c r="Y225" s="200"/>
      <c r="Z225" s="200"/>
      <c r="AA225" s="200"/>
      <c r="AB225" s="200"/>
      <c r="AC225" s="200"/>
      <c r="AD225" s="200"/>
      <c r="AE225" s="200"/>
      <c r="AF225" s="200"/>
      <c r="AG225" s="93">
        <f t="shared" si="81"/>
        <v>0</v>
      </c>
    </row>
    <row r="226" outlineLevel="1">
      <c r="A226" s="184" t="s">
        <v>254</v>
      </c>
      <c r="B226" s="112"/>
      <c r="C226" s="112"/>
      <c r="D226" s="112"/>
      <c r="E226" s="112"/>
      <c r="F226" s="112"/>
      <c r="G226" s="112"/>
      <c r="H226" s="112"/>
      <c r="I226" s="112"/>
      <c r="J226" s="112"/>
      <c r="K226" s="112"/>
      <c r="L226" s="112"/>
      <c r="M226" s="112"/>
      <c r="N226" s="112"/>
      <c r="O226" s="112"/>
      <c r="P226" s="112"/>
      <c r="Q226" s="112"/>
      <c r="R226" s="112"/>
      <c r="S226" s="112"/>
      <c r="T226" s="112"/>
      <c r="U226" s="112"/>
      <c r="V226" s="112"/>
      <c r="W226" s="112"/>
      <c r="X226" s="112"/>
      <c r="Y226" s="112"/>
      <c r="Z226" s="112"/>
      <c r="AA226" s="112"/>
      <c r="AB226" s="112"/>
      <c r="AC226" s="112"/>
      <c r="AD226" s="112"/>
      <c r="AE226" s="112"/>
      <c r="AF226" s="112"/>
      <c r="AG226" s="93">
        <f t="shared" si="81"/>
        <v>0</v>
      </c>
    </row>
    <row r="227" outlineLevel="1">
      <c r="A227" s="184" t="s">
        <v>255</v>
      </c>
      <c r="B227" s="112"/>
      <c r="C227" s="112"/>
      <c r="D227" s="112"/>
      <c r="E227" s="112"/>
      <c r="F227" s="112"/>
      <c r="G227" s="112"/>
      <c r="H227" s="112"/>
      <c r="I227" s="112"/>
      <c r="J227" s="112"/>
      <c r="K227" s="112"/>
      <c r="L227" s="112"/>
      <c r="M227" s="112"/>
      <c r="N227" s="112"/>
      <c r="O227" s="112"/>
      <c r="P227" s="112"/>
      <c r="Q227" s="112"/>
      <c r="R227" s="112"/>
      <c r="S227" s="112"/>
      <c r="T227" s="112"/>
      <c r="U227" s="112"/>
      <c r="V227" s="112"/>
      <c r="W227" s="112"/>
      <c r="X227" s="112"/>
      <c r="Y227" s="112"/>
      <c r="Z227" s="112"/>
      <c r="AA227" s="112"/>
      <c r="AB227" s="112"/>
      <c r="AC227" s="112"/>
      <c r="AD227" s="112"/>
      <c r="AE227" s="112"/>
      <c r="AF227" s="112"/>
      <c r="AG227" s="93">
        <f t="shared" si="81"/>
        <v>0</v>
      </c>
    </row>
    <row r="228">
      <c r="A228" s="189" t="s">
        <v>221</v>
      </c>
      <c r="B228" s="202">
        <f t="shared" ref="B228:AF228" si="82">B215+B222+B216+B223</f>
        <v>7788.45</v>
      </c>
      <c r="C228" s="202">
        <f t="shared" si="82"/>
        <v>9567.3</v>
      </c>
      <c r="D228" s="202">
        <f t="shared" si="82"/>
        <v>8768.6</v>
      </c>
      <c r="E228" s="202">
        <f t="shared" si="82"/>
        <v>9325.6</v>
      </c>
      <c r="F228" s="202">
        <f t="shared" si="82"/>
        <v>8860.93</v>
      </c>
      <c r="G228" s="202">
        <f t="shared" si="82"/>
        <v>15803.38</v>
      </c>
      <c r="H228" s="202">
        <f t="shared" si="82"/>
        <v>11912.1</v>
      </c>
      <c r="I228" s="202">
        <f t="shared" si="82"/>
        <v>7503.85</v>
      </c>
      <c r="J228" s="202">
        <f t="shared" si="82"/>
        <v>5530.15</v>
      </c>
      <c r="K228" s="202">
        <f t="shared" si="82"/>
        <v>5080.45</v>
      </c>
      <c r="L228" s="202">
        <f t="shared" si="82"/>
        <v>5879.15</v>
      </c>
      <c r="M228" s="202">
        <f t="shared" si="82"/>
        <v>6575.65</v>
      </c>
      <c r="N228" s="202">
        <f t="shared" si="82"/>
        <v>3469.15</v>
      </c>
      <c r="O228" s="202">
        <f t="shared" si="82"/>
        <v>4309.3</v>
      </c>
      <c r="P228" s="202">
        <f t="shared" si="82"/>
        <v>2457.3</v>
      </c>
      <c r="Q228" s="202">
        <f t="shared" si="82"/>
        <v>2115.15</v>
      </c>
      <c r="R228" s="202">
        <f t="shared" si="82"/>
        <v>1633</v>
      </c>
      <c r="S228" s="202">
        <f t="shared" si="82"/>
        <v>3024.48</v>
      </c>
      <c r="T228" s="202">
        <f t="shared" si="82"/>
        <v>3097</v>
      </c>
      <c r="U228" s="202">
        <f t="shared" si="82"/>
        <v>2719.63</v>
      </c>
      <c r="V228" s="202">
        <f t="shared" si="82"/>
        <v>4686.66</v>
      </c>
      <c r="W228" s="202">
        <f t="shared" si="82"/>
        <v>1756.15</v>
      </c>
      <c r="X228" s="202">
        <f t="shared" si="82"/>
        <v>1374</v>
      </c>
      <c r="Y228" s="202">
        <f t="shared" si="82"/>
        <v>1836.15</v>
      </c>
      <c r="Z228" s="202">
        <f t="shared" si="82"/>
        <v>1617.15</v>
      </c>
      <c r="AA228" s="202">
        <f t="shared" si="82"/>
        <v>2580.95</v>
      </c>
      <c r="AB228" s="202">
        <f t="shared" si="82"/>
        <v>3236.81</v>
      </c>
      <c r="AC228" s="202">
        <f t="shared" si="82"/>
        <v>2775.48</v>
      </c>
      <c r="AD228" s="202">
        <f t="shared" si="82"/>
        <v>2573.15</v>
      </c>
      <c r="AE228" s="202">
        <f t="shared" si="82"/>
        <v>2238.3</v>
      </c>
      <c r="AF228" s="202">
        <f t="shared" si="82"/>
        <v>2686.3</v>
      </c>
      <c r="AG228" s="93">
        <f t="shared" si="81"/>
        <v>152781.72</v>
      </c>
    </row>
    <row r="229">
      <c r="A229" s="189" t="s">
        <v>222</v>
      </c>
      <c r="B229" s="202">
        <f t="shared" ref="B229:AF229" si="83">B217+B224+B218+B225</f>
        <v>36183.76</v>
      </c>
      <c r="C229" s="202">
        <f t="shared" si="83"/>
        <v>34841.78</v>
      </c>
      <c r="D229" s="202">
        <f t="shared" si="83"/>
        <v>49696.32</v>
      </c>
      <c r="E229" s="202">
        <f t="shared" si="83"/>
        <v>30425.46</v>
      </c>
      <c r="F229" s="202">
        <f t="shared" si="83"/>
        <v>34053.5</v>
      </c>
      <c r="G229" s="202">
        <f t="shared" si="83"/>
        <v>33820.76</v>
      </c>
      <c r="H229" s="202">
        <f t="shared" si="83"/>
        <v>28415.55</v>
      </c>
      <c r="I229" s="202">
        <f t="shared" si="83"/>
        <v>26570.03</v>
      </c>
      <c r="J229" s="202">
        <f t="shared" si="83"/>
        <v>18593.14</v>
      </c>
      <c r="K229" s="202">
        <f t="shared" si="83"/>
        <v>15960.9</v>
      </c>
      <c r="L229" s="202">
        <f t="shared" si="83"/>
        <v>17503.26</v>
      </c>
      <c r="M229" s="202">
        <f t="shared" si="83"/>
        <v>15514.39</v>
      </c>
      <c r="N229" s="202">
        <f t="shared" si="83"/>
        <v>12198.6</v>
      </c>
      <c r="O229" s="202">
        <f t="shared" si="83"/>
        <v>9813.25</v>
      </c>
      <c r="P229" s="202">
        <f t="shared" si="83"/>
        <v>10967.25</v>
      </c>
      <c r="Q229" s="202">
        <f t="shared" si="83"/>
        <v>7860.86</v>
      </c>
      <c r="R229" s="202">
        <f t="shared" si="83"/>
        <v>14527.89</v>
      </c>
      <c r="S229" s="202">
        <f t="shared" si="83"/>
        <v>11037.44</v>
      </c>
      <c r="T229" s="202">
        <f t="shared" si="83"/>
        <v>10350.99</v>
      </c>
      <c r="U229" s="202">
        <f t="shared" si="83"/>
        <v>13264.9</v>
      </c>
      <c r="V229" s="202">
        <f t="shared" si="83"/>
        <v>8628.93</v>
      </c>
      <c r="W229" s="202">
        <f t="shared" si="83"/>
        <v>8481.29</v>
      </c>
      <c r="X229" s="202">
        <f t="shared" si="83"/>
        <v>7177.66</v>
      </c>
      <c r="Y229" s="202">
        <f t="shared" si="83"/>
        <v>7394.9</v>
      </c>
      <c r="Z229" s="202">
        <f t="shared" si="83"/>
        <v>6333.45</v>
      </c>
      <c r="AA229" s="202">
        <f t="shared" si="83"/>
        <v>10733.59</v>
      </c>
      <c r="AB229" s="202">
        <f t="shared" si="83"/>
        <v>8889.23</v>
      </c>
      <c r="AC229" s="202">
        <f t="shared" si="83"/>
        <v>10106.65</v>
      </c>
      <c r="AD229" s="202">
        <f t="shared" si="83"/>
        <v>9180.95</v>
      </c>
      <c r="AE229" s="202">
        <f t="shared" si="83"/>
        <v>5720.75</v>
      </c>
      <c r="AF229" s="202">
        <f t="shared" si="83"/>
        <v>9836.08</v>
      </c>
      <c r="AG229" s="93">
        <f t="shared" si="81"/>
        <v>524083.51</v>
      </c>
    </row>
    <row r="230" ht="16.5" customHeight="1">
      <c r="A230" s="98"/>
      <c r="B230" s="203"/>
      <c r="C230" s="203"/>
      <c r="D230" s="203"/>
      <c r="E230" s="203"/>
      <c r="F230" s="203"/>
      <c r="G230" s="203"/>
      <c r="H230" s="203"/>
      <c r="I230" s="203"/>
      <c r="J230" s="203"/>
      <c r="K230" s="203"/>
      <c r="L230" s="203"/>
      <c r="M230" s="203"/>
      <c r="N230" s="203"/>
      <c r="O230" s="203"/>
      <c r="P230" s="203"/>
      <c r="Q230" s="203"/>
      <c r="R230" s="203"/>
      <c r="S230" s="203"/>
      <c r="T230" s="203"/>
      <c r="U230" s="203"/>
      <c r="V230" s="203"/>
      <c r="W230" s="203"/>
      <c r="X230" s="203"/>
      <c r="Y230" s="203"/>
      <c r="Z230" s="203"/>
      <c r="AA230" s="203"/>
      <c r="AB230" s="203"/>
      <c r="AC230" s="203"/>
      <c r="AD230" s="203"/>
      <c r="AE230" s="203"/>
      <c r="AF230" s="203"/>
      <c r="AG230" s="196"/>
    </row>
    <row r="231">
      <c r="A231" s="184" t="s">
        <v>223</v>
      </c>
      <c r="B231" s="185"/>
      <c r="C231" s="185"/>
      <c r="D231" s="185"/>
      <c r="E231" s="185"/>
      <c r="F231" s="185"/>
      <c r="G231" s="185"/>
      <c r="H231" s="185"/>
      <c r="I231" s="185"/>
      <c r="J231" s="185"/>
      <c r="K231" s="185"/>
      <c r="L231" s="185"/>
      <c r="M231" s="185"/>
      <c r="N231" s="185"/>
      <c r="O231" s="185"/>
      <c r="P231" s="185"/>
      <c r="Q231" s="185"/>
      <c r="R231" s="185"/>
      <c r="S231" s="185"/>
      <c r="T231" s="185"/>
      <c r="U231" s="185"/>
      <c r="V231" s="185"/>
      <c r="W231" s="185"/>
      <c r="X231" s="185"/>
      <c r="Y231" s="185"/>
      <c r="Z231" s="185"/>
      <c r="AA231" s="185"/>
      <c r="AB231" s="185"/>
      <c r="AC231" s="185"/>
      <c r="AD231" s="185"/>
      <c r="AE231" s="185"/>
      <c r="AF231" s="185"/>
      <c r="AG231" s="196"/>
    </row>
    <row r="232" outlineLevel="1">
      <c r="A232" s="184" t="s">
        <v>224</v>
      </c>
      <c r="B232" s="204">
        <v>1006.61</v>
      </c>
      <c r="C232" s="205">
        <v>926.25</v>
      </c>
      <c r="D232" s="204">
        <v>1201.63</v>
      </c>
      <c r="E232" s="204">
        <v>803.74</v>
      </c>
      <c r="F232" s="204">
        <v>1137.41</v>
      </c>
      <c r="G232" s="204">
        <v>946.31</v>
      </c>
      <c r="H232" s="204">
        <v>713.46</v>
      </c>
      <c r="I232" s="205">
        <v>672.79</v>
      </c>
      <c r="J232" s="204">
        <v>395.99</v>
      </c>
      <c r="K232" s="204">
        <v>329.3</v>
      </c>
      <c r="L232" s="204">
        <v>334.0</v>
      </c>
      <c r="M232" s="204">
        <v>673.32</v>
      </c>
      <c r="N232" s="204">
        <v>445.3</v>
      </c>
      <c r="O232" s="204">
        <v>492.28</v>
      </c>
      <c r="P232" s="204">
        <v>261.0</v>
      </c>
      <c r="Q232" s="204">
        <v>471.62</v>
      </c>
      <c r="R232" s="204">
        <v>485.68</v>
      </c>
      <c r="S232" s="204">
        <v>484.68</v>
      </c>
      <c r="T232" s="204">
        <v>401.94</v>
      </c>
      <c r="U232" s="204">
        <v>158.64</v>
      </c>
      <c r="V232" s="204">
        <v>273.99</v>
      </c>
      <c r="W232" s="204">
        <v>318.0</v>
      </c>
      <c r="X232" s="204">
        <v>301.68</v>
      </c>
      <c r="Y232" s="204">
        <v>87.0</v>
      </c>
      <c r="Z232" s="204">
        <v>203.0</v>
      </c>
      <c r="AA232" s="204">
        <v>217.65</v>
      </c>
      <c r="AB232" s="204">
        <v>402.59</v>
      </c>
      <c r="AC232" s="204">
        <v>296.3</v>
      </c>
      <c r="AD232" s="204">
        <v>306.65</v>
      </c>
      <c r="AE232" s="204">
        <v>295.3</v>
      </c>
      <c r="AF232" s="204">
        <v>262.3</v>
      </c>
      <c r="AG232" s="93">
        <f t="shared" ref="AG232:AG242" si="84">SUM(B232:AF232)</f>
        <v>15306.41</v>
      </c>
    </row>
    <row r="233" outlineLevel="1">
      <c r="A233" s="184" t="s">
        <v>225</v>
      </c>
      <c r="B233" s="204">
        <v>195.3</v>
      </c>
      <c r="C233" s="204">
        <v>276.2</v>
      </c>
      <c r="D233" s="204">
        <v>441.98</v>
      </c>
      <c r="E233" s="204">
        <v>281.75</v>
      </c>
      <c r="F233" s="204">
        <v>450.1</v>
      </c>
      <c r="G233" s="204">
        <v>370.3</v>
      </c>
      <c r="H233" s="204">
        <v>217.49</v>
      </c>
      <c r="I233" s="204">
        <v>126.0</v>
      </c>
      <c r="J233" s="205">
        <v>214.45</v>
      </c>
      <c r="K233" s="204">
        <v>114.15</v>
      </c>
      <c r="L233" s="204">
        <v>331.0</v>
      </c>
      <c r="M233" s="204">
        <v>333.15</v>
      </c>
      <c r="N233" s="204">
        <v>138.0</v>
      </c>
      <c r="O233" s="204">
        <v>180.15</v>
      </c>
      <c r="P233" s="204">
        <v>98.15</v>
      </c>
      <c r="Q233" s="204">
        <v>129.15</v>
      </c>
      <c r="R233" s="204">
        <v>123.0</v>
      </c>
      <c r="S233" s="204">
        <v>142.15</v>
      </c>
      <c r="T233" s="204">
        <v>94.68</v>
      </c>
      <c r="U233" s="204">
        <v>79.0</v>
      </c>
      <c r="V233" s="204">
        <v>249.0</v>
      </c>
      <c r="W233" s="204">
        <v>49.0</v>
      </c>
      <c r="X233" s="204">
        <v>45.0</v>
      </c>
      <c r="Y233" s="204">
        <v>98.15</v>
      </c>
      <c r="Z233" s="204">
        <v>98.0</v>
      </c>
      <c r="AA233" s="204">
        <v>109.34</v>
      </c>
      <c r="AB233" s="204">
        <v>142.45</v>
      </c>
      <c r="AC233" s="204">
        <v>126.3</v>
      </c>
      <c r="AD233" s="204">
        <v>120.15</v>
      </c>
      <c r="AE233" s="204">
        <v>79.0</v>
      </c>
      <c r="AF233" s="204">
        <v>72.15</v>
      </c>
      <c r="AG233" s="93">
        <f t="shared" si="84"/>
        <v>5524.69</v>
      </c>
    </row>
    <row r="234" outlineLevel="1">
      <c r="A234" s="184" t="s">
        <v>256</v>
      </c>
      <c r="B234" s="204">
        <v>732.3</v>
      </c>
      <c r="C234" s="204">
        <v>819.68</v>
      </c>
      <c r="D234" s="204">
        <v>1513.93</v>
      </c>
      <c r="E234" s="204">
        <v>782.1</v>
      </c>
      <c r="F234" s="204">
        <v>1018.92</v>
      </c>
      <c r="G234" s="204">
        <v>1238.45</v>
      </c>
      <c r="H234" s="204">
        <v>1154.94</v>
      </c>
      <c r="I234" s="204">
        <v>593.95</v>
      </c>
      <c r="J234" s="204">
        <v>925.29</v>
      </c>
      <c r="K234" s="204">
        <v>540.15</v>
      </c>
      <c r="L234" s="204">
        <v>801.66</v>
      </c>
      <c r="M234" s="204">
        <v>1003.83</v>
      </c>
      <c r="N234" s="204">
        <v>312.0</v>
      </c>
      <c r="O234" s="204">
        <v>468.63</v>
      </c>
      <c r="P234" s="204">
        <v>496.0</v>
      </c>
      <c r="Q234" s="204">
        <v>474.63</v>
      </c>
      <c r="R234" s="204">
        <v>638.33</v>
      </c>
      <c r="S234" s="204">
        <v>438.81</v>
      </c>
      <c r="T234" s="204">
        <v>444.0</v>
      </c>
      <c r="U234" s="204">
        <v>292.0</v>
      </c>
      <c r="V234" s="204">
        <v>955.82</v>
      </c>
      <c r="W234" s="204">
        <v>569.15</v>
      </c>
      <c r="X234" s="204">
        <v>448.15</v>
      </c>
      <c r="Y234" s="204">
        <v>452.15</v>
      </c>
      <c r="Z234" s="204">
        <v>224.0</v>
      </c>
      <c r="AA234" s="204">
        <v>364.97</v>
      </c>
      <c r="AB234" s="204">
        <v>566.6</v>
      </c>
      <c r="AC234" s="204">
        <v>835.23</v>
      </c>
      <c r="AD234" s="204">
        <v>431.35</v>
      </c>
      <c r="AE234" s="204">
        <v>367.45</v>
      </c>
      <c r="AF234" s="204">
        <v>217.48</v>
      </c>
      <c r="AG234" s="93">
        <f t="shared" si="84"/>
        <v>20121.95</v>
      </c>
    </row>
    <row r="235" outlineLevel="1">
      <c r="A235" s="184" t="s">
        <v>257</v>
      </c>
      <c r="B235" s="197">
        <v>107.15</v>
      </c>
      <c r="C235" s="197">
        <v>111.15</v>
      </c>
      <c r="D235" s="197">
        <v>39.0</v>
      </c>
      <c r="E235" s="197">
        <v>111.15</v>
      </c>
      <c r="F235" s="197">
        <v>117.0</v>
      </c>
      <c r="G235" s="197">
        <v>78.0</v>
      </c>
      <c r="H235" s="197">
        <v>39.0</v>
      </c>
      <c r="I235" s="197">
        <v>39.0</v>
      </c>
      <c r="J235" s="197">
        <v>72.15</v>
      </c>
      <c r="K235" s="197">
        <v>15.0</v>
      </c>
      <c r="L235" s="197">
        <v>78.0</v>
      </c>
      <c r="M235" s="197">
        <v>156.0</v>
      </c>
      <c r="N235" s="197">
        <v>150.15</v>
      </c>
      <c r="O235" s="197">
        <v>0.0</v>
      </c>
      <c r="P235" s="197">
        <v>0.0</v>
      </c>
      <c r="Q235" s="197">
        <v>39.0</v>
      </c>
      <c r="R235" s="197">
        <v>39.0</v>
      </c>
      <c r="S235" s="197">
        <v>39.0</v>
      </c>
      <c r="T235" s="197">
        <v>0.0</v>
      </c>
      <c r="U235" s="204">
        <v>39.0</v>
      </c>
      <c r="V235" s="204">
        <v>156.0</v>
      </c>
      <c r="W235" s="204">
        <v>78.0</v>
      </c>
      <c r="X235" s="204">
        <v>0.0</v>
      </c>
      <c r="Y235" s="204">
        <v>156.0</v>
      </c>
      <c r="Z235" s="204">
        <v>78.0</v>
      </c>
      <c r="AA235" s="204">
        <v>39.0</v>
      </c>
      <c r="AB235" s="204">
        <v>0.0</v>
      </c>
      <c r="AC235" s="204">
        <v>0.0</v>
      </c>
      <c r="AD235" s="204">
        <v>39.0</v>
      </c>
      <c r="AE235" s="204">
        <v>33.15</v>
      </c>
      <c r="AF235" s="204">
        <v>39.0</v>
      </c>
      <c r="AG235" s="93">
        <f t="shared" si="84"/>
        <v>1886.9</v>
      </c>
    </row>
    <row r="236" outlineLevel="1">
      <c r="A236" s="184" t="s">
        <v>258</v>
      </c>
      <c r="B236" s="204">
        <v>1640.95</v>
      </c>
      <c r="C236" s="204">
        <v>1747.75</v>
      </c>
      <c r="D236" s="204">
        <v>1076.9</v>
      </c>
      <c r="E236" s="204">
        <v>1383.95</v>
      </c>
      <c r="F236" s="204">
        <v>801.0</v>
      </c>
      <c r="G236" s="204">
        <v>1143.65</v>
      </c>
      <c r="H236" s="204">
        <v>2174.95</v>
      </c>
      <c r="I236" s="204">
        <v>1703.25</v>
      </c>
      <c r="J236" s="204">
        <v>698.65</v>
      </c>
      <c r="K236" s="204">
        <v>872.2</v>
      </c>
      <c r="L236" s="204">
        <v>1246.0</v>
      </c>
      <c r="M236" s="204">
        <v>1677.65</v>
      </c>
      <c r="N236" s="204">
        <v>1864.55</v>
      </c>
      <c r="O236" s="204">
        <v>945.65</v>
      </c>
      <c r="P236" s="204">
        <v>596.3</v>
      </c>
      <c r="Q236" s="204">
        <v>769.85</v>
      </c>
      <c r="R236" s="204">
        <v>596.3</v>
      </c>
      <c r="S236" s="204">
        <v>1429.58</v>
      </c>
      <c r="T236" s="204">
        <v>1004.6</v>
      </c>
      <c r="U236" s="204">
        <v>740.93</v>
      </c>
      <c r="V236" s="204">
        <v>1061.33</v>
      </c>
      <c r="W236" s="204">
        <v>774.3</v>
      </c>
      <c r="X236" s="204">
        <v>623.0</v>
      </c>
      <c r="Y236" s="204">
        <v>801.0</v>
      </c>
      <c r="Z236" s="204">
        <v>890.0</v>
      </c>
      <c r="AA236" s="204">
        <v>863.3</v>
      </c>
      <c r="AB236" s="204">
        <v>938.95</v>
      </c>
      <c r="AC236" s="204">
        <v>756.5</v>
      </c>
      <c r="AD236" s="204">
        <v>1209.3</v>
      </c>
      <c r="AE236" s="204">
        <v>391.6</v>
      </c>
      <c r="AF236" s="204">
        <v>364.9</v>
      </c>
      <c r="AG236" s="93">
        <f t="shared" si="84"/>
        <v>32788.84</v>
      </c>
    </row>
    <row r="237" outlineLevel="1">
      <c r="A237" s="184" t="s">
        <v>259</v>
      </c>
      <c r="B237" s="197">
        <v>240.3</v>
      </c>
      <c r="C237" s="197">
        <v>431.65</v>
      </c>
      <c r="D237" s="197">
        <v>0.0</v>
      </c>
      <c r="E237" s="197">
        <v>267.0</v>
      </c>
      <c r="F237" s="197">
        <v>356.0</v>
      </c>
      <c r="G237" s="197">
        <v>527.33</v>
      </c>
      <c r="H237" s="197">
        <v>254.5</v>
      </c>
      <c r="I237" s="197">
        <v>178.0</v>
      </c>
      <c r="J237" s="197">
        <v>267.0</v>
      </c>
      <c r="K237" s="197">
        <v>240.3</v>
      </c>
      <c r="L237" s="197">
        <v>89.0</v>
      </c>
      <c r="M237" s="197">
        <v>89.0</v>
      </c>
      <c r="N237" s="197">
        <v>267.0</v>
      </c>
      <c r="O237" s="197">
        <v>164.65</v>
      </c>
      <c r="P237" s="197">
        <v>62.3</v>
      </c>
      <c r="Q237" s="197">
        <v>0.0</v>
      </c>
      <c r="R237" s="197">
        <v>178.0</v>
      </c>
      <c r="S237" s="197">
        <v>507.3</v>
      </c>
      <c r="T237" s="197">
        <v>240.3</v>
      </c>
      <c r="U237" s="204">
        <v>213.6</v>
      </c>
      <c r="V237" s="204">
        <v>151.3</v>
      </c>
      <c r="W237" s="204">
        <v>178.0</v>
      </c>
      <c r="X237" s="204">
        <v>89.0</v>
      </c>
      <c r="Y237" s="204">
        <v>89.0</v>
      </c>
      <c r="Z237" s="204">
        <v>0.0</v>
      </c>
      <c r="AA237" s="204">
        <v>342.65</v>
      </c>
      <c r="AB237" s="204">
        <v>342.65</v>
      </c>
      <c r="AC237" s="204">
        <v>75.65</v>
      </c>
      <c r="AD237" s="204">
        <v>240.3</v>
      </c>
      <c r="AE237" s="204">
        <v>178.0</v>
      </c>
      <c r="AF237" s="204">
        <v>267.0</v>
      </c>
      <c r="AG237" s="93">
        <f t="shared" si="84"/>
        <v>6526.78</v>
      </c>
    </row>
    <row r="238" outlineLevel="1">
      <c r="A238" s="184" t="s">
        <v>260</v>
      </c>
      <c r="B238" s="204">
        <v>1282.93</v>
      </c>
      <c r="C238" s="204">
        <v>1276.44</v>
      </c>
      <c r="D238" s="204">
        <v>1807.91</v>
      </c>
      <c r="E238" s="204">
        <v>1456.32</v>
      </c>
      <c r="F238" s="204">
        <v>1462.1</v>
      </c>
      <c r="G238" s="204">
        <v>1170.63</v>
      </c>
      <c r="H238" s="204">
        <v>976.96</v>
      </c>
      <c r="I238" s="204">
        <v>866.78</v>
      </c>
      <c r="J238" s="204">
        <v>800.98</v>
      </c>
      <c r="K238" s="204">
        <v>687.6</v>
      </c>
      <c r="L238" s="197">
        <v>1180.68</v>
      </c>
      <c r="M238" s="204">
        <v>1147.81</v>
      </c>
      <c r="N238" s="204">
        <v>850.0</v>
      </c>
      <c r="O238" s="204">
        <v>814.94</v>
      </c>
      <c r="P238" s="204">
        <v>396.0</v>
      </c>
      <c r="Q238" s="204">
        <v>618.29</v>
      </c>
      <c r="R238" s="204">
        <v>677.65</v>
      </c>
      <c r="S238" s="204">
        <v>627.01</v>
      </c>
      <c r="T238" s="204">
        <v>754.94</v>
      </c>
      <c r="U238" s="204">
        <v>508.95</v>
      </c>
      <c r="V238" s="204">
        <v>552.32</v>
      </c>
      <c r="W238" s="204">
        <v>575.96</v>
      </c>
      <c r="X238" s="204">
        <v>455.66</v>
      </c>
      <c r="Y238" s="204">
        <v>401.95</v>
      </c>
      <c r="Z238" s="204">
        <v>444.0</v>
      </c>
      <c r="AA238" s="204">
        <v>581.9</v>
      </c>
      <c r="AB238" s="204">
        <v>607.62</v>
      </c>
      <c r="AC238" s="204">
        <v>613.94</v>
      </c>
      <c r="AD238" s="204">
        <v>471.3</v>
      </c>
      <c r="AE238" s="204">
        <v>328.65</v>
      </c>
      <c r="AF238" s="204">
        <v>260.64</v>
      </c>
      <c r="AG238" s="93">
        <f t="shared" si="84"/>
        <v>24658.86</v>
      </c>
    </row>
    <row r="239" outlineLevel="1">
      <c r="A239" s="184" t="s">
        <v>261</v>
      </c>
      <c r="B239" s="204">
        <v>252.65</v>
      </c>
      <c r="C239" s="204">
        <v>140.65</v>
      </c>
      <c r="D239" s="204">
        <v>159.0</v>
      </c>
      <c r="E239" s="204">
        <v>116.0</v>
      </c>
      <c r="F239" s="204">
        <v>116.0</v>
      </c>
      <c r="G239" s="204">
        <v>109.34</v>
      </c>
      <c r="H239" s="204">
        <v>174.0</v>
      </c>
      <c r="I239" s="204">
        <v>58.0</v>
      </c>
      <c r="J239" s="204">
        <v>140.65</v>
      </c>
      <c r="K239" s="204">
        <v>58.0</v>
      </c>
      <c r="L239" s="204">
        <v>261.0</v>
      </c>
      <c r="M239" s="204">
        <v>169.0</v>
      </c>
      <c r="N239" s="204">
        <v>174.0</v>
      </c>
      <c r="O239" s="204">
        <v>58.0</v>
      </c>
      <c r="P239" s="204">
        <v>87.0</v>
      </c>
      <c r="Q239" s="204">
        <v>58.0</v>
      </c>
      <c r="R239" s="204">
        <v>58.0</v>
      </c>
      <c r="S239" s="197">
        <v>203.0</v>
      </c>
      <c r="T239" s="197">
        <v>116.0</v>
      </c>
      <c r="U239" s="204">
        <v>29.0</v>
      </c>
      <c r="V239" s="204">
        <v>174.0</v>
      </c>
      <c r="W239" s="204">
        <v>53.65</v>
      </c>
      <c r="X239" s="204">
        <v>87.0</v>
      </c>
      <c r="Y239" s="204">
        <v>58.0</v>
      </c>
      <c r="Z239" s="204">
        <v>87.0</v>
      </c>
      <c r="AA239" s="204">
        <v>53.65</v>
      </c>
      <c r="AB239" s="204">
        <v>29.0</v>
      </c>
      <c r="AC239" s="204">
        <v>87.0</v>
      </c>
      <c r="AD239" s="204">
        <v>58.0</v>
      </c>
      <c r="AE239" s="204">
        <v>53.65</v>
      </c>
      <c r="AF239" s="204">
        <v>0.0</v>
      </c>
      <c r="AG239" s="93">
        <f t="shared" si="84"/>
        <v>3278.24</v>
      </c>
    </row>
    <row r="240" outlineLevel="1">
      <c r="A240" s="184" t="s">
        <v>262</v>
      </c>
      <c r="B240" s="198">
        <v>0.0</v>
      </c>
      <c r="C240" s="198">
        <v>99.0</v>
      </c>
      <c r="D240" s="198">
        <v>99.0</v>
      </c>
      <c r="E240" s="198">
        <v>99.0</v>
      </c>
      <c r="F240" s="198">
        <v>99.0</v>
      </c>
      <c r="G240" s="198">
        <v>0.0</v>
      </c>
      <c r="H240" s="198">
        <v>198.0</v>
      </c>
      <c r="I240" s="198">
        <v>99.0</v>
      </c>
      <c r="J240" s="198">
        <v>198.0</v>
      </c>
      <c r="K240" s="198">
        <v>198.0</v>
      </c>
      <c r="L240" s="198">
        <v>198.0</v>
      </c>
      <c r="M240" s="198">
        <v>381.15</v>
      </c>
      <c r="N240" s="198">
        <v>99.0</v>
      </c>
      <c r="O240" s="198">
        <v>84.15</v>
      </c>
      <c r="P240" s="198">
        <v>297.0</v>
      </c>
      <c r="Q240" s="198">
        <v>168.3</v>
      </c>
      <c r="R240" s="198">
        <v>99.0</v>
      </c>
      <c r="S240" s="198">
        <v>99.0</v>
      </c>
      <c r="T240" s="198">
        <v>99.0</v>
      </c>
      <c r="U240" s="198">
        <v>0.0</v>
      </c>
      <c r="V240" s="198">
        <v>198.0</v>
      </c>
      <c r="W240" s="198">
        <v>183.15</v>
      </c>
      <c r="X240" s="198">
        <v>99.0</v>
      </c>
      <c r="Y240" s="198">
        <v>99.0</v>
      </c>
      <c r="Z240" s="198">
        <v>99.0</v>
      </c>
      <c r="AA240" s="198">
        <v>99.0</v>
      </c>
      <c r="AB240" s="206">
        <v>0.0</v>
      </c>
      <c r="AC240" s="206">
        <v>0.0</v>
      </c>
      <c r="AD240" s="198">
        <v>0.0</v>
      </c>
      <c r="AE240" s="198">
        <v>99.0</v>
      </c>
      <c r="AF240" s="198">
        <v>0.0</v>
      </c>
      <c r="AG240" s="93">
        <f t="shared" si="84"/>
        <v>3489.75</v>
      </c>
    </row>
    <row r="241" outlineLevel="1">
      <c r="A241" s="184" t="s">
        <v>263</v>
      </c>
      <c r="B241" s="198">
        <v>119.0</v>
      </c>
      <c r="C241" s="198">
        <v>0.0</v>
      </c>
      <c r="D241" s="198">
        <v>119.0</v>
      </c>
      <c r="E241" s="198">
        <v>0.0</v>
      </c>
      <c r="F241" s="198">
        <v>357.0</v>
      </c>
      <c r="G241" s="198">
        <v>119.0</v>
      </c>
      <c r="H241" s="198">
        <v>458.15</v>
      </c>
      <c r="I241" s="198">
        <v>238.0</v>
      </c>
      <c r="J241" s="198">
        <v>0.0</v>
      </c>
      <c r="K241" s="198">
        <v>0.0</v>
      </c>
      <c r="L241" s="198">
        <v>238.0</v>
      </c>
      <c r="M241" s="198">
        <v>119.0</v>
      </c>
      <c r="N241" s="198">
        <v>0.0</v>
      </c>
      <c r="O241" s="198">
        <v>220.15</v>
      </c>
      <c r="P241" s="198">
        <v>0.0</v>
      </c>
      <c r="Q241" s="198">
        <v>119.0</v>
      </c>
      <c r="R241" s="198">
        <v>0.0</v>
      </c>
      <c r="S241" s="198">
        <v>0.0</v>
      </c>
      <c r="T241" s="198">
        <v>0.0</v>
      </c>
      <c r="U241" s="198">
        <v>0.0</v>
      </c>
      <c r="V241" s="198">
        <v>238.0</v>
      </c>
      <c r="W241" s="198">
        <v>119.0</v>
      </c>
      <c r="X241" s="198">
        <v>458.15</v>
      </c>
      <c r="Y241" s="198">
        <v>119.0</v>
      </c>
      <c r="Z241" s="198">
        <v>119.0</v>
      </c>
      <c r="AA241" s="198">
        <v>0.0</v>
      </c>
      <c r="AB241" s="206">
        <v>0.0</v>
      </c>
      <c r="AC241" s="206">
        <v>0.0</v>
      </c>
      <c r="AD241" s="198">
        <v>0.0</v>
      </c>
      <c r="AE241" s="198">
        <v>0.0</v>
      </c>
      <c r="AF241" s="198">
        <v>238.0</v>
      </c>
      <c r="AG241" s="93">
        <f t="shared" si="84"/>
        <v>3397.45</v>
      </c>
    </row>
    <row r="242">
      <c r="A242" s="189" t="s">
        <v>141</v>
      </c>
      <c r="B242" s="202">
        <f t="shared" ref="B242:AF242" si="85">SUM(B232:B241)</f>
        <v>5577.19</v>
      </c>
      <c r="C242" s="202">
        <f t="shared" si="85"/>
        <v>5828.77</v>
      </c>
      <c r="D242" s="202">
        <f t="shared" si="85"/>
        <v>6458.35</v>
      </c>
      <c r="E242" s="202">
        <f t="shared" si="85"/>
        <v>5301.01</v>
      </c>
      <c r="F242" s="202">
        <f t="shared" si="85"/>
        <v>5914.53</v>
      </c>
      <c r="G242" s="202">
        <f t="shared" si="85"/>
        <v>5703.01</v>
      </c>
      <c r="H242" s="202">
        <f t="shared" si="85"/>
        <v>6361.45</v>
      </c>
      <c r="I242" s="202">
        <f t="shared" si="85"/>
        <v>4574.77</v>
      </c>
      <c r="J242" s="202">
        <f t="shared" si="85"/>
        <v>3713.16</v>
      </c>
      <c r="K242" s="202">
        <f t="shared" si="85"/>
        <v>3054.7</v>
      </c>
      <c r="L242" s="202">
        <f t="shared" si="85"/>
        <v>4757.34</v>
      </c>
      <c r="M242" s="202">
        <f t="shared" si="85"/>
        <v>5749.91</v>
      </c>
      <c r="N242" s="202">
        <f t="shared" si="85"/>
        <v>4300</v>
      </c>
      <c r="O242" s="202">
        <f t="shared" si="85"/>
        <v>3428.6</v>
      </c>
      <c r="P242" s="202">
        <f t="shared" si="85"/>
        <v>2293.75</v>
      </c>
      <c r="Q242" s="202">
        <f t="shared" si="85"/>
        <v>2847.84</v>
      </c>
      <c r="R242" s="202">
        <f t="shared" si="85"/>
        <v>2894.96</v>
      </c>
      <c r="S242" s="202">
        <f t="shared" si="85"/>
        <v>3970.53</v>
      </c>
      <c r="T242" s="202">
        <f t="shared" si="85"/>
        <v>3155.46</v>
      </c>
      <c r="U242" s="202">
        <f t="shared" si="85"/>
        <v>2061.12</v>
      </c>
      <c r="V242" s="202">
        <f t="shared" si="85"/>
        <v>4009.76</v>
      </c>
      <c r="W242" s="202">
        <f t="shared" si="85"/>
        <v>2898.21</v>
      </c>
      <c r="X242" s="202">
        <f t="shared" si="85"/>
        <v>2606.64</v>
      </c>
      <c r="Y242" s="202">
        <f t="shared" si="85"/>
        <v>2361.25</v>
      </c>
      <c r="Z242" s="202">
        <f t="shared" si="85"/>
        <v>2242</v>
      </c>
      <c r="AA242" s="202">
        <f t="shared" si="85"/>
        <v>2671.46</v>
      </c>
      <c r="AB242" s="202">
        <f t="shared" si="85"/>
        <v>3029.86</v>
      </c>
      <c r="AC242" s="202">
        <f t="shared" si="85"/>
        <v>2790.92</v>
      </c>
      <c r="AD242" s="202">
        <f t="shared" si="85"/>
        <v>2876.05</v>
      </c>
      <c r="AE242" s="202">
        <f t="shared" si="85"/>
        <v>1825.8</v>
      </c>
      <c r="AF242" s="202">
        <f t="shared" si="85"/>
        <v>1721.47</v>
      </c>
      <c r="AG242" s="93">
        <f t="shared" si="84"/>
        <v>116979.87</v>
      </c>
    </row>
    <row r="243">
      <c r="A243" s="98"/>
      <c r="B243" s="203"/>
      <c r="C243" s="203"/>
      <c r="D243" s="203"/>
      <c r="E243" s="203"/>
      <c r="F243" s="203"/>
      <c r="G243" s="203"/>
      <c r="H243" s="203"/>
      <c r="I243" s="203"/>
      <c r="J243" s="203"/>
      <c r="K243" s="203"/>
      <c r="L243" s="203"/>
      <c r="M243" s="203"/>
      <c r="N243" s="203"/>
      <c r="O243" s="203"/>
      <c r="P243" s="203"/>
      <c r="Q243" s="203"/>
      <c r="R243" s="203"/>
      <c r="S243" s="203"/>
      <c r="T243" s="203"/>
      <c r="U243" s="203"/>
      <c r="V243" s="203"/>
      <c r="W243" s="203"/>
      <c r="X243" s="203"/>
      <c r="Y243" s="203"/>
      <c r="Z243" s="203"/>
      <c r="AA243" s="203"/>
      <c r="AB243" s="203"/>
      <c r="AC243" s="203"/>
      <c r="AD243" s="203"/>
      <c r="AE243" s="203"/>
      <c r="AF243" s="203"/>
      <c r="AG243" s="196"/>
    </row>
    <row r="244">
      <c r="A244" s="184" t="s">
        <v>264</v>
      </c>
      <c r="B244" s="185"/>
      <c r="C244" s="185"/>
      <c r="D244" s="186"/>
      <c r="E244" s="186"/>
      <c r="F244" s="186"/>
      <c r="G244" s="186"/>
      <c r="H244" s="186"/>
      <c r="I244" s="186"/>
      <c r="J244" s="186"/>
      <c r="K244" s="185"/>
      <c r="L244" s="185"/>
      <c r="M244" s="185"/>
      <c r="N244" s="185"/>
      <c r="O244" s="185"/>
      <c r="P244" s="185"/>
      <c r="Q244" s="185"/>
      <c r="R244" s="185"/>
      <c r="S244" s="185"/>
      <c r="T244" s="185"/>
      <c r="U244" s="185"/>
      <c r="V244" s="185"/>
      <c r="W244" s="185"/>
      <c r="X244" s="185"/>
      <c r="Y244" s="185"/>
      <c r="Z244" s="185"/>
      <c r="AA244" s="185"/>
      <c r="AB244" s="185"/>
      <c r="AC244" s="185"/>
      <c r="AD244" s="185"/>
      <c r="AE244" s="185"/>
      <c r="AF244" s="185"/>
      <c r="AG244" s="196"/>
    </row>
    <row r="245" outlineLevel="1">
      <c r="A245" s="184" t="s">
        <v>224</v>
      </c>
      <c r="B245" s="200"/>
      <c r="C245" s="199"/>
      <c r="D245" s="199"/>
      <c r="E245" s="207"/>
      <c r="F245" s="200"/>
      <c r="G245" s="207"/>
      <c r="H245" s="200"/>
      <c r="I245" s="200"/>
      <c r="J245" s="200"/>
      <c r="K245" s="200"/>
      <c r="L245" s="200"/>
      <c r="M245" s="200"/>
      <c r="N245" s="200"/>
      <c r="O245" s="200"/>
      <c r="P245" s="200"/>
      <c r="Q245" s="200"/>
      <c r="R245" s="200"/>
      <c r="S245" s="200"/>
      <c r="T245" s="207"/>
      <c r="U245" s="200"/>
      <c r="V245" s="200"/>
      <c r="W245" s="200"/>
      <c r="X245" s="200"/>
      <c r="Y245" s="200"/>
      <c r="Z245" s="200"/>
      <c r="AA245" s="200"/>
      <c r="AB245" s="200"/>
      <c r="AC245" s="200"/>
      <c r="AD245" s="200"/>
      <c r="AE245" s="200"/>
      <c r="AF245" s="200"/>
      <c r="AG245" s="93">
        <f t="shared" ref="AG245:AG255" si="86">SUM(B245:AF245)</f>
        <v>0</v>
      </c>
    </row>
    <row r="246" outlineLevel="1">
      <c r="A246" s="184" t="s">
        <v>225</v>
      </c>
      <c r="B246" s="200"/>
      <c r="C246" s="207"/>
      <c r="D246" s="207"/>
      <c r="E246" s="207"/>
      <c r="F246" s="200"/>
      <c r="G246" s="207"/>
      <c r="H246" s="200"/>
      <c r="I246" s="200"/>
      <c r="J246" s="200"/>
      <c r="K246" s="200"/>
      <c r="L246" s="200"/>
      <c r="M246" s="200"/>
      <c r="N246" s="200"/>
      <c r="O246" s="200"/>
      <c r="P246" s="200"/>
      <c r="Q246" s="200"/>
      <c r="R246" s="200"/>
      <c r="S246" s="200"/>
      <c r="T246" s="200"/>
      <c r="U246" s="200"/>
      <c r="V246" s="200"/>
      <c r="W246" s="200"/>
      <c r="X246" s="200"/>
      <c r="Y246" s="207"/>
      <c r="Z246" s="200"/>
      <c r="AA246" s="200"/>
      <c r="AB246" s="200"/>
      <c r="AC246" s="200"/>
      <c r="AD246" s="200"/>
      <c r="AE246" s="200"/>
      <c r="AF246" s="200"/>
      <c r="AG246" s="93">
        <f t="shared" si="86"/>
        <v>0</v>
      </c>
    </row>
    <row r="247" outlineLevel="1">
      <c r="A247" s="184" t="s">
        <v>265</v>
      </c>
      <c r="B247" s="200"/>
      <c r="C247" s="207"/>
      <c r="D247" s="207"/>
      <c r="E247" s="207"/>
      <c r="F247" s="200"/>
      <c r="G247" s="207"/>
      <c r="H247" s="200"/>
      <c r="I247" s="200"/>
      <c r="J247" s="200"/>
      <c r="K247" s="200"/>
      <c r="L247" s="200"/>
      <c r="M247" s="200"/>
      <c r="N247" s="200"/>
      <c r="O247" s="200"/>
      <c r="P247" s="200"/>
      <c r="Q247" s="200"/>
      <c r="R247" s="200"/>
      <c r="S247" s="200"/>
      <c r="T247" s="200"/>
      <c r="U247" s="200"/>
      <c r="V247" s="200"/>
      <c r="W247" s="200"/>
      <c r="X247" s="200"/>
      <c r="Y247" s="200"/>
      <c r="Z247" s="200"/>
      <c r="AA247" s="200"/>
      <c r="AB247" s="200"/>
      <c r="AC247" s="200"/>
      <c r="AD247" s="200"/>
      <c r="AE247" s="200"/>
      <c r="AF247" s="200"/>
      <c r="AG247" s="93">
        <f t="shared" si="86"/>
        <v>0</v>
      </c>
    </row>
    <row r="248" outlineLevel="1">
      <c r="A248" s="184" t="s">
        <v>266</v>
      </c>
      <c r="B248" s="200"/>
      <c r="C248" s="200"/>
      <c r="D248" s="200"/>
      <c r="E248" s="200"/>
      <c r="F248" s="200"/>
      <c r="G248" s="200"/>
      <c r="H248" s="200"/>
      <c r="I248" s="200"/>
      <c r="J248" s="200"/>
      <c r="K248" s="200"/>
      <c r="L248" s="200"/>
      <c r="M248" s="200"/>
      <c r="N248" s="200"/>
      <c r="O248" s="200"/>
      <c r="P248" s="200"/>
      <c r="Q248" s="200"/>
      <c r="R248" s="200"/>
      <c r="S248" s="200"/>
      <c r="T248" s="200"/>
      <c r="U248" s="200"/>
      <c r="V248" s="200"/>
      <c r="W248" s="200"/>
      <c r="X248" s="200"/>
      <c r="Y248" s="200"/>
      <c r="Z248" s="200"/>
      <c r="AA248" s="200"/>
      <c r="AB248" s="200"/>
      <c r="AC248" s="200"/>
      <c r="AD248" s="200"/>
      <c r="AE248" s="200"/>
      <c r="AF248" s="200"/>
      <c r="AG248" s="93">
        <f t="shared" si="86"/>
        <v>0</v>
      </c>
    </row>
    <row r="249" outlineLevel="1">
      <c r="A249" s="184" t="s">
        <v>267</v>
      </c>
      <c r="B249" s="200"/>
      <c r="C249" s="207"/>
      <c r="D249" s="207"/>
      <c r="E249" s="207"/>
      <c r="F249" s="200"/>
      <c r="G249" s="207"/>
      <c r="H249" s="200"/>
      <c r="I249" s="200"/>
      <c r="J249" s="200"/>
      <c r="K249" s="200"/>
      <c r="L249" s="200"/>
      <c r="M249" s="200"/>
      <c r="N249" s="200"/>
      <c r="O249" s="200"/>
      <c r="P249" s="200"/>
      <c r="Q249" s="200"/>
      <c r="R249" s="200"/>
      <c r="S249" s="200"/>
      <c r="T249" s="200"/>
      <c r="U249" s="200"/>
      <c r="V249" s="200"/>
      <c r="W249" s="200"/>
      <c r="X249" s="200"/>
      <c r="Y249" s="200"/>
      <c r="Z249" s="200"/>
      <c r="AA249" s="200"/>
      <c r="AB249" s="200"/>
      <c r="AC249" s="200"/>
      <c r="AD249" s="200"/>
      <c r="AE249" s="200"/>
      <c r="AF249" s="200"/>
      <c r="AG249" s="93">
        <f t="shared" si="86"/>
        <v>0</v>
      </c>
    </row>
    <row r="250" outlineLevel="1">
      <c r="A250" s="184" t="s">
        <v>268</v>
      </c>
      <c r="B250" s="200"/>
      <c r="C250" s="200"/>
      <c r="D250" s="200"/>
      <c r="E250" s="200"/>
      <c r="F250" s="200"/>
      <c r="G250" s="200"/>
      <c r="H250" s="200"/>
      <c r="I250" s="200"/>
      <c r="J250" s="200"/>
      <c r="K250" s="200"/>
      <c r="L250" s="200"/>
      <c r="M250" s="200"/>
      <c r="N250" s="200"/>
      <c r="O250" s="200"/>
      <c r="P250" s="200"/>
      <c r="Q250" s="200"/>
      <c r="R250" s="200"/>
      <c r="S250" s="200"/>
      <c r="T250" s="200"/>
      <c r="U250" s="200"/>
      <c r="V250" s="200"/>
      <c r="W250" s="200"/>
      <c r="X250" s="200"/>
      <c r="Y250" s="200"/>
      <c r="Z250" s="200"/>
      <c r="AA250" s="200"/>
      <c r="AB250" s="200"/>
      <c r="AC250" s="200"/>
      <c r="AD250" s="200"/>
      <c r="AE250" s="200"/>
      <c r="AF250" s="200"/>
      <c r="AG250" s="93">
        <f t="shared" si="86"/>
        <v>0</v>
      </c>
    </row>
    <row r="251" outlineLevel="1">
      <c r="A251" s="184" t="s">
        <v>269</v>
      </c>
      <c r="B251" s="200"/>
      <c r="C251" s="207"/>
      <c r="D251" s="207"/>
      <c r="E251" s="207"/>
      <c r="F251" s="200"/>
      <c r="G251" s="207"/>
      <c r="H251" s="200"/>
      <c r="I251" s="200"/>
      <c r="J251" s="200"/>
      <c r="K251" s="200"/>
      <c r="L251" s="200"/>
      <c r="M251" s="200"/>
      <c r="N251" s="200"/>
      <c r="O251" s="200"/>
      <c r="P251" s="200"/>
      <c r="Q251" s="200"/>
      <c r="R251" s="200"/>
      <c r="S251" s="200"/>
      <c r="T251" s="200"/>
      <c r="U251" s="200"/>
      <c r="V251" s="200"/>
      <c r="W251" s="200"/>
      <c r="X251" s="200"/>
      <c r="Y251" s="200"/>
      <c r="Z251" s="200"/>
      <c r="AA251" s="200"/>
      <c r="AB251" s="200"/>
      <c r="AC251" s="200"/>
      <c r="AD251" s="200"/>
      <c r="AE251" s="200"/>
      <c r="AF251" s="200"/>
      <c r="AG251" s="93">
        <f t="shared" si="86"/>
        <v>0</v>
      </c>
    </row>
    <row r="252" outlineLevel="1">
      <c r="A252" s="184" t="s">
        <v>270</v>
      </c>
      <c r="B252" s="200"/>
      <c r="C252" s="207"/>
      <c r="D252" s="207"/>
      <c r="E252" s="207"/>
      <c r="F252" s="200"/>
      <c r="G252" s="207"/>
      <c r="H252" s="200"/>
      <c r="I252" s="200"/>
      <c r="J252" s="200"/>
      <c r="K252" s="200"/>
      <c r="L252" s="200"/>
      <c r="M252" s="200"/>
      <c r="N252" s="200"/>
      <c r="O252" s="200"/>
      <c r="P252" s="200"/>
      <c r="Q252" s="200"/>
      <c r="R252" s="200"/>
      <c r="S252" s="200"/>
      <c r="T252" s="200"/>
      <c r="U252" s="200"/>
      <c r="V252" s="200"/>
      <c r="W252" s="200"/>
      <c r="X252" s="200"/>
      <c r="Y252" s="200"/>
      <c r="Z252" s="200"/>
      <c r="AA252" s="200"/>
      <c r="AB252" s="200"/>
      <c r="AC252" s="200"/>
      <c r="AD252" s="200"/>
      <c r="AE252" s="200"/>
      <c r="AF252" s="200"/>
      <c r="AG252" s="93">
        <f t="shared" si="86"/>
        <v>0</v>
      </c>
    </row>
    <row r="253" outlineLevel="1">
      <c r="A253" s="184" t="s">
        <v>271</v>
      </c>
      <c r="B253" s="112"/>
      <c r="C253" s="112"/>
      <c r="D253" s="112"/>
      <c r="E253" s="112"/>
      <c r="F253" s="112"/>
      <c r="G253" s="112"/>
      <c r="H253" s="112"/>
      <c r="I253" s="112"/>
      <c r="J253" s="112"/>
      <c r="K253" s="112"/>
      <c r="L253" s="112"/>
      <c r="M253" s="112"/>
      <c r="N253" s="112"/>
      <c r="O253" s="112"/>
      <c r="P253" s="112"/>
      <c r="Q253" s="112"/>
      <c r="R253" s="112"/>
      <c r="S253" s="112"/>
      <c r="T253" s="112"/>
      <c r="U253" s="112"/>
      <c r="V253" s="112"/>
      <c r="W253" s="112"/>
      <c r="X253" s="112"/>
      <c r="Y253" s="112"/>
      <c r="Z253" s="112"/>
      <c r="AA253" s="112"/>
      <c r="AB253" s="208"/>
      <c r="AC253" s="208"/>
      <c r="AD253" s="112"/>
      <c r="AE253" s="112"/>
      <c r="AF253" s="112"/>
      <c r="AG253" s="93">
        <f t="shared" si="86"/>
        <v>0</v>
      </c>
    </row>
    <row r="254" outlineLevel="1">
      <c r="A254" s="184" t="s">
        <v>272</v>
      </c>
      <c r="B254" s="112"/>
      <c r="C254" s="112"/>
      <c r="D254" s="112"/>
      <c r="E254" s="112"/>
      <c r="F254" s="112"/>
      <c r="G254" s="112"/>
      <c r="H254" s="112"/>
      <c r="I254" s="112"/>
      <c r="J254" s="112"/>
      <c r="K254" s="112"/>
      <c r="L254" s="112"/>
      <c r="M254" s="112"/>
      <c r="N254" s="112"/>
      <c r="O254" s="112"/>
      <c r="P254" s="112"/>
      <c r="Q254" s="112"/>
      <c r="R254" s="112"/>
      <c r="S254" s="112"/>
      <c r="T254" s="112"/>
      <c r="U254" s="112"/>
      <c r="V254" s="112"/>
      <c r="W254" s="112"/>
      <c r="X254" s="112"/>
      <c r="Y254" s="112"/>
      <c r="Z254" s="112"/>
      <c r="AA254" s="112"/>
      <c r="AB254" s="208"/>
      <c r="AC254" s="208"/>
      <c r="AD254" s="112"/>
      <c r="AE254" s="112"/>
      <c r="AF254" s="112"/>
      <c r="AG254" s="93">
        <f t="shared" si="86"/>
        <v>0</v>
      </c>
    </row>
    <row r="255">
      <c r="A255" s="189" t="s">
        <v>141</v>
      </c>
      <c r="B255" s="202">
        <f t="shared" ref="B255:AF255" si="87">SUM(B245:B254)</f>
        <v>0</v>
      </c>
      <c r="C255" s="202">
        <f t="shared" si="87"/>
        <v>0</v>
      </c>
      <c r="D255" s="202">
        <f t="shared" si="87"/>
        <v>0</v>
      </c>
      <c r="E255" s="202">
        <f t="shared" si="87"/>
        <v>0</v>
      </c>
      <c r="F255" s="202">
        <f t="shared" si="87"/>
        <v>0</v>
      </c>
      <c r="G255" s="202">
        <f t="shared" si="87"/>
        <v>0</v>
      </c>
      <c r="H255" s="202">
        <f t="shared" si="87"/>
        <v>0</v>
      </c>
      <c r="I255" s="202">
        <f t="shared" si="87"/>
        <v>0</v>
      </c>
      <c r="J255" s="202">
        <f t="shared" si="87"/>
        <v>0</v>
      </c>
      <c r="K255" s="202">
        <f t="shared" si="87"/>
        <v>0</v>
      </c>
      <c r="L255" s="202">
        <f t="shared" si="87"/>
        <v>0</v>
      </c>
      <c r="M255" s="202">
        <f t="shared" si="87"/>
        <v>0</v>
      </c>
      <c r="N255" s="202">
        <f t="shared" si="87"/>
        <v>0</v>
      </c>
      <c r="O255" s="202">
        <f t="shared" si="87"/>
        <v>0</v>
      </c>
      <c r="P255" s="202">
        <f t="shared" si="87"/>
        <v>0</v>
      </c>
      <c r="Q255" s="202">
        <f t="shared" si="87"/>
        <v>0</v>
      </c>
      <c r="R255" s="202">
        <f t="shared" si="87"/>
        <v>0</v>
      </c>
      <c r="S255" s="202">
        <f t="shared" si="87"/>
        <v>0</v>
      </c>
      <c r="T255" s="202">
        <f t="shared" si="87"/>
        <v>0</v>
      </c>
      <c r="U255" s="202">
        <f t="shared" si="87"/>
        <v>0</v>
      </c>
      <c r="V255" s="202">
        <f t="shared" si="87"/>
        <v>0</v>
      </c>
      <c r="W255" s="202">
        <f t="shared" si="87"/>
        <v>0</v>
      </c>
      <c r="X255" s="202">
        <f t="shared" si="87"/>
        <v>0</v>
      </c>
      <c r="Y255" s="202">
        <f t="shared" si="87"/>
        <v>0</v>
      </c>
      <c r="Z255" s="202">
        <f t="shared" si="87"/>
        <v>0</v>
      </c>
      <c r="AA255" s="202">
        <f t="shared" si="87"/>
        <v>0</v>
      </c>
      <c r="AB255" s="202">
        <f t="shared" si="87"/>
        <v>0</v>
      </c>
      <c r="AC255" s="202">
        <f t="shared" si="87"/>
        <v>0</v>
      </c>
      <c r="AD255" s="202">
        <f t="shared" si="87"/>
        <v>0</v>
      </c>
      <c r="AE255" s="202">
        <f t="shared" si="87"/>
        <v>0</v>
      </c>
      <c r="AF255" s="202">
        <f t="shared" si="87"/>
        <v>0</v>
      </c>
      <c r="AG255" s="93">
        <f t="shared" si="86"/>
        <v>0</v>
      </c>
    </row>
    <row r="256">
      <c r="A256" s="166"/>
      <c r="B256" s="177"/>
      <c r="C256" s="177"/>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c r="AA256" s="177"/>
      <c r="AB256" s="177"/>
      <c r="AC256" s="177"/>
      <c r="AD256" s="177"/>
      <c r="AE256" s="177"/>
      <c r="AF256" s="177"/>
      <c r="AG256" s="209"/>
    </row>
    <row r="257">
      <c r="A257" s="210" t="s">
        <v>273</v>
      </c>
      <c r="B257" s="211"/>
      <c r="C257" s="211"/>
      <c r="D257" s="212"/>
      <c r="E257" s="212"/>
      <c r="F257" s="212"/>
      <c r="G257" s="212"/>
      <c r="H257" s="212"/>
      <c r="I257" s="212"/>
      <c r="J257" s="212"/>
      <c r="K257" s="211"/>
      <c r="L257" s="211"/>
      <c r="M257" s="211"/>
      <c r="N257" s="211"/>
      <c r="O257" s="211"/>
      <c r="P257" s="211"/>
      <c r="Q257" s="211"/>
      <c r="R257" s="211"/>
      <c r="S257" s="211"/>
      <c r="T257" s="211"/>
      <c r="U257" s="211"/>
      <c r="V257" s="211"/>
      <c r="W257" s="211"/>
      <c r="X257" s="211"/>
      <c r="Y257" s="211"/>
      <c r="Z257" s="211"/>
      <c r="AA257" s="211"/>
      <c r="AB257" s="211"/>
      <c r="AC257" s="211"/>
      <c r="AD257" s="211"/>
      <c r="AE257" s="211"/>
      <c r="AF257" s="211"/>
      <c r="AG257" s="209"/>
    </row>
    <row r="258">
      <c r="A258" s="213" t="s">
        <v>119</v>
      </c>
      <c r="B258" s="214">
        <v>0.0</v>
      </c>
      <c r="C258" s="214">
        <v>0.0</v>
      </c>
      <c r="D258" s="214">
        <v>0.0</v>
      </c>
      <c r="E258" s="214">
        <v>0.0</v>
      </c>
      <c r="F258" s="214">
        <v>0.0</v>
      </c>
      <c r="G258" s="214">
        <v>0.0</v>
      </c>
      <c r="H258" s="214">
        <v>0.0</v>
      </c>
      <c r="I258" s="214">
        <v>0.0</v>
      </c>
      <c r="J258" s="214">
        <v>0.0</v>
      </c>
      <c r="K258" s="214">
        <v>31.79</v>
      </c>
      <c r="L258" s="214">
        <v>0.0</v>
      </c>
      <c r="M258" s="214">
        <v>108.12</v>
      </c>
      <c r="N258" s="214">
        <v>0.0</v>
      </c>
      <c r="O258" s="214">
        <v>0.0</v>
      </c>
      <c r="P258" s="214">
        <v>0.0</v>
      </c>
      <c r="Q258" s="214">
        <v>0.0</v>
      </c>
      <c r="R258" s="214">
        <v>0.0</v>
      </c>
      <c r="S258" s="214">
        <v>0.0</v>
      </c>
      <c r="T258" s="214">
        <v>0.0</v>
      </c>
      <c r="U258" s="214">
        <v>0.0</v>
      </c>
      <c r="V258" s="214">
        <v>0.0</v>
      </c>
      <c r="W258" s="214">
        <v>27.2</v>
      </c>
      <c r="X258" s="214">
        <v>0.0</v>
      </c>
      <c r="Y258" s="214">
        <v>0.0</v>
      </c>
      <c r="Z258" s="214">
        <v>0.0</v>
      </c>
      <c r="AA258" s="214">
        <v>0.0</v>
      </c>
      <c r="AB258" s="214">
        <v>0.0</v>
      </c>
      <c r="AC258" s="214">
        <v>0.0</v>
      </c>
      <c r="AD258" s="214">
        <v>0.0</v>
      </c>
      <c r="AE258" s="214">
        <v>0.0</v>
      </c>
      <c r="AF258" s="214">
        <v>0.0</v>
      </c>
      <c r="AG258" s="93">
        <f>SUM(B258:AF258)</f>
        <v>167.11</v>
      </c>
    </row>
    <row r="259">
      <c r="A259" s="166"/>
      <c r="J259" s="4" t="s">
        <v>93</v>
      </c>
      <c r="T259" s="177"/>
      <c r="U259" s="177"/>
      <c r="V259" s="177"/>
      <c r="W259" s="177"/>
      <c r="X259" s="177"/>
      <c r="Y259" s="177"/>
      <c r="Z259" s="177"/>
      <c r="AA259" s="177"/>
      <c r="AB259" s="177"/>
      <c r="AC259" s="177"/>
      <c r="AD259" s="177"/>
      <c r="AE259" s="177"/>
      <c r="AF259" s="177"/>
      <c r="AG259" s="209"/>
    </row>
    <row r="260">
      <c r="A260" s="145" t="s">
        <v>274</v>
      </c>
      <c r="B260" s="183"/>
      <c r="C260" s="183"/>
      <c r="D260" s="183"/>
      <c r="E260" s="183"/>
      <c r="F260" s="183"/>
      <c r="G260" s="183"/>
      <c r="H260" s="183"/>
      <c r="I260" s="146"/>
      <c r="J260" s="146"/>
      <c r="K260" s="146"/>
      <c r="L260" s="146"/>
      <c r="M260" s="146"/>
      <c r="N260" s="146"/>
      <c r="O260" s="146"/>
      <c r="P260" s="146"/>
      <c r="Q260" s="146"/>
      <c r="R260" s="146"/>
      <c r="S260" s="146"/>
      <c r="T260" s="146"/>
      <c r="U260" s="146"/>
      <c r="V260" s="146"/>
      <c r="W260" s="146"/>
      <c r="X260" s="146"/>
      <c r="Y260" s="146"/>
      <c r="Z260" s="146"/>
      <c r="AA260" s="146"/>
      <c r="AB260" s="146"/>
      <c r="AC260" s="146"/>
      <c r="AD260" s="146"/>
      <c r="AE260" s="146"/>
      <c r="AF260" s="146"/>
      <c r="AG260" s="209"/>
    </row>
    <row r="261">
      <c r="A261" s="215" t="s">
        <v>207</v>
      </c>
      <c r="B261" s="216"/>
      <c r="C261" s="216"/>
      <c r="D261" s="216"/>
      <c r="E261" s="216"/>
      <c r="F261" s="216"/>
      <c r="G261" s="216"/>
      <c r="H261" s="216"/>
      <c r="I261" s="216"/>
      <c r="J261" s="216"/>
      <c r="K261" s="216"/>
      <c r="L261" s="216"/>
      <c r="M261" s="216"/>
      <c r="N261" s="216"/>
      <c r="O261" s="216"/>
      <c r="P261" s="216"/>
      <c r="Q261" s="216"/>
      <c r="R261" s="216"/>
      <c r="S261" s="216"/>
      <c r="T261" s="216"/>
      <c r="U261" s="216"/>
      <c r="V261" s="216"/>
      <c r="W261" s="216"/>
      <c r="X261" s="216"/>
      <c r="Y261" s="216"/>
      <c r="Z261" s="216"/>
      <c r="AA261" s="216"/>
      <c r="AB261" s="216"/>
      <c r="AC261" s="216"/>
      <c r="AD261" s="216"/>
      <c r="AE261" s="216"/>
      <c r="AF261" s="216"/>
      <c r="AG261" s="152"/>
    </row>
    <row r="262" outlineLevel="1">
      <c r="A262" s="215" t="s">
        <v>275</v>
      </c>
      <c r="B262" s="160">
        <v>0.0</v>
      </c>
      <c r="C262" s="160">
        <v>1.0</v>
      </c>
      <c r="D262" s="160">
        <v>0.0</v>
      </c>
      <c r="E262" s="160">
        <v>0.0</v>
      </c>
      <c r="F262" s="160">
        <v>0.0</v>
      </c>
      <c r="G262" s="160">
        <v>0.0</v>
      </c>
      <c r="H262" s="160">
        <v>0.0</v>
      </c>
      <c r="I262" s="160">
        <v>0.0</v>
      </c>
      <c r="J262" s="160">
        <v>2.0</v>
      </c>
      <c r="K262" s="160">
        <v>0.0</v>
      </c>
      <c r="L262" s="160">
        <v>0.0</v>
      </c>
      <c r="M262" s="160">
        <v>0.0</v>
      </c>
      <c r="N262" s="160">
        <v>0.0</v>
      </c>
      <c r="O262" s="160">
        <v>0.0</v>
      </c>
      <c r="P262" s="160">
        <v>0.0</v>
      </c>
      <c r="Q262" s="160">
        <v>0.0</v>
      </c>
      <c r="R262" s="160">
        <v>0.0</v>
      </c>
      <c r="S262" s="160">
        <v>0.0</v>
      </c>
      <c r="T262" s="160">
        <v>0.0</v>
      </c>
      <c r="U262" s="160">
        <v>0.0</v>
      </c>
      <c r="V262" s="160">
        <v>0.0</v>
      </c>
      <c r="W262" s="160">
        <v>1.0</v>
      </c>
      <c r="X262" s="160">
        <v>0.0</v>
      </c>
      <c r="Y262" s="160">
        <v>0.0</v>
      </c>
      <c r="Z262" s="160">
        <v>0.0</v>
      </c>
      <c r="AA262" s="160">
        <v>0.0</v>
      </c>
      <c r="AB262" s="160">
        <v>0.0</v>
      </c>
      <c r="AC262" s="160">
        <v>0.0</v>
      </c>
      <c r="AD262" s="160">
        <v>0.0</v>
      </c>
      <c r="AE262" s="160">
        <v>0.0</v>
      </c>
      <c r="AF262" s="160">
        <v>0.0</v>
      </c>
      <c r="AG262" s="93">
        <f t="shared" ref="AG262:AG267" si="88">SUM(B262:AF262)</f>
        <v>4</v>
      </c>
    </row>
    <row r="263" outlineLevel="1">
      <c r="A263" s="215" t="s">
        <v>276</v>
      </c>
      <c r="B263" s="160">
        <v>0.0</v>
      </c>
      <c r="C263" s="160">
        <v>0.0</v>
      </c>
      <c r="D263" s="160">
        <v>0.0</v>
      </c>
      <c r="E263" s="160">
        <v>0.0</v>
      </c>
      <c r="F263" s="160">
        <v>0.0</v>
      </c>
      <c r="G263" s="160">
        <v>0.0</v>
      </c>
      <c r="H263" s="160">
        <v>0.0</v>
      </c>
      <c r="I263" s="160">
        <v>0.0</v>
      </c>
      <c r="J263" s="160">
        <v>0.0</v>
      </c>
      <c r="K263" s="160">
        <v>0.0</v>
      </c>
      <c r="L263" s="160">
        <v>0.0</v>
      </c>
      <c r="M263" s="160">
        <v>0.0</v>
      </c>
      <c r="N263" s="160">
        <v>0.0</v>
      </c>
      <c r="O263" s="160">
        <v>0.0</v>
      </c>
      <c r="P263" s="160">
        <v>0.0</v>
      </c>
      <c r="Q263" s="160">
        <v>0.0</v>
      </c>
      <c r="R263" s="160">
        <v>0.0</v>
      </c>
      <c r="S263" s="160">
        <v>0.0</v>
      </c>
      <c r="T263" s="160">
        <v>0.0</v>
      </c>
      <c r="U263" s="160">
        <v>0.0</v>
      </c>
      <c r="V263" s="160">
        <v>0.0</v>
      </c>
      <c r="W263" s="160">
        <v>0.0</v>
      </c>
      <c r="X263" s="160">
        <v>0.0</v>
      </c>
      <c r="Y263" s="160">
        <v>0.0</v>
      </c>
      <c r="Z263" s="160">
        <v>0.0</v>
      </c>
      <c r="AA263" s="160">
        <v>0.0</v>
      </c>
      <c r="AB263" s="160">
        <v>0.0</v>
      </c>
      <c r="AC263" s="160">
        <v>0.0</v>
      </c>
      <c r="AD263" s="160">
        <v>0.0</v>
      </c>
      <c r="AE263" s="160">
        <v>0.0</v>
      </c>
      <c r="AF263" s="160">
        <v>0.0</v>
      </c>
      <c r="AG263" s="93">
        <f t="shared" si="88"/>
        <v>0</v>
      </c>
    </row>
    <row r="264" outlineLevel="1">
      <c r="A264" s="215" t="s">
        <v>277</v>
      </c>
      <c r="B264" s="154">
        <v>1.0</v>
      </c>
      <c r="C264" s="154">
        <v>0.0</v>
      </c>
      <c r="D264" s="154">
        <v>0.0</v>
      </c>
      <c r="E264" s="154">
        <v>0.0</v>
      </c>
      <c r="F264" s="154">
        <v>0.0</v>
      </c>
      <c r="G264" s="154">
        <v>0.0</v>
      </c>
      <c r="H264" s="160">
        <v>0.0</v>
      </c>
      <c r="I264" s="154">
        <v>2.0</v>
      </c>
      <c r="J264" s="84">
        <v>0.0</v>
      </c>
      <c r="K264" s="84">
        <v>0.0</v>
      </c>
      <c r="L264" s="84">
        <v>0.0</v>
      </c>
      <c r="M264" s="160">
        <v>0.0</v>
      </c>
      <c r="N264" s="160">
        <v>1.0</v>
      </c>
      <c r="O264" s="160">
        <v>0.0</v>
      </c>
      <c r="P264" s="160">
        <v>0.0</v>
      </c>
      <c r="Q264" s="160">
        <v>0.0</v>
      </c>
      <c r="R264" s="160">
        <v>0.0</v>
      </c>
      <c r="S264" s="160">
        <v>0.0</v>
      </c>
      <c r="T264" s="160">
        <v>0.0</v>
      </c>
      <c r="U264" s="160">
        <v>2.0</v>
      </c>
      <c r="V264" s="160">
        <v>1.0</v>
      </c>
      <c r="W264" s="160">
        <v>0.0</v>
      </c>
      <c r="X264" s="160">
        <v>1.0</v>
      </c>
      <c r="Y264" s="160">
        <v>0.0</v>
      </c>
      <c r="Z264" s="160">
        <v>0.0</v>
      </c>
      <c r="AA264" s="160">
        <v>0.0</v>
      </c>
      <c r="AB264" s="160">
        <v>0.0</v>
      </c>
      <c r="AC264" s="160">
        <v>0.0</v>
      </c>
      <c r="AD264" s="160">
        <v>0.0</v>
      </c>
      <c r="AE264" s="160">
        <v>0.0</v>
      </c>
      <c r="AF264" s="160">
        <v>0.0</v>
      </c>
      <c r="AG264" s="93">
        <f t="shared" si="88"/>
        <v>8</v>
      </c>
    </row>
    <row r="265" outlineLevel="1">
      <c r="A265" s="215" t="s">
        <v>278</v>
      </c>
      <c r="B265" s="154">
        <v>0.0</v>
      </c>
      <c r="C265" s="154">
        <v>0.0</v>
      </c>
      <c r="D265" s="154">
        <v>0.0</v>
      </c>
      <c r="E265" s="154">
        <v>0.0</v>
      </c>
      <c r="F265" s="154">
        <v>0.0</v>
      </c>
      <c r="G265" s="154">
        <v>0.0</v>
      </c>
      <c r="H265" s="160">
        <v>0.0</v>
      </c>
      <c r="I265" s="154">
        <v>0.0</v>
      </c>
      <c r="J265" s="84">
        <v>0.0</v>
      </c>
      <c r="K265" s="84">
        <v>0.0</v>
      </c>
      <c r="L265" s="84">
        <v>0.0</v>
      </c>
      <c r="M265" s="160">
        <v>0.0</v>
      </c>
      <c r="N265" s="160">
        <v>0.0</v>
      </c>
      <c r="O265" s="160">
        <v>0.0</v>
      </c>
      <c r="P265" s="160">
        <v>0.0</v>
      </c>
      <c r="Q265" s="160">
        <v>0.0</v>
      </c>
      <c r="R265" s="160">
        <v>0.0</v>
      </c>
      <c r="S265" s="160">
        <v>0.0</v>
      </c>
      <c r="T265" s="160">
        <v>0.0</v>
      </c>
      <c r="U265" s="160">
        <v>0.0</v>
      </c>
      <c r="V265" s="160">
        <v>0.0</v>
      </c>
      <c r="W265" s="160">
        <v>0.0</v>
      </c>
      <c r="X265" s="160">
        <v>0.0</v>
      </c>
      <c r="Y265" s="160">
        <v>0.0</v>
      </c>
      <c r="Z265" s="160">
        <v>0.0</v>
      </c>
      <c r="AA265" s="160">
        <v>0.0</v>
      </c>
      <c r="AB265" s="160">
        <v>0.0</v>
      </c>
      <c r="AC265" s="160">
        <v>0.0</v>
      </c>
      <c r="AD265" s="160">
        <v>0.0</v>
      </c>
      <c r="AE265" s="160">
        <v>0.0</v>
      </c>
      <c r="AF265" s="160">
        <v>0.0</v>
      </c>
      <c r="AG265" s="93">
        <f t="shared" si="88"/>
        <v>0</v>
      </c>
    </row>
    <row r="266" outlineLevel="1">
      <c r="A266" s="215" t="s">
        <v>279</v>
      </c>
      <c r="B266" s="84">
        <v>0.0</v>
      </c>
      <c r="C266" s="84">
        <v>0.0</v>
      </c>
      <c r="D266" s="84">
        <v>0.0</v>
      </c>
      <c r="E266" s="84">
        <v>1.0</v>
      </c>
      <c r="F266" s="84">
        <v>0.0</v>
      </c>
      <c r="G266" s="84">
        <v>0.0</v>
      </c>
      <c r="H266" s="84">
        <v>0.0</v>
      </c>
      <c r="I266" s="84">
        <v>0.0</v>
      </c>
      <c r="J266" s="84">
        <v>0.0</v>
      </c>
      <c r="K266" s="84">
        <v>0.0</v>
      </c>
      <c r="L266" s="84">
        <v>1.0</v>
      </c>
      <c r="M266" s="84">
        <v>1.0</v>
      </c>
      <c r="N266" s="84">
        <v>2.0</v>
      </c>
      <c r="O266" s="84">
        <v>1.0</v>
      </c>
      <c r="P266" s="84">
        <v>2.0</v>
      </c>
      <c r="Q266" s="84">
        <v>1.0</v>
      </c>
      <c r="R266" s="84">
        <v>0.0</v>
      </c>
      <c r="S266" s="155">
        <v>0.0</v>
      </c>
      <c r="T266" s="155">
        <v>0.0</v>
      </c>
      <c r="U266" s="155">
        <v>5.0</v>
      </c>
      <c r="V266" s="84">
        <v>0.0</v>
      </c>
      <c r="W266" s="155">
        <v>1.0</v>
      </c>
      <c r="X266" s="84">
        <v>0.0</v>
      </c>
      <c r="Y266" s="84">
        <v>0.0</v>
      </c>
      <c r="Z266" s="84">
        <v>2.0</v>
      </c>
      <c r="AA266" s="84">
        <v>0.0</v>
      </c>
      <c r="AB266" s="84">
        <v>1.0</v>
      </c>
      <c r="AC266" s="84">
        <v>0.0</v>
      </c>
      <c r="AD266" s="84">
        <v>1.0</v>
      </c>
      <c r="AE266" s="84">
        <v>0.0</v>
      </c>
      <c r="AF266" s="84">
        <v>0.0</v>
      </c>
      <c r="AG266" s="93">
        <f t="shared" si="88"/>
        <v>19</v>
      </c>
    </row>
    <row r="267" outlineLevel="1">
      <c r="A267" s="215" t="s">
        <v>280</v>
      </c>
      <c r="B267" s="84">
        <v>2.0</v>
      </c>
      <c r="C267" s="84">
        <v>2.0</v>
      </c>
      <c r="D267" s="84">
        <v>2.0</v>
      </c>
      <c r="E267" s="84">
        <v>0.0</v>
      </c>
      <c r="F267" s="84">
        <v>0.0</v>
      </c>
      <c r="G267" s="84">
        <v>1.0</v>
      </c>
      <c r="H267" s="84">
        <v>0.0</v>
      </c>
      <c r="I267" s="84">
        <v>1.0</v>
      </c>
      <c r="J267" s="84">
        <v>10.0</v>
      </c>
      <c r="K267" s="84">
        <v>0.0</v>
      </c>
      <c r="L267" s="84">
        <v>0.0</v>
      </c>
      <c r="M267" s="84">
        <v>1.0</v>
      </c>
      <c r="N267" s="84">
        <v>2.0</v>
      </c>
      <c r="O267" s="84">
        <v>2.0</v>
      </c>
      <c r="P267" s="84">
        <v>5.0</v>
      </c>
      <c r="Q267" s="84">
        <v>1.0</v>
      </c>
      <c r="R267" s="84">
        <v>1.0</v>
      </c>
      <c r="S267" s="155">
        <v>0.0</v>
      </c>
      <c r="T267" s="155">
        <v>0.0</v>
      </c>
      <c r="U267" s="155">
        <v>12.0</v>
      </c>
      <c r="V267" s="84">
        <v>1.0</v>
      </c>
      <c r="W267" s="155">
        <v>4.0</v>
      </c>
      <c r="X267" s="84">
        <v>4.0</v>
      </c>
      <c r="Y267" s="84">
        <v>0.0</v>
      </c>
      <c r="Z267" s="84">
        <v>3.0</v>
      </c>
      <c r="AA267" s="84">
        <v>0.0</v>
      </c>
      <c r="AB267" s="84">
        <v>1.0</v>
      </c>
      <c r="AC267" s="84">
        <v>0.0</v>
      </c>
      <c r="AD267" s="84">
        <v>0.0</v>
      </c>
      <c r="AE267" s="84">
        <v>0.0</v>
      </c>
      <c r="AF267" s="84">
        <v>0.0</v>
      </c>
      <c r="AG267" s="93">
        <f t="shared" si="88"/>
        <v>55</v>
      </c>
    </row>
    <row r="268">
      <c r="A268" s="215" t="s">
        <v>214</v>
      </c>
      <c r="B268" s="216"/>
      <c r="C268" s="216"/>
      <c r="D268" s="216"/>
      <c r="E268" s="216"/>
      <c r="F268" s="216"/>
      <c r="G268" s="216"/>
      <c r="H268" s="216"/>
      <c r="I268" s="216"/>
      <c r="J268" s="216"/>
      <c r="K268" s="216"/>
      <c r="L268" s="216"/>
      <c r="M268" s="216"/>
      <c r="N268" s="216"/>
      <c r="O268" s="216"/>
      <c r="P268" s="216"/>
      <c r="Q268" s="216"/>
      <c r="R268" s="216"/>
      <c r="S268" s="216"/>
      <c r="T268" s="216"/>
      <c r="U268" s="216"/>
      <c r="V268" s="216"/>
      <c r="W268" s="216"/>
      <c r="X268" s="216"/>
      <c r="Y268" s="216"/>
      <c r="Z268" s="216"/>
      <c r="AA268" s="216"/>
      <c r="AB268" s="216"/>
      <c r="AC268" s="216"/>
      <c r="AD268" s="216"/>
      <c r="AE268" s="216"/>
      <c r="AF268" s="216"/>
      <c r="AG268" s="152"/>
    </row>
    <row r="269" outlineLevel="1">
      <c r="A269" s="215" t="s">
        <v>281</v>
      </c>
      <c r="B269" s="217"/>
      <c r="C269" s="217"/>
      <c r="D269" s="217"/>
      <c r="E269" s="217"/>
      <c r="F269" s="217"/>
      <c r="G269" s="217"/>
      <c r="H269" s="217"/>
      <c r="I269" s="217"/>
      <c r="J269" s="217"/>
      <c r="K269" s="217"/>
      <c r="L269" s="217"/>
      <c r="M269" s="217"/>
      <c r="N269" s="217"/>
      <c r="O269" s="217"/>
      <c r="P269" s="217"/>
      <c r="Q269" s="217"/>
      <c r="R269" s="217"/>
      <c r="S269" s="217"/>
      <c r="T269" s="217"/>
      <c r="U269" s="217"/>
      <c r="V269" s="217"/>
      <c r="W269" s="217"/>
      <c r="X269" s="217"/>
      <c r="Y269" s="217"/>
      <c r="Z269" s="217"/>
      <c r="AA269" s="217"/>
      <c r="AB269" s="217"/>
      <c r="AC269" s="217"/>
      <c r="AD269" s="217"/>
      <c r="AE269" s="217"/>
      <c r="AF269" s="217"/>
      <c r="AG269" s="93">
        <f t="shared" ref="AG269:AG276" si="89">SUM(B269:AF269)</f>
        <v>0</v>
      </c>
    </row>
    <row r="270" outlineLevel="1">
      <c r="A270" s="215" t="s">
        <v>282</v>
      </c>
      <c r="B270" s="217"/>
      <c r="C270" s="217"/>
      <c r="D270" s="217"/>
      <c r="E270" s="217"/>
      <c r="F270" s="217"/>
      <c r="G270" s="217"/>
      <c r="H270" s="217"/>
      <c r="I270" s="217"/>
      <c r="J270" s="217"/>
      <c r="K270" s="217"/>
      <c r="L270" s="217"/>
      <c r="M270" s="217"/>
      <c r="N270" s="217"/>
      <c r="O270" s="217"/>
      <c r="P270" s="217"/>
      <c r="Q270" s="217"/>
      <c r="R270" s="217"/>
      <c r="S270" s="217"/>
      <c r="T270" s="217"/>
      <c r="U270" s="217"/>
      <c r="V270" s="217"/>
      <c r="W270" s="217"/>
      <c r="X270" s="217"/>
      <c r="Y270" s="217"/>
      <c r="Z270" s="217"/>
      <c r="AA270" s="217"/>
      <c r="AB270" s="217"/>
      <c r="AC270" s="217"/>
      <c r="AD270" s="217"/>
      <c r="AE270" s="217"/>
      <c r="AF270" s="217"/>
      <c r="AG270" s="93">
        <f t="shared" si="89"/>
        <v>0</v>
      </c>
    </row>
    <row r="271" outlineLevel="1">
      <c r="A271" s="215" t="s">
        <v>283</v>
      </c>
      <c r="B271" s="217"/>
      <c r="C271" s="217"/>
      <c r="D271" s="217"/>
      <c r="E271" s="217"/>
      <c r="F271" s="217"/>
      <c r="G271" s="218"/>
      <c r="H271" s="218"/>
      <c r="I271" s="218"/>
      <c r="J271" s="218"/>
      <c r="K271" s="218"/>
      <c r="L271" s="218"/>
      <c r="M271" s="219"/>
      <c r="N271" s="219"/>
      <c r="O271" s="219"/>
      <c r="P271" s="219"/>
      <c r="Q271" s="219"/>
      <c r="R271" s="217"/>
      <c r="S271" s="217"/>
      <c r="T271" s="217"/>
      <c r="U271" s="217"/>
      <c r="V271" s="217"/>
      <c r="W271" s="217"/>
      <c r="X271" s="217"/>
      <c r="Y271" s="217"/>
      <c r="Z271" s="217"/>
      <c r="AA271" s="217"/>
      <c r="AB271" s="217"/>
      <c r="AC271" s="217"/>
      <c r="AD271" s="217"/>
      <c r="AE271" s="217"/>
      <c r="AF271" s="217"/>
      <c r="AG271" s="93">
        <f t="shared" si="89"/>
        <v>0</v>
      </c>
    </row>
    <row r="272" outlineLevel="1">
      <c r="A272" s="215" t="s">
        <v>284</v>
      </c>
      <c r="B272" s="217"/>
      <c r="C272" s="217"/>
      <c r="D272" s="217"/>
      <c r="E272" s="217"/>
      <c r="F272" s="217"/>
      <c r="G272" s="218"/>
      <c r="H272" s="218"/>
      <c r="I272" s="218"/>
      <c r="J272" s="218"/>
      <c r="K272" s="218"/>
      <c r="L272" s="218"/>
      <c r="M272" s="219"/>
      <c r="N272" s="219"/>
      <c r="O272" s="219"/>
      <c r="P272" s="219"/>
      <c r="Q272" s="219"/>
      <c r="R272" s="217"/>
      <c r="S272" s="217"/>
      <c r="T272" s="217"/>
      <c r="U272" s="217"/>
      <c r="V272" s="217"/>
      <c r="W272" s="217"/>
      <c r="X272" s="217"/>
      <c r="Y272" s="217"/>
      <c r="Z272" s="217"/>
      <c r="AA272" s="217"/>
      <c r="AB272" s="217"/>
      <c r="AC272" s="217"/>
      <c r="AD272" s="217"/>
      <c r="AE272" s="217"/>
      <c r="AF272" s="217"/>
      <c r="AG272" s="93">
        <f t="shared" si="89"/>
        <v>0</v>
      </c>
    </row>
    <row r="273" outlineLevel="1">
      <c r="A273" s="215" t="s">
        <v>285</v>
      </c>
      <c r="B273" s="220"/>
      <c r="C273" s="220"/>
      <c r="D273" s="220"/>
      <c r="E273" s="220"/>
      <c r="F273" s="220"/>
      <c r="G273" s="221"/>
      <c r="H273" s="221"/>
      <c r="I273" s="221"/>
      <c r="J273" s="222"/>
      <c r="K273" s="222"/>
      <c r="L273" s="222"/>
      <c r="M273" s="220"/>
      <c r="N273" s="220"/>
      <c r="O273" s="220"/>
      <c r="P273" s="220"/>
      <c r="Q273" s="220"/>
      <c r="R273" s="220"/>
      <c r="S273" s="220"/>
      <c r="T273" s="220"/>
      <c r="U273" s="220"/>
      <c r="V273" s="220"/>
      <c r="W273" s="220"/>
      <c r="X273" s="220"/>
      <c r="Y273" s="220"/>
      <c r="Z273" s="220"/>
      <c r="AA273" s="220"/>
      <c r="AB273" s="221"/>
      <c r="AC273" s="220"/>
      <c r="AD273" s="220"/>
      <c r="AE273" s="220"/>
      <c r="AF273" s="220"/>
      <c r="AG273" s="93">
        <f t="shared" si="89"/>
        <v>0</v>
      </c>
    </row>
    <row r="274" outlineLevel="1">
      <c r="A274" s="215" t="s">
        <v>286</v>
      </c>
      <c r="B274" s="220"/>
      <c r="C274" s="220"/>
      <c r="D274" s="220"/>
      <c r="E274" s="220"/>
      <c r="F274" s="220"/>
      <c r="G274" s="221"/>
      <c r="H274" s="221"/>
      <c r="I274" s="221"/>
      <c r="J274" s="222"/>
      <c r="K274" s="222"/>
      <c r="L274" s="222"/>
      <c r="M274" s="220"/>
      <c r="N274" s="220"/>
      <c r="O274" s="220"/>
      <c r="P274" s="220"/>
      <c r="Q274" s="220"/>
      <c r="R274" s="220"/>
      <c r="S274" s="220"/>
      <c r="T274" s="220"/>
      <c r="U274" s="220"/>
      <c r="V274" s="220"/>
      <c r="W274" s="220"/>
      <c r="X274" s="220"/>
      <c r="Y274" s="220"/>
      <c r="Z274" s="220"/>
      <c r="AA274" s="220"/>
      <c r="AB274" s="221"/>
      <c r="AC274" s="220"/>
      <c r="AD274" s="220"/>
      <c r="AE274" s="220"/>
      <c r="AF274" s="220"/>
      <c r="AG274" s="93">
        <f t="shared" si="89"/>
        <v>0</v>
      </c>
    </row>
    <row r="275">
      <c r="A275" s="223" t="s">
        <v>221</v>
      </c>
      <c r="B275" s="224">
        <f t="shared" ref="B275:AF275" si="90">SUM(B262,B263,B269,B270)</f>
        <v>0</v>
      </c>
      <c r="C275" s="224">
        <f t="shared" si="90"/>
        <v>1</v>
      </c>
      <c r="D275" s="224">
        <f t="shared" si="90"/>
        <v>0</v>
      </c>
      <c r="E275" s="224">
        <f t="shared" si="90"/>
        <v>0</v>
      </c>
      <c r="F275" s="224">
        <f t="shared" si="90"/>
        <v>0</v>
      </c>
      <c r="G275" s="224">
        <f t="shared" si="90"/>
        <v>0</v>
      </c>
      <c r="H275" s="224">
        <f t="shared" si="90"/>
        <v>0</v>
      </c>
      <c r="I275" s="224">
        <f t="shared" si="90"/>
        <v>0</v>
      </c>
      <c r="J275" s="224">
        <f t="shared" si="90"/>
        <v>2</v>
      </c>
      <c r="K275" s="224">
        <f t="shared" si="90"/>
        <v>0</v>
      </c>
      <c r="L275" s="224">
        <f t="shared" si="90"/>
        <v>0</v>
      </c>
      <c r="M275" s="224">
        <f t="shared" si="90"/>
        <v>0</v>
      </c>
      <c r="N275" s="224">
        <f t="shared" si="90"/>
        <v>0</v>
      </c>
      <c r="O275" s="224">
        <f t="shared" si="90"/>
        <v>0</v>
      </c>
      <c r="P275" s="224">
        <f t="shared" si="90"/>
        <v>0</v>
      </c>
      <c r="Q275" s="224">
        <f t="shared" si="90"/>
        <v>0</v>
      </c>
      <c r="R275" s="224">
        <f t="shared" si="90"/>
        <v>0</v>
      </c>
      <c r="S275" s="224">
        <f t="shared" si="90"/>
        <v>0</v>
      </c>
      <c r="T275" s="224">
        <f t="shared" si="90"/>
        <v>0</v>
      </c>
      <c r="U275" s="224">
        <f t="shared" si="90"/>
        <v>0</v>
      </c>
      <c r="V275" s="224">
        <f t="shared" si="90"/>
        <v>0</v>
      </c>
      <c r="W275" s="224">
        <f t="shared" si="90"/>
        <v>1</v>
      </c>
      <c r="X275" s="224">
        <f t="shared" si="90"/>
        <v>0</v>
      </c>
      <c r="Y275" s="224">
        <f t="shared" si="90"/>
        <v>0</v>
      </c>
      <c r="Z275" s="224">
        <f t="shared" si="90"/>
        <v>0</v>
      </c>
      <c r="AA275" s="224">
        <f t="shared" si="90"/>
        <v>0</v>
      </c>
      <c r="AB275" s="224">
        <f t="shared" si="90"/>
        <v>0</v>
      </c>
      <c r="AC275" s="224">
        <f t="shared" si="90"/>
        <v>0</v>
      </c>
      <c r="AD275" s="224">
        <f t="shared" si="90"/>
        <v>0</v>
      </c>
      <c r="AE275" s="224">
        <f t="shared" si="90"/>
        <v>0</v>
      </c>
      <c r="AF275" s="224">
        <f t="shared" si="90"/>
        <v>0</v>
      </c>
      <c r="AG275" s="93">
        <f t="shared" si="89"/>
        <v>4</v>
      </c>
    </row>
    <row r="276">
      <c r="A276" s="223" t="s">
        <v>222</v>
      </c>
      <c r="B276" s="224">
        <f t="shared" ref="B276:AF276" si="91">SUM(B264,B265,B271,B272)</f>
        <v>1</v>
      </c>
      <c r="C276" s="224">
        <f t="shared" si="91"/>
        <v>0</v>
      </c>
      <c r="D276" s="224">
        <f t="shared" si="91"/>
        <v>0</v>
      </c>
      <c r="E276" s="224">
        <f t="shared" si="91"/>
        <v>0</v>
      </c>
      <c r="F276" s="224">
        <f t="shared" si="91"/>
        <v>0</v>
      </c>
      <c r="G276" s="224">
        <f t="shared" si="91"/>
        <v>0</v>
      </c>
      <c r="H276" s="224">
        <f t="shared" si="91"/>
        <v>0</v>
      </c>
      <c r="I276" s="224">
        <f t="shared" si="91"/>
        <v>2</v>
      </c>
      <c r="J276" s="224">
        <f t="shared" si="91"/>
        <v>0</v>
      </c>
      <c r="K276" s="224">
        <f t="shared" si="91"/>
        <v>0</v>
      </c>
      <c r="L276" s="224">
        <f t="shared" si="91"/>
        <v>0</v>
      </c>
      <c r="M276" s="224">
        <f t="shared" si="91"/>
        <v>0</v>
      </c>
      <c r="N276" s="224">
        <f t="shared" si="91"/>
        <v>1</v>
      </c>
      <c r="O276" s="224">
        <f t="shared" si="91"/>
        <v>0</v>
      </c>
      <c r="P276" s="224">
        <f t="shared" si="91"/>
        <v>0</v>
      </c>
      <c r="Q276" s="224">
        <f t="shared" si="91"/>
        <v>0</v>
      </c>
      <c r="R276" s="224">
        <f t="shared" si="91"/>
        <v>0</v>
      </c>
      <c r="S276" s="224">
        <f t="shared" si="91"/>
        <v>0</v>
      </c>
      <c r="T276" s="224">
        <f t="shared" si="91"/>
        <v>0</v>
      </c>
      <c r="U276" s="224">
        <f t="shared" si="91"/>
        <v>2</v>
      </c>
      <c r="V276" s="224">
        <f t="shared" si="91"/>
        <v>1</v>
      </c>
      <c r="W276" s="224">
        <f t="shared" si="91"/>
        <v>0</v>
      </c>
      <c r="X276" s="224">
        <f t="shared" si="91"/>
        <v>1</v>
      </c>
      <c r="Y276" s="224">
        <f t="shared" si="91"/>
        <v>0</v>
      </c>
      <c r="Z276" s="224">
        <f t="shared" si="91"/>
        <v>0</v>
      </c>
      <c r="AA276" s="224">
        <f t="shared" si="91"/>
        <v>0</v>
      </c>
      <c r="AB276" s="224">
        <f t="shared" si="91"/>
        <v>0</v>
      </c>
      <c r="AC276" s="224">
        <f t="shared" si="91"/>
        <v>0</v>
      </c>
      <c r="AD276" s="224">
        <f t="shared" si="91"/>
        <v>0</v>
      </c>
      <c r="AE276" s="224">
        <f t="shared" si="91"/>
        <v>0</v>
      </c>
      <c r="AF276" s="224">
        <f t="shared" si="91"/>
        <v>0</v>
      </c>
      <c r="AG276" s="93">
        <f t="shared" si="89"/>
        <v>8</v>
      </c>
    </row>
    <row r="277">
      <c r="A277" s="98"/>
      <c r="B277" s="127"/>
      <c r="C277" s="127"/>
      <c r="D277" s="127"/>
      <c r="E277" s="127"/>
      <c r="F277" s="127"/>
      <c r="G277" s="127"/>
      <c r="H277" s="127"/>
      <c r="I277" s="83"/>
      <c r="J277" s="83"/>
      <c r="K277" s="83"/>
      <c r="L277" s="83"/>
      <c r="M277" s="83"/>
      <c r="N277" s="83"/>
      <c r="O277" s="83"/>
      <c r="P277" s="83"/>
      <c r="Q277" s="83"/>
      <c r="R277" s="83"/>
      <c r="S277" s="83"/>
      <c r="T277" s="83"/>
      <c r="U277" s="83"/>
      <c r="V277" s="83"/>
      <c r="W277" s="83"/>
      <c r="X277" s="83"/>
      <c r="Y277" s="83"/>
      <c r="Z277" s="83"/>
      <c r="AA277" s="83"/>
      <c r="AB277" s="83"/>
      <c r="AC277" s="83"/>
      <c r="AD277" s="83"/>
      <c r="AE277" s="83"/>
      <c r="AF277" s="83"/>
      <c r="AG277" s="152"/>
    </row>
    <row r="278">
      <c r="A278" s="215" t="s">
        <v>223</v>
      </c>
      <c r="B278" s="216"/>
      <c r="C278" s="216"/>
      <c r="D278" s="216"/>
      <c r="E278" s="216"/>
      <c r="F278" s="216"/>
      <c r="G278" s="216"/>
      <c r="H278" s="216"/>
      <c r="I278" s="216"/>
      <c r="J278" s="216"/>
      <c r="K278" s="216"/>
      <c r="L278" s="216"/>
      <c r="M278" s="216"/>
      <c r="N278" s="216"/>
      <c r="O278" s="216"/>
      <c r="P278" s="216"/>
      <c r="Q278" s="216"/>
      <c r="R278" s="216"/>
      <c r="S278" s="216"/>
      <c r="T278" s="216"/>
      <c r="U278" s="216"/>
      <c r="V278" s="216"/>
      <c r="W278" s="216"/>
      <c r="X278" s="216"/>
      <c r="Y278" s="216"/>
      <c r="Z278" s="216"/>
      <c r="AA278" s="216"/>
      <c r="AB278" s="216"/>
      <c r="AC278" s="216"/>
      <c r="AD278" s="216"/>
      <c r="AE278" s="216"/>
      <c r="AF278" s="216"/>
      <c r="AG278" s="152"/>
    </row>
    <row r="279" outlineLevel="1">
      <c r="A279" s="215" t="s">
        <v>224</v>
      </c>
      <c r="B279" s="160">
        <v>1.0</v>
      </c>
      <c r="C279" s="160">
        <v>0.0</v>
      </c>
      <c r="D279" s="160">
        <v>0.0</v>
      </c>
      <c r="E279" s="160">
        <v>0.0</v>
      </c>
      <c r="F279" s="160">
        <v>0.0</v>
      </c>
      <c r="G279" s="160">
        <v>0.0</v>
      </c>
      <c r="H279" s="160">
        <v>0.0</v>
      </c>
      <c r="I279" s="160">
        <v>0.0</v>
      </c>
      <c r="J279" s="160">
        <v>0.0</v>
      </c>
      <c r="K279" s="160">
        <v>0.0</v>
      </c>
      <c r="L279" s="160">
        <v>0.0</v>
      </c>
      <c r="M279" s="160">
        <v>0.0</v>
      </c>
      <c r="N279" s="160">
        <v>1.0</v>
      </c>
      <c r="O279" s="160">
        <v>0.0</v>
      </c>
      <c r="P279" s="160">
        <v>0.0</v>
      </c>
      <c r="Q279" s="160">
        <v>0.0</v>
      </c>
      <c r="R279" s="160">
        <v>0.0</v>
      </c>
      <c r="S279" s="160">
        <v>0.0</v>
      </c>
      <c r="T279" s="160">
        <v>0.0</v>
      </c>
      <c r="U279" s="160">
        <v>1.0</v>
      </c>
      <c r="V279" s="160">
        <v>0.0</v>
      </c>
      <c r="W279" s="160">
        <v>0.0</v>
      </c>
      <c r="X279" s="160">
        <v>0.0</v>
      </c>
      <c r="Y279" s="160">
        <v>0.0</v>
      </c>
      <c r="Z279" s="160">
        <v>0.0</v>
      </c>
      <c r="AA279" s="160">
        <v>0.0</v>
      </c>
      <c r="AB279" s="160">
        <v>0.0</v>
      </c>
      <c r="AC279" s="160">
        <v>0.0</v>
      </c>
      <c r="AD279" s="160">
        <v>0.0</v>
      </c>
      <c r="AE279" s="160">
        <v>0.0</v>
      </c>
      <c r="AF279" s="160">
        <v>0.0</v>
      </c>
      <c r="AG279" s="93">
        <f t="shared" ref="AG279:AG288" si="92">SUM(B279:AF279)</f>
        <v>3</v>
      </c>
    </row>
    <row r="280" outlineLevel="1">
      <c r="A280" s="215" t="s">
        <v>225</v>
      </c>
      <c r="B280" s="160">
        <v>0.0</v>
      </c>
      <c r="C280" s="160">
        <v>0.0</v>
      </c>
      <c r="D280" s="160">
        <v>0.0</v>
      </c>
      <c r="E280" s="160">
        <v>1.0</v>
      </c>
      <c r="F280" s="160">
        <v>0.0</v>
      </c>
      <c r="G280" s="160">
        <v>0.0</v>
      </c>
      <c r="H280" s="160">
        <v>0.0</v>
      </c>
      <c r="I280" s="160">
        <v>0.0</v>
      </c>
      <c r="J280" s="160">
        <v>1.0</v>
      </c>
      <c r="K280" s="160">
        <v>0.0</v>
      </c>
      <c r="L280" s="160">
        <v>0.0</v>
      </c>
      <c r="M280" s="160">
        <v>0.0</v>
      </c>
      <c r="N280" s="160">
        <v>0.0</v>
      </c>
      <c r="O280" s="160">
        <v>0.0</v>
      </c>
      <c r="P280" s="160">
        <v>0.0</v>
      </c>
      <c r="Q280" s="160">
        <v>1.0</v>
      </c>
      <c r="R280" s="160">
        <v>0.0</v>
      </c>
      <c r="S280" s="160">
        <v>0.0</v>
      </c>
      <c r="T280" s="160">
        <v>0.0</v>
      </c>
      <c r="U280" s="160">
        <v>0.0</v>
      </c>
      <c r="V280" s="160">
        <v>0.0</v>
      </c>
      <c r="W280" s="160">
        <v>0.0</v>
      </c>
      <c r="X280" s="160">
        <v>0.0</v>
      </c>
      <c r="Y280" s="160">
        <v>0.0</v>
      </c>
      <c r="Z280" s="160">
        <v>0.0</v>
      </c>
      <c r="AA280" s="160">
        <v>0.0</v>
      </c>
      <c r="AB280" s="160">
        <v>0.0</v>
      </c>
      <c r="AC280" s="160">
        <v>0.0</v>
      </c>
      <c r="AD280" s="160">
        <v>0.0</v>
      </c>
      <c r="AE280" s="160">
        <v>0.0</v>
      </c>
      <c r="AF280" s="160">
        <v>0.0</v>
      </c>
      <c r="AG280" s="93">
        <f t="shared" si="92"/>
        <v>3</v>
      </c>
    </row>
    <row r="281" outlineLevel="1">
      <c r="A281" s="215" t="s">
        <v>287</v>
      </c>
      <c r="B281" s="160">
        <v>0.0</v>
      </c>
      <c r="C281" s="160">
        <v>0.0</v>
      </c>
      <c r="D281" s="160">
        <v>1.0</v>
      </c>
      <c r="E281" s="160">
        <v>0.0</v>
      </c>
      <c r="F281" s="160">
        <v>0.0</v>
      </c>
      <c r="G281" s="160">
        <v>0.0</v>
      </c>
      <c r="H281" s="160">
        <v>0.0</v>
      </c>
      <c r="I281" s="160">
        <v>0.0</v>
      </c>
      <c r="J281" s="160">
        <v>2.0</v>
      </c>
      <c r="K281" s="160">
        <v>0.0</v>
      </c>
      <c r="L281" s="160">
        <v>0.0</v>
      </c>
      <c r="M281" s="160">
        <v>0.0</v>
      </c>
      <c r="N281" s="160">
        <v>0.0</v>
      </c>
      <c r="O281" s="160">
        <v>0.0</v>
      </c>
      <c r="P281" s="160">
        <v>0.0</v>
      </c>
      <c r="Q281" s="160">
        <v>0.0</v>
      </c>
      <c r="R281" s="160">
        <v>0.0</v>
      </c>
      <c r="S281" s="160">
        <v>0.0</v>
      </c>
      <c r="T281" s="160">
        <v>0.0</v>
      </c>
      <c r="U281" s="160">
        <v>0.0</v>
      </c>
      <c r="V281" s="160">
        <v>0.0</v>
      </c>
      <c r="W281" s="160">
        <v>0.0</v>
      </c>
      <c r="X281" s="160">
        <v>1.0</v>
      </c>
      <c r="Y281" s="160">
        <v>0.0</v>
      </c>
      <c r="Z281" s="160">
        <v>0.0</v>
      </c>
      <c r="AA281" s="160">
        <v>0.0</v>
      </c>
      <c r="AB281" s="160">
        <v>0.0</v>
      </c>
      <c r="AC281" s="160">
        <v>0.0</v>
      </c>
      <c r="AD281" s="160">
        <v>0.0</v>
      </c>
      <c r="AE281" s="160">
        <v>0.0</v>
      </c>
      <c r="AF281" s="160">
        <v>0.0</v>
      </c>
      <c r="AG281" s="93">
        <f t="shared" si="92"/>
        <v>4</v>
      </c>
    </row>
    <row r="282" outlineLevel="1">
      <c r="A282" s="215" t="s">
        <v>288</v>
      </c>
      <c r="B282" s="160">
        <v>0.0</v>
      </c>
      <c r="C282" s="160">
        <v>0.0</v>
      </c>
      <c r="D282" s="160">
        <v>0.0</v>
      </c>
      <c r="E282" s="160">
        <v>0.0</v>
      </c>
      <c r="F282" s="160">
        <v>0.0</v>
      </c>
      <c r="G282" s="160">
        <v>0.0</v>
      </c>
      <c r="H282" s="160">
        <v>0.0</v>
      </c>
      <c r="I282" s="160">
        <v>0.0</v>
      </c>
      <c r="J282" s="160">
        <v>0.0</v>
      </c>
      <c r="K282" s="160">
        <v>0.0</v>
      </c>
      <c r="L282" s="160">
        <v>0.0</v>
      </c>
      <c r="M282" s="160">
        <v>0.0</v>
      </c>
      <c r="N282" s="160">
        <v>0.0</v>
      </c>
      <c r="O282" s="160">
        <v>1.0</v>
      </c>
      <c r="P282" s="160">
        <v>0.0</v>
      </c>
      <c r="Q282" s="160">
        <v>0.0</v>
      </c>
      <c r="R282" s="160">
        <v>0.0</v>
      </c>
      <c r="S282" s="160">
        <v>0.0</v>
      </c>
      <c r="T282" s="160">
        <v>0.0</v>
      </c>
      <c r="U282" s="160">
        <v>0.0</v>
      </c>
      <c r="V282" s="160">
        <v>0.0</v>
      </c>
      <c r="W282" s="160">
        <v>0.0</v>
      </c>
      <c r="X282" s="160">
        <v>0.0</v>
      </c>
      <c r="Y282" s="160">
        <v>0.0</v>
      </c>
      <c r="Z282" s="160">
        <v>0.0</v>
      </c>
      <c r="AA282" s="160">
        <v>0.0</v>
      </c>
      <c r="AB282" s="160">
        <v>0.0</v>
      </c>
      <c r="AC282" s="160">
        <v>0.0</v>
      </c>
      <c r="AD282" s="160">
        <v>0.0</v>
      </c>
      <c r="AE282" s="160">
        <v>0.0</v>
      </c>
      <c r="AF282" s="160">
        <v>0.0</v>
      </c>
      <c r="AG282" s="93">
        <f t="shared" si="92"/>
        <v>1</v>
      </c>
    </row>
    <row r="283" outlineLevel="1">
      <c r="A283" s="215" t="s">
        <v>289</v>
      </c>
      <c r="B283" s="160">
        <v>0.0</v>
      </c>
      <c r="C283" s="160">
        <v>0.0</v>
      </c>
      <c r="D283" s="160">
        <v>0.0</v>
      </c>
      <c r="E283" s="160">
        <v>0.0</v>
      </c>
      <c r="F283" s="160">
        <v>0.0</v>
      </c>
      <c r="G283" s="160">
        <v>0.0</v>
      </c>
      <c r="H283" s="84">
        <v>0.0</v>
      </c>
      <c r="I283" s="160">
        <v>0.0</v>
      </c>
      <c r="J283" s="160">
        <v>0.0</v>
      </c>
      <c r="K283" s="160">
        <v>0.0</v>
      </c>
      <c r="L283" s="160">
        <v>0.0</v>
      </c>
      <c r="M283" s="160">
        <v>0.0</v>
      </c>
      <c r="N283" s="160">
        <v>0.0</v>
      </c>
      <c r="O283" s="160">
        <v>0.0</v>
      </c>
      <c r="P283" s="160">
        <v>0.0</v>
      </c>
      <c r="Q283" s="160">
        <v>0.0</v>
      </c>
      <c r="R283" s="160">
        <v>0.0</v>
      </c>
      <c r="S283" s="160">
        <v>0.0</v>
      </c>
      <c r="T283" s="160">
        <v>0.0</v>
      </c>
      <c r="U283" s="160">
        <v>1.0</v>
      </c>
      <c r="V283" s="160">
        <v>0.0</v>
      </c>
      <c r="W283" s="160">
        <v>0.0</v>
      </c>
      <c r="X283" s="160">
        <v>0.0</v>
      </c>
      <c r="Y283" s="160">
        <v>0.0</v>
      </c>
      <c r="Z283" s="160">
        <v>0.0</v>
      </c>
      <c r="AA283" s="160">
        <v>0.0</v>
      </c>
      <c r="AB283" s="160">
        <v>0.0</v>
      </c>
      <c r="AC283" s="84">
        <v>0.0</v>
      </c>
      <c r="AD283" s="160">
        <v>0.0</v>
      </c>
      <c r="AE283" s="160">
        <v>0.0</v>
      </c>
      <c r="AF283" s="160">
        <v>0.0</v>
      </c>
      <c r="AG283" s="93">
        <f t="shared" si="92"/>
        <v>1</v>
      </c>
    </row>
    <row r="284" outlineLevel="1">
      <c r="A284" s="215" t="s">
        <v>290</v>
      </c>
      <c r="B284" s="160">
        <v>0.0</v>
      </c>
      <c r="C284" s="160">
        <v>0.0</v>
      </c>
      <c r="D284" s="160">
        <v>0.0</v>
      </c>
      <c r="E284" s="160">
        <v>0.0</v>
      </c>
      <c r="F284" s="160">
        <v>0.0</v>
      </c>
      <c r="G284" s="160">
        <v>0.0</v>
      </c>
      <c r="H284" s="84">
        <v>0.0</v>
      </c>
      <c r="I284" s="160">
        <v>0.0</v>
      </c>
      <c r="J284" s="160">
        <v>0.0</v>
      </c>
      <c r="K284" s="160">
        <v>0.0</v>
      </c>
      <c r="L284" s="160">
        <v>0.0</v>
      </c>
      <c r="M284" s="160">
        <v>0.0</v>
      </c>
      <c r="N284" s="160">
        <v>0.0</v>
      </c>
      <c r="O284" s="160">
        <v>0.0</v>
      </c>
      <c r="P284" s="160">
        <v>0.0</v>
      </c>
      <c r="Q284" s="160">
        <v>0.0</v>
      </c>
      <c r="R284" s="160">
        <v>0.0</v>
      </c>
      <c r="S284" s="160">
        <v>0.0</v>
      </c>
      <c r="T284" s="160">
        <v>0.0</v>
      </c>
      <c r="U284" s="160">
        <v>0.0</v>
      </c>
      <c r="V284" s="160">
        <v>0.0</v>
      </c>
      <c r="W284" s="160">
        <v>0.0</v>
      </c>
      <c r="X284" s="160">
        <v>0.0</v>
      </c>
      <c r="Y284" s="160">
        <v>0.0</v>
      </c>
      <c r="Z284" s="160">
        <v>0.0</v>
      </c>
      <c r="AA284" s="160">
        <v>0.0</v>
      </c>
      <c r="AB284" s="160">
        <v>0.0</v>
      </c>
      <c r="AC284" s="84">
        <v>0.0</v>
      </c>
      <c r="AD284" s="160">
        <v>0.0</v>
      </c>
      <c r="AE284" s="160">
        <v>0.0</v>
      </c>
      <c r="AF284" s="160">
        <v>0.0</v>
      </c>
      <c r="AG284" s="93">
        <f t="shared" si="92"/>
        <v>0</v>
      </c>
    </row>
    <row r="285" outlineLevel="1">
      <c r="A285" s="215" t="s">
        <v>291</v>
      </c>
      <c r="B285" s="160">
        <v>0.0</v>
      </c>
      <c r="C285" s="160">
        <v>1.0</v>
      </c>
      <c r="D285" s="160">
        <v>1.0</v>
      </c>
      <c r="E285" s="160">
        <v>0.0</v>
      </c>
      <c r="F285" s="160">
        <v>0.0</v>
      </c>
      <c r="G285" s="160">
        <v>0.0</v>
      </c>
      <c r="H285" s="160">
        <v>0.0</v>
      </c>
      <c r="I285" s="160">
        <v>0.0</v>
      </c>
      <c r="J285" s="160">
        <v>1.0</v>
      </c>
      <c r="K285" s="160">
        <v>0.0</v>
      </c>
      <c r="L285" s="160">
        <v>0.0</v>
      </c>
      <c r="M285" s="160">
        <v>0.0</v>
      </c>
      <c r="N285" s="160">
        <v>1.0</v>
      </c>
      <c r="O285" s="160">
        <v>0.0</v>
      </c>
      <c r="P285" s="160">
        <v>0.0</v>
      </c>
      <c r="Q285" s="160">
        <v>1.0</v>
      </c>
      <c r="R285" s="160">
        <v>0.0</v>
      </c>
      <c r="S285" s="160">
        <v>0.0</v>
      </c>
      <c r="T285" s="160">
        <v>0.0</v>
      </c>
      <c r="U285" s="160">
        <v>2.0</v>
      </c>
      <c r="V285" s="160">
        <v>1.0</v>
      </c>
      <c r="W285" s="160">
        <v>1.0</v>
      </c>
      <c r="X285" s="160">
        <v>1.0</v>
      </c>
      <c r="Y285" s="160">
        <v>0.0</v>
      </c>
      <c r="Z285" s="160">
        <v>0.0</v>
      </c>
      <c r="AA285" s="160">
        <v>0.0</v>
      </c>
      <c r="AB285" s="160">
        <v>0.0</v>
      </c>
      <c r="AC285" s="160">
        <v>0.0</v>
      </c>
      <c r="AD285" s="160">
        <v>0.0</v>
      </c>
      <c r="AE285" s="160">
        <v>0.0</v>
      </c>
      <c r="AF285" s="160">
        <v>0.0</v>
      </c>
      <c r="AG285" s="93">
        <f t="shared" si="92"/>
        <v>10</v>
      </c>
    </row>
    <row r="286" outlineLevel="1">
      <c r="A286" s="215" t="s">
        <v>292</v>
      </c>
      <c r="B286" s="160">
        <v>0.0</v>
      </c>
      <c r="C286" s="160">
        <v>0.0</v>
      </c>
      <c r="D286" s="160">
        <v>0.0</v>
      </c>
      <c r="E286" s="160">
        <v>0.0</v>
      </c>
      <c r="F286" s="160">
        <v>0.0</v>
      </c>
      <c r="G286" s="160">
        <v>0.0</v>
      </c>
      <c r="H286" s="160">
        <v>0.0</v>
      </c>
      <c r="I286" s="160">
        <v>0.0</v>
      </c>
      <c r="J286" s="160">
        <v>0.0</v>
      </c>
      <c r="K286" s="160">
        <v>0.0</v>
      </c>
      <c r="L286" s="160">
        <v>0.0</v>
      </c>
      <c r="M286" s="160">
        <v>0.0</v>
      </c>
      <c r="N286" s="160">
        <v>0.0</v>
      </c>
      <c r="O286" s="160">
        <v>0.0</v>
      </c>
      <c r="P286" s="160">
        <v>0.0</v>
      </c>
      <c r="Q286" s="160">
        <v>0.0</v>
      </c>
      <c r="R286" s="160">
        <v>0.0</v>
      </c>
      <c r="S286" s="160">
        <v>0.0</v>
      </c>
      <c r="T286" s="160">
        <v>0.0</v>
      </c>
      <c r="U286" s="160">
        <v>0.0</v>
      </c>
      <c r="V286" s="160">
        <v>0.0</v>
      </c>
      <c r="W286" s="160">
        <v>0.0</v>
      </c>
      <c r="X286" s="160">
        <v>0.0</v>
      </c>
      <c r="Y286" s="160">
        <v>0.0</v>
      </c>
      <c r="Z286" s="160">
        <v>0.0</v>
      </c>
      <c r="AA286" s="160">
        <v>0.0</v>
      </c>
      <c r="AB286" s="160">
        <v>0.0</v>
      </c>
      <c r="AC286" s="160">
        <v>0.0</v>
      </c>
      <c r="AD286" s="160">
        <v>0.0</v>
      </c>
      <c r="AE286" s="160">
        <v>0.0</v>
      </c>
      <c r="AF286" s="160">
        <v>0.0</v>
      </c>
      <c r="AG286" s="93">
        <f t="shared" si="92"/>
        <v>0</v>
      </c>
    </row>
    <row r="287" outlineLevel="1">
      <c r="A287" s="215" t="s">
        <v>293</v>
      </c>
      <c r="B287" s="155">
        <v>0.0</v>
      </c>
      <c r="C287" s="155">
        <v>0.0</v>
      </c>
      <c r="D287" s="155">
        <v>0.0</v>
      </c>
      <c r="E287" s="155">
        <v>0.0</v>
      </c>
      <c r="F287" s="155">
        <v>0.0</v>
      </c>
      <c r="G287" s="155">
        <v>0.0</v>
      </c>
      <c r="H287" s="155">
        <v>0.0</v>
      </c>
      <c r="I287" s="155">
        <v>0.0</v>
      </c>
      <c r="J287" s="155">
        <v>0.0</v>
      </c>
      <c r="K287" s="155">
        <v>0.0</v>
      </c>
      <c r="L287" s="155">
        <v>0.0</v>
      </c>
      <c r="M287" s="155">
        <v>0.0</v>
      </c>
      <c r="N287" s="155">
        <v>0.0</v>
      </c>
      <c r="O287" s="155">
        <v>0.0</v>
      </c>
      <c r="P287" s="155">
        <v>0.0</v>
      </c>
      <c r="Q287" s="155">
        <v>0.0</v>
      </c>
      <c r="R287" s="155">
        <v>0.0</v>
      </c>
      <c r="S287" s="155">
        <v>0.0</v>
      </c>
      <c r="T287" s="155">
        <v>0.0</v>
      </c>
      <c r="U287" s="155">
        <v>1.0</v>
      </c>
      <c r="V287" s="155">
        <v>0.0</v>
      </c>
      <c r="W287" s="155">
        <v>0.0</v>
      </c>
      <c r="X287" s="155">
        <v>0.0</v>
      </c>
      <c r="Y287" s="155">
        <v>0.0</v>
      </c>
      <c r="Z287" s="155">
        <v>0.0</v>
      </c>
      <c r="AA287" s="155">
        <v>0.0</v>
      </c>
      <c r="AB287" s="84">
        <v>0.0</v>
      </c>
      <c r="AC287" s="155">
        <v>0.0</v>
      </c>
      <c r="AD287" s="155">
        <v>0.0</v>
      </c>
      <c r="AE287" s="155">
        <v>0.0</v>
      </c>
      <c r="AF287" s="155">
        <v>0.0</v>
      </c>
      <c r="AG287" s="93">
        <f t="shared" si="92"/>
        <v>1</v>
      </c>
    </row>
    <row r="288" outlineLevel="1">
      <c r="A288" s="215" t="s">
        <v>294</v>
      </c>
      <c r="B288" s="155">
        <v>0.0</v>
      </c>
      <c r="C288" s="155">
        <v>0.0</v>
      </c>
      <c r="D288" s="155">
        <v>0.0</v>
      </c>
      <c r="E288" s="155">
        <v>0.0</v>
      </c>
      <c r="F288" s="155">
        <v>0.0</v>
      </c>
      <c r="G288" s="155">
        <v>0.0</v>
      </c>
      <c r="H288" s="155">
        <v>0.0</v>
      </c>
      <c r="I288" s="155">
        <v>0.0</v>
      </c>
      <c r="J288" s="155">
        <v>1.0</v>
      </c>
      <c r="K288" s="155">
        <v>0.0</v>
      </c>
      <c r="L288" s="155">
        <v>0.0</v>
      </c>
      <c r="M288" s="155">
        <v>0.0</v>
      </c>
      <c r="N288" s="155">
        <v>0.0</v>
      </c>
      <c r="O288" s="155">
        <v>0.0</v>
      </c>
      <c r="P288" s="155">
        <v>0.0</v>
      </c>
      <c r="Q288" s="155">
        <v>0.0</v>
      </c>
      <c r="R288" s="155">
        <v>0.0</v>
      </c>
      <c r="S288" s="155">
        <v>0.0</v>
      </c>
      <c r="T288" s="155">
        <v>0.0</v>
      </c>
      <c r="U288" s="155">
        <v>1.0</v>
      </c>
      <c r="V288" s="155">
        <v>0.0</v>
      </c>
      <c r="W288" s="155">
        <v>0.0</v>
      </c>
      <c r="X288" s="155">
        <v>0.0</v>
      </c>
      <c r="Y288" s="155">
        <v>0.0</v>
      </c>
      <c r="Z288" s="155">
        <v>0.0</v>
      </c>
      <c r="AA288" s="155">
        <v>0.0</v>
      </c>
      <c r="AB288" s="84">
        <v>0.0</v>
      </c>
      <c r="AC288" s="155">
        <v>0.0</v>
      </c>
      <c r="AD288" s="155">
        <v>0.0</v>
      </c>
      <c r="AE288" s="155">
        <v>0.0</v>
      </c>
      <c r="AF288" s="155">
        <v>0.0</v>
      </c>
      <c r="AG288" s="93">
        <f t="shared" si="92"/>
        <v>2</v>
      </c>
    </row>
    <row r="289" outlineLevel="1">
      <c r="A289" s="215" t="s">
        <v>295</v>
      </c>
      <c r="B289" s="155">
        <v>0.0</v>
      </c>
      <c r="C289" s="155">
        <v>0.0</v>
      </c>
      <c r="D289" s="155">
        <v>0.0</v>
      </c>
      <c r="E289" s="155">
        <v>1.0</v>
      </c>
      <c r="F289" s="155">
        <v>1.0</v>
      </c>
      <c r="G289" s="155">
        <v>2.0</v>
      </c>
      <c r="H289" s="155">
        <v>0.0</v>
      </c>
      <c r="I289" s="155">
        <v>3.0</v>
      </c>
      <c r="J289" s="155">
        <v>0.0</v>
      </c>
      <c r="K289" s="155">
        <v>0.0</v>
      </c>
      <c r="L289" s="155">
        <v>0.0</v>
      </c>
      <c r="M289" s="155">
        <v>0.0</v>
      </c>
      <c r="N289" s="155">
        <v>1.0</v>
      </c>
      <c r="O289" s="155">
        <v>0.0</v>
      </c>
      <c r="P289" s="155">
        <v>1.0</v>
      </c>
      <c r="Q289" s="155">
        <v>0.0</v>
      </c>
      <c r="R289" s="155">
        <v>0.0</v>
      </c>
      <c r="S289" s="155">
        <v>0.0</v>
      </c>
      <c r="T289" s="155">
        <v>0.0</v>
      </c>
      <c r="U289" s="155">
        <v>0.0</v>
      </c>
      <c r="V289" s="155">
        <v>0.0</v>
      </c>
      <c r="W289" s="155">
        <v>0.0</v>
      </c>
      <c r="X289" s="155">
        <v>0.0</v>
      </c>
      <c r="Y289" s="155">
        <v>0.0</v>
      </c>
      <c r="Z289" s="155">
        <v>1.0</v>
      </c>
      <c r="AA289" s="155">
        <v>0.0</v>
      </c>
      <c r="AB289" s="84">
        <v>0.0</v>
      </c>
      <c r="AC289" s="84">
        <v>0.0</v>
      </c>
      <c r="AD289" s="155">
        <v>0.0</v>
      </c>
      <c r="AE289" s="155">
        <v>0.0</v>
      </c>
      <c r="AF289" s="155">
        <v>0.0</v>
      </c>
      <c r="AG289" s="93"/>
    </row>
    <row r="290">
      <c r="A290" s="225" t="s">
        <v>141</v>
      </c>
      <c r="B290" s="224">
        <f t="shared" ref="B290:F290" si="93">SUM(B279:B289)</f>
        <v>1</v>
      </c>
      <c r="C290" s="224">
        <f t="shared" si="93"/>
        <v>1</v>
      </c>
      <c r="D290" s="224">
        <f t="shared" si="93"/>
        <v>2</v>
      </c>
      <c r="E290" s="224">
        <f t="shared" si="93"/>
        <v>2</v>
      </c>
      <c r="F290" s="224">
        <f t="shared" si="93"/>
        <v>1</v>
      </c>
      <c r="G290" s="224">
        <f>SUM(G279:G288)</f>
        <v>0</v>
      </c>
      <c r="H290" s="224">
        <f>SUM(H279:H289)</f>
        <v>0</v>
      </c>
      <c r="I290" s="224">
        <f t="shared" ref="I290:AB290" si="94">SUM(I279:I288)</f>
        <v>0</v>
      </c>
      <c r="J290" s="224">
        <f t="shared" si="94"/>
        <v>5</v>
      </c>
      <c r="K290" s="224">
        <f t="shared" si="94"/>
        <v>0</v>
      </c>
      <c r="L290" s="224">
        <f t="shared" si="94"/>
        <v>0</v>
      </c>
      <c r="M290" s="224">
        <f t="shared" si="94"/>
        <v>0</v>
      </c>
      <c r="N290" s="224">
        <f t="shared" si="94"/>
        <v>2</v>
      </c>
      <c r="O290" s="224">
        <f t="shared" si="94"/>
        <v>1</v>
      </c>
      <c r="P290" s="224">
        <f t="shared" si="94"/>
        <v>0</v>
      </c>
      <c r="Q290" s="224">
        <f t="shared" si="94"/>
        <v>2</v>
      </c>
      <c r="R290" s="224">
        <f t="shared" si="94"/>
        <v>0</v>
      </c>
      <c r="S290" s="224">
        <f t="shared" si="94"/>
        <v>0</v>
      </c>
      <c r="T290" s="224">
        <f t="shared" si="94"/>
        <v>0</v>
      </c>
      <c r="U290" s="224">
        <f t="shared" si="94"/>
        <v>6</v>
      </c>
      <c r="V290" s="224">
        <f t="shared" si="94"/>
        <v>1</v>
      </c>
      <c r="W290" s="224">
        <f t="shared" si="94"/>
        <v>1</v>
      </c>
      <c r="X290" s="224">
        <f t="shared" si="94"/>
        <v>2</v>
      </c>
      <c r="Y290" s="224">
        <f t="shared" si="94"/>
        <v>0</v>
      </c>
      <c r="Z290" s="224">
        <f t="shared" si="94"/>
        <v>0</v>
      </c>
      <c r="AA290" s="224">
        <f t="shared" si="94"/>
        <v>0</v>
      </c>
      <c r="AB290" s="224">
        <f t="shared" si="94"/>
        <v>0</v>
      </c>
      <c r="AC290" s="224">
        <f>SUM(AC279:AC289)</f>
        <v>0</v>
      </c>
      <c r="AD290" s="224">
        <f t="shared" ref="AD290:AE290" si="95">SUM(AD279:AD288)</f>
        <v>0</v>
      </c>
      <c r="AE290" s="224">
        <f t="shared" si="95"/>
        <v>0</v>
      </c>
      <c r="AF290" s="224">
        <f>SUM(AF279:AF289)</f>
        <v>0</v>
      </c>
      <c r="AG290" s="93">
        <f>SUM(B290:AF290)</f>
        <v>27</v>
      </c>
    </row>
    <row r="291">
      <c r="A291" s="98"/>
      <c r="B291" s="127"/>
      <c r="C291" s="127"/>
      <c r="D291" s="127"/>
      <c r="E291" s="127"/>
      <c r="F291" s="127"/>
      <c r="G291" s="127"/>
      <c r="H291" s="226"/>
      <c r="I291" s="83"/>
      <c r="J291" s="83"/>
      <c r="K291" s="83"/>
      <c r="L291" s="83"/>
      <c r="M291" s="83"/>
      <c r="N291" s="83"/>
      <c r="O291" s="83"/>
      <c r="P291" s="83"/>
      <c r="Q291" s="83"/>
      <c r="R291" s="83"/>
      <c r="S291" s="83"/>
      <c r="T291" s="83"/>
      <c r="U291" s="83"/>
      <c r="V291" s="83"/>
      <c r="W291" s="83"/>
      <c r="X291" s="83"/>
      <c r="Y291" s="83"/>
      <c r="Z291" s="83"/>
      <c r="AA291" s="83"/>
      <c r="AB291" s="83"/>
      <c r="AC291" s="83"/>
      <c r="AD291" s="83"/>
      <c r="AE291" s="83"/>
      <c r="AF291" s="83"/>
      <c r="AG291" s="152"/>
    </row>
    <row r="292">
      <c r="A292" s="215" t="s">
        <v>296</v>
      </c>
      <c r="B292" s="216"/>
      <c r="C292" s="216"/>
      <c r="D292" s="216"/>
      <c r="E292" s="216"/>
      <c r="F292" s="216"/>
      <c r="G292" s="216"/>
      <c r="H292" s="216"/>
      <c r="I292" s="216"/>
      <c r="J292" s="216"/>
      <c r="K292" s="216"/>
      <c r="L292" s="216"/>
      <c r="M292" s="216"/>
      <c r="N292" s="216"/>
      <c r="O292" s="216"/>
      <c r="P292" s="216"/>
      <c r="Q292" s="216"/>
      <c r="R292" s="216"/>
      <c r="S292" s="216"/>
      <c r="T292" s="216"/>
      <c r="U292" s="216"/>
      <c r="V292" s="216"/>
      <c r="W292" s="216"/>
      <c r="X292" s="216"/>
      <c r="Y292" s="216"/>
      <c r="Z292" s="216"/>
      <c r="AA292" s="216"/>
      <c r="AB292" s="216"/>
      <c r="AC292" s="216"/>
      <c r="AD292" s="216"/>
      <c r="AE292" s="216"/>
      <c r="AF292" s="216"/>
      <c r="AG292" s="152"/>
    </row>
    <row r="293" outlineLevel="1">
      <c r="A293" s="215" t="s">
        <v>224</v>
      </c>
      <c r="B293" s="217"/>
      <c r="C293" s="217"/>
      <c r="D293" s="217"/>
      <c r="E293" s="217"/>
      <c r="F293" s="217"/>
      <c r="G293" s="217"/>
      <c r="H293" s="217"/>
      <c r="I293" s="217"/>
      <c r="J293" s="217"/>
      <c r="K293" s="217"/>
      <c r="L293" s="217"/>
      <c r="M293" s="217"/>
      <c r="N293" s="217"/>
      <c r="O293" s="217"/>
      <c r="P293" s="217"/>
      <c r="Q293" s="217"/>
      <c r="R293" s="217"/>
      <c r="S293" s="217"/>
      <c r="T293" s="217"/>
      <c r="U293" s="217"/>
      <c r="V293" s="217"/>
      <c r="W293" s="217"/>
      <c r="X293" s="217"/>
      <c r="Y293" s="217"/>
      <c r="Z293" s="217"/>
      <c r="AA293" s="217"/>
      <c r="AB293" s="217"/>
      <c r="AC293" s="217"/>
      <c r="AD293" s="217"/>
      <c r="AE293" s="217"/>
      <c r="AF293" s="217"/>
      <c r="AG293" s="93">
        <f t="shared" ref="AG293:AG303" si="96">SUM(B293:AF293)</f>
        <v>0</v>
      </c>
    </row>
    <row r="294" outlineLevel="1">
      <c r="A294" s="215" t="s">
        <v>225</v>
      </c>
      <c r="B294" s="217"/>
      <c r="C294" s="217"/>
      <c r="D294" s="217"/>
      <c r="E294" s="217"/>
      <c r="F294" s="217"/>
      <c r="G294" s="217"/>
      <c r="H294" s="217"/>
      <c r="I294" s="217"/>
      <c r="J294" s="217"/>
      <c r="K294" s="217"/>
      <c r="L294" s="217"/>
      <c r="M294" s="217"/>
      <c r="N294" s="217"/>
      <c r="O294" s="217"/>
      <c r="P294" s="217"/>
      <c r="Q294" s="217"/>
      <c r="R294" s="217"/>
      <c r="S294" s="217"/>
      <c r="T294" s="217"/>
      <c r="U294" s="217"/>
      <c r="V294" s="217"/>
      <c r="W294" s="217"/>
      <c r="X294" s="217"/>
      <c r="Y294" s="217"/>
      <c r="Z294" s="217"/>
      <c r="AA294" s="217"/>
      <c r="AB294" s="217"/>
      <c r="AC294" s="217"/>
      <c r="AD294" s="217"/>
      <c r="AE294" s="217"/>
      <c r="AF294" s="217"/>
      <c r="AG294" s="93">
        <f t="shared" si="96"/>
        <v>0</v>
      </c>
    </row>
    <row r="295" outlineLevel="1">
      <c r="A295" s="215" t="s">
        <v>297</v>
      </c>
      <c r="B295" s="217"/>
      <c r="C295" s="217"/>
      <c r="D295" s="217"/>
      <c r="E295" s="217"/>
      <c r="F295" s="217"/>
      <c r="G295" s="217"/>
      <c r="H295" s="217"/>
      <c r="I295" s="217"/>
      <c r="J295" s="217"/>
      <c r="K295" s="217"/>
      <c r="L295" s="217"/>
      <c r="M295" s="217"/>
      <c r="N295" s="217"/>
      <c r="O295" s="217"/>
      <c r="P295" s="217"/>
      <c r="Q295" s="217"/>
      <c r="R295" s="217"/>
      <c r="S295" s="217"/>
      <c r="T295" s="217"/>
      <c r="U295" s="217"/>
      <c r="V295" s="217"/>
      <c r="W295" s="217"/>
      <c r="X295" s="217"/>
      <c r="Y295" s="217"/>
      <c r="Z295" s="217"/>
      <c r="AA295" s="217"/>
      <c r="AB295" s="217"/>
      <c r="AC295" s="217"/>
      <c r="AD295" s="217"/>
      <c r="AE295" s="217"/>
      <c r="AF295" s="217"/>
      <c r="AG295" s="93">
        <f t="shared" si="96"/>
        <v>0</v>
      </c>
    </row>
    <row r="296" outlineLevel="1">
      <c r="A296" s="215" t="s">
        <v>298</v>
      </c>
      <c r="B296" s="217"/>
      <c r="C296" s="217"/>
      <c r="D296" s="217"/>
      <c r="E296" s="217"/>
      <c r="F296" s="217"/>
      <c r="G296" s="217"/>
      <c r="H296" s="217"/>
      <c r="I296" s="217"/>
      <c r="J296" s="217"/>
      <c r="K296" s="217"/>
      <c r="L296" s="217"/>
      <c r="M296" s="217"/>
      <c r="N296" s="217"/>
      <c r="O296" s="217"/>
      <c r="P296" s="217"/>
      <c r="Q296" s="217"/>
      <c r="R296" s="217"/>
      <c r="S296" s="217"/>
      <c r="T296" s="217"/>
      <c r="U296" s="217"/>
      <c r="V296" s="217"/>
      <c r="W296" s="217"/>
      <c r="X296" s="217"/>
      <c r="Y296" s="217"/>
      <c r="Z296" s="217"/>
      <c r="AA296" s="217"/>
      <c r="AB296" s="217"/>
      <c r="AC296" s="217"/>
      <c r="AD296" s="217"/>
      <c r="AE296" s="217"/>
      <c r="AF296" s="217"/>
      <c r="AG296" s="93">
        <f t="shared" si="96"/>
        <v>0</v>
      </c>
    </row>
    <row r="297" outlineLevel="1">
      <c r="A297" s="215" t="s">
        <v>299</v>
      </c>
      <c r="B297" s="217"/>
      <c r="C297" s="217"/>
      <c r="D297" s="217"/>
      <c r="E297" s="217"/>
      <c r="F297" s="217"/>
      <c r="G297" s="217"/>
      <c r="H297" s="217"/>
      <c r="I297" s="217"/>
      <c r="J297" s="217"/>
      <c r="K297" s="217"/>
      <c r="L297" s="217"/>
      <c r="M297" s="217"/>
      <c r="N297" s="217"/>
      <c r="O297" s="217"/>
      <c r="P297" s="217"/>
      <c r="Q297" s="217"/>
      <c r="R297" s="217"/>
      <c r="S297" s="217"/>
      <c r="T297" s="217"/>
      <c r="U297" s="217"/>
      <c r="V297" s="217"/>
      <c r="W297" s="217"/>
      <c r="X297" s="217"/>
      <c r="Y297" s="217"/>
      <c r="Z297" s="217"/>
      <c r="AA297" s="217"/>
      <c r="AB297" s="217"/>
      <c r="AC297" s="217"/>
      <c r="AD297" s="217"/>
      <c r="AE297" s="217"/>
      <c r="AF297" s="217"/>
      <c r="AG297" s="93">
        <f t="shared" si="96"/>
        <v>0</v>
      </c>
    </row>
    <row r="298" outlineLevel="1">
      <c r="A298" s="215" t="s">
        <v>300</v>
      </c>
      <c r="B298" s="217"/>
      <c r="C298" s="217"/>
      <c r="D298" s="217"/>
      <c r="E298" s="217"/>
      <c r="F298" s="217"/>
      <c r="G298" s="217"/>
      <c r="H298" s="217"/>
      <c r="I298" s="217"/>
      <c r="J298" s="217"/>
      <c r="K298" s="217"/>
      <c r="L298" s="217"/>
      <c r="M298" s="217"/>
      <c r="N298" s="217"/>
      <c r="O298" s="217"/>
      <c r="P298" s="217"/>
      <c r="Q298" s="217"/>
      <c r="R298" s="217"/>
      <c r="S298" s="217"/>
      <c r="T298" s="217"/>
      <c r="U298" s="217"/>
      <c r="V298" s="217"/>
      <c r="W298" s="217"/>
      <c r="X298" s="217"/>
      <c r="Y298" s="217"/>
      <c r="Z298" s="217"/>
      <c r="AA298" s="217"/>
      <c r="AB298" s="217"/>
      <c r="AC298" s="217"/>
      <c r="AD298" s="217"/>
      <c r="AE298" s="217"/>
      <c r="AF298" s="217"/>
      <c r="AG298" s="93">
        <f t="shared" si="96"/>
        <v>0</v>
      </c>
    </row>
    <row r="299" outlineLevel="1">
      <c r="A299" s="215" t="s">
        <v>301</v>
      </c>
      <c r="B299" s="217"/>
      <c r="C299" s="217"/>
      <c r="D299" s="217"/>
      <c r="E299" s="217"/>
      <c r="F299" s="217"/>
      <c r="G299" s="217"/>
      <c r="H299" s="217"/>
      <c r="I299" s="217"/>
      <c r="J299" s="217"/>
      <c r="K299" s="217"/>
      <c r="L299" s="217"/>
      <c r="M299" s="217"/>
      <c r="N299" s="217"/>
      <c r="O299" s="217"/>
      <c r="P299" s="217"/>
      <c r="Q299" s="217"/>
      <c r="R299" s="217"/>
      <c r="S299" s="217"/>
      <c r="T299" s="217"/>
      <c r="U299" s="217"/>
      <c r="V299" s="217"/>
      <c r="W299" s="217"/>
      <c r="X299" s="217"/>
      <c r="Y299" s="217"/>
      <c r="Z299" s="217"/>
      <c r="AA299" s="217"/>
      <c r="AB299" s="217"/>
      <c r="AC299" s="217"/>
      <c r="AD299" s="217"/>
      <c r="AE299" s="217"/>
      <c r="AF299" s="217"/>
      <c r="AG299" s="93">
        <f t="shared" si="96"/>
        <v>0</v>
      </c>
    </row>
    <row r="300" outlineLevel="1">
      <c r="A300" s="215" t="s">
        <v>302</v>
      </c>
      <c r="B300" s="217"/>
      <c r="C300" s="217"/>
      <c r="D300" s="217"/>
      <c r="E300" s="217"/>
      <c r="F300" s="217"/>
      <c r="G300" s="217"/>
      <c r="H300" s="217"/>
      <c r="I300" s="217"/>
      <c r="J300" s="217"/>
      <c r="K300" s="217"/>
      <c r="L300" s="217"/>
      <c r="M300" s="217"/>
      <c r="N300" s="217"/>
      <c r="O300" s="217"/>
      <c r="P300" s="217"/>
      <c r="Q300" s="217"/>
      <c r="R300" s="217"/>
      <c r="S300" s="217"/>
      <c r="T300" s="217"/>
      <c r="U300" s="217"/>
      <c r="V300" s="217"/>
      <c r="W300" s="217"/>
      <c r="X300" s="217"/>
      <c r="Y300" s="217"/>
      <c r="Z300" s="217"/>
      <c r="AA300" s="217"/>
      <c r="AB300" s="217"/>
      <c r="AC300" s="217"/>
      <c r="AD300" s="217"/>
      <c r="AE300" s="217"/>
      <c r="AF300" s="217"/>
      <c r="AG300" s="93">
        <f t="shared" si="96"/>
        <v>0</v>
      </c>
    </row>
    <row r="301" outlineLevel="1">
      <c r="A301" s="215" t="s">
        <v>303</v>
      </c>
      <c r="B301" s="220"/>
      <c r="C301" s="220"/>
      <c r="D301" s="220"/>
      <c r="E301" s="220"/>
      <c r="F301" s="220"/>
      <c r="G301" s="220"/>
      <c r="H301" s="220"/>
      <c r="I301" s="220"/>
      <c r="J301" s="220"/>
      <c r="K301" s="220"/>
      <c r="L301" s="220"/>
      <c r="M301" s="220"/>
      <c r="N301" s="220"/>
      <c r="O301" s="220"/>
      <c r="P301" s="220"/>
      <c r="Q301" s="220"/>
      <c r="R301" s="220"/>
      <c r="S301" s="220"/>
      <c r="T301" s="217"/>
      <c r="U301" s="220"/>
      <c r="V301" s="220"/>
      <c r="W301" s="220"/>
      <c r="X301" s="220"/>
      <c r="Y301" s="220"/>
      <c r="Z301" s="220"/>
      <c r="AA301" s="220"/>
      <c r="AB301" s="221"/>
      <c r="AC301" s="221"/>
      <c r="AD301" s="220"/>
      <c r="AE301" s="220"/>
      <c r="AF301" s="217"/>
      <c r="AG301" s="93">
        <f t="shared" si="96"/>
        <v>0</v>
      </c>
    </row>
    <row r="302" outlineLevel="1">
      <c r="A302" s="215" t="s">
        <v>304</v>
      </c>
      <c r="B302" s="220"/>
      <c r="C302" s="220"/>
      <c r="D302" s="220"/>
      <c r="E302" s="220"/>
      <c r="F302" s="220"/>
      <c r="G302" s="220"/>
      <c r="H302" s="220"/>
      <c r="I302" s="220"/>
      <c r="J302" s="220"/>
      <c r="K302" s="220"/>
      <c r="L302" s="220"/>
      <c r="M302" s="220"/>
      <c r="N302" s="220"/>
      <c r="O302" s="220"/>
      <c r="P302" s="220"/>
      <c r="Q302" s="220"/>
      <c r="R302" s="220"/>
      <c r="S302" s="220"/>
      <c r="T302" s="220"/>
      <c r="U302" s="220"/>
      <c r="V302" s="220"/>
      <c r="W302" s="220"/>
      <c r="X302" s="220"/>
      <c r="Y302" s="220"/>
      <c r="Z302" s="220"/>
      <c r="AA302" s="220"/>
      <c r="AB302" s="221"/>
      <c r="AC302" s="221"/>
      <c r="AD302" s="220"/>
      <c r="AE302" s="220"/>
      <c r="AF302" s="220"/>
      <c r="AG302" s="93">
        <f t="shared" si="96"/>
        <v>0</v>
      </c>
    </row>
    <row r="303">
      <c r="A303" s="225" t="s">
        <v>141</v>
      </c>
      <c r="B303" s="224">
        <f t="shared" ref="B303:AF303" si="97">SUM(B293:B302)</f>
        <v>0</v>
      </c>
      <c r="C303" s="224">
        <f t="shared" si="97"/>
        <v>0</v>
      </c>
      <c r="D303" s="224">
        <f t="shared" si="97"/>
        <v>0</v>
      </c>
      <c r="E303" s="224">
        <f t="shared" si="97"/>
        <v>0</v>
      </c>
      <c r="F303" s="224">
        <f t="shared" si="97"/>
        <v>0</v>
      </c>
      <c r="G303" s="224">
        <f t="shared" si="97"/>
        <v>0</v>
      </c>
      <c r="H303" s="224">
        <f t="shared" si="97"/>
        <v>0</v>
      </c>
      <c r="I303" s="224">
        <f t="shared" si="97"/>
        <v>0</v>
      </c>
      <c r="J303" s="224">
        <f t="shared" si="97"/>
        <v>0</v>
      </c>
      <c r="K303" s="224">
        <f t="shared" si="97"/>
        <v>0</v>
      </c>
      <c r="L303" s="224">
        <f t="shared" si="97"/>
        <v>0</v>
      </c>
      <c r="M303" s="224">
        <f t="shared" si="97"/>
        <v>0</v>
      </c>
      <c r="N303" s="224">
        <f t="shared" si="97"/>
        <v>0</v>
      </c>
      <c r="O303" s="224">
        <f t="shared" si="97"/>
        <v>0</v>
      </c>
      <c r="P303" s="224">
        <f t="shared" si="97"/>
        <v>0</v>
      </c>
      <c r="Q303" s="224">
        <f t="shared" si="97"/>
        <v>0</v>
      </c>
      <c r="R303" s="224">
        <f t="shared" si="97"/>
        <v>0</v>
      </c>
      <c r="S303" s="224">
        <f t="shared" si="97"/>
        <v>0</v>
      </c>
      <c r="T303" s="224">
        <f t="shared" si="97"/>
        <v>0</v>
      </c>
      <c r="U303" s="224">
        <f t="shared" si="97"/>
        <v>0</v>
      </c>
      <c r="V303" s="224">
        <f t="shared" si="97"/>
        <v>0</v>
      </c>
      <c r="W303" s="224">
        <f t="shared" si="97"/>
        <v>0</v>
      </c>
      <c r="X303" s="224">
        <f t="shared" si="97"/>
        <v>0</v>
      </c>
      <c r="Y303" s="224">
        <f t="shared" si="97"/>
        <v>0</v>
      </c>
      <c r="Z303" s="224">
        <f t="shared" si="97"/>
        <v>0</v>
      </c>
      <c r="AA303" s="224">
        <f t="shared" si="97"/>
        <v>0</v>
      </c>
      <c r="AB303" s="224">
        <f t="shared" si="97"/>
        <v>0</v>
      </c>
      <c r="AC303" s="224">
        <f t="shared" si="97"/>
        <v>0</v>
      </c>
      <c r="AD303" s="224">
        <f t="shared" si="97"/>
        <v>0</v>
      </c>
      <c r="AE303" s="224">
        <f t="shared" si="97"/>
        <v>0</v>
      </c>
      <c r="AF303" s="224">
        <f t="shared" si="97"/>
        <v>0</v>
      </c>
      <c r="AG303" s="93">
        <f t="shared" si="96"/>
        <v>0</v>
      </c>
    </row>
    <row r="304">
      <c r="A304" s="98"/>
      <c r="B304" s="127"/>
      <c r="C304" s="127"/>
      <c r="D304" s="127"/>
      <c r="E304" s="127"/>
      <c r="F304" s="127"/>
      <c r="G304" s="127"/>
      <c r="H304" s="127"/>
      <c r="I304" s="83"/>
      <c r="J304" s="83"/>
      <c r="K304" s="83"/>
      <c r="L304" s="83"/>
      <c r="M304" s="83"/>
      <c r="N304" s="83"/>
      <c r="O304" s="83"/>
      <c r="P304" s="83"/>
      <c r="Q304" s="83"/>
      <c r="R304" s="83"/>
      <c r="S304" s="83"/>
      <c r="T304" s="83"/>
      <c r="U304" s="83"/>
      <c r="V304" s="83"/>
      <c r="W304" s="83"/>
      <c r="X304" s="83"/>
      <c r="Y304" s="83"/>
      <c r="Z304" s="83"/>
      <c r="AA304" s="83"/>
      <c r="AB304" s="83"/>
      <c r="AC304" s="83"/>
      <c r="AD304" s="83"/>
      <c r="AE304" s="83"/>
      <c r="AF304" s="83"/>
      <c r="AG304" s="152"/>
    </row>
    <row r="305">
      <c r="A305" s="145" t="s">
        <v>305</v>
      </c>
      <c r="B305" s="127"/>
      <c r="C305" s="127"/>
      <c r="D305" s="127"/>
      <c r="E305" s="127"/>
      <c r="F305" s="127"/>
      <c r="G305" s="197"/>
      <c r="H305" s="127"/>
      <c r="I305" s="83"/>
      <c r="J305" s="83"/>
      <c r="K305" s="83"/>
      <c r="L305" s="83"/>
      <c r="M305" s="83"/>
      <c r="N305" s="83"/>
      <c r="O305" s="83"/>
      <c r="P305" s="83"/>
      <c r="Q305" s="83"/>
      <c r="R305" s="83"/>
      <c r="S305" s="83"/>
      <c r="T305" s="83"/>
      <c r="U305" s="83"/>
      <c r="V305" s="83"/>
      <c r="W305" s="83"/>
      <c r="X305" s="83"/>
      <c r="Y305" s="83"/>
      <c r="Z305" s="83"/>
      <c r="AA305" s="83"/>
      <c r="AB305" s="83"/>
      <c r="AC305" s="83"/>
      <c r="AD305" s="83"/>
      <c r="AE305" s="83"/>
      <c r="AF305" s="83"/>
      <c r="AG305" s="209"/>
    </row>
    <row r="306">
      <c r="A306" s="215" t="s">
        <v>306</v>
      </c>
      <c r="B306" s="197">
        <v>1038.36</v>
      </c>
      <c r="C306" s="197">
        <v>999.9</v>
      </c>
      <c r="D306" s="197">
        <v>787.26</v>
      </c>
      <c r="E306" s="197">
        <f>364.08+59.99</f>
        <v>424.07</v>
      </c>
      <c r="F306" s="197">
        <v>0.0</v>
      </c>
      <c r="G306" s="197">
        <v>536.93</v>
      </c>
      <c r="H306" s="197">
        <v>0.0</v>
      </c>
      <c r="I306" s="197">
        <v>1124.5</v>
      </c>
      <c r="J306" s="197">
        <v>4317.19</v>
      </c>
      <c r="K306" s="197">
        <v>0.0</v>
      </c>
      <c r="L306" s="197">
        <v>275.81</v>
      </c>
      <c r="M306" s="197">
        <v>604.23</v>
      </c>
      <c r="N306" s="197">
        <f>1696.65+59.99</f>
        <v>1756.64</v>
      </c>
      <c r="O306" s="197">
        <v>982.2</v>
      </c>
      <c r="P306" s="197">
        <f>2358.16+59.9</f>
        <v>2418.06</v>
      </c>
      <c r="Q306" s="197">
        <v>645.44</v>
      </c>
      <c r="R306" s="197">
        <v>331.94</v>
      </c>
      <c r="S306" s="197">
        <v>0.0</v>
      </c>
      <c r="T306" s="197">
        <v>0.0</v>
      </c>
      <c r="U306" s="197">
        <v>6678.86</v>
      </c>
      <c r="V306" s="197">
        <v>709.65</v>
      </c>
      <c r="W306" s="197">
        <v>1997.01</v>
      </c>
      <c r="X306" s="197">
        <v>1816.87</v>
      </c>
      <c r="Y306" s="197">
        <v>0.0</v>
      </c>
      <c r="Z306" s="197">
        <f>1187.15+59.99</f>
        <v>1247.14</v>
      </c>
      <c r="AA306" s="197">
        <v>0.0</v>
      </c>
      <c r="AB306" s="197">
        <v>609.81</v>
      </c>
      <c r="AC306" s="197">
        <v>0.0</v>
      </c>
      <c r="AD306" s="197">
        <v>271.14</v>
      </c>
      <c r="AE306" s="197">
        <v>0.0</v>
      </c>
      <c r="AF306" s="197">
        <v>0.0</v>
      </c>
      <c r="AG306" s="93">
        <f t="shared" ref="AG306:AG307" si="99">SUM(B306:AF306)</f>
        <v>29573.01</v>
      </c>
    </row>
    <row r="307">
      <c r="A307" s="227" t="s">
        <v>307</v>
      </c>
      <c r="B307" s="228">
        <f t="shared" ref="B307:AF307" si="98">SUM(B306)</f>
        <v>1038.36</v>
      </c>
      <c r="C307" s="228">
        <f t="shared" si="98"/>
        <v>999.9</v>
      </c>
      <c r="D307" s="228">
        <f t="shared" si="98"/>
        <v>787.26</v>
      </c>
      <c r="E307" s="228">
        <f t="shared" si="98"/>
        <v>424.07</v>
      </c>
      <c r="F307" s="228">
        <f t="shared" si="98"/>
        <v>0</v>
      </c>
      <c r="G307" s="228">
        <f t="shared" si="98"/>
        <v>536.93</v>
      </c>
      <c r="H307" s="228">
        <f t="shared" si="98"/>
        <v>0</v>
      </c>
      <c r="I307" s="228">
        <f t="shared" si="98"/>
        <v>1124.5</v>
      </c>
      <c r="J307" s="228">
        <f t="shared" si="98"/>
        <v>4317.19</v>
      </c>
      <c r="K307" s="228">
        <f t="shared" si="98"/>
        <v>0</v>
      </c>
      <c r="L307" s="228">
        <f t="shared" si="98"/>
        <v>275.81</v>
      </c>
      <c r="M307" s="228">
        <f t="shared" si="98"/>
        <v>604.23</v>
      </c>
      <c r="N307" s="228">
        <f t="shared" si="98"/>
        <v>1756.64</v>
      </c>
      <c r="O307" s="228">
        <f t="shared" si="98"/>
        <v>982.2</v>
      </c>
      <c r="P307" s="228">
        <f t="shared" si="98"/>
        <v>2418.06</v>
      </c>
      <c r="Q307" s="228">
        <f t="shared" si="98"/>
        <v>645.44</v>
      </c>
      <c r="R307" s="228">
        <f t="shared" si="98"/>
        <v>331.94</v>
      </c>
      <c r="S307" s="228">
        <f t="shared" si="98"/>
        <v>0</v>
      </c>
      <c r="T307" s="228">
        <f t="shared" si="98"/>
        <v>0</v>
      </c>
      <c r="U307" s="228">
        <f t="shared" si="98"/>
        <v>6678.86</v>
      </c>
      <c r="V307" s="228">
        <f t="shared" si="98"/>
        <v>709.65</v>
      </c>
      <c r="W307" s="228">
        <f t="shared" si="98"/>
        <v>1997.01</v>
      </c>
      <c r="X307" s="228">
        <f t="shared" si="98"/>
        <v>1816.87</v>
      </c>
      <c r="Y307" s="228">
        <f t="shared" si="98"/>
        <v>0</v>
      </c>
      <c r="Z307" s="228">
        <f t="shared" si="98"/>
        <v>1247.14</v>
      </c>
      <c r="AA307" s="228">
        <f t="shared" si="98"/>
        <v>0</v>
      </c>
      <c r="AB307" s="228">
        <f t="shared" si="98"/>
        <v>609.81</v>
      </c>
      <c r="AC307" s="228">
        <f t="shared" si="98"/>
        <v>0</v>
      </c>
      <c r="AD307" s="228">
        <f t="shared" si="98"/>
        <v>271.14</v>
      </c>
      <c r="AE307" s="228">
        <f t="shared" si="98"/>
        <v>0</v>
      </c>
      <c r="AF307" s="228">
        <f t="shared" si="98"/>
        <v>0</v>
      </c>
      <c r="AG307" s="93">
        <f t="shared" si="99"/>
        <v>29573.01</v>
      </c>
    </row>
    <row r="308">
      <c r="A308" s="166"/>
      <c r="B308" s="177"/>
      <c r="C308" s="177"/>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c r="AA308" s="177"/>
      <c r="AB308" s="177"/>
      <c r="AC308" s="177"/>
      <c r="AD308" s="177"/>
      <c r="AE308" s="177"/>
      <c r="AF308" s="177"/>
      <c r="AG308" s="196"/>
    </row>
    <row r="309">
      <c r="A309" s="215" t="s">
        <v>308</v>
      </c>
      <c r="B309" s="197">
        <v>0.0</v>
      </c>
      <c r="C309" s="197">
        <v>0.0</v>
      </c>
      <c r="D309" s="197">
        <v>0.0</v>
      </c>
      <c r="E309" s="197">
        <v>0.0</v>
      </c>
      <c r="F309" s="197">
        <v>0.0</v>
      </c>
      <c r="G309" s="197">
        <v>0.0</v>
      </c>
      <c r="H309" s="197">
        <v>0.0</v>
      </c>
      <c r="I309" s="197">
        <v>0.0</v>
      </c>
      <c r="J309" s="197">
        <v>0.0</v>
      </c>
      <c r="K309" s="197">
        <v>0.0</v>
      </c>
      <c r="L309" s="197">
        <v>0.0</v>
      </c>
      <c r="M309" s="197">
        <v>0.0</v>
      </c>
      <c r="N309" s="197">
        <v>0.0</v>
      </c>
      <c r="O309" s="197">
        <v>0.0</v>
      </c>
      <c r="P309" s="197">
        <v>0.0</v>
      </c>
      <c r="Q309" s="197">
        <v>0.0</v>
      </c>
      <c r="R309" s="197">
        <v>0.0</v>
      </c>
      <c r="S309" s="197">
        <v>0.0</v>
      </c>
      <c r="T309" s="197">
        <v>0.0</v>
      </c>
      <c r="U309" s="197">
        <v>0.0</v>
      </c>
      <c r="V309" s="197">
        <v>0.0</v>
      </c>
      <c r="W309" s="197">
        <v>0.0</v>
      </c>
      <c r="X309" s="197">
        <v>0.0</v>
      </c>
      <c r="Y309" s="197">
        <v>0.0</v>
      </c>
      <c r="Z309" s="197">
        <v>0.0</v>
      </c>
      <c r="AA309" s="197">
        <v>0.0</v>
      </c>
      <c r="AB309" s="197">
        <v>0.0</v>
      </c>
      <c r="AC309" s="197">
        <v>0.0</v>
      </c>
      <c r="AD309" s="197">
        <v>0.0</v>
      </c>
      <c r="AE309" s="197">
        <v>0.0</v>
      </c>
      <c r="AF309" s="197">
        <v>0.0</v>
      </c>
      <c r="AG309" s="93">
        <f t="shared" ref="AG309:AG312" si="100">SUM(B309:AF309)</f>
        <v>0</v>
      </c>
    </row>
    <row r="310">
      <c r="A310" s="215" t="s">
        <v>309</v>
      </c>
      <c r="B310" s="197">
        <v>0.0</v>
      </c>
      <c r="C310" s="197">
        <v>0.0</v>
      </c>
      <c r="D310" s="197">
        <v>0.0</v>
      </c>
      <c r="E310" s="197">
        <v>0.0</v>
      </c>
      <c r="F310" s="197">
        <v>0.0</v>
      </c>
      <c r="G310" s="197">
        <v>0.0</v>
      </c>
      <c r="H310" s="197">
        <v>0.0</v>
      </c>
      <c r="I310" s="197">
        <v>0.0</v>
      </c>
      <c r="J310" s="197">
        <v>0.0</v>
      </c>
      <c r="K310" s="197">
        <v>0.0</v>
      </c>
      <c r="L310" s="197">
        <v>0.0</v>
      </c>
      <c r="M310" s="197">
        <v>0.0</v>
      </c>
      <c r="N310" s="197">
        <v>0.0</v>
      </c>
      <c r="O310" s="197">
        <v>0.0</v>
      </c>
      <c r="P310" s="197">
        <v>0.0</v>
      </c>
      <c r="Q310" s="197">
        <v>0.0</v>
      </c>
      <c r="R310" s="197">
        <v>0.0</v>
      </c>
      <c r="S310" s="197">
        <v>0.0</v>
      </c>
      <c r="T310" s="197">
        <v>0.0</v>
      </c>
      <c r="U310" s="197">
        <v>0.0</v>
      </c>
      <c r="V310" s="197">
        <v>0.0</v>
      </c>
      <c r="W310" s="197">
        <v>0.0</v>
      </c>
      <c r="X310" s="197">
        <v>0.0</v>
      </c>
      <c r="Y310" s="197">
        <v>0.0</v>
      </c>
      <c r="Z310" s="197">
        <v>0.0</v>
      </c>
      <c r="AA310" s="197">
        <v>0.0</v>
      </c>
      <c r="AB310" s="197">
        <v>0.0</v>
      </c>
      <c r="AC310" s="197">
        <v>0.0</v>
      </c>
      <c r="AD310" s="197">
        <v>0.0</v>
      </c>
      <c r="AE310" s="197">
        <v>0.0</v>
      </c>
      <c r="AF310" s="197">
        <v>0.0</v>
      </c>
      <c r="AG310" s="93">
        <f t="shared" si="100"/>
        <v>0</v>
      </c>
    </row>
    <row r="311">
      <c r="A311" s="215" t="s">
        <v>310</v>
      </c>
      <c r="B311" s="197">
        <f t="shared" ref="B311:AF311" si="101">B309*0.22</f>
        <v>0</v>
      </c>
      <c r="C311" s="197">
        <f t="shared" si="101"/>
        <v>0</v>
      </c>
      <c r="D311" s="197">
        <f t="shared" si="101"/>
        <v>0</v>
      </c>
      <c r="E311" s="197">
        <f t="shared" si="101"/>
        <v>0</v>
      </c>
      <c r="F311" s="197">
        <f t="shared" si="101"/>
        <v>0</v>
      </c>
      <c r="G311" s="197">
        <f t="shared" si="101"/>
        <v>0</v>
      </c>
      <c r="H311" s="197">
        <f t="shared" si="101"/>
        <v>0</v>
      </c>
      <c r="I311" s="197">
        <f t="shared" si="101"/>
        <v>0</v>
      </c>
      <c r="J311" s="197">
        <f t="shared" si="101"/>
        <v>0</v>
      </c>
      <c r="K311" s="197">
        <f t="shared" si="101"/>
        <v>0</v>
      </c>
      <c r="L311" s="197">
        <f t="shared" si="101"/>
        <v>0</v>
      </c>
      <c r="M311" s="197">
        <f t="shared" si="101"/>
        <v>0</v>
      </c>
      <c r="N311" s="197">
        <f t="shared" si="101"/>
        <v>0</v>
      </c>
      <c r="O311" s="197">
        <f t="shared" si="101"/>
        <v>0</v>
      </c>
      <c r="P311" s="197">
        <f t="shared" si="101"/>
        <v>0</v>
      </c>
      <c r="Q311" s="197">
        <f t="shared" si="101"/>
        <v>0</v>
      </c>
      <c r="R311" s="197">
        <f t="shared" si="101"/>
        <v>0</v>
      </c>
      <c r="S311" s="197">
        <f t="shared" si="101"/>
        <v>0</v>
      </c>
      <c r="T311" s="197">
        <f t="shared" si="101"/>
        <v>0</v>
      </c>
      <c r="U311" s="197">
        <f t="shared" si="101"/>
        <v>0</v>
      </c>
      <c r="V311" s="197">
        <f t="shared" si="101"/>
        <v>0</v>
      </c>
      <c r="W311" s="197">
        <f t="shared" si="101"/>
        <v>0</v>
      </c>
      <c r="X311" s="197">
        <f t="shared" si="101"/>
        <v>0</v>
      </c>
      <c r="Y311" s="197">
        <f t="shared" si="101"/>
        <v>0</v>
      </c>
      <c r="Z311" s="197">
        <f t="shared" si="101"/>
        <v>0</v>
      </c>
      <c r="AA311" s="197">
        <f t="shared" si="101"/>
        <v>0</v>
      </c>
      <c r="AB311" s="197">
        <f t="shared" si="101"/>
        <v>0</v>
      </c>
      <c r="AC311" s="197">
        <f t="shared" si="101"/>
        <v>0</v>
      </c>
      <c r="AD311" s="197">
        <f t="shared" si="101"/>
        <v>0</v>
      </c>
      <c r="AE311" s="197">
        <f t="shared" si="101"/>
        <v>0</v>
      </c>
      <c r="AF311" s="197">
        <f t="shared" si="101"/>
        <v>0</v>
      </c>
      <c r="AG311" s="93">
        <f t="shared" si="100"/>
        <v>0</v>
      </c>
    </row>
    <row r="312">
      <c r="A312" s="227" t="s">
        <v>311</v>
      </c>
      <c r="B312" s="228">
        <f t="shared" ref="B312:AF312" si="102">B309+B310</f>
        <v>0</v>
      </c>
      <c r="C312" s="228">
        <f t="shared" si="102"/>
        <v>0</v>
      </c>
      <c r="D312" s="228">
        <f t="shared" si="102"/>
        <v>0</v>
      </c>
      <c r="E312" s="228">
        <f t="shared" si="102"/>
        <v>0</v>
      </c>
      <c r="F312" s="228">
        <f t="shared" si="102"/>
        <v>0</v>
      </c>
      <c r="G312" s="228">
        <f t="shared" si="102"/>
        <v>0</v>
      </c>
      <c r="H312" s="228">
        <f t="shared" si="102"/>
        <v>0</v>
      </c>
      <c r="I312" s="228">
        <f t="shared" si="102"/>
        <v>0</v>
      </c>
      <c r="J312" s="228">
        <f t="shared" si="102"/>
        <v>0</v>
      </c>
      <c r="K312" s="228">
        <f t="shared" si="102"/>
        <v>0</v>
      </c>
      <c r="L312" s="228">
        <f t="shared" si="102"/>
        <v>0</v>
      </c>
      <c r="M312" s="228">
        <f t="shared" si="102"/>
        <v>0</v>
      </c>
      <c r="N312" s="228">
        <f t="shared" si="102"/>
        <v>0</v>
      </c>
      <c r="O312" s="228">
        <f t="shared" si="102"/>
        <v>0</v>
      </c>
      <c r="P312" s="228">
        <f t="shared" si="102"/>
        <v>0</v>
      </c>
      <c r="Q312" s="228">
        <f t="shared" si="102"/>
        <v>0</v>
      </c>
      <c r="R312" s="228">
        <f t="shared" si="102"/>
        <v>0</v>
      </c>
      <c r="S312" s="228">
        <f t="shared" si="102"/>
        <v>0</v>
      </c>
      <c r="T312" s="228">
        <f t="shared" si="102"/>
        <v>0</v>
      </c>
      <c r="U312" s="228">
        <f t="shared" si="102"/>
        <v>0</v>
      </c>
      <c r="V312" s="228">
        <f t="shared" si="102"/>
        <v>0</v>
      </c>
      <c r="W312" s="228">
        <f t="shared" si="102"/>
        <v>0</v>
      </c>
      <c r="X312" s="228">
        <f t="shared" si="102"/>
        <v>0</v>
      </c>
      <c r="Y312" s="228">
        <f t="shared" si="102"/>
        <v>0</v>
      </c>
      <c r="Z312" s="228">
        <f t="shared" si="102"/>
        <v>0</v>
      </c>
      <c r="AA312" s="228">
        <f t="shared" si="102"/>
        <v>0</v>
      </c>
      <c r="AB312" s="228">
        <f t="shared" si="102"/>
        <v>0</v>
      </c>
      <c r="AC312" s="228">
        <f t="shared" si="102"/>
        <v>0</v>
      </c>
      <c r="AD312" s="228">
        <f t="shared" si="102"/>
        <v>0</v>
      </c>
      <c r="AE312" s="228">
        <f t="shared" si="102"/>
        <v>0</v>
      </c>
      <c r="AF312" s="228">
        <f t="shared" si="102"/>
        <v>0</v>
      </c>
      <c r="AG312" s="93">
        <f t="shared" si="100"/>
        <v>0</v>
      </c>
    </row>
    <row r="313">
      <c r="A313" s="229"/>
      <c r="T313" s="177"/>
      <c r="U313" s="177"/>
      <c r="V313" s="177"/>
      <c r="W313" s="177"/>
      <c r="X313" s="177"/>
      <c r="Y313" s="177"/>
      <c r="Z313" s="177"/>
      <c r="AA313" s="177"/>
      <c r="AB313" s="177"/>
      <c r="AC313" s="177"/>
      <c r="AD313" s="177"/>
      <c r="AE313" s="177"/>
      <c r="AF313" s="177"/>
      <c r="AG313" s="209"/>
    </row>
    <row r="314">
      <c r="A314" s="229"/>
      <c r="T314" s="177"/>
      <c r="U314" s="177"/>
      <c r="V314" s="177"/>
      <c r="W314" s="177"/>
      <c r="X314" s="177"/>
      <c r="Y314" s="177"/>
      <c r="Z314" s="177"/>
      <c r="AA314" s="177"/>
      <c r="AB314" s="177"/>
      <c r="AC314" s="177"/>
      <c r="AD314" s="177"/>
      <c r="AE314" s="177"/>
      <c r="AF314" s="177"/>
      <c r="AG314" s="209"/>
    </row>
    <row r="315">
      <c r="A315" s="145" t="s">
        <v>312</v>
      </c>
      <c r="B315" s="170"/>
      <c r="C315" s="170"/>
      <c r="D315" s="170"/>
      <c r="E315" s="170"/>
      <c r="F315" s="170"/>
      <c r="G315" s="170"/>
      <c r="H315" s="170"/>
      <c r="I315" s="170"/>
      <c r="J315" s="170"/>
      <c r="K315" s="170"/>
      <c r="L315" s="170"/>
      <c r="M315" s="170"/>
      <c r="N315" s="170"/>
      <c r="O315" s="170"/>
      <c r="P315" s="170"/>
      <c r="Q315" s="170"/>
      <c r="R315" s="170"/>
      <c r="S315" s="170"/>
      <c r="T315" s="230"/>
      <c r="U315" s="230"/>
      <c r="V315" s="230"/>
      <c r="W315" s="230"/>
      <c r="X315" s="230"/>
      <c r="Y315" s="230"/>
      <c r="Z315" s="230"/>
      <c r="AA315" s="230"/>
      <c r="AB315" s="230"/>
      <c r="AC315" s="230"/>
      <c r="AD315" s="230"/>
      <c r="AE315" s="230"/>
      <c r="AF315" s="230"/>
      <c r="AG315" s="209"/>
    </row>
    <row r="316">
      <c r="A316" s="215" t="s">
        <v>207</v>
      </c>
      <c r="B316" s="231"/>
      <c r="C316" s="231"/>
      <c r="D316" s="231"/>
      <c r="E316" s="231"/>
      <c r="F316" s="231"/>
      <c r="G316" s="231"/>
      <c r="H316" s="231"/>
      <c r="I316" s="231"/>
      <c r="J316" s="231"/>
      <c r="K316" s="231"/>
      <c r="L316" s="231"/>
      <c r="M316" s="231"/>
      <c r="N316" s="231"/>
      <c r="O316" s="231"/>
      <c r="P316" s="231"/>
      <c r="Q316" s="231"/>
      <c r="R316" s="231"/>
      <c r="S316" s="231"/>
      <c r="T316" s="231"/>
      <c r="U316" s="231"/>
      <c r="V316" s="231"/>
      <c r="W316" s="231"/>
      <c r="X316" s="231"/>
      <c r="Y316" s="231"/>
      <c r="Z316" s="231"/>
      <c r="AA316" s="231"/>
      <c r="AB316" s="231"/>
      <c r="AC316" s="231"/>
      <c r="AD316" s="231"/>
      <c r="AE316" s="231"/>
      <c r="AF316" s="231"/>
      <c r="AG316" s="152"/>
    </row>
    <row r="317" outlineLevel="1">
      <c r="A317" s="215" t="s">
        <v>313</v>
      </c>
      <c r="B317" s="160">
        <v>0.0</v>
      </c>
      <c r="C317" s="160">
        <v>0.0</v>
      </c>
      <c r="D317" s="160">
        <v>0.0</v>
      </c>
      <c r="E317" s="160">
        <v>0.0</v>
      </c>
      <c r="F317" s="160">
        <v>0.0</v>
      </c>
      <c r="G317" s="160">
        <v>0.0</v>
      </c>
      <c r="H317" s="160">
        <v>0.0</v>
      </c>
      <c r="I317" s="160">
        <v>0.0</v>
      </c>
      <c r="J317" s="160">
        <v>0.0</v>
      </c>
      <c r="K317" s="160">
        <v>0.0</v>
      </c>
      <c r="L317" s="160">
        <v>0.0</v>
      </c>
      <c r="M317" s="160">
        <v>0.0</v>
      </c>
      <c r="N317" s="160">
        <v>0.0</v>
      </c>
      <c r="O317" s="160">
        <v>0.0</v>
      </c>
      <c r="P317" s="160">
        <v>1.0</v>
      </c>
      <c r="Q317" s="160">
        <v>1.0</v>
      </c>
      <c r="R317" s="160">
        <v>0.0</v>
      </c>
      <c r="S317" s="160">
        <v>0.0</v>
      </c>
      <c r="T317" s="160">
        <v>0.0</v>
      </c>
      <c r="U317" s="160">
        <v>0.0</v>
      </c>
      <c r="V317" s="160">
        <v>0.0</v>
      </c>
      <c r="W317" s="160">
        <v>0.0</v>
      </c>
      <c r="X317" s="160">
        <v>4.0</v>
      </c>
      <c r="Y317" s="160">
        <v>0.0</v>
      </c>
      <c r="Z317" s="160">
        <v>0.0</v>
      </c>
      <c r="AA317" s="160">
        <v>0.0</v>
      </c>
      <c r="AB317" s="160">
        <v>0.0</v>
      </c>
      <c r="AC317" s="160">
        <v>0.0</v>
      </c>
      <c r="AD317" s="160">
        <v>0.0</v>
      </c>
      <c r="AE317" s="160">
        <v>0.0</v>
      </c>
      <c r="AF317" s="160">
        <v>0.0</v>
      </c>
      <c r="AG317" s="93">
        <f t="shared" ref="AG317:AG322" si="103">SUM(B317:AF317)</f>
        <v>6</v>
      </c>
    </row>
    <row r="318" outlineLevel="1">
      <c r="A318" s="215" t="s">
        <v>314</v>
      </c>
      <c r="B318" s="160">
        <v>0.0</v>
      </c>
      <c r="C318" s="160">
        <v>0.0</v>
      </c>
      <c r="D318" s="160">
        <v>0.0</v>
      </c>
      <c r="E318" s="160">
        <v>0.0</v>
      </c>
      <c r="F318" s="160">
        <v>0.0</v>
      </c>
      <c r="G318" s="160">
        <v>0.0</v>
      </c>
      <c r="H318" s="160">
        <v>0.0</v>
      </c>
      <c r="I318" s="160">
        <v>0.0</v>
      </c>
      <c r="J318" s="160">
        <v>0.0</v>
      </c>
      <c r="K318" s="160">
        <v>0.0</v>
      </c>
      <c r="L318" s="160">
        <v>0.0</v>
      </c>
      <c r="M318" s="160">
        <v>0.0</v>
      </c>
      <c r="N318" s="160">
        <v>0.0</v>
      </c>
      <c r="O318" s="160">
        <v>0.0</v>
      </c>
      <c r="P318" s="160">
        <v>0.0</v>
      </c>
      <c r="Q318" s="160">
        <v>0.0</v>
      </c>
      <c r="R318" s="160">
        <v>0.0</v>
      </c>
      <c r="S318" s="160">
        <v>0.0</v>
      </c>
      <c r="T318" s="160">
        <v>0.0</v>
      </c>
      <c r="U318" s="160">
        <v>0.0</v>
      </c>
      <c r="V318" s="160">
        <v>0.0</v>
      </c>
      <c r="W318" s="160">
        <v>0.0</v>
      </c>
      <c r="X318" s="160">
        <v>2.0</v>
      </c>
      <c r="Y318" s="160">
        <v>0.0</v>
      </c>
      <c r="Z318" s="160">
        <v>0.0</v>
      </c>
      <c r="AA318" s="160">
        <v>0.0</v>
      </c>
      <c r="AB318" s="160">
        <v>0.0</v>
      </c>
      <c r="AC318" s="160">
        <v>0.0</v>
      </c>
      <c r="AD318" s="160">
        <v>0.0</v>
      </c>
      <c r="AE318" s="160">
        <v>0.0</v>
      </c>
      <c r="AF318" s="160">
        <v>0.0</v>
      </c>
      <c r="AG318" s="93">
        <f t="shared" si="103"/>
        <v>2</v>
      </c>
    </row>
    <row r="319" outlineLevel="1">
      <c r="A319" s="215" t="s">
        <v>315</v>
      </c>
      <c r="B319" s="160">
        <v>0.0</v>
      </c>
      <c r="C319" s="160">
        <v>0.0</v>
      </c>
      <c r="D319" s="84">
        <v>0.0</v>
      </c>
      <c r="E319" s="160">
        <v>0.0</v>
      </c>
      <c r="F319" s="160">
        <v>0.0</v>
      </c>
      <c r="G319" s="160">
        <v>0.0</v>
      </c>
      <c r="H319" s="160">
        <v>7.0</v>
      </c>
      <c r="I319" s="160">
        <v>0.0</v>
      </c>
      <c r="J319" s="160">
        <v>0.0</v>
      </c>
      <c r="K319" s="160">
        <v>0.0</v>
      </c>
      <c r="L319" s="160">
        <v>0.0</v>
      </c>
      <c r="M319" s="160">
        <v>0.0</v>
      </c>
      <c r="N319" s="160">
        <v>0.0</v>
      </c>
      <c r="O319" s="160">
        <v>1.0</v>
      </c>
      <c r="P319" s="160">
        <v>1.0</v>
      </c>
      <c r="Q319" s="160">
        <v>2.0</v>
      </c>
      <c r="R319" s="160">
        <v>0.0</v>
      </c>
      <c r="S319" s="160">
        <v>1.0</v>
      </c>
      <c r="T319" s="160">
        <v>0.0</v>
      </c>
      <c r="U319" s="160">
        <v>1.0</v>
      </c>
      <c r="V319" s="160">
        <v>0.0</v>
      </c>
      <c r="W319" s="160">
        <v>1.0</v>
      </c>
      <c r="X319" s="160">
        <v>10.0</v>
      </c>
      <c r="Y319" s="160">
        <v>0.0</v>
      </c>
      <c r="Z319" s="160">
        <v>0.0</v>
      </c>
      <c r="AA319" s="160">
        <v>1.0</v>
      </c>
      <c r="AB319" s="160">
        <v>1.0</v>
      </c>
      <c r="AC319" s="160">
        <v>1.0</v>
      </c>
      <c r="AD319" s="160">
        <v>2.0</v>
      </c>
      <c r="AE319" s="160">
        <v>1.0</v>
      </c>
      <c r="AF319" s="160">
        <v>0.0</v>
      </c>
      <c r="AG319" s="93">
        <f t="shared" si="103"/>
        <v>30</v>
      </c>
    </row>
    <row r="320" outlineLevel="1">
      <c r="A320" s="215" t="s">
        <v>316</v>
      </c>
      <c r="B320" s="160">
        <v>0.0</v>
      </c>
      <c r="C320" s="160">
        <v>0.0</v>
      </c>
      <c r="D320" s="84">
        <v>1.0</v>
      </c>
      <c r="E320" s="160">
        <v>0.0</v>
      </c>
      <c r="F320" s="160">
        <v>0.0</v>
      </c>
      <c r="G320" s="160">
        <v>0.0</v>
      </c>
      <c r="H320" s="160">
        <v>0.0</v>
      </c>
      <c r="I320" s="160">
        <v>0.0</v>
      </c>
      <c r="J320" s="160">
        <v>0.0</v>
      </c>
      <c r="K320" s="160">
        <v>0.0</v>
      </c>
      <c r="L320" s="160">
        <v>0.0</v>
      </c>
      <c r="M320" s="160">
        <v>0.0</v>
      </c>
      <c r="N320" s="160">
        <v>0.0</v>
      </c>
      <c r="O320" s="160">
        <v>0.0</v>
      </c>
      <c r="P320" s="160">
        <v>0.0</v>
      </c>
      <c r="Q320" s="160">
        <v>0.0</v>
      </c>
      <c r="R320" s="160">
        <v>0.0</v>
      </c>
      <c r="S320" s="160">
        <v>0.0</v>
      </c>
      <c r="T320" s="160">
        <v>0.0</v>
      </c>
      <c r="U320" s="160">
        <v>0.0</v>
      </c>
      <c r="V320" s="160">
        <v>0.0</v>
      </c>
      <c r="W320" s="160">
        <v>0.0</v>
      </c>
      <c r="X320" s="160">
        <v>0.0</v>
      </c>
      <c r="Y320" s="160">
        <v>0.0</v>
      </c>
      <c r="Z320" s="160">
        <v>0.0</v>
      </c>
      <c r="AA320" s="160">
        <v>0.0</v>
      </c>
      <c r="AB320" s="160">
        <v>0.0</v>
      </c>
      <c r="AC320" s="160">
        <v>0.0</v>
      </c>
      <c r="AD320" s="160">
        <v>0.0</v>
      </c>
      <c r="AE320" s="160">
        <v>0.0</v>
      </c>
      <c r="AF320" s="160">
        <v>0.0</v>
      </c>
      <c r="AG320" s="93">
        <f t="shared" si="103"/>
        <v>1</v>
      </c>
    </row>
    <row r="321" outlineLevel="1">
      <c r="A321" s="215" t="s">
        <v>317</v>
      </c>
      <c r="B321" s="84">
        <v>0.0</v>
      </c>
      <c r="C321" s="84">
        <v>0.0</v>
      </c>
      <c r="D321" s="84">
        <v>0.0</v>
      </c>
      <c r="E321" s="84">
        <v>0.0</v>
      </c>
      <c r="F321" s="84">
        <v>0.0</v>
      </c>
      <c r="G321" s="84">
        <v>0.0</v>
      </c>
      <c r="H321" s="84">
        <v>0.0</v>
      </c>
      <c r="I321" s="84">
        <v>0.0</v>
      </c>
      <c r="J321" s="84">
        <v>0.0</v>
      </c>
      <c r="K321" s="155">
        <v>0.0</v>
      </c>
      <c r="L321" s="155">
        <v>0.0</v>
      </c>
      <c r="M321" s="155">
        <v>0.0</v>
      </c>
      <c r="N321" s="155">
        <v>0.0</v>
      </c>
      <c r="O321" s="84">
        <v>0.0</v>
      </c>
      <c r="P321" s="84">
        <v>0.0</v>
      </c>
      <c r="Q321" s="84">
        <v>0.0</v>
      </c>
      <c r="R321" s="155">
        <v>0.0</v>
      </c>
      <c r="S321" s="84">
        <v>0.0</v>
      </c>
      <c r="T321" s="155">
        <v>0.0</v>
      </c>
      <c r="U321" s="84">
        <v>0.0</v>
      </c>
      <c r="V321" s="84">
        <v>0.0</v>
      </c>
      <c r="W321" s="84">
        <v>0.0</v>
      </c>
      <c r="X321" s="84">
        <v>0.0</v>
      </c>
      <c r="Y321" s="155">
        <v>0.0</v>
      </c>
      <c r="Z321" s="155">
        <v>0.0</v>
      </c>
      <c r="AA321" s="84">
        <v>0.0</v>
      </c>
      <c r="AB321" s="84">
        <v>0.0</v>
      </c>
      <c r="AC321" s="84">
        <v>0.0</v>
      </c>
      <c r="AD321" s="84">
        <v>0.0</v>
      </c>
      <c r="AE321" s="84">
        <v>0.0</v>
      </c>
      <c r="AF321" s="84">
        <v>0.0</v>
      </c>
      <c r="AG321" s="93">
        <f t="shared" si="103"/>
        <v>0</v>
      </c>
    </row>
    <row r="322" outlineLevel="1">
      <c r="A322" s="215" t="s">
        <v>318</v>
      </c>
      <c r="B322" s="84">
        <v>0.0</v>
      </c>
      <c r="C322" s="84">
        <v>0.0</v>
      </c>
      <c r="D322" s="84">
        <v>0.0</v>
      </c>
      <c r="E322" s="84">
        <v>0.0</v>
      </c>
      <c r="F322" s="84">
        <v>0.0</v>
      </c>
      <c r="G322" s="84">
        <v>0.0</v>
      </c>
      <c r="H322" s="84">
        <v>0.0</v>
      </c>
      <c r="I322" s="84">
        <v>0.0</v>
      </c>
      <c r="J322" s="84">
        <v>0.0</v>
      </c>
      <c r="K322" s="155">
        <v>0.0</v>
      </c>
      <c r="L322" s="155">
        <v>0.0</v>
      </c>
      <c r="M322" s="155">
        <v>0.0</v>
      </c>
      <c r="N322" s="155">
        <v>0.0</v>
      </c>
      <c r="O322" s="84">
        <v>0.0</v>
      </c>
      <c r="P322" s="84">
        <v>0.0</v>
      </c>
      <c r="Q322" s="84">
        <v>0.0</v>
      </c>
      <c r="R322" s="155">
        <v>0.0</v>
      </c>
      <c r="S322" s="84">
        <v>0.0</v>
      </c>
      <c r="T322" s="155">
        <v>0.0</v>
      </c>
      <c r="U322" s="84">
        <v>0.0</v>
      </c>
      <c r="V322" s="84">
        <v>0.0</v>
      </c>
      <c r="W322" s="84">
        <v>0.0</v>
      </c>
      <c r="X322" s="84">
        <v>0.0</v>
      </c>
      <c r="Y322" s="155">
        <v>0.0</v>
      </c>
      <c r="Z322" s="155">
        <v>0.0</v>
      </c>
      <c r="AA322" s="84">
        <v>0.0</v>
      </c>
      <c r="AB322" s="84">
        <v>0.0</v>
      </c>
      <c r="AC322" s="84">
        <v>0.0</v>
      </c>
      <c r="AD322" s="84">
        <v>0.0</v>
      </c>
      <c r="AE322" s="84">
        <v>0.0</v>
      </c>
      <c r="AF322" s="84">
        <v>0.0</v>
      </c>
      <c r="AG322" s="93">
        <f t="shared" si="103"/>
        <v>0</v>
      </c>
    </row>
    <row r="323">
      <c r="A323" s="215" t="s">
        <v>214</v>
      </c>
      <c r="B323" s="231"/>
      <c r="C323" s="231"/>
      <c r="D323" s="231"/>
      <c r="E323" s="231"/>
      <c r="F323" s="231"/>
      <c r="G323" s="231"/>
      <c r="H323" s="231"/>
      <c r="I323" s="231"/>
      <c r="J323" s="231"/>
      <c r="K323" s="231"/>
      <c r="L323" s="231"/>
      <c r="M323" s="231"/>
      <c r="N323" s="231"/>
      <c r="O323" s="231"/>
      <c r="P323" s="231"/>
      <c r="Q323" s="231"/>
      <c r="R323" s="231"/>
      <c r="S323" s="231"/>
      <c r="T323" s="231"/>
      <c r="U323" s="231"/>
      <c r="V323" s="231"/>
      <c r="W323" s="231"/>
      <c r="X323" s="231"/>
      <c r="Y323" s="231"/>
      <c r="Z323" s="231"/>
      <c r="AA323" s="231"/>
      <c r="AB323" s="231"/>
      <c r="AC323" s="231"/>
      <c r="AD323" s="231"/>
      <c r="AE323" s="231"/>
      <c r="AF323" s="231"/>
      <c r="AG323" s="152"/>
    </row>
    <row r="324" outlineLevel="1">
      <c r="A324" s="215" t="s">
        <v>319</v>
      </c>
      <c r="B324" s="160">
        <v>0.0</v>
      </c>
      <c r="C324" s="160">
        <v>0.0</v>
      </c>
      <c r="D324" s="160">
        <v>0.0</v>
      </c>
      <c r="E324" s="160">
        <v>0.0</v>
      </c>
      <c r="F324" s="160">
        <v>0.0</v>
      </c>
      <c r="G324" s="160">
        <v>0.0</v>
      </c>
      <c r="H324" s="160">
        <v>0.0</v>
      </c>
      <c r="I324" s="160">
        <v>0.0</v>
      </c>
      <c r="J324" s="160">
        <v>0.0</v>
      </c>
      <c r="K324" s="160">
        <v>0.0</v>
      </c>
      <c r="L324" s="160">
        <v>0.0</v>
      </c>
      <c r="M324" s="160">
        <v>0.0</v>
      </c>
      <c r="N324" s="160">
        <v>0.0</v>
      </c>
      <c r="O324" s="160">
        <v>0.0</v>
      </c>
      <c r="P324" s="160">
        <v>0.0</v>
      </c>
      <c r="Q324" s="160">
        <v>0.0</v>
      </c>
      <c r="R324" s="160">
        <v>0.0</v>
      </c>
      <c r="S324" s="160">
        <v>0.0</v>
      </c>
      <c r="T324" s="160">
        <v>0.0</v>
      </c>
      <c r="U324" s="160">
        <v>0.0</v>
      </c>
      <c r="V324" s="160">
        <v>0.0</v>
      </c>
      <c r="W324" s="160">
        <v>0.0</v>
      </c>
      <c r="X324" s="160">
        <v>0.0</v>
      </c>
      <c r="Y324" s="160">
        <v>0.0</v>
      </c>
      <c r="Z324" s="160">
        <v>0.0</v>
      </c>
      <c r="AA324" s="160">
        <v>0.0</v>
      </c>
      <c r="AB324" s="160">
        <v>0.0</v>
      </c>
      <c r="AC324" s="160">
        <v>0.0</v>
      </c>
      <c r="AD324" s="160">
        <v>0.0</v>
      </c>
      <c r="AE324" s="160">
        <v>0.0</v>
      </c>
      <c r="AF324" s="160">
        <v>0.0</v>
      </c>
      <c r="AG324" s="93">
        <f t="shared" ref="AG324:AG331" si="104">SUM(B324:AF324)</f>
        <v>0</v>
      </c>
    </row>
    <row r="325" outlineLevel="1">
      <c r="A325" s="215" t="s">
        <v>320</v>
      </c>
      <c r="B325" s="160">
        <v>0.0</v>
      </c>
      <c r="C325" s="160">
        <v>0.0</v>
      </c>
      <c r="D325" s="160">
        <v>0.0</v>
      </c>
      <c r="E325" s="160">
        <v>0.0</v>
      </c>
      <c r="F325" s="160">
        <v>0.0</v>
      </c>
      <c r="G325" s="160">
        <v>0.0</v>
      </c>
      <c r="H325" s="160">
        <v>0.0</v>
      </c>
      <c r="I325" s="160">
        <v>0.0</v>
      </c>
      <c r="J325" s="160">
        <v>0.0</v>
      </c>
      <c r="K325" s="160">
        <v>0.0</v>
      </c>
      <c r="L325" s="160">
        <v>0.0</v>
      </c>
      <c r="M325" s="160">
        <v>0.0</v>
      </c>
      <c r="N325" s="160">
        <v>0.0</v>
      </c>
      <c r="O325" s="160">
        <v>0.0</v>
      </c>
      <c r="P325" s="160">
        <v>0.0</v>
      </c>
      <c r="Q325" s="160">
        <v>0.0</v>
      </c>
      <c r="R325" s="160">
        <v>0.0</v>
      </c>
      <c r="S325" s="160">
        <v>0.0</v>
      </c>
      <c r="T325" s="160">
        <v>0.0</v>
      </c>
      <c r="U325" s="160">
        <v>0.0</v>
      </c>
      <c r="V325" s="160">
        <v>0.0</v>
      </c>
      <c r="W325" s="160">
        <v>0.0</v>
      </c>
      <c r="X325" s="160">
        <v>0.0</v>
      </c>
      <c r="Y325" s="160">
        <v>0.0</v>
      </c>
      <c r="Z325" s="160">
        <v>0.0</v>
      </c>
      <c r="AA325" s="160">
        <v>0.0</v>
      </c>
      <c r="AB325" s="160">
        <v>0.0</v>
      </c>
      <c r="AC325" s="160">
        <v>0.0</v>
      </c>
      <c r="AD325" s="160">
        <v>0.0</v>
      </c>
      <c r="AE325" s="160">
        <v>0.0</v>
      </c>
      <c r="AF325" s="160">
        <v>0.0</v>
      </c>
      <c r="AG325" s="93">
        <f t="shared" si="104"/>
        <v>0</v>
      </c>
    </row>
    <row r="326" outlineLevel="1">
      <c r="A326" s="215" t="s">
        <v>321</v>
      </c>
      <c r="B326" s="160">
        <v>0.0</v>
      </c>
      <c r="C326" s="160">
        <v>0.0</v>
      </c>
      <c r="D326" s="160">
        <v>0.0</v>
      </c>
      <c r="E326" s="160">
        <v>0.0</v>
      </c>
      <c r="F326" s="160">
        <v>0.0</v>
      </c>
      <c r="G326" s="160">
        <v>0.0</v>
      </c>
      <c r="H326" s="160">
        <v>0.0</v>
      </c>
      <c r="I326" s="160">
        <v>0.0</v>
      </c>
      <c r="J326" s="160">
        <v>0.0</v>
      </c>
      <c r="K326" s="160">
        <v>0.0</v>
      </c>
      <c r="L326" s="160">
        <v>0.0</v>
      </c>
      <c r="M326" s="160">
        <v>0.0</v>
      </c>
      <c r="N326" s="160">
        <v>0.0</v>
      </c>
      <c r="O326" s="160">
        <v>0.0</v>
      </c>
      <c r="P326" s="160">
        <v>0.0</v>
      </c>
      <c r="Q326" s="160">
        <v>0.0</v>
      </c>
      <c r="R326" s="160">
        <v>0.0</v>
      </c>
      <c r="S326" s="160">
        <v>0.0</v>
      </c>
      <c r="T326" s="160">
        <v>0.0</v>
      </c>
      <c r="U326" s="160">
        <v>0.0</v>
      </c>
      <c r="V326" s="160">
        <v>0.0</v>
      </c>
      <c r="W326" s="160">
        <v>0.0</v>
      </c>
      <c r="X326" s="160">
        <v>0.0</v>
      </c>
      <c r="Y326" s="160">
        <v>0.0</v>
      </c>
      <c r="Z326" s="160">
        <v>0.0</v>
      </c>
      <c r="AA326" s="160">
        <v>0.0</v>
      </c>
      <c r="AB326" s="160">
        <v>0.0</v>
      </c>
      <c r="AC326" s="160">
        <v>0.0</v>
      </c>
      <c r="AD326" s="160">
        <v>0.0</v>
      </c>
      <c r="AE326" s="160">
        <v>0.0</v>
      </c>
      <c r="AF326" s="160">
        <v>0.0</v>
      </c>
      <c r="AG326" s="93">
        <f t="shared" si="104"/>
        <v>0</v>
      </c>
    </row>
    <row r="327" outlineLevel="1">
      <c r="A327" s="215" t="s">
        <v>322</v>
      </c>
      <c r="B327" s="160">
        <v>0.0</v>
      </c>
      <c r="C327" s="160">
        <v>0.0</v>
      </c>
      <c r="D327" s="160">
        <v>0.0</v>
      </c>
      <c r="E327" s="160">
        <v>0.0</v>
      </c>
      <c r="F327" s="160">
        <v>0.0</v>
      </c>
      <c r="G327" s="160">
        <v>0.0</v>
      </c>
      <c r="H327" s="160">
        <v>0.0</v>
      </c>
      <c r="I327" s="160">
        <v>0.0</v>
      </c>
      <c r="J327" s="160">
        <v>0.0</v>
      </c>
      <c r="K327" s="160">
        <v>0.0</v>
      </c>
      <c r="L327" s="160">
        <v>0.0</v>
      </c>
      <c r="M327" s="160">
        <v>0.0</v>
      </c>
      <c r="N327" s="160">
        <v>0.0</v>
      </c>
      <c r="O327" s="160">
        <v>0.0</v>
      </c>
      <c r="P327" s="160">
        <v>0.0</v>
      </c>
      <c r="Q327" s="160">
        <v>0.0</v>
      </c>
      <c r="R327" s="160">
        <v>0.0</v>
      </c>
      <c r="S327" s="160">
        <v>0.0</v>
      </c>
      <c r="T327" s="160">
        <v>0.0</v>
      </c>
      <c r="U327" s="160">
        <v>0.0</v>
      </c>
      <c r="V327" s="160">
        <v>0.0</v>
      </c>
      <c r="W327" s="160">
        <v>0.0</v>
      </c>
      <c r="X327" s="160">
        <v>0.0</v>
      </c>
      <c r="Y327" s="160">
        <v>0.0</v>
      </c>
      <c r="Z327" s="160">
        <v>0.0</v>
      </c>
      <c r="AA327" s="160">
        <v>0.0</v>
      </c>
      <c r="AB327" s="160">
        <v>0.0</v>
      </c>
      <c r="AC327" s="160">
        <v>0.0</v>
      </c>
      <c r="AD327" s="160">
        <v>0.0</v>
      </c>
      <c r="AE327" s="160">
        <v>0.0</v>
      </c>
      <c r="AF327" s="160">
        <v>0.0</v>
      </c>
      <c r="AG327" s="93">
        <f t="shared" si="104"/>
        <v>0</v>
      </c>
    </row>
    <row r="328" outlineLevel="1">
      <c r="A328" s="215" t="s">
        <v>323</v>
      </c>
      <c r="B328" s="141">
        <v>0.0</v>
      </c>
      <c r="C328" s="84">
        <v>0.0</v>
      </c>
      <c r="D328" s="84">
        <v>0.0</v>
      </c>
      <c r="E328" s="84">
        <v>0.0</v>
      </c>
      <c r="F328" s="84">
        <v>0.0</v>
      </c>
      <c r="G328" s="84">
        <v>0.0</v>
      </c>
      <c r="H328" s="84">
        <v>0.0</v>
      </c>
      <c r="I328" s="84">
        <v>0.0</v>
      </c>
      <c r="J328" s="84">
        <v>0.0</v>
      </c>
      <c r="K328" s="84">
        <v>0.0</v>
      </c>
      <c r="L328" s="84">
        <v>0.0</v>
      </c>
      <c r="M328" s="84">
        <v>0.0</v>
      </c>
      <c r="N328" s="155">
        <v>0.0</v>
      </c>
      <c r="O328" s="155">
        <v>0.0</v>
      </c>
      <c r="P328" s="155">
        <v>0.0</v>
      </c>
      <c r="Q328" s="155">
        <v>0.0</v>
      </c>
      <c r="R328" s="155">
        <v>0.0</v>
      </c>
      <c r="S328" s="155">
        <v>0.0</v>
      </c>
      <c r="T328" s="155">
        <v>0.0</v>
      </c>
      <c r="U328" s="155">
        <v>0.0</v>
      </c>
      <c r="V328" s="155">
        <v>0.0</v>
      </c>
      <c r="W328" s="155">
        <v>0.0</v>
      </c>
      <c r="X328" s="155">
        <v>0.0</v>
      </c>
      <c r="Y328" s="155">
        <v>0.0</v>
      </c>
      <c r="Z328" s="155">
        <v>0.0</v>
      </c>
      <c r="AA328" s="155">
        <v>0.0</v>
      </c>
      <c r="AB328" s="155">
        <v>0.0</v>
      </c>
      <c r="AC328" s="155">
        <v>0.0</v>
      </c>
      <c r="AD328" s="155">
        <v>0.0</v>
      </c>
      <c r="AE328" s="155">
        <v>0.0</v>
      </c>
      <c r="AF328" s="155">
        <v>0.0</v>
      </c>
      <c r="AG328" s="93">
        <f t="shared" si="104"/>
        <v>0</v>
      </c>
    </row>
    <row r="329" outlineLevel="1">
      <c r="A329" s="215" t="s">
        <v>324</v>
      </c>
      <c r="B329" s="141">
        <v>0.0</v>
      </c>
      <c r="C329" s="84">
        <v>0.0</v>
      </c>
      <c r="D329" s="84">
        <v>0.0</v>
      </c>
      <c r="E329" s="84">
        <v>0.0</v>
      </c>
      <c r="F329" s="84">
        <v>0.0</v>
      </c>
      <c r="G329" s="84">
        <v>0.0</v>
      </c>
      <c r="H329" s="84">
        <v>0.0</v>
      </c>
      <c r="I329" s="84">
        <v>0.0</v>
      </c>
      <c r="J329" s="84">
        <v>0.0</v>
      </c>
      <c r="K329" s="84">
        <v>0.0</v>
      </c>
      <c r="L329" s="84">
        <v>0.0</v>
      </c>
      <c r="M329" s="84">
        <v>0.0</v>
      </c>
      <c r="N329" s="155">
        <v>0.0</v>
      </c>
      <c r="O329" s="155">
        <v>0.0</v>
      </c>
      <c r="P329" s="155">
        <v>0.0</v>
      </c>
      <c r="Q329" s="155">
        <v>0.0</v>
      </c>
      <c r="R329" s="155">
        <v>0.0</v>
      </c>
      <c r="S329" s="155">
        <v>0.0</v>
      </c>
      <c r="T329" s="155">
        <v>0.0</v>
      </c>
      <c r="U329" s="155">
        <v>0.0</v>
      </c>
      <c r="V329" s="155">
        <v>0.0</v>
      </c>
      <c r="W329" s="155">
        <v>0.0</v>
      </c>
      <c r="X329" s="155">
        <v>0.0</v>
      </c>
      <c r="Y329" s="155">
        <v>0.0</v>
      </c>
      <c r="Z329" s="155">
        <v>0.0</v>
      </c>
      <c r="AA329" s="155">
        <v>0.0</v>
      </c>
      <c r="AB329" s="155">
        <v>0.0</v>
      </c>
      <c r="AC329" s="155">
        <v>0.0</v>
      </c>
      <c r="AD329" s="155">
        <v>0.0</v>
      </c>
      <c r="AE329" s="155">
        <v>0.0</v>
      </c>
      <c r="AF329" s="155">
        <v>0.0</v>
      </c>
      <c r="AG329" s="93">
        <f t="shared" si="104"/>
        <v>0</v>
      </c>
    </row>
    <row r="330">
      <c r="A330" s="223" t="s">
        <v>221</v>
      </c>
      <c r="B330" s="224">
        <f t="shared" ref="B330:AF330" si="105">SUM(B317,B318,B324,B325,)</f>
        <v>0</v>
      </c>
      <c r="C330" s="224">
        <f t="shared" si="105"/>
        <v>0</v>
      </c>
      <c r="D330" s="224">
        <f t="shared" si="105"/>
        <v>0</v>
      </c>
      <c r="E330" s="224">
        <f t="shared" si="105"/>
        <v>0</v>
      </c>
      <c r="F330" s="224">
        <f t="shared" si="105"/>
        <v>0</v>
      </c>
      <c r="G330" s="224">
        <f t="shared" si="105"/>
        <v>0</v>
      </c>
      <c r="H330" s="224">
        <f t="shared" si="105"/>
        <v>0</v>
      </c>
      <c r="I330" s="224">
        <f t="shared" si="105"/>
        <v>0</v>
      </c>
      <c r="J330" s="224">
        <f t="shared" si="105"/>
        <v>0</v>
      </c>
      <c r="K330" s="224">
        <f t="shared" si="105"/>
        <v>0</v>
      </c>
      <c r="L330" s="224">
        <f t="shared" si="105"/>
        <v>0</v>
      </c>
      <c r="M330" s="224">
        <f t="shared" si="105"/>
        <v>0</v>
      </c>
      <c r="N330" s="224">
        <f t="shared" si="105"/>
        <v>0</v>
      </c>
      <c r="O330" s="224">
        <f t="shared" si="105"/>
        <v>0</v>
      </c>
      <c r="P330" s="224">
        <f t="shared" si="105"/>
        <v>1</v>
      </c>
      <c r="Q330" s="224">
        <f t="shared" si="105"/>
        <v>1</v>
      </c>
      <c r="R330" s="224">
        <f t="shared" si="105"/>
        <v>0</v>
      </c>
      <c r="S330" s="224">
        <f t="shared" si="105"/>
        <v>0</v>
      </c>
      <c r="T330" s="224">
        <f t="shared" si="105"/>
        <v>0</v>
      </c>
      <c r="U330" s="224">
        <f t="shared" si="105"/>
        <v>0</v>
      </c>
      <c r="V330" s="224">
        <f t="shared" si="105"/>
        <v>0</v>
      </c>
      <c r="W330" s="224">
        <f t="shared" si="105"/>
        <v>0</v>
      </c>
      <c r="X330" s="224">
        <f t="shared" si="105"/>
        <v>6</v>
      </c>
      <c r="Y330" s="224">
        <f t="shared" si="105"/>
        <v>0</v>
      </c>
      <c r="Z330" s="224">
        <f t="shared" si="105"/>
        <v>0</v>
      </c>
      <c r="AA330" s="224">
        <f t="shared" si="105"/>
        <v>0</v>
      </c>
      <c r="AB330" s="224">
        <f t="shared" si="105"/>
        <v>0</v>
      </c>
      <c r="AC330" s="224">
        <f t="shared" si="105"/>
        <v>0</v>
      </c>
      <c r="AD330" s="224">
        <f t="shared" si="105"/>
        <v>0</v>
      </c>
      <c r="AE330" s="224">
        <f t="shared" si="105"/>
        <v>0</v>
      </c>
      <c r="AF330" s="224">
        <f t="shared" si="105"/>
        <v>0</v>
      </c>
      <c r="AG330" s="93">
        <f t="shared" si="104"/>
        <v>8</v>
      </c>
    </row>
    <row r="331">
      <c r="A331" s="223" t="s">
        <v>222</v>
      </c>
      <c r="B331" s="224">
        <f t="shared" ref="B331:AF331" si="106">SUM(B319,B320,B326,B327,)</f>
        <v>0</v>
      </c>
      <c r="C331" s="224">
        <f t="shared" si="106"/>
        <v>0</v>
      </c>
      <c r="D331" s="224">
        <f t="shared" si="106"/>
        <v>1</v>
      </c>
      <c r="E331" s="224">
        <f t="shared" si="106"/>
        <v>0</v>
      </c>
      <c r="F331" s="224">
        <f t="shared" si="106"/>
        <v>0</v>
      </c>
      <c r="G331" s="224">
        <f t="shared" si="106"/>
        <v>0</v>
      </c>
      <c r="H331" s="224">
        <f t="shared" si="106"/>
        <v>7</v>
      </c>
      <c r="I331" s="224">
        <f t="shared" si="106"/>
        <v>0</v>
      </c>
      <c r="J331" s="224">
        <f t="shared" si="106"/>
        <v>0</v>
      </c>
      <c r="K331" s="224">
        <f t="shared" si="106"/>
        <v>0</v>
      </c>
      <c r="L331" s="224">
        <f t="shared" si="106"/>
        <v>0</v>
      </c>
      <c r="M331" s="224">
        <f t="shared" si="106"/>
        <v>0</v>
      </c>
      <c r="N331" s="224">
        <f t="shared" si="106"/>
        <v>0</v>
      </c>
      <c r="O331" s="224">
        <f t="shared" si="106"/>
        <v>1</v>
      </c>
      <c r="P331" s="224">
        <f t="shared" si="106"/>
        <v>1</v>
      </c>
      <c r="Q331" s="224">
        <f t="shared" si="106"/>
        <v>2</v>
      </c>
      <c r="R331" s="224">
        <f t="shared" si="106"/>
        <v>0</v>
      </c>
      <c r="S331" s="224">
        <f t="shared" si="106"/>
        <v>1</v>
      </c>
      <c r="T331" s="224">
        <f t="shared" si="106"/>
        <v>0</v>
      </c>
      <c r="U331" s="224">
        <f t="shared" si="106"/>
        <v>1</v>
      </c>
      <c r="V331" s="224">
        <f t="shared" si="106"/>
        <v>0</v>
      </c>
      <c r="W331" s="224">
        <f t="shared" si="106"/>
        <v>1</v>
      </c>
      <c r="X331" s="224">
        <f t="shared" si="106"/>
        <v>10</v>
      </c>
      <c r="Y331" s="224">
        <f t="shared" si="106"/>
        <v>0</v>
      </c>
      <c r="Z331" s="224">
        <f t="shared" si="106"/>
        <v>0</v>
      </c>
      <c r="AA331" s="224">
        <f t="shared" si="106"/>
        <v>1</v>
      </c>
      <c r="AB331" s="224">
        <f t="shared" si="106"/>
        <v>1</v>
      </c>
      <c r="AC331" s="224">
        <f t="shared" si="106"/>
        <v>1</v>
      </c>
      <c r="AD331" s="224">
        <f t="shared" si="106"/>
        <v>2</v>
      </c>
      <c r="AE331" s="224">
        <f t="shared" si="106"/>
        <v>1</v>
      </c>
      <c r="AF331" s="224">
        <f t="shared" si="106"/>
        <v>0</v>
      </c>
      <c r="AG331" s="93">
        <f t="shared" si="104"/>
        <v>31</v>
      </c>
    </row>
    <row r="332">
      <c r="A332" s="98"/>
      <c r="B332" s="177"/>
      <c r="C332" s="177"/>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c r="AA332" s="177"/>
      <c r="AB332" s="177"/>
      <c r="AC332" s="177"/>
      <c r="AD332" s="177"/>
      <c r="AE332" s="177"/>
      <c r="AF332" s="177"/>
      <c r="AG332" s="209"/>
    </row>
    <row r="333">
      <c r="A333" s="215" t="s">
        <v>223</v>
      </c>
      <c r="B333" s="231"/>
      <c r="C333" s="231"/>
      <c r="D333" s="231"/>
      <c r="E333" s="231"/>
      <c r="F333" s="231"/>
      <c r="G333" s="231"/>
      <c r="H333" s="231"/>
      <c r="I333" s="231"/>
      <c r="J333" s="231"/>
      <c r="K333" s="231"/>
      <c r="L333" s="231"/>
      <c r="M333" s="231"/>
      <c r="N333" s="231"/>
      <c r="O333" s="231"/>
      <c r="P333" s="231"/>
      <c r="Q333" s="231"/>
      <c r="R333" s="231"/>
      <c r="S333" s="231"/>
      <c r="T333" s="231"/>
      <c r="U333" s="231"/>
      <c r="V333" s="231"/>
      <c r="W333" s="231"/>
      <c r="X333" s="231"/>
      <c r="Y333" s="231"/>
      <c r="Z333" s="231"/>
      <c r="AA333" s="231"/>
      <c r="AB333" s="231"/>
      <c r="AC333" s="231"/>
      <c r="AD333" s="231"/>
      <c r="AE333" s="231"/>
      <c r="AF333" s="231"/>
      <c r="AG333" s="152"/>
    </row>
    <row r="334" outlineLevel="1">
      <c r="A334" s="215" t="s">
        <v>224</v>
      </c>
      <c r="B334" s="160">
        <v>0.0</v>
      </c>
      <c r="C334" s="160">
        <v>0.0</v>
      </c>
      <c r="D334" s="160">
        <v>0.0</v>
      </c>
      <c r="E334" s="160">
        <v>0.0</v>
      </c>
      <c r="F334" s="160">
        <v>0.0</v>
      </c>
      <c r="G334" s="160">
        <v>0.0</v>
      </c>
      <c r="H334" s="160">
        <v>4.0</v>
      </c>
      <c r="I334" s="160">
        <v>0.0</v>
      </c>
      <c r="J334" s="160">
        <v>0.0</v>
      </c>
      <c r="K334" s="160">
        <v>0.0</v>
      </c>
      <c r="L334" s="160">
        <v>0.0</v>
      </c>
      <c r="M334" s="160">
        <v>0.0</v>
      </c>
      <c r="N334" s="160">
        <v>0.0</v>
      </c>
      <c r="O334" s="160">
        <v>1.0</v>
      </c>
      <c r="P334" s="160">
        <v>1.0</v>
      </c>
      <c r="Q334" s="160">
        <v>1.0</v>
      </c>
      <c r="R334" s="160">
        <v>0.0</v>
      </c>
      <c r="S334" s="160">
        <v>0.0</v>
      </c>
      <c r="T334" s="160">
        <v>0.0</v>
      </c>
      <c r="U334" s="160">
        <v>0.0</v>
      </c>
      <c r="V334" s="160">
        <v>1.0</v>
      </c>
      <c r="W334" s="160">
        <v>0.0</v>
      </c>
      <c r="X334" s="160">
        <v>4.0</v>
      </c>
      <c r="Y334" s="160">
        <v>0.0</v>
      </c>
      <c r="Z334" s="160">
        <v>0.0</v>
      </c>
      <c r="AA334" s="160">
        <v>0.0</v>
      </c>
      <c r="AB334" s="160">
        <v>0.0</v>
      </c>
      <c r="AC334" s="160">
        <v>1.0</v>
      </c>
      <c r="AD334" s="160">
        <v>1.0</v>
      </c>
      <c r="AE334" s="160">
        <v>0.0</v>
      </c>
      <c r="AF334" s="160">
        <v>0.0</v>
      </c>
      <c r="AG334" s="93">
        <f t="shared" ref="AG334:AG344" si="107">SUM(B334:AF334)</f>
        <v>14</v>
      </c>
    </row>
    <row r="335" outlineLevel="1">
      <c r="A335" s="215" t="s">
        <v>225</v>
      </c>
      <c r="B335" s="160">
        <v>0.0</v>
      </c>
      <c r="C335" s="160">
        <v>0.0</v>
      </c>
      <c r="D335" s="160">
        <v>0.0</v>
      </c>
      <c r="E335" s="160">
        <v>0.0</v>
      </c>
      <c r="F335" s="160">
        <v>0.0</v>
      </c>
      <c r="G335" s="160">
        <v>0.0</v>
      </c>
      <c r="H335" s="160">
        <v>1.0</v>
      </c>
      <c r="I335" s="160">
        <v>0.0</v>
      </c>
      <c r="J335" s="160">
        <v>0.0</v>
      </c>
      <c r="K335" s="160">
        <v>0.0</v>
      </c>
      <c r="L335" s="160">
        <v>0.0</v>
      </c>
      <c r="M335" s="160">
        <v>0.0</v>
      </c>
      <c r="N335" s="160">
        <v>0.0</v>
      </c>
      <c r="O335" s="160">
        <v>0.0</v>
      </c>
      <c r="P335" s="160">
        <v>0.0</v>
      </c>
      <c r="Q335" s="160">
        <v>0.0</v>
      </c>
      <c r="R335" s="160">
        <v>0.0</v>
      </c>
      <c r="S335" s="160">
        <v>0.0</v>
      </c>
      <c r="T335" s="160">
        <v>0.0</v>
      </c>
      <c r="U335" s="160">
        <v>0.0</v>
      </c>
      <c r="V335" s="160">
        <v>0.0</v>
      </c>
      <c r="W335" s="160">
        <v>0.0</v>
      </c>
      <c r="X335" s="160">
        <v>0.0</v>
      </c>
      <c r="Y335" s="160">
        <v>0.0</v>
      </c>
      <c r="Z335" s="160">
        <v>0.0</v>
      </c>
      <c r="AA335" s="160">
        <v>0.0</v>
      </c>
      <c r="AB335" s="160">
        <v>0.0</v>
      </c>
      <c r="AC335" s="160">
        <v>1.0</v>
      </c>
      <c r="AD335" s="160">
        <v>1.0</v>
      </c>
      <c r="AE335" s="160">
        <v>0.0</v>
      </c>
      <c r="AF335" s="160">
        <v>0.0</v>
      </c>
      <c r="AG335" s="93">
        <f t="shared" si="107"/>
        <v>3</v>
      </c>
    </row>
    <row r="336" outlineLevel="1">
      <c r="A336" s="215" t="s">
        <v>325</v>
      </c>
      <c r="B336" s="160">
        <v>0.0</v>
      </c>
      <c r="C336" s="160">
        <v>0.0</v>
      </c>
      <c r="D336" s="160">
        <v>0.0</v>
      </c>
      <c r="E336" s="160">
        <v>0.0</v>
      </c>
      <c r="F336" s="160">
        <v>0.0</v>
      </c>
      <c r="G336" s="160">
        <v>0.0</v>
      </c>
      <c r="H336" s="160">
        <v>1.0</v>
      </c>
      <c r="I336" s="160">
        <v>0.0</v>
      </c>
      <c r="J336" s="160">
        <v>0.0</v>
      </c>
      <c r="K336" s="160">
        <v>0.0</v>
      </c>
      <c r="L336" s="160">
        <v>0.0</v>
      </c>
      <c r="M336" s="160">
        <v>0.0</v>
      </c>
      <c r="N336" s="160">
        <v>0.0</v>
      </c>
      <c r="O336" s="160">
        <v>0.0</v>
      </c>
      <c r="P336" s="160">
        <v>0.0</v>
      </c>
      <c r="Q336" s="160">
        <v>0.0</v>
      </c>
      <c r="R336" s="160">
        <v>0.0</v>
      </c>
      <c r="S336" s="160">
        <v>0.0</v>
      </c>
      <c r="T336" s="160">
        <v>0.0</v>
      </c>
      <c r="U336" s="160">
        <v>0.0</v>
      </c>
      <c r="V336" s="160">
        <v>0.0</v>
      </c>
      <c r="W336" s="160">
        <v>0.0</v>
      </c>
      <c r="X336" s="160">
        <v>1.0</v>
      </c>
      <c r="Y336" s="160">
        <v>0.0</v>
      </c>
      <c r="Z336" s="160">
        <v>0.0</v>
      </c>
      <c r="AA336" s="160">
        <v>0.0</v>
      </c>
      <c r="AB336" s="160">
        <v>0.0</v>
      </c>
      <c r="AC336" s="160">
        <v>1.0</v>
      </c>
      <c r="AD336" s="160">
        <v>1.0</v>
      </c>
      <c r="AE336" s="160">
        <v>0.0</v>
      </c>
      <c r="AF336" s="160">
        <v>0.0</v>
      </c>
      <c r="AG336" s="93">
        <f t="shared" si="107"/>
        <v>4</v>
      </c>
    </row>
    <row r="337" outlineLevel="1">
      <c r="A337" s="215" t="s">
        <v>326</v>
      </c>
      <c r="B337" s="160">
        <v>0.0</v>
      </c>
      <c r="C337" s="160">
        <v>0.0</v>
      </c>
      <c r="D337" s="160">
        <v>0.0</v>
      </c>
      <c r="E337" s="160">
        <v>0.0</v>
      </c>
      <c r="F337" s="160">
        <v>0.0</v>
      </c>
      <c r="G337" s="160">
        <v>0.0</v>
      </c>
      <c r="H337" s="160">
        <v>0.0</v>
      </c>
      <c r="I337" s="160">
        <v>0.0</v>
      </c>
      <c r="J337" s="160">
        <v>0.0</v>
      </c>
      <c r="K337" s="160">
        <v>0.0</v>
      </c>
      <c r="L337" s="160">
        <v>0.0</v>
      </c>
      <c r="M337" s="160">
        <v>0.0</v>
      </c>
      <c r="N337" s="160">
        <v>0.0</v>
      </c>
      <c r="O337" s="160">
        <v>0.0</v>
      </c>
      <c r="P337" s="160">
        <v>0.0</v>
      </c>
      <c r="Q337" s="160">
        <v>0.0</v>
      </c>
      <c r="R337" s="160">
        <v>0.0</v>
      </c>
      <c r="S337" s="160">
        <v>0.0</v>
      </c>
      <c r="T337" s="160">
        <v>0.0</v>
      </c>
      <c r="U337" s="160">
        <v>0.0</v>
      </c>
      <c r="V337" s="160">
        <v>0.0</v>
      </c>
      <c r="W337" s="160">
        <v>0.0</v>
      </c>
      <c r="X337" s="160">
        <v>0.0</v>
      </c>
      <c r="Y337" s="160">
        <v>0.0</v>
      </c>
      <c r="Z337" s="160">
        <v>0.0</v>
      </c>
      <c r="AA337" s="160">
        <v>0.0</v>
      </c>
      <c r="AB337" s="160">
        <v>0.0</v>
      </c>
      <c r="AC337" s="160">
        <v>0.0</v>
      </c>
      <c r="AD337" s="160">
        <v>0.0</v>
      </c>
      <c r="AE337" s="160">
        <v>0.0</v>
      </c>
      <c r="AF337" s="160">
        <v>0.0</v>
      </c>
      <c r="AG337" s="93">
        <f t="shared" si="107"/>
        <v>0</v>
      </c>
    </row>
    <row r="338" outlineLevel="1">
      <c r="A338" s="215" t="s">
        <v>327</v>
      </c>
      <c r="B338" s="160">
        <v>0.0</v>
      </c>
      <c r="C338" s="160">
        <v>0.0</v>
      </c>
      <c r="D338" s="160">
        <v>0.0</v>
      </c>
      <c r="E338" s="160">
        <v>0.0</v>
      </c>
      <c r="F338" s="160">
        <v>0.0</v>
      </c>
      <c r="G338" s="160">
        <v>0.0</v>
      </c>
      <c r="H338" s="160">
        <v>0.0</v>
      </c>
      <c r="I338" s="160">
        <v>1.0</v>
      </c>
      <c r="J338" s="84">
        <v>0.0</v>
      </c>
      <c r="K338" s="84">
        <v>0.0</v>
      </c>
      <c r="L338" s="84">
        <v>0.0</v>
      </c>
      <c r="M338" s="84">
        <v>0.0</v>
      </c>
      <c r="N338" s="84">
        <v>0.0</v>
      </c>
      <c r="O338" s="160">
        <v>0.0</v>
      </c>
      <c r="P338" s="160">
        <v>0.0</v>
      </c>
      <c r="Q338" s="160">
        <v>1.0</v>
      </c>
      <c r="R338" s="84">
        <v>0.0</v>
      </c>
      <c r="S338" s="160">
        <v>0.0</v>
      </c>
      <c r="T338" s="84">
        <v>0.0</v>
      </c>
      <c r="U338" s="160">
        <v>0.0</v>
      </c>
      <c r="V338" s="160">
        <v>3.0</v>
      </c>
      <c r="W338" s="160">
        <v>0.0</v>
      </c>
      <c r="X338" s="160">
        <v>0.0</v>
      </c>
      <c r="Y338" s="84">
        <v>0.0</v>
      </c>
      <c r="Z338" s="84">
        <v>0.0</v>
      </c>
      <c r="AA338" s="160">
        <v>0.0</v>
      </c>
      <c r="AB338" s="160">
        <v>0.0</v>
      </c>
      <c r="AC338" s="160">
        <v>0.0</v>
      </c>
      <c r="AD338" s="160">
        <v>1.0</v>
      </c>
      <c r="AE338" s="160">
        <v>0.0</v>
      </c>
      <c r="AF338" s="160">
        <v>0.0</v>
      </c>
      <c r="AG338" s="93">
        <f t="shared" si="107"/>
        <v>6</v>
      </c>
    </row>
    <row r="339" outlineLevel="1">
      <c r="A339" s="215" t="s">
        <v>328</v>
      </c>
      <c r="B339" s="160">
        <v>0.0</v>
      </c>
      <c r="C339" s="160">
        <v>0.0</v>
      </c>
      <c r="D339" s="160">
        <v>0.0</v>
      </c>
      <c r="E339" s="160">
        <v>0.0</v>
      </c>
      <c r="F339" s="160">
        <v>0.0</v>
      </c>
      <c r="G339" s="160">
        <v>0.0</v>
      </c>
      <c r="H339" s="160">
        <v>0.0</v>
      </c>
      <c r="I339" s="160">
        <v>0.0</v>
      </c>
      <c r="J339" s="84">
        <v>0.0</v>
      </c>
      <c r="K339" s="84">
        <v>0.0</v>
      </c>
      <c r="L339" s="84">
        <v>0.0</v>
      </c>
      <c r="M339" s="84">
        <v>0.0</v>
      </c>
      <c r="N339" s="84">
        <v>0.0</v>
      </c>
      <c r="O339" s="160">
        <v>1.0</v>
      </c>
      <c r="P339" s="160">
        <v>0.0</v>
      </c>
      <c r="Q339" s="160">
        <v>0.0</v>
      </c>
      <c r="R339" s="84">
        <v>0.0</v>
      </c>
      <c r="S339" s="160">
        <v>0.0</v>
      </c>
      <c r="T339" s="84">
        <v>0.0</v>
      </c>
      <c r="U339" s="160">
        <v>0.0</v>
      </c>
      <c r="V339" s="160">
        <v>0.0</v>
      </c>
      <c r="W339" s="160">
        <v>0.0</v>
      </c>
      <c r="X339" s="160">
        <v>0.0</v>
      </c>
      <c r="Y339" s="84">
        <v>0.0</v>
      </c>
      <c r="Z339" s="84">
        <v>0.0</v>
      </c>
      <c r="AA339" s="160">
        <v>0.0</v>
      </c>
      <c r="AB339" s="160">
        <v>0.0</v>
      </c>
      <c r="AC339" s="160">
        <v>0.0</v>
      </c>
      <c r="AD339" s="160">
        <v>0.0</v>
      </c>
      <c r="AE339" s="160">
        <v>0.0</v>
      </c>
      <c r="AF339" s="160">
        <v>0.0</v>
      </c>
      <c r="AG339" s="93">
        <f t="shared" si="107"/>
        <v>1</v>
      </c>
    </row>
    <row r="340" outlineLevel="1">
      <c r="A340" s="215" t="s">
        <v>329</v>
      </c>
      <c r="B340" s="160">
        <v>0.0</v>
      </c>
      <c r="C340" s="160">
        <v>0.0</v>
      </c>
      <c r="D340" s="160">
        <v>0.0</v>
      </c>
      <c r="E340" s="160">
        <v>0.0</v>
      </c>
      <c r="F340" s="160">
        <v>0.0</v>
      </c>
      <c r="G340" s="160">
        <v>0.0</v>
      </c>
      <c r="H340" s="160">
        <v>3.0</v>
      </c>
      <c r="I340" s="160">
        <v>0.0</v>
      </c>
      <c r="J340" s="160">
        <v>0.0</v>
      </c>
      <c r="K340" s="160">
        <v>0.0</v>
      </c>
      <c r="L340" s="160">
        <v>0.0</v>
      </c>
      <c r="M340" s="160">
        <v>0.0</v>
      </c>
      <c r="N340" s="160">
        <v>0.0</v>
      </c>
      <c r="O340" s="160">
        <v>0.0</v>
      </c>
      <c r="P340" s="160">
        <v>1.0</v>
      </c>
      <c r="Q340" s="160">
        <v>1.0</v>
      </c>
      <c r="R340" s="160">
        <v>0.0</v>
      </c>
      <c r="S340" s="160">
        <v>0.0</v>
      </c>
      <c r="T340" s="160">
        <v>0.0</v>
      </c>
      <c r="U340" s="160">
        <v>0.0</v>
      </c>
      <c r="V340" s="160">
        <v>0.0</v>
      </c>
      <c r="W340" s="160">
        <v>0.0</v>
      </c>
      <c r="X340" s="160">
        <v>5.0</v>
      </c>
      <c r="Y340" s="160">
        <v>0.0</v>
      </c>
      <c r="Z340" s="160">
        <v>0.0</v>
      </c>
      <c r="AA340" s="160">
        <v>0.0</v>
      </c>
      <c r="AB340" s="160">
        <v>0.0</v>
      </c>
      <c r="AC340" s="160">
        <v>1.0</v>
      </c>
      <c r="AD340" s="160">
        <v>2.0</v>
      </c>
      <c r="AE340" s="160">
        <v>0.0</v>
      </c>
      <c r="AF340" s="160">
        <v>0.0</v>
      </c>
      <c r="AG340" s="93">
        <f t="shared" si="107"/>
        <v>13</v>
      </c>
    </row>
    <row r="341" outlineLevel="1">
      <c r="A341" s="215" t="s">
        <v>330</v>
      </c>
      <c r="B341" s="160">
        <v>0.0</v>
      </c>
      <c r="C341" s="160">
        <v>0.0</v>
      </c>
      <c r="D341" s="160">
        <v>0.0</v>
      </c>
      <c r="E341" s="160">
        <v>0.0</v>
      </c>
      <c r="F341" s="160">
        <v>0.0</v>
      </c>
      <c r="G341" s="160">
        <v>0.0</v>
      </c>
      <c r="H341" s="160">
        <v>0.0</v>
      </c>
      <c r="I341" s="160">
        <v>0.0</v>
      </c>
      <c r="J341" s="160">
        <v>0.0</v>
      </c>
      <c r="K341" s="160">
        <v>0.0</v>
      </c>
      <c r="L341" s="160">
        <v>0.0</v>
      </c>
      <c r="M341" s="160">
        <v>0.0</v>
      </c>
      <c r="N341" s="160">
        <v>0.0</v>
      </c>
      <c r="O341" s="160">
        <v>0.0</v>
      </c>
      <c r="P341" s="160">
        <v>0.0</v>
      </c>
      <c r="Q341" s="160">
        <v>0.0</v>
      </c>
      <c r="R341" s="160">
        <v>0.0</v>
      </c>
      <c r="S341" s="160">
        <v>0.0</v>
      </c>
      <c r="T341" s="160">
        <v>0.0</v>
      </c>
      <c r="U341" s="160">
        <v>0.0</v>
      </c>
      <c r="V341" s="160">
        <v>0.0</v>
      </c>
      <c r="W341" s="160">
        <v>0.0</v>
      </c>
      <c r="X341" s="160">
        <v>0.0</v>
      </c>
      <c r="Y341" s="160">
        <v>0.0</v>
      </c>
      <c r="Z341" s="160">
        <v>0.0</v>
      </c>
      <c r="AA341" s="160">
        <v>0.0</v>
      </c>
      <c r="AB341" s="160">
        <v>0.0</v>
      </c>
      <c r="AC341" s="160">
        <v>0.0</v>
      </c>
      <c r="AD341" s="160">
        <v>0.0</v>
      </c>
      <c r="AE341" s="160">
        <v>0.0</v>
      </c>
      <c r="AF341" s="160">
        <v>0.0</v>
      </c>
      <c r="AG341" s="93">
        <f t="shared" si="107"/>
        <v>0</v>
      </c>
    </row>
    <row r="342" outlineLevel="1">
      <c r="A342" s="232" t="s">
        <v>331</v>
      </c>
      <c r="B342" s="155">
        <v>0.0</v>
      </c>
      <c r="C342" s="155">
        <v>0.0</v>
      </c>
      <c r="D342" s="155">
        <v>0.0</v>
      </c>
      <c r="E342" s="155">
        <v>0.0</v>
      </c>
      <c r="F342" s="155">
        <v>0.0</v>
      </c>
      <c r="G342" s="155">
        <v>0.0</v>
      </c>
      <c r="H342" s="155">
        <v>0.0</v>
      </c>
      <c r="I342" s="155">
        <v>0.0</v>
      </c>
      <c r="J342" s="155">
        <v>0.0</v>
      </c>
      <c r="K342" s="155">
        <v>0.0</v>
      </c>
      <c r="L342" s="155">
        <v>0.0</v>
      </c>
      <c r="M342" s="155">
        <v>0.0</v>
      </c>
      <c r="N342" s="155">
        <v>0.0</v>
      </c>
      <c r="O342" s="155">
        <v>0.0</v>
      </c>
      <c r="P342" s="155">
        <v>0.0</v>
      </c>
      <c r="Q342" s="155">
        <v>0.0</v>
      </c>
      <c r="R342" s="155">
        <v>0.0</v>
      </c>
      <c r="S342" s="155">
        <v>0.0</v>
      </c>
      <c r="T342" s="155">
        <v>0.0</v>
      </c>
      <c r="U342" s="155">
        <v>0.0</v>
      </c>
      <c r="V342" s="155">
        <v>0.0</v>
      </c>
      <c r="W342" s="155">
        <v>0.0</v>
      </c>
      <c r="X342" s="155">
        <v>0.0</v>
      </c>
      <c r="Y342" s="155">
        <v>0.0</v>
      </c>
      <c r="Z342" s="155">
        <v>0.0</v>
      </c>
      <c r="AA342" s="155">
        <v>0.0</v>
      </c>
      <c r="AB342" s="84">
        <v>0.0</v>
      </c>
      <c r="AC342" s="84">
        <v>0.0</v>
      </c>
      <c r="AD342" s="155">
        <v>0.0</v>
      </c>
      <c r="AE342" s="155">
        <v>0.0</v>
      </c>
      <c r="AF342" s="155">
        <v>0.0</v>
      </c>
      <c r="AG342" s="93">
        <f t="shared" si="107"/>
        <v>0</v>
      </c>
    </row>
    <row r="343" outlineLevel="1">
      <c r="A343" s="232" t="s">
        <v>332</v>
      </c>
      <c r="B343" s="155">
        <v>0.0</v>
      </c>
      <c r="C343" s="155">
        <v>0.0</v>
      </c>
      <c r="D343" s="155">
        <v>0.0</v>
      </c>
      <c r="E343" s="155">
        <v>0.0</v>
      </c>
      <c r="F343" s="155">
        <v>0.0</v>
      </c>
      <c r="G343" s="155">
        <v>0.0</v>
      </c>
      <c r="H343" s="155">
        <v>0.0</v>
      </c>
      <c r="I343" s="155">
        <v>0.0</v>
      </c>
      <c r="J343" s="155">
        <v>0.0</v>
      </c>
      <c r="K343" s="155">
        <v>0.0</v>
      </c>
      <c r="L343" s="155">
        <v>0.0</v>
      </c>
      <c r="M343" s="155">
        <v>0.0</v>
      </c>
      <c r="N343" s="155">
        <v>0.0</v>
      </c>
      <c r="O343" s="155">
        <v>0.0</v>
      </c>
      <c r="P343" s="155">
        <v>0.0</v>
      </c>
      <c r="Q343" s="155">
        <v>0.0</v>
      </c>
      <c r="R343" s="155">
        <v>0.0</v>
      </c>
      <c r="S343" s="155">
        <v>0.0</v>
      </c>
      <c r="T343" s="155">
        <v>0.0</v>
      </c>
      <c r="U343" s="155">
        <v>0.0</v>
      </c>
      <c r="V343" s="155">
        <v>0.0</v>
      </c>
      <c r="W343" s="155">
        <v>0.0</v>
      </c>
      <c r="X343" s="155">
        <v>0.0</v>
      </c>
      <c r="Y343" s="155">
        <v>0.0</v>
      </c>
      <c r="Z343" s="155">
        <v>0.0</v>
      </c>
      <c r="AA343" s="155">
        <v>0.0</v>
      </c>
      <c r="AB343" s="84">
        <v>0.0</v>
      </c>
      <c r="AC343" s="84">
        <v>0.0</v>
      </c>
      <c r="AD343" s="155">
        <v>0.0</v>
      </c>
      <c r="AE343" s="155">
        <v>0.0</v>
      </c>
      <c r="AF343" s="155">
        <v>0.0</v>
      </c>
      <c r="AG343" s="93">
        <f t="shared" si="107"/>
        <v>0</v>
      </c>
    </row>
    <row r="344">
      <c r="A344" s="225" t="s">
        <v>141</v>
      </c>
      <c r="B344" s="224">
        <f t="shared" ref="B344:AF344" si="108">SUM(B334:B343)</f>
        <v>0</v>
      </c>
      <c r="C344" s="224">
        <f t="shared" si="108"/>
        <v>0</v>
      </c>
      <c r="D344" s="224">
        <f t="shared" si="108"/>
        <v>0</v>
      </c>
      <c r="E344" s="224">
        <f t="shared" si="108"/>
        <v>0</v>
      </c>
      <c r="F344" s="224">
        <f t="shared" si="108"/>
        <v>0</v>
      </c>
      <c r="G344" s="224">
        <f t="shared" si="108"/>
        <v>0</v>
      </c>
      <c r="H344" s="224">
        <f t="shared" si="108"/>
        <v>9</v>
      </c>
      <c r="I344" s="224">
        <f t="shared" si="108"/>
        <v>1</v>
      </c>
      <c r="J344" s="224">
        <f t="shared" si="108"/>
        <v>0</v>
      </c>
      <c r="K344" s="224">
        <f t="shared" si="108"/>
        <v>0</v>
      </c>
      <c r="L344" s="224">
        <f t="shared" si="108"/>
        <v>0</v>
      </c>
      <c r="M344" s="224">
        <f t="shared" si="108"/>
        <v>0</v>
      </c>
      <c r="N344" s="224">
        <f t="shared" si="108"/>
        <v>0</v>
      </c>
      <c r="O344" s="224">
        <f t="shared" si="108"/>
        <v>2</v>
      </c>
      <c r="P344" s="224">
        <f t="shared" si="108"/>
        <v>2</v>
      </c>
      <c r="Q344" s="224">
        <f t="shared" si="108"/>
        <v>3</v>
      </c>
      <c r="R344" s="224">
        <f t="shared" si="108"/>
        <v>0</v>
      </c>
      <c r="S344" s="224">
        <f t="shared" si="108"/>
        <v>0</v>
      </c>
      <c r="T344" s="224">
        <f t="shared" si="108"/>
        <v>0</v>
      </c>
      <c r="U344" s="224">
        <f t="shared" si="108"/>
        <v>0</v>
      </c>
      <c r="V344" s="224">
        <f t="shared" si="108"/>
        <v>4</v>
      </c>
      <c r="W344" s="224">
        <f t="shared" si="108"/>
        <v>0</v>
      </c>
      <c r="X344" s="224">
        <f t="shared" si="108"/>
        <v>10</v>
      </c>
      <c r="Y344" s="224">
        <f t="shared" si="108"/>
        <v>0</v>
      </c>
      <c r="Z344" s="224">
        <f t="shared" si="108"/>
        <v>0</v>
      </c>
      <c r="AA344" s="224">
        <f t="shared" si="108"/>
        <v>0</v>
      </c>
      <c r="AB344" s="224">
        <f t="shared" si="108"/>
        <v>0</v>
      </c>
      <c r="AC344" s="224">
        <f t="shared" si="108"/>
        <v>4</v>
      </c>
      <c r="AD344" s="224">
        <f t="shared" si="108"/>
        <v>6</v>
      </c>
      <c r="AE344" s="224">
        <f t="shared" si="108"/>
        <v>0</v>
      </c>
      <c r="AF344" s="224">
        <f t="shared" si="108"/>
        <v>0</v>
      </c>
      <c r="AG344" s="93">
        <f t="shared" si="107"/>
        <v>41</v>
      </c>
    </row>
    <row r="345">
      <c r="A345" s="98"/>
      <c r="B345" s="177"/>
      <c r="C345" s="177"/>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54" t="s">
        <v>93</v>
      </c>
      <c r="AA345" s="177"/>
      <c r="AB345" s="177"/>
      <c r="AC345" s="177"/>
      <c r="AD345" s="177"/>
      <c r="AE345" s="177"/>
      <c r="AF345" s="177"/>
      <c r="AG345" s="209"/>
    </row>
    <row r="346">
      <c r="A346" s="215" t="s">
        <v>296</v>
      </c>
      <c r="B346" s="231"/>
      <c r="C346" s="231"/>
      <c r="D346" s="231"/>
      <c r="E346" s="231"/>
      <c r="F346" s="231"/>
      <c r="G346" s="231"/>
      <c r="H346" s="231"/>
      <c r="I346" s="231"/>
      <c r="J346" s="231"/>
      <c r="K346" s="231"/>
      <c r="L346" s="231"/>
      <c r="M346" s="231"/>
      <c r="N346" s="231"/>
      <c r="O346" s="231"/>
      <c r="P346" s="231"/>
      <c r="Q346" s="231"/>
      <c r="R346" s="231"/>
      <c r="S346" s="231"/>
      <c r="T346" s="231"/>
      <c r="U346" s="231"/>
      <c r="V346" s="231"/>
      <c r="W346" s="231"/>
      <c r="X346" s="231"/>
      <c r="Y346" s="231"/>
      <c r="Z346" s="231"/>
      <c r="AA346" s="231"/>
      <c r="AB346" s="231"/>
      <c r="AC346" s="231"/>
      <c r="AD346" s="231"/>
      <c r="AE346" s="231"/>
      <c r="AF346" s="231"/>
      <c r="AG346" s="152"/>
    </row>
    <row r="347" outlineLevel="1">
      <c r="A347" s="215" t="s">
        <v>224</v>
      </c>
      <c r="B347" s="160">
        <v>0.0</v>
      </c>
      <c r="C347" s="160">
        <v>0.0</v>
      </c>
      <c r="D347" s="160">
        <v>0.0</v>
      </c>
      <c r="E347" s="160">
        <v>0.0</v>
      </c>
      <c r="F347" s="160">
        <v>0.0</v>
      </c>
      <c r="G347" s="160">
        <v>0.0</v>
      </c>
      <c r="H347" s="160">
        <v>0.0</v>
      </c>
      <c r="I347" s="160">
        <v>0.0</v>
      </c>
      <c r="J347" s="160">
        <v>0.0</v>
      </c>
      <c r="K347" s="160">
        <v>0.0</v>
      </c>
      <c r="L347" s="160">
        <v>0.0</v>
      </c>
      <c r="M347" s="160">
        <v>0.0</v>
      </c>
      <c r="N347" s="160">
        <v>0.0</v>
      </c>
      <c r="O347" s="160">
        <v>0.0</v>
      </c>
      <c r="P347" s="160">
        <v>0.0</v>
      </c>
      <c r="Q347" s="160">
        <v>0.0</v>
      </c>
      <c r="R347" s="160">
        <v>0.0</v>
      </c>
      <c r="S347" s="160">
        <v>0.0</v>
      </c>
      <c r="T347" s="160">
        <v>0.0</v>
      </c>
      <c r="U347" s="160">
        <v>0.0</v>
      </c>
      <c r="V347" s="160">
        <v>0.0</v>
      </c>
      <c r="W347" s="160">
        <v>0.0</v>
      </c>
      <c r="X347" s="160">
        <v>0.0</v>
      </c>
      <c r="Y347" s="160">
        <v>0.0</v>
      </c>
      <c r="Z347" s="160">
        <v>0.0</v>
      </c>
      <c r="AA347" s="160">
        <v>0.0</v>
      </c>
      <c r="AB347" s="160">
        <v>0.0</v>
      </c>
      <c r="AC347" s="160">
        <v>0.0</v>
      </c>
      <c r="AD347" s="160">
        <v>0.0</v>
      </c>
      <c r="AE347" s="160">
        <v>0.0</v>
      </c>
      <c r="AF347" s="160">
        <v>0.0</v>
      </c>
      <c r="AG347" s="93">
        <f t="shared" ref="AG347:AG357" si="109">SUM(B347:AF347)</f>
        <v>0</v>
      </c>
    </row>
    <row r="348" outlineLevel="1">
      <c r="A348" s="215" t="s">
        <v>225</v>
      </c>
      <c r="B348" s="160">
        <v>0.0</v>
      </c>
      <c r="C348" s="160">
        <v>0.0</v>
      </c>
      <c r="D348" s="160">
        <v>0.0</v>
      </c>
      <c r="E348" s="160">
        <v>0.0</v>
      </c>
      <c r="F348" s="160">
        <v>0.0</v>
      </c>
      <c r="G348" s="160">
        <v>0.0</v>
      </c>
      <c r="H348" s="160">
        <v>0.0</v>
      </c>
      <c r="I348" s="160">
        <v>0.0</v>
      </c>
      <c r="J348" s="160">
        <v>0.0</v>
      </c>
      <c r="K348" s="160">
        <v>0.0</v>
      </c>
      <c r="L348" s="160">
        <v>0.0</v>
      </c>
      <c r="M348" s="160">
        <v>0.0</v>
      </c>
      <c r="N348" s="160">
        <v>0.0</v>
      </c>
      <c r="O348" s="160">
        <v>0.0</v>
      </c>
      <c r="P348" s="160">
        <v>0.0</v>
      </c>
      <c r="Q348" s="160">
        <v>0.0</v>
      </c>
      <c r="R348" s="160">
        <v>0.0</v>
      </c>
      <c r="S348" s="160">
        <v>0.0</v>
      </c>
      <c r="T348" s="160">
        <v>0.0</v>
      </c>
      <c r="U348" s="160">
        <v>0.0</v>
      </c>
      <c r="V348" s="160">
        <v>0.0</v>
      </c>
      <c r="W348" s="160">
        <v>0.0</v>
      </c>
      <c r="X348" s="160">
        <v>0.0</v>
      </c>
      <c r="Y348" s="160">
        <v>0.0</v>
      </c>
      <c r="Z348" s="160">
        <v>0.0</v>
      </c>
      <c r="AA348" s="160">
        <v>0.0</v>
      </c>
      <c r="AB348" s="160">
        <v>0.0</v>
      </c>
      <c r="AC348" s="160">
        <v>0.0</v>
      </c>
      <c r="AD348" s="160">
        <v>0.0</v>
      </c>
      <c r="AE348" s="160">
        <v>0.0</v>
      </c>
      <c r="AF348" s="160">
        <v>0.0</v>
      </c>
      <c r="AG348" s="93">
        <f t="shared" si="109"/>
        <v>0</v>
      </c>
    </row>
    <row r="349" outlineLevel="1">
      <c r="A349" s="215" t="s">
        <v>333</v>
      </c>
      <c r="B349" s="160">
        <v>0.0</v>
      </c>
      <c r="C349" s="160">
        <v>0.0</v>
      </c>
      <c r="D349" s="160">
        <v>0.0</v>
      </c>
      <c r="E349" s="160">
        <v>0.0</v>
      </c>
      <c r="F349" s="160">
        <v>0.0</v>
      </c>
      <c r="G349" s="160">
        <v>0.0</v>
      </c>
      <c r="H349" s="160">
        <v>0.0</v>
      </c>
      <c r="I349" s="160">
        <v>0.0</v>
      </c>
      <c r="J349" s="160">
        <v>0.0</v>
      </c>
      <c r="K349" s="160">
        <v>0.0</v>
      </c>
      <c r="L349" s="160">
        <v>0.0</v>
      </c>
      <c r="M349" s="160">
        <v>0.0</v>
      </c>
      <c r="N349" s="160">
        <v>0.0</v>
      </c>
      <c r="O349" s="160">
        <v>0.0</v>
      </c>
      <c r="P349" s="160">
        <v>0.0</v>
      </c>
      <c r="Q349" s="160">
        <v>0.0</v>
      </c>
      <c r="R349" s="160">
        <v>0.0</v>
      </c>
      <c r="S349" s="160">
        <v>0.0</v>
      </c>
      <c r="T349" s="160">
        <v>0.0</v>
      </c>
      <c r="U349" s="160">
        <v>0.0</v>
      </c>
      <c r="V349" s="160">
        <v>0.0</v>
      </c>
      <c r="W349" s="160">
        <v>0.0</v>
      </c>
      <c r="X349" s="160">
        <v>0.0</v>
      </c>
      <c r="Y349" s="160">
        <v>0.0</v>
      </c>
      <c r="Z349" s="160">
        <v>0.0</v>
      </c>
      <c r="AA349" s="160">
        <v>0.0</v>
      </c>
      <c r="AB349" s="160">
        <v>0.0</v>
      </c>
      <c r="AC349" s="160">
        <v>0.0</v>
      </c>
      <c r="AD349" s="160">
        <v>0.0</v>
      </c>
      <c r="AE349" s="160">
        <v>0.0</v>
      </c>
      <c r="AF349" s="160">
        <v>0.0</v>
      </c>
      <c r="AG349" s="93">
        <f t="shared" si="109"/>
        <v>0</v>
      </c>
    </row>
    <row r="350" outlineLevel="1">
      <c r="A350" s="215" t="s">
        <v>334</v>
      </c>
      <c r="B350" s="160">
        <v>0.0</v>
      </c>
      <c r="C350" s="160">
        <v>0.0</v>
      </c>
      <c r="D350" s="160">
        <v>0.0</v>
      </c>
      <c r="E350" s="160">
        <v>0.0</v>
      </c>
      <c r="F350" s="160">
        <v>0.0</v>
      </c>
      <c r="G350" s="160">
        <v>0.0</v>
      </c>
      <c r="H350" s="160">
        <v>0.0</v>
      </c>
      <c r="I350" s="160">
        <v>0.0</v>
      </c>
      <c r="J350" s="160">
        <v>0.0</v>
      </c>
      <c r="K350" s="160">
        <v>0.0</v>
      </c>
      <c r="L350" s="160">
        <v>0.0</v>
      </c>
      <c r="M350" s="160">
        <v>0.0</v>
      </c>
      <c r="N350" s="160">
        <v>0.0</v>
      </c>
      <c r="O350" s="160">
        <v>0.0</v>
      </c>
      <c r="P350" s="160">
        <v>0.0</v>
      </c>
      <c r="Q350" s="160">
        <v>0.0</v>
      </c>
      <c r="R350" s="160">
        <v>0.0</v>
      </c>
      <c r="S350" s="160">
        <v>0.0</v>
      </c>
      <c r="T350" s="160">
        <v>0.0</v>
      </c>
      <c r="U350" s="160">
        <v>0.0</v>
      </c>
      <c r="V350" s="160">
        <v>0.0</v>
      </c>
      <c r="W350" s="160">
        <v>0.0</v>
      </c>
      <c r="X350" s="160">
        <v>0.0</v>
      </c>
      <c r="Y350" s="160">
        <v>0.0</v>
      </c>
      <c r="Z350" s="160">
        <v>0.0</v>
      </c>
      <c r="AA350" s="160">
        <v>0.0</v>
      </c>
      <c r="AB350" s="160">
        <v>0.0</v>
      </c>
      <c r="AC350" s="160">
        <v>0.0</v>
      </c>
      <c r="AD350" s="160">
        <v>0.0</v>
      </c>
      <c r="AE350" s="160">
        <v>0.0</v>
      </c>
      <c r="AF350" s="160">
        <v>0.0</v>
      </c>
      <c r="AG350" s="93">
        <f t="shared" si="109"/>
        <v>0</v>
      </c>
    </row>
    <row r="351" outlineLevel="1">
      <c r="A351" s="215" t="s">
        <v>335</v>
      </c>
      <c r="B351" s="160">
        <v>0.0</v>
      </c>
      <c r="C351" s="160">
        <v>0.0</v>
      </c>
      <c r="D351" s="160">
        <v>0.0</v>
      </c>
      <c r="E351" s="160">
        <v>0.0</v>
      </c>
      <c r="F351" s="160">
        <v>0.0</v>
      </c>
      <c r="G351" s="160">
        <v>0.0</v>
      </c>
      <c r="H351" s="160">
        <v>0.0</v>
      </c>
      <c r="I351" s="160">
        <v>0.0</v>
      </c>
      <c r="J351" s="160">
        <v>0.0</v>
      </c>
      <c r="K351" s="160">
        <v>0.0</v>
      </c>
      <c r="L351" s="160">
        <v>0.0</v>
      </c>
      <c r="M351" s="160">
        <v>0.0</v>
      </c>
      <c r="N351" s="84">
        <v>0.0</v>
      </c>
      <c r="O351" s="84">
        <v>0.0</v>
      </c>
      <c r="P351" s="84">
        <v>0.0</v>
      </c>
      <c r="Q351" s="160">
        <v>1.0</v>
      </c>
      <c r="R351" s="84">
        <v>0.0</v>
      </c>
      <c r="S351" s="84">
        <v>0.0</v>
      </c>
      <c r="T351" s="84">
        <v>0.0</v>
      </c>
      <c r="U351" s="84">
        <v>0.0</v>
      </c>
      <c r="V351" s="84">
        <v>0.0</v>
      </c>
      <c r="W351" s="84">
        <v>0.0</v>
      </c>
      <c r="X351" s="84">
        <v>0.0</v>
      </c>
      <c r="Y351" s="84">
        <v>0.0</v>
      </c>
      <c r="Z351" s="84">
        <v>0.0</v>
      </c>
      <c r="AA351" s="84">
        <v>0.0</v>
      </c>
      <c r="AB351" s="84">
        <v>0.0</v>
      </c>
      <c r="AC351" s="84">
        <v>0.0</v>
      </c>
      <c r="AD351" s="84">
        <v>0.0</v>
      </c>
      <c r="AE351" s="84">
        <v>0.0</v>
      </c>
      <c r="AF351" s="160">
        <v>0.0</v>
      </c>
      <c r="AG351" s="93">
        <f t="shared" si="109"/>
        <v>1</v>
      </c>
    </row>
    <row r="352" outlineLevel="1">
      <c r="A352" s="215" t="s">
        <v>336</v>
      </c>
      <c r="B352" s="160">
        <v>0.0</v>
      </c>
      <c r="C352" s="160">
        <v>0.0</v>
      </c>
      <c r="D352" s="160">
        <v>0.0</v>
      </c>
      <c r="E352" s="160">
        <v>0.0</v>
      </c>
      <c r="F352" s="160">
        <v>0.0</v>
      </c>
      <c r="G352" s="160">
        <v>0.0</v>
      </c>
      <c r="H352" s="160">
        <v>0.0</v>
      </c>
      <c r="I352" s="160">
        <v>0.0</v>
      </c>
      <c r="J352" s="160">
        <v>0.0</v>
      </c>
      <c r="K352" s="160">
        <v>0.0</v>
      </c>
      <c r="L352" s="160">
        <v>0.0</v>
      </c>
      <c r="M352" s="160">
        <v>0.0</v>
      </c>
      <c r="N352" s="84">
        <v>0.0</v>
      </c>
      <c r="O352" s="84">
        <v>0.0</v>
      </c>
      <c r="P352" s="84">
        <v>0.0</v>
      </c>
      <c r="Q352" s="160">
        <v>0.0</v>
      </c>
      <c r="R352" s="84">
        <v>0.0</v>
      </c>
      <c r="S352" s="84">
        <v>0.0</v>
      </c>
      <c r="T352" s="84">
        <v>0.0</v>
      </c>
      <c r="U352" s="84">
        <v>0.0</v>
      </c>
      <c r="V352" s="84">
        <v>0.0</v>
      </c>
      <c r="W352" s="84">
        <v>0.0</v>
      </c>
      <c r="X352" s="84">
        <v>0.0</v>
      </c>
      <c r="Y352" s="84">
        <v>0.0</v>
      </c>
      <c r="Z352" s="84">
        <v>0.0</v>
      </c>
      <c r="AA352" s="84">
        <v>0.0</v>
      </c>
      <c r="AB352" s="84">
        <v>0.0</v>
      </c>
      <c r="AC352" s="84">
        <v>0.0</v>
      </c>
      <c r="AD352" s="84">
        <v>0.0</v>
      </c>
      <c r="AE352" s="84">
        <v>0.0</v>
      </c>
      <c r="AF352" s="160">
        <v>0.0</v>
      </c>
      <c r="AG352" s="93">
        <f t="shared" si="109"/>
        <v>0</v>
      </c>
    </row>
    <row r="353" outlineLevel="1">
      <c r="A353" s="215" t="s">
        <v>337</v>
      </c>
      <c r="B353" s="160">
        <v>0.0</v>
      </c>
      <c r="C353" s="160">
        <v>0.0</v>
      </c>
      <c r="D353" s="160">
        <v>0.0</v>
      </c>
      <c r="E353" s="160">
        <v>0.0</v>
      </c>
      <c r="F353" s="160">
        <v>0.0</v>
      </c>
      <c r="G353" s="160">
        <v>0.0</v>
      </c>
      <c r="H353" s="160">
        <v>0.0</v>
      </c>
      <c r="I353" s="160">
        <v>0.0</v>
      </c>
      <c r="J353" s="160">
        <v>0.0</v>
      </c>
      <c r="K353" s="160">
        <v>0.0</v>
      </c>
      <c r="L353" s="160">
        <v>0.0</v>
      </c>
      <c r="M353" s="160">
        <v>0.0</v>
      </c>
      <c r="N353" s="160">
        <v>0.0</v>
      </c>
      <c r="O353" s="160">
        <v>0.0</v>
      </c>
      <c r="P353" s="160">
        <v>0.0</v>
      </c>
      <c r="Q353" s="160">
        <v>0.0</v>
      </c>
      <c r="R353" s="160">
        <v>0.0</v>
      </c>
      <c r="S353" s="160">
        <v>0.0</v>
      </c>
      <c r="T353" s="160">
        <v>0.0</v>
      </c>
      <c r="U353" s="160">
        <v>0.0</v>
      </c>
      <c r="V353" s="160">
        <v>0.0</v>
      </c>
      <c r="W353" s="160">
        <v>0.0</v>
      </c>
      <c r="X353" s="160">
        <v>0.0</v>
      </c>
      <c r="Y353" s="160">
        <v>0.0</v>
      </c>
      <c r="Z353" s="160">
        <v>0.0</v>
      </c>
      <c r="AA353" s="160">
        <v>0.0</v>
      </c>
      <c r="AB353" s="160">
        <v>0.0</v>
      </c>
      <c r="AC353" s="160">
        <v>0.0</v>
      </c>
      <c r="AD353" s="160">
        <v>0.0</v>
      </c>
      <c r="AE353" s="160">
        <v>0.0</v>
      </c>
      <c r="AF353" s="160">
        <v>0.0</v>
      </c>
      <c r="AG353" s="93">
        <f t="shared" si="109"/>
        <v>0</v>
      </c>
    </row>
    <row r="354" outlineLevel="1">
      <c r="A354" s="215" t="s">
        <v>338</v>
      </c>
      <c r="B354" s="160">
        <v>0.0</v>
      </c>
      <c r="C354" s="160">
        <v>0.0</v>
      </c>
      <c r="D354" s="160">
        <v>0.0</v>
      </c>
      <c r="E354" s="160">
        <v>0.0</v>
      </c>
      <c r="F354" s="160">
        <v>0.0</v>
      </c>
      <c r="G354" s="160">
        <v>0.0</v>
      </c>
      <c r="H354" s="160">
        <v>0.0</v>
      </c>
      <c r="I354" s="160">
        <v>0.0</v>
      </c>
      <c r="J354" s="160">
        <v>0.0</v>
      </c>
      <c r="K354" s="160">
        <v>0.0</v>
      </c>
      <c r="L354" s="160">
        <v>0.0</v>
      </c>
      <c r="M354" s="160">
        <v>0.0</v>
      </c>
      <c r="N354" s="160">
        <v>0.0</v>
      </c>
      <c r="O354" s="160">
        <v>0.0</v>
      </c>
      <c r="P354" s="160">
        <v>0.0</v>
      </c>
      <c r="Q354" s="160">
        <v>0.0</v>
      </c>
      <c r="R354" s="160">
        <v>0.0</v>
      </c>
      <c r="S354" s="160">
        <v>0.0</v>
      </c>
      <c r="T354" s="160">
        <v>0.0</v>
      </c>
      <c r="U354" s="160">
        <v>0.0</v>
      </c>
      <c r="V354" s="160">
        <v>0.0</v>
      </c>
      <c r="W354" s="160">
        <v>0.0</v>
      </c>
      <c r="X354" s="160">
        <v>0.0</v>
      </c>
      <c r="Y354" s="160">
        <v>0.0</v>
      </c>
      <c r="Z354" s="160">
        <v>0.0</v>
      </c>
      <c r="AA354" s="160">
        <v>0.0</v>
      </c>
      <c r="AB354" s="160">
        <v>0.0</v>
      </c>
      <c r="AC354" s="160">
        <v>0.0</v>
      </c>
      <c r="AD354" s="160">
        <v>0.0</v>
      </c>
      <c r="AE354" s="160">
        <v>0.0</v>
      </c>
      <c r="AF354" s="160">
        <v>0.0</v>
      </c>
      <c r="AG354" s="93">
        <f t="shared" si="109"/>
        <v>0</v>
      </c>
    </row>
    <row r="355" outlineLevel="1">
      <c r="A355" s="232" t="s">
        <v>339</v>
      </c>
      <c r="B355" s="155">
        <v>0.0</v>
      </c>
      <c r="C355" s="155">
        <v>0.0</v>
      </c>
      <c r="D355" s="155">
        <v>0.0</v>
      </c>
      <c r="E355" s="155">
        <v>0.0</v>
      </c>
      <c r="F355" s="155">
        <v>0.0</v>
      </c>
      <c r="G355" s="155">
        <v>0.0</v>
      </c>
      <c r="H355" s="155">
        <v>0.0</v>
      </c>
      <c r="I355" s="155">
        <v>0.0</v>
      </c>
      <c r="J355" s="155">
        <v>0.0</v>
      </c>
      <c r="K355" s="155">
        <v>0.0</v>
      </c>
      <c r="L355" s="155">
        <v>0.0</v>
      </c>
      <c r="M355" s="155">
        <v>0.0</v>
      </c>
      <c r="N355" s="155">
        <v>0.0</v>
      </c>
      <c r="O355" s="155">
        <v>0.0</v>
      </c>
      <c r="P355" s="155">
        <v>0.0</v>
      </c>
      <c r="Q355" s="155">
        <v>0.0</v>
      </c>
      <c r="R355" s="155">
        <v>0.0</v>
      </c>
      <c r="S355" s="155">
        <v>0.0</v>
      </c>
      <c r="T355" s="155">
        <v>0.0</v>
      </c>
      <c r="U355" s="155">
        <v>0.0</v>
      </c>
      <c r="V355" s="155">
        <v>0.0</v>
      </c>
      <c r="W355" s="155">
        <v>0.0</v>
      </c>
      <c r="X355" s="155">
        <v>0.0</v>
      </c>
      <c r="Y355" s="155">
        <v>0.0</v>
      </c>
      <c r="Z355" s="155">
        <v>0.0</v>
      </c>
      <c r="AA355" s="155">
        <v>0.0</v>
      </c>
      <c r="AB355" s="155">
        <v>0.0</v>
      </c>
      <c r="AC355" s="155">
        <v>0.0</v>
      </c>
      <c r="AD355" s="155">
        <v>0.0</v>
      </c>
      <c r="AE355" s="155">
        <v>0.0</v>
      </c>
      <c r="AF355" s="155">
        <v>0.0</v>
      </c>
      <c r="AG355" s="93">
        <f t="shared" si="109"/>
        <v>0</v>
      </c>
    </row>
    <row r="356" outlineLevel="1">
      <c r="A356" s="232" t="s">
        <v>340</v>
      </c>
      <c r="B356" s="155">
        <v>0.0</v>
      </c>
      <c r="C356" s="155">
        <v>0.0</v>
      </c>
      <c r="D356" s="155">
        <v>0.0</v>
      </c>
      <c r="E356" s="155">
        <v>0.0</v>
      </c>
      <c r="F356" s="155">
        <v>0.0</v>
      </c>
      <c r="G356" s="155">
        <v>0.0</v>
      </c>
      <c r="H356" s="155">
        <v>0.0</v>
      </c>
      <c r="I356" s="155">
        <v>0.0</v>
      </c>
      <c r="J356" s="155">
        <v>0.0</v>
      </c>
      <c r="K356" s="155">
        <v>0.0</v>
      </c>
      <c r="L356" s="155">
        <v>0.0</v>
      </c>
      <c r="M356" s="155">
        <v>0.0</v>
      </c>
      <c r="N356" s="155">
        <v>0.0</v>
      </c>
      <c r="O356" s="155">
        <v>0.0</v>
      </c>
      <c r="P356" s="155">
        <v>0.0</v>
      </c>
      <c r="Q356" s="155">
        <v>0.0</v>
      </c>
      <c r="R356" s="155">
        <v>0.0</v>
      </c>
      <c r="S356" s="155">
        <v>0.0</v>
      </c>
      <c r="T356" s="155">
        <v>0.0</v>
      </c>
      <c r="U356" s="155">
        <v>0.0</v>
      </c>
      <c r="V356" s="155">
        <v>0.0</v>
      </c>
      <c r="W356" s="155">
        <v>0.0</v>
      </c>
      <c r="X356" s="155">
        <v>0.0</v>
      </c>
      <c r="Y356" s="155">
        <v>0.0</v>
      </c>
      <c r="Z356" s="155">
        <v>0.0</v>
      </c>
      <c r="AA356" s="155">
        <v>0.0</v>
      </c>
      <c r="AB356" s="155">
        <v>0.0</v>
      </c>
      <c r="AC356" s="155">
        <v>0.0</v>
      </c>
      <c r="AD356" s="155">
        <v>0.0</v>
      </c>
      <c r="AE356" s="155">
        <v>0.0</v>
      </c>
      <c r="AF356" s="155">
        <v>0.0</v>
      </c>
      <c r="AG356" s="93">
        <f t="shared" si="109"/>
        <v>0</v>
      </c>
    </row>
    <row r="357">
      <c r="A357" s="225" t="s">
        <v>141</v>
      </c>
      <c r="B357" s="224">
        <f t="shared" ref="B357:AF357" si="110">SUM(B347:B356)</f>
        <v>0</v>
      </c>
      <c r="C357" s="224">
        <f t="shared" si="110"/>
        <v>0</v>
      </c>
      <c r="D357" s="224">
        <f t="shared" si="110"/>
        <v>0</v>
      </c>
      <c r="E357" s="224">
        <f t="shared" si="110"/>
        <v>0</v>
      </c>
      <c r="F357" s="224">
        <f t="shared" si="110"/>
        <v>0</v>
      </c>
      <c r="G357" s="224">
        <f t="shared" si="110"/>
        <v>0</v>
      </c>
      <c r="H357" s="224">
        <f t="shared" si="110"/>
        <v>0</v>
      </c>
      <c r="I357" s="224">
        <f t="shared" si="110"/>
        <v>0</v>
      </c>
      <c r="J357" s="224">
        <f t="shared" si="110"/>
        <v>0</v>
      </c>
      <c r="K357" s="224">
        <f t="shared" si="110"/>
        <v>0</v>
      </c>
      <c r="L357" s="224">
        <f t="shared" si="110"/>
        <v>0</v>
      </c>
      <c r="M357" s="224">
        <f t="shared" si="110"/>
        <v>0</v>
      </c>
      <c r="N357" s="224">
        <f t="shared" si="110"/>
        <v>0</v>
      </c>
      <c r="O357" s="224">
        <f t="shared" si="110"/>
        <v>0</v>
      </c>
      <c r="P357" s="224">
        <f t="shared" si="110"/>
        <v>0</v>
      </c>
      <c r="Q357" s="224">
        <f t="shared" si="110"/>
        <v>1</v>
      </c>
      <c r="R357" s="224">
        <f t="shared" si="110"/>
        <v>0</v>
      </c>
      <c r="S357" s="224">
        <f t="shared" si="110"/>
        <v>0</v>
      </c>
      <c r="T357" s="224">
        <f t="shared" si="110"/>
        <v>0</v>
      </c>
      <c r="U357" s="224">
        <f t="shared" si="110"/>
        <v>0</v>
      </c>
      <c r="V357" s="224">
        <f t="shared" si="110"/>
        <v>0</v>
      </c>
      <c r="W357" s="224">
        <f t="shared" si="110"/>
        <v>0</v>
      </c>
      <c r="X357" s="224">
        <f t="shared" si="110"/>
        <v>0</v>
      </c>
      <c r="Y357" s="224">
        <f t="shared" si="110"/>
        <v>0</v>
      </c>
      <c r="Z357" s="224">
        <f t="shared" si="110"/>
        <v>0</v>
      </c>
      <c r="AA357" s="224">
        <f t="shared" si="110"/>
        <v>0</v>
      </c>
      <c r="AB357" s="224">
        <f t="shared" si="110"/>
        <v>0</v>
      </c>
      <c r="AC357" s="224">
        <f t="shared" si="110"/>
        <v>0</v>
      </c>
      <c r="AD357" s="224">
        <f t="shared" si="110"/>
        <v>0</v>
      </c>
      <c r="AE357" s="224">
        <f t="shared" si="110"/>
        <v>0</v>
      </c>
      <c r="AF357" s="224">
        <f t="shared" si="110"/>
        <v>0</v>
      </c>
      <c r="AG357" s="93">
        <f t="shared" si="109"/>
        <v>1</v>
      </c>
    </row>
    <row r="358">
      <c r="A358" s="166"/>
      <c r="B358" s="177"/>
      <c r="C358" s="177"/>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c r="AA358" s="177"/>
      <c r="AB358" s="177"/>
      <c r="AC358" s="177"/>
      <c r="AD358" s="177"/>
      <c r="AE358" s="177"/>
      <c r="AF358" s="177"/>
      <c r="AG358" s="209"/>
    </row>
    <row r="359">
      <c r="A359" s="215" t="s">
        <v>341</v>
      </c>
      <c r="B359" s="160">
        <v>0.0</v>
      </c>
      <c r="C359" s="160">
        <v>0.0</v>
      </c>
      <c r="D359" s="160">
        <v>1.0</v>
      </c>
      <c r="E359" s="160">
        <v>0.0</v>
      </c>
      <c r="F359" s="160">
        <v>0.0</v>
      </c>
      <c r="G359" s="160">
        <v>0.0</v>
      </c>
      <c r="H359" s="160">
        <v>8.0</v>
      </c>
      <c r="I359" s="160">
        <v>1.0</v>
      </c>
      <c r="J359" s="160">
        <v>0.0</v>
      </c>
      <c r="K359" s="160">
        <v>0.0</v>
      </c>
      <c r="L359" s="160">
        <v>0.0</v>
      </c>
      <c r="M359" s="160">
        <v>0.0</v>
      </c>
      <c r="N359" s="160">
        <v>0.0</v>
      </c>
      <c r="O359" s="160">
        <v>3.0</v>
      </c>
      <c r="P359" s="160">
        <v>2.0</v>
      </c>
      <c r="Q359" s="160">
        <v>4.0</v>
      </c>
      <c r="R359" s="160">
        <v>0.0</v>
      </c>
      <c r="S359" s="160">
        <v>1.0</v>
      </c>
      <c r="T359" s="160">
        <v>0.0</v>
      </c>
      <c r="U359" s="160">
        <v>1.0</v>
      </c>
      <c r="V359" s="160">
        <v>4.0</v>
      </c>
      <c r="W359" s="160">
        <v>1.0</v>
      </c>
      <c r="X359" s="160">
        <v>15.0</v>
      </c>
      <c r="Y359" s="160">
        <v>0.0</v>
      </c>
      <c r="Z359" s="160">
        <v>0.0</v>
      </c>
      <c r="AA359" s="160">
        <v>1.0</v>
      </c>
      <c r="AB359" s="160">
        <v>1.0</v>
      </c>
      <c r="AC359" s="160">
        <v>1.0</v>
      </c>
      <c r="AD359" s="160">
        <v>3.0</v>
      </c>
      <c r="AE359" s="160">
        <v>1.0</v>
      </c>
      <c r="AF359" s="160">
        <v>0.0</v>
      </c>
      <c r="AG359" s="93">
        <f t="shared" ref="AG359:AG361" si="111">SUM(B359:AF359)</f>
        <v>48</v>
      </c>
    </row>
    <row r="360">
      <c r="A360" s="215" t="s">
        <v>342</v>
      </c>
      <c r="B360" s="160">
        <v>0.0</v>
      </c>
      <c r="C360" s="160">
        <v>0.0</v>
      </c>
      <c r="D360" s="160">
        <v>0.0</v>
      </c>
      <c r="E360" s="160">
        <v>0.0</v>
      </c>
      <c r="F360" s="160">
        <v>0.0</v>
      </c>
      <c r="G360" s="160">
        <v>0.0</v>
      </c>
      <c r="H360" s="160">
        <v>0.0</v>
      </c>
      <c r="I360" s="160">
        <v>0.0</v>
      </c>
      <c r="J360" s="160">
        <v>0.0</v>
      </c>
      <c r="K360" s="160">
        <v>0.0</v>
      </c>
      <c r="L360" s="160">
        <v>0.0</v>
      </c>
      <c r="M360" s="160">
        <v>0.0</v>
      </c>
      <c r="N360" s="160">
        <v>0.0</v>
      </c>
      <c r="O360" s="160">
        <v>0.0</v>
      </c>
      <c r="P360" s="160">
        <v>0.0</v>
      </c>
      <c r="Q360" s="160">
        <v>1.0</v>
      </c>
      <c r="R360" s="160">
        <v>0.0</v>
      </c>
      <c r="S360" s="160">
        <v>0.0</v>
      </c>
      <c r="T360" s="160">
        <v>0.0</v>
      </c>
      <c r="U360" s="160">
        <v>0.0</v>
      </c>
      <c r="V360" s="160">
        <v>0.0</v>
      </c>
      <c r="W360" s="160">
        <v>0.0</v>
      </c>
      <c r="X360" s="160">
        <v>0.0</v>
      </c>
      <c r="Y360" s="160">
        <v>0.0</v>
      </c>
      <c r="Z360" s="160">
        <v>0.0</v>
      </c>
      <c r="AA360" s="160">
        <v>0.0</v>
      </c>
      <c r="AB360" s="160">
        <v>0.0</v>
      </c>
      <c r="AC360" s="160">
        <v>0.0</v>
      </c>
      <c r="AD360" s="160">
        <v>0.0</v>
      </c>
      <c r="AE360" s="160">
        <v>0.0</v>
      </c>
      <c r="AF360" s="160">
        <v>0.0</v>
      </c>
      <c r="AG360" s="93">
        <f t="shared" si="111"/>
        <v>1</v>
      </c>
    </row>
    <row r="361">
      <c r="A361" s="227" t="s">
        <v>119</v>
      </c>
      <c r="B361" s="224">
        <f t="shared" ref="B361:AF361" si="112">SUM(B359:B360)</f>
        <v>0</v>
      </c>
      <c r="C361" s="224">
        <f t="shared" si="112"/>
        <v>0</v>
      </c>
      <c r="D361" s="224">
        <f t="shared" si="112"/>
        <v>1</v>
      </c>
      <c r="E361" s="224">
        <f t="shared" si="112"/>
        <v>0</v>
      </c>
      <c r="F361" s="224">
        <f t="shared" si="112"/>
        <v>0</v>
      </c>
      <c r="G361" s="224">
        <f t="shared" si="112"/>
        <v>0</v>
      </c>
      <c r="H361" s="224">
        <f t="shared" si="112"/>
        <v>8</v>
      </c>
      <c r="I361" s="224">
        <f t="shared" si="112"/>
        <v>1</v>
      </c>
      <c r="J361" s="224">
        <f t="shared" si="112"/>
        <v>0</v>
      </c>
      <c r="K361" s="224">
        <f t="shared" si="112"/>
        <v>0</v>
      </c>
      <c r="L361" s="224">
        <f t="shared" si="112"/>
        <v>0</v>
      </c>
      <c r="M361" s="224">
        <f t="shared" si="112"/>
        <v>0</v>
      </c>
      <c r="N361" s="224">
        <f t="shared" si="112"/>
        <v>0</v>
      </c>
      <c r="O361" s="224">
        <f t="shared" si="112"/>
        <v>3</v>
      </c>
      <c r="P361" s="224">
        <f t="shared" si="112"/>
        <v>2</v>
      </c>
      <c r="Q361" s="224">
        <f t="shared" si="112"/>
        <v>5</v>
      </c>
      <c r="R361" s="224">
        <f t="shared" si="112"/>
        <v>0</v>
      </c>
      <c r="S361" s="224">
        <f t="shared" si="112"/>
        <v>1</v>
      </c>
      <c r="T361" s="224">
        <f t="shared" si="112"/>
        <v>0</v>
      </c>
      <c r="U361" s="224">
        <f t="shared" si="112"/>
        <v>1</v>
      </c>
      <c r="V361" s="224">
        <f t="shared" si="112"/>
        <v>4</v>
      </c>
      <c r="W361" s="224">
        <f t="shared" si="112"/>
        <v>1</v>
      </c>
      <c r="X361" s="224">
        <f t="shared" si="112"/>
        <v>15</v>
      </c>
      <c r="Y361" s="224">
        <f t="shared" si="112"/>
        <v>0</v>
      </c>
      <c r="Z361" s="224">
        <f t="shared" si="112"/>
        <v>0</v>
      </c>
      <c r="AA361" s="224">
        <f t="shared" si="112"/>
        <v>1</v>
      </c>
      <c r="AB361" s="224">
        <f t="shared" si="112"/>
        <v>1</v>
      </c>
      <c r="AC361" s="224">
        <f t="shared" si="112"/>
        <v>1</v>
      </c>
      <c r="AD361" s="224">
        <f t="shared" si="112"/>
        <v>3</v>
      </c>
      <c r="AE361" s="224">
        <f t="shared" si="112"/>
        <v>1</v>
      </c>
      <c r="AF361" s="224">
        <f t="shared" si="112"/>
        <v>0</v>
      </c>
      <c r="AG361" s="93">
        <f t="shared" si="111"/>
        <v>49</v>
      </c>
    </row>
    <row r="362">
      <c r="A362" s="166"/>
      <c r="B362" s="233"/>
      <c r="C362" s="177"/>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c r="AA362" s="177"/>
      <c r="AB362" s="177"/>
      <c r="AC362" s="177"/>
      <c r="AD362" s="177"/>
      <c r="AE362" s="177"/>
      <c r="AF362" s="177"/>
      <c r="AG362" s="209"/>
    </row>
    <row r="363">
      <c r="A363" s="145" t="s">
        <v>343</v>
      </c>
      <c r="B363" s="177"/>
      <c r="C363" s="177"/>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c r="AA363" s="177"/>
      <c r="AB363" s="177"/>
      <c r="AC363" s="177"/>
      <c r="AD363" s="177"/>
      <c r="AE363" s="177"/>
      <c r="AF363" s="177"/>
      <c r="AG363" s="209"/>
    </row>
    <row r="364">
      <c r="A364" s="215" t="s">
        <v>306</v>
      </c>
      <c r="B364" s="197">
        <v>0.0</v>
      </c>
      <c r="C364" s="197">
        <v>0.0</v>
      </c>
      <c r="D364" s="197">
        <v>324.73</v>
      </c>
      <c r="E364" s="234">
        <v>0.0</v>
      </c>
      <c r="F364" s="234">
        <v>0.0</v>
      </c>
      <c r="G364" s="234">
        <v>0.0</v>
      </c>
      <c r="H364" s="234">
        <v>2428.51</v>
      </c>
      <c r="I364" s="234">
        <v>80.38</v>
      </c>
      <c r="J364" s="234">
        <v>0.0</v>
      </c>
      <c r="K364" s="234">
        <v>0.0</v>
      </c>
      <c r="L364" s="234">
        <v>0.0</v>
      </c>
      <c r="M364" s="234">
        <v>0.0</v>
      </c>
      <c r="N364" s="234">
        <v>0.0</v>
      </c>
      <c r="O364" s="234">
        <v>443.89</v>
      </c>
      <c r="P364" s="234">
        <v>573.46</v>
      </c>
      <c r="Q364" s="234">
        <v>944.33</v>
      </c>
      <c r="R364" s="234">
        <v>0.0</v>
      </c>
      <c r="S364" s="234">
        <v>324.0</v>
      </c>
      <c r="T364" s="234">
        <v>0.0</v>
      </c>
      <c r="U364" s="234">
        <v>269.4</v>
      </c>
      <c r="V364" s="234">
        <v>305.28</v>
      </c>
      <c r="W364" s="234">
        <v>309.23</v>
      </c>
      <c r="X364" s="234">
        <v>4859.09</v>
      </c>
      <c r="Y364" s="234">
        <v>0.0</v>
      </c>
      <c r="Z364" s="234">
        <v>0.0</v>
      </c>
      <c r="AA364" s="234">
        <v>299.99</v>
      </c>
      <c r="AB364" s="234">
        <v>324.79</v>
      </c>
      <c r="AC364" s="234">
        <v>415.0</v>
      </c>
      <c r="AD364" s="197">
        <v>883.54</v>
      </c>
      <c r="AE364" s="197">
        <v>275.16</v>
      </c>
      <c r="AF364" s="197">
        <v>0.0</v>
      </c>
      <c r="AG364" s="93">
        <f t="shared" ref="AG364:AG365" si="114">SUM(B364:AF364)</f>
        <v>13060.78</v>
      </c>
    </row>
    <row r="365">
      <c r="A365" s="227" t="s">
        <v>307</v>
      </c>
      <c r="B365" s="235">
        <f t="shared" ref="B365:AF365" si="113">sum(B364)</f>
        <v>0</v>
      </c>
      <c r="C365" s="235">
        <f t="shared" si="113"/>
        <v>0</v>
      </c>
      <c r="D365" s="235">
        <f t="shared" si="113"/>
        <v>324.73</v>
      </c>
      <c r="E365" s="235">
        <f t="shared" si="113"/>
        <v>0</v>
      </c>
      <c r="F365" s="235">
        <f t="shared" si="113"/>
        <v>0</v>
      </c>
      <c r="G365" s="235">
        <f t="shared" si="113"/>
        <v>0</v>
      </c>
      <c r="H365" s="235">
        <f t="shared" si="113"/>
        <v>2428.51</v>
      </c>
      <c r="I365" s="235">
        <f t="shared" si="113"/>
        <v>80.38</v>
      </c>
      <c r="J365" s="235">
        <f t="shared" si="113"/>
        <v>0</v>
      </c>
      <c r="K365" s="235">
        <f t="shared" si="113"/>
        <v>0</v>
      </c>
      <c r="L365" s="235">
        <f t="shared" si="113"/>
        <v>0</v>
      </c>
      <c r="M365" s="235">
        <f t="shared" si="113"/>
        <v>0</v>
      </c>
      <c r="N365" s="235">
        <f t="shared" si="113"/>
        <v>0</v>
      </c>
      <c r="O365" s="235">
        <f t="shared" si="113"/>
        <v>443.89</v>
      </c>
      <c r="P365" s="235">
        <f t="shared" si="113"/>
        <v>573.46</v>
      </c>
      <c r="Q365" s="235">
        <f t="shared" si="113"/>
        <v>944.33</v>
      </c>
      <c r="R365" s="235">
        <f t="shared" si="113"/>
        <v>0</v>
      </c>
      <c r="S365" s="235">
        <f t="shared" si="113"/>
        <v>324</v>
      </c>
      <c r="T365" s="235">
        <f t="shared" si="113"/>
        <v>0</v>
      </c>
      <c r="U365" s="235">
        <f t="shared" si="113"/>
        <v>269.4</v>
      </c>
      <c r="V365" s="235">
        <f t="shared" si="113"/>
        <v>305.28</v>
      </c>
      <c r="W365" s="235">
        <f t="shared" si="113"/>
        <v>309.23</v>
      </c>
      <c r="X365" s="235">
        <f t="shared" si="113"/>
        <v>4859.09</v>
      </c>
      <c r="Y365" s="235">
        <f t="shared" si="113"/>
        <v>0</v>
      </c>
      <c r="Z365" s="235">
        <f t="shared" si="113"/>
        <v>0</v>
      </c>
      <c r="AA365" s="235">
        <f t="shared" si="113"/>
        <v>299.99</v>
      </c>
      <c r="AB365" s="235">
        <f t="shared" si="113"/>
        <v>324.79</v>
      </c>
      <c r="AC365" s="235">
        <f t="shared" si="113"/>
        <v>415</v>
      </c>
      <c r="AD365" s="235">
        <f t="shared" si="113"/>
        <v>883.54</v>
      </c>
      <c r="AE365" s="235">
        <f t="shared" si="113"/>
        <v>275.16</v>
      </c>
      <c r="AF365" s="235">
        <f t="shared" si="113"/>
        <v>0</v>
      </c>
      <c r="AG365" s="93">
        <f t="shared" si="114"/>
        <v>13060.78</v>
      </c>
    </row>
    <row r="366">
      <c r="A366" s="166"/>
      <c r="B366" s="236"/>
      <c r="C366" s="236"/>
      <c r="D366" s="236"/>
      <c r="E366" s="236"/>
      <c r="F366" s="236"/>
      <c r="G366" s="236"/>
      <c r="H366" s="236"/>
      <c r="I366" s="236"/>
      <c r="J366" s="236"/>
      <c r="K366" s="236"/>
      <c r="L366" s="236"/>
      <c r="M366" s="236"/>
      <c r="N366" s="236"/>
      <c r="O366" s="236"/>
      <c r="P366" s="236"/>
      <c r="Q366" s="236"/>
      <c r="R366" s="236"/>
      <c r="S366" s="236"/>
      <c r="T366" s="236"/>
      <c r="U366" s="236"/>
      <c r="V366" s="236"/>
      <c r="W366" s="236"/>
      <c r="X366" s="236"/>
      <c r="Y366" s="236"/>
      <c r="Z366" s="236"/>
      <c r="AA366" s="236"/>
      <c r="AB366" s="236"/>
      <c r="AC366" s="236"/>
      <c r="AD366" s="236"/>
      <c r="AE366" s="236"/>
      <c r="AF366" s="236"/>
      <c r="AG366" s="209"/>
    </row>
    <row r="367">
      <c r="A367" s="215" t="s">
        <v>308</v>
      </c>
      <c r="B367" s="197">
        <v>0.0</v>
      </c>
      <c r="C367" s="197">
        <v>0.0</v>
      </c>
      <c r="D367" s="197">
        <v>0.0</v>
      </c>
      <c r="E367" s="234">
        <v>0.0</v>
      </c>
      <c r="F367" s="197">
        <v>0.0</v>
      </c>
      <c r="G367" s="197">
        <v>0.0</v>
      </c>
      <c r="H367" s="234">
        <v>0.0</v>
      </c>
      <c r="I367" s="234">
        <v>0.0</v>
      </c>
      <c r="J367" s="234">
        <v>0.0</v>
      </c>
      <c r="K367" s="234">
        <v>0.0</v>
      </c>
      <c r="L367" s="234">
        <v>0.0</v>
      </c>
      <c r="M367" s="234">
        <v>0.0</v>
      </c>
      <c r="N367" s="234">
        <v>0.0</v>
      </c>
      <c r="O367" s="234">
        <v>0.0</v>
      </c>
      <c r="P367" s="234">
        <v>0.0</v>
      </c>
      <c r="Q367" s="234">
        <v>89.0</v>
      </c>
      <c r="R367" s="197">
        <v>0.0</v>
      </c>
      <c r="S367" s="197">
        <v>0.0</v>
      </c>
      <c r="T367" s="234">
        <v>0.0</v>
      </c>
      <c r="U367" s="234">
        <v>0.0</v>
      </c>
      <c r="V367" s="234">
        <v>0.0</v>
      </c>
      <c r="W367" s="234">
        <v>0.0</v>
      </c>
      <c r="X367" s="234">
        <v>0.0</v>
      </c>
      <c r="Y367" s="234">
        <v>0.0</v>
      </c>
      <c r="Z367" s="234">
        <v>0.0</v>
      </c>
      <c r="AA367" s="234">
        <v>0.0</v>
      </c>
      <c r="AB367" s="234">
        <v>0.0</v>
      </c>
      <c r="AC367" s="234">
        <v>0.0</v>
      </c>
      <c r="AD367" s="234">
        <v>0.0</v>
      </c>
      <c r="AE367" s="234">
        <v>0.0</v>
      </c>
      <c r="AF367" s="234">
        <v>0.0</v>
      </c>
      <c r="AG367" s="93">
        <f t="shared" ref="AG367:AG370" si="115">SUM(B367:AF367)</f>
        <v>89</v>
      </c>
    </row>
    <row r="368">
      <c r="A368" s="215" t="s">
        <v>309</v>
      </c>
      <c r="B368" s="197">
        <v>0.0</v>
      </c>
      <c r="C368" s="197">
        <v>0.0</v>
      </c>
      <c r="D368" s="197">
        <v>0.0</v>
      </c>
      <c r="E368" s="234">
        <v>0.0</v>
      </c>
      <c r="F368" s="197">
        <v>0.0</v>
      </c>
      <c r="G368" s="197">
        <v>0.0</v>
      </c>
      <c r="H368" s="234">
        <v>0.0</v>
      </c>
      <c r="I368" s="234">
        <v>0.0</v>
      </c>
      <c r="J368" s="234">
        <v>0.0</v>
      </c>
      <c r="K368" s="234">
        <v>0.0</v>
      </c>
      <c r="L368" s="234">
        <v>0.0</v>
      </c>
      <c r="M368" s="234">
        <v>0.0</v>
      </c>
      <c r="N368" s="234">
        <v>0.0</v>
      </c>
      <c r="O368" s="234">
        <v>0.0</v>
      </c>
      <c r="P368" s="234">
        <v>0.0</v>
      </c>
      <c r="Q368" s="234">
        <v>0.0</v>
      </c>
      <c r="R368" s="197">
        <v>0.0</v>
      </c>
      <c r="S368" s="197">
        <v>0.0</v>
      </c>
      <c r="T368" s="234">
        <v>0.0</v>
      </c>
      <c r="U368" s="234">
        <v>0.0</v>
      </c>
      <c r="V368" s="234">
        <v>0.0</v>
      </c>
      <c r="W368" s="234">
        <v>0.0</v>
      </c>
      <c r="X368" s="234">
        <v>0.0</v>
      </c>
      <c r="Y368" s="234">
        <v>0.0</v>
      </c>
      <c r="Z368" s="234">
        <v>0.0</v>
      </c>
      <c r="AA368" s="234">
        <v>0.0</v>
      </c>
      <c r="AB368" s="234">
        <v>0.0</v>
      </c>
      <c r="AC368" s="234">
        <v>0.0</v>
      </c>
      <c r="AD368" s="234">
        <v>0.0</v>
      </c>
      <c r="AE368" s="234">
        <v>0.0</v>
      </c>
      <c r="AF368" s="234">
        <v>0.0</v>
      </c>
      <c r="AG368" s="93">
        <f t="shared" si="115"/>
        <v>0</v>
      </c>
    </row>
    <row r="369">
      <c r="A369" s="215" t="s">
        <v>310</v>
      </c>
      <c r="B369" s="197">
        <f t="shared" ref="B369:AF369" si="116">B367*0.22</f>
        <v>0</v>
      </c>
      <c r="C369" s="197">
        <f t="shared" si="116"/>
        <v>0</v>
      </c>
      <c r="D369" s="197">
        <f t="shared" si="116"/>
        <v>0</v>
      </c>
      <c r="E369" s="197">
        <f t="shared" si="116"/>
        <v>0</v>
      </c>
      <c r="F369" s="197">
        <f t="shared" si="116"/>
        <v>0</v>
      </c>
      <c r="G369" s="197">
        <f t="shared" si="116"/>
        <v>0</v>
      </c>
      <c r="H369" s="197">
        <f t="shared" si="116"/>
        <v>0</v>
      </c>
      <c r="I369" s="197">
        <f t="shared" si="116"/>
        <v>0</v>
      </c>
      <c r="J369" s="197">
        <f t="shared" si="116"/>
        <v>0</v>
      </c>
      <c r="K369" s="197">
        <f t="shared" si="116"/>
        <v>0</v>
      </c>
      <c r="L369" s="197">
        <f t="shared" si="116"/>
        <v>0</v>
      </c>
      <c r="M369" s="197">
        <f t="shared" si="116"/>
        <v>0</v>
      </c>
      <c r="N369" s="197">
        <f t="shared" si="116"/>
        <v>0</v>
      </c>
      <c r="O369" s="197">
        <f t="shared" si="116"/>
        <v>0</v>
      </c>
      <c r="P369" s="197">
        <f t="shared" si="116"/>
        <v>0</v>
      </c>
      <c r="Q369" s="197">
        <f t="shared" si="116"/>
        <v>19.58</v>
      </c>
      <c r="R369" s="197">
        <f t="shared" si="116"/>
        <v>0</v>
      </c>
      <c r="S369" s="197">
        <f t="shared" si="116"/>
        <v>0</v>
      </c>
      <c r="T369" s="197">
        <f t="shared" si="116"/>
        <v>0</v>
      </c>
      <c r="U369" s="197">
        <f t="shared" si="116"/>
        <v>0</v>
      </c>
      <c r="V369" s="197">
        <f t="shared" si="116"/>
        <v>0</v>
      </c>
      <c r="W369" s="197">
        <f t="shared" si="116"/>
        <v>0</v>
      </c>
      <c r="X369" s="197">
        <f t="shared" si="116"/>
        <v>0</v>
      </c>
      <c r="Y369" s="197">
        <f t="shared" si="116"/>
        <v>0</v>
      </c>
      <c r="Z369" s="197">
        <f t="shared" si="116"/>
        <v>0</v>
      </c>
      <c r="AA369" s="197">
        <f t="shared" si="116"/>
        <v>0</v>
      </c>
      <c r="AB369" s="197">
        <f t="shared" si="116"/>
        <v>0</v>
      </c>
      <c r="AC369" s="197">
        <f t="shared" si="116"/>
        <v>0</v>
      </c>
      <c r="AD369" s="197">
        <f t="shared" si="116"/>
        <v>0</v>
      </c>
      <c r="AE369" s="197">
        <f t="shared" si="116"/>
        <v>0</v>
      </c>
      <c r="AF369" s="197">
        <f t="shared" si="116"/>
        <v>0</v>
      </c>
      <c r="AG369" s="93">
        <f t="shared" si="115"/>
        <v>19.58</v>
      </c>
    </row>
    <row r="370">
      <c r="A370" s="227" t="s">
        <v>311</v>
      </c>
      <c r="B370" s="228">
        <f t="shared" ref="B370:AF370" si="117">SUM(B367+B368)</f>
        <v>0</v>
      </c>
      <c r="C370" s="228">
        <f t="shared" si="117"/>
        <v>0</v>
      </c>
      <c r="D370" s="228">
        <f t="shared" si="117"/>
        <v>0</v>
      </c>
      <c r="E370" s="228">
        <f t="shared" si="117"/>
        <v>0</v>
      </c>
      <c r="F370" s="228">
        <f t="shared" si="117"/>
        <v>0</v>
      </c>
      <c r="G370" s="228">
        <f t="shared" si="117"/>
        <v>0</v>
      </c>
      <c r="H370" s="228">
        <f t="shared" si="117"/>
        <v>0</v>
      </c>
      <c r="I370" s="228">
        <f t="shared" si="117"/>
        <v>0</v>
      </c>
      <c r="J370" s="228">
        <f t="shared" si="117"/>
        <v>0</v>
      </c>
      <c r="K370" s="228">
        <f t="shared" si="117"/>
        <v>0</v>
      </c>
      <c r="L370" s="228">
        <f t="shared" si="117"/>
        <v>0</v>
      </c>
      <c r="M370" s="228">
        <f t="shared" si="117"/>
        <v>0</v>
      </c>
      <c r="N370" s="228">
        <f t="shared" si="117"/>
        <v>0</v>
      </c>
      <c r="O370" s="228">
        <f t="shared" si="117"/>
        <v>0</v>
      </c>
      <c r="P370" s="228">
        <f t="shared" si="117"/>
        <v>0</v>
      </c>
      <c r="Q370" s="228">
        <f t="shared" si="117"/>
        <v>89</v>
      </c>
      <c r="R370" s="228">
        <f t="shared" si="117"/>
        <v>0</v>
      </c>
      <c r="S370" s="228">
        <f t="shared" si="117"/>
        <v>0</v>
      </c>
      <c r="T370" s="228">
        <f t="shared" si="117"/>
        <v>0</v>
      </c>
      <c r="U370" s="228">
        <f t="shared" si="117"/>
        <v>0</v>
      </c>
      <c r="V370" s="228">
        <f t="shared" si="117"/>
        <v>0</v>
      </c>
      <c r="W370" s="228">
        <f t="shared" si="117"/>
        <v>0</v>
      </c>
      <c r="X370" s="228">
        <f t="shared" si="117"/>
        <v>0</v>
      </c>
      <c r="Y370" s="228">
        <f t="shared" si="117"/>
        <v>0</v>
      </c>
      <c r="Z370" s="228">
        <f t="shared" si="117"/>
        <v>0</v>
      </c>
      <c r="AA370" s="228">
        <f t="shared" si="117"/>
        <v>0</v>
      </c>
      <c r="AB370" s="228">
        <f t="shared" si="117"/>
        <v>0</v>
      </c>
      <c r="AC370" s="228">
        <f t="shared" si="117"/>
        <v>0</v>
      </c>
      <c r="AD370" s="228">
        <f t="shared" si="117"/>
        <v>0</v>
      </c>
      <c r="AE370" s="228">
        <f t="shared" si="117"/>
        <v>0</v>
      </c>
      <c r="AF370" s="228">
        <f t="shared" si="117"/>
        <v>0</v>
      </c>
      <c r="AG370" s="93">
        <f t="shared" si="115"/>
        <v>89</v>
      </c>
    </row>
    <row r="371">
      <c r="A371" s="229"/>
      <c r="B371" s="177"/>
      <c r="C371" s="177"/>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c r="AA371" s="177"/>
      <c r="AB371" s="177"/>
      <c r="AC371" s="177"/>
      <c r="AD371" s="177"/>
      <c r="AE371" s="177"/>
      <c r="AF371" s="177"/>
      <c r="AG371" s="209"/>
    </row>
    <row r="372">
      <c r="A372" s="229"/>
      <c r="B372" s="177"/>
      <c r="C372" s="177"/>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c r="AA372" s="177"/>
      <c r="AB372" s="177"/>
      <c r="AC372" s="177"/>
      <c r="AD372" s="177"/>
      <c r="AE372" s="177"/>
      <c r="AF372" s="177"/>
      <c r="AG372" s="209"/>
    </row>
    <row r="373">
      <c r="A373" s="138" t="s">
        <v>344</v>
      </c>
      <c r="B373" s="237" t="s">
        <v>345</v>
      </c>
      <c r="C373" s="230"/>
      <c r="D373" s="230"/>
      <c r="E373" s="230"/>
      <c r="F373" s="230"/>
      <c r="G373" s="230"/>
      <c r="H373" s="230"/>
      <c r="I373" s="230"/>
      <c r="J373" s="230"/>
      <c r="K373" s="230"/>
      <c r="L373" s="230"/>
      <c r="M373" s="230"/>
      <c r="N373" s="230"/>
      <c r="O373" s="230"/>
      <c r="P373" s="230"/>
      <c r="Q373" s="230"/>
      <c r="R373" s="230"/>
      <c r="S373" s="230"/>
      <c r="T373" s="230"/>
      <c r="U373" s="230"/>
      <c r="V373" s="230"/>
      <c r="W373" s="230"/>
      <c r="X373" s="230"/>
      <c r="Y373" s="230"/>
      <c r="Z373" s="230"/>
      <c r="AA373" s="230"/>
      <c r="AB373" s="230"/>
      <c r="AC373" s="230"/>
      <c r="AD373" s="230"/>
      <c r="AE373" s="230"/>
      <c r="AF373" s="230"/>
      <c r="AG373" s="209"/>
    </row>
    <row r="374">
      <c r="A374" s="215" t="s">
        <v>207</v>
      </c>
      <c r="B374" s="238"/>
      <c r="C374" s="238"/>
      <c r="D374" s="238"/>
      <c r="E374" s="238"/>
      <c r="F374" s="238"/>
      <c r="G374" s="238"/>
      <c r="H374" s="238"/>
      <c r="I374" s="238"/>
      <c r="J374" s="238"/>
      <c r="K374" s="238"/>
      <c r="L374" s="238"/>
      <c r="M374" s="238"/>
      <c r="N374" s="238"/>
      <c r="O374" s="238"/>
      <c r="P374" s="238"/>
      <c r="Q374" s="238"/>
      <c r="R374" s="238"/>
      <c r="S374" s="238"/>
      <c r="T374" s="238"/>
      <c r="U374" s="238"/>
      <c r="V374" s="238"/>
      <c r="W374" s="238"/>
      <c r="X374" s="238"/>
      <c r="Y374" s="238"/>
      <c r="Z374" s="238"/>
      <c r="AA374" s="238"/>
      <c r="AB374" s="238"/>
      <c r="AC374" s="238"/>
      <c r="AD374" s="238"/>
      <c r="AE374" s="238"/>
      <c r="AF374" s="238"/>
      <c r="AG374" s="152"/>
    </row>
    <row r="375" outlineLevel="1">
      <c r="A375" s="215" t="s">
        <v>346</v>
      </c>
      <c r="B375" s="160">
        <v>0.0</v>
      </c>
      <c r="C375" s="160">
        <v>0.0</v>
      </c>
      <c r="D375" s="160">
        <v>0.0</v>
      </c>
      <c r="E375" s="160">
        <v>0.0</v>
      </c>
      <c r="F375" s="160">
        <v>0.0</v>
      </c>
      <c r="G375" s="160">
        <v>1.0</v>
      </c>
      <c r="H375" s="160">
        <v>0.0</v>
      </c>
      <c r="I375" s="160">
        <v>0.0</v>
      </c>
      <c r="J375" s="160">
        <v>0.0</v>
      </c>
      <c r="K375" s="160">
        <v>0.0</v>
      </c>
      <c r="L375" s="160">
        <v>0.0</v>
      </c>
      <c r="M375" s="160">
        <v>0.0</v>
      </c>
      <c r="N375" s="160">
        <v>0.0</v>
      </c>
      <c r="O375" s="160">
        <v>0.0</v>
      </c>
      <c r="P375" s="160">
        <v>0.0</v>
      </c>
      <c r="Q375" s="160">
        <v>0.0</v>
      </c>
      <c r="R375" s="160">
        <v>0.0</v>
      </c>
      <c r="S375" s="160">
        <v>0.0</v>
      </c>
      <c r="T375" s="160">
        <v>0.0</v>
      </c>
      <c r="U375" s="160">
        <v>0.0</v>
      </c>
      <c r="V375" s="160">
        <v>0.0</v>
      </c>
      <c r="W375" s="160">
        <v>0.0</v>
      </c>
      <c r="X375" s="160">
        <v>1.0</v>
      </c>
      <c r="Y375" s="160">
        <v>1.0</v>
      </c>
      <c r="Z375" s="160">
        <v>0.0</v>
      </c>
      <c r="AA375" s="160">
        <v>0.0</v>
      </c>
      <c r="AB375" s="155">
        <v>0.0</v>
      </c>
      <c r="AC375" s="160">
        <v>0.0</v>
      </c>
      <c r="AD375" s="160">
        <v>0.0</v>
      </c>
      <c r="AE375" s="160">
        <v>2.0</v>
      </c>
      <c r="AF375" s="160">
        <v>0.0</v>
      </c>
      <c r="AG375" s="93">
        <f t="shared" ref="AG375:AG380" si="118">SUM(B375:AF375)</f>
        <v>5</v>
      </c>
    </row>
    <row r="376" outlineLevel="1">
      <c r="A376" s="215" t="s">
        <v>347</v>
      </c>
      <c r="B376" s="160">
        <v>0.0</v>
      </c>
      <c r="C376" s="160">
        <v>0.0</v>
      </c>
      <c r="D376" s="160">
        <v>0.0</v>
      </c>
      <c r="E376" s="160">
        <v>0.0</v>
      </c>
      <c r="F376" s="160">
        <v>0.0</v>
      </c>
      <c r="G376" s="160">
        <v>0.0</v>
      </c>
      <c r="H376" s="160">
        <v>0.0</v>
      </c>
      <c r="I376" s="160">
        <v>0.0</v>
      </c>
      <c r="J376" s="160">
        <v>0.0</v>
      </c>
      <c r="K376" s="160">
        <v>0.0</v>
      </c>
      <c r="L376" s="160">
        <v>0.0</v>
      </c>
      <c r="M376" s="160">
        <v>0.0</v>
      </c>
      <c r="N376" s="160">
        <v>0.0</v>
      </c>
      <c r="O376" s="160">
        <v>0.0</v>
      </c>
      <c r="P376" s="160">
        <v>0.0</v>
      </c>
      <c r="Q376" s="160">
        <v>0.0</v>
      </c>
      <c r="R376" s="160">
        <v>0.0</v>
      </c>
      <c r="S376" s="160">
        <v>0.0</v>
      </c>
      <c r="T376" s="160">
        <v>0.0</v>
      </c>
      <c r="U376" s="160">
        <v>0.0</v>
      </c>
      <c r="V376" s="160">
        <v>0.0</v>
      </c>
      <c r="W376" s="160">
        <v>0.0</v>
      </c>
      <c r="X376" s="160">
        <v>0.0</v>
      </c>
      <c r="Y376" s="160">
        <v>0.0</v>
      </c>
      <c r="Z376" s="160">
        <v>0.0</v>
      </c>
      <c r="AA376" s="160">
        <v>0.0</v>
      </c>
      <c r="AB376" s="160">
        <v>0.0</v>
      </c>
      <c r="AC376" s="160">
        <v>0.0</v>
      </c>
      <c r="AD376" s="160">
        <v>0.0</v>
      </c>
      <c r="AE376" s="160">
        <v>0.0</v>
      </c>
      <c r="AF376" s="160">
        <v>0.0</v>
      </c>
      <c r="AG376" s="93">
        <f t="shared" si="118"/>
        <v>0</v>
      </c>
    </row>
    <row r="377" outlineLevel="1">
      <c r="A377" s="215" t="s">
        <v>348</v>
      </c>
      <c r="B377" s="160">
        <v>0.0</v>
      </c>
      <c r="C377" s="160">
        <v>0.0</v>
      </c>
      <c r="D377" s="160">
        <v>0.0</v>
      </c>
      <c r="E377" s="160">
        <v>0.0</v>
      </c>
      <c r="F377" s="160">
        <v>0.0</v>
      </c>
      <c r="G377" s="160">
        <v>0.0</v>
      </c>
      <c r="H377" s="160">
        <v>0.0</v>
      </c>
      <c r="I377" s="160">
        <v>0.0</v>
      </c>
      <c r="J377" s="160">
        <v>0.0</v>
      </c>
      <c r="K377" s="160">
        <v>2.0</v>
      </c>
      <c r="L377" s="160">
        <v>0.0</v>
      </c>
      <c r="M377" s="160">
        <v>0.0</v>
      </c>
      <c r="N377" s="160">
        <v>1.0</v>
      </c>
      <c r="O377" s="160">
        <v>1.0</v>
      </c>
      <c r="P377" s="160">
        <v>0.0</v>
      </c>
      <c r="Q377" s="160">
        <v>0.0</v>
      </c>
      <c r="R377" s="160">
        <v>0.0</v>
      </c>
      <c r="S377" s="160">
        <v>0.0</v>
      </c>
      <c r="T377" s="160">
        <v>0.0</v>
      </c>
      <c r="U377" s="160">
        <v>1.0</v>
      </c>
      <c r="V377" s="160">
        <v>0.0</v>
      </c>
      <c r="W377" s="160">
        <v>0.0</v>
      </c>
      <c r="X377" s="160">
        <v>1.0</v>
      </c>
      <c r="Y377" s="160">
        <v>1.0</v>
      </c>
      <c r="Z377" s="160">
        <v>0.0</v>
      </c>
      <c r="AA377" s="160">
        <v>0.0</v>
      </c>
      <c r="AB377" s="155">
        <v>0.0</v>
      </c>
      <c r="AC377" s="160">
        <v>0.0</v>
      </c>
      <c r="AD377" s="160">
        <v>2.0</v>
      </c>
      <c r="AE377" s="160">
        <v>1.0</v>
      </c>
      <c r="AF377" s="160">
        <v>0.0</v>
      </c>
      <c r="AG377" s="93">
        <f t="shared" si="118"/>
        <v>10</v>
      </c>
    </row>
    <row r="378" outlineLevel="1">
      <c r="A378" s="215" t="s">
        <v>349</v>
      </c>
      <c r="B378" s="160">
        <v>0.0</v>
      </c>
      <c r="C378" s="160">
        <v>0.0</v>
      </c>
      <c r="D378" s="160">
        <v>0.0</v>
      </c>
      <c r="E378" s="160">
        <v>0.0</v>
      </c>
      <c r="F378" s="160">
        <v>0.0</v>
      </c>
      <c r="G378" s="160">
        <v>0.0</v>
      </c>
      <c r="H378" s="160">
        <v>0.0</v>
      </c>
      <c r="I378" s="160">
        <v>0.0</v>
      </c>
      <c r="J378" s="160">
        <v>0.0</v>
      </c>
      <c r="K378" s="160">
        <v>0.0</v>
      </c>
      <c r="L378" s="160">
        <v>0.0</v>
      </c>
      <c r="M378" s="160">
        <v>0.0</v>
      </c>
      <c r="N378" s="160">
        <v>0.0</v>
      </c>
      <c r="O378" s="160">
        <v>0.0</v>
      </c>
      <c r="P378" s="160">
        <v>0.0</v>
      </c>
      <c r="Q378" s="160">
        <v>0.0</v>
      </c>
      <c r="R378" s="160">
        <v>0.0</v>
      </c>
      <c r="S378" s="160">
        <v>0.0</v>
      </c>
      <c r="T378" s="160">
        <v>0.0</v>
      </c>
      <c r="U378" s="160">
        <v>0.0</v>
      </c>
      <c r="V378" s="160">
        <v>0.0</v>
      </c>
      <c r="W378" s="160">
        <v>0.0</v>
      </c>
      <c r="X378" s="160">
        <v>3.0</v>
      </c>
      <c r="Y378" s="160">
        <v>0.0</v>
      </c>
      <c r="Z378" s="160">
        <v>0.0</v>
      </c>
      <c r="AA378" s="160">
        <v>0.0</v>
      </c>
      <c r="AB378" s="155">
        <v>1.0</v>
      </c>
      <c r="AC378" s="160">
        <v>0.0</v>
      </c>
      <c r="AD378" s="160">
        <v>0.0</v>
      </c>
      <c r="AE378" s="160">
        <v>0.0</v>
      </c>
      <c r="AF378" s="160">
        <v>0.0</v>
      </c>
      <c r="AG378" s="93">
        <f t="shared" si="118"/>
        <v>4</v>
      </c>
    </row>
    <row r="379" outlineLevel="1">
      <c r="A379" s="215" t="s">
        <v>350</v>
      </c>
      <c r="B379" s="160">
        <v>0.0</v>
      </c>
      <c r="C379" s="160">
        <v>0.0</v>
      </c>
      <c r="D379" s="160">
        <v>0.0</v>
      </c>
      <c r="E379" s="160">
        <v>0.0</v>
      </c>
      <c r="F379" s="160">
        <v>0.0</v>
      </c>
      <c r="G379" s="160">
        <v>0.0</v>
      </c>
      <c r="H379" s="160">
        <v>0.0</v>
      </c>
      <c r="I379" s="160">
        <v>0.0</v>
      </c>
      <c r="J379" s="160">
        <v>0.0</v>
      </c>
      <c r="K379" s="160">
        <v>0.0</v>
      </c>
      <c r="L379" s="160">
        <v>0.0</v>
      </c>
      <c r="M379" s="160">
        <v>0.0</v>
      </c>
      <c r="N379" s="160">
        <v>0.0</v>
      </c>
      <c r="O379" s="160">
        <v>0.0</v>
      </c>
      <c r="P379" s="160">
        <v>0.0</v>
      </c>
      <c r="Q379" s="160">
        <v>0.0</v>
      </c>
      <c r="R379" s="155">
        <v>0.0</v>
      </c>
      <c r="S379" s="155">
        <v>0.0</v>
      </c>
      <c r="T379" s="155">
        <v>0.0</v>
      </c>
      <c r="U379" s="155">
        <v>0.0</v>
      </c>
      <c r="V379" s="155">
        <v>0.0</v>
      </c>
      <c r="W379" s="155">
        <v>0.0</v>
      </c>
      <c r="X379" s="155">
        <v>0.0</v>
      </c>
      <c r="Y379" s="155">
        <v>0.0</v>
      </c>
      <c r="Z379" s="155">
        <v>0.0</v>
      </c>
      <c r="AA379" s="155">
        <v>0.0</v>
      </c>
      <c r="AB379" s="155">
        <v>0.0</v>
      </c>
      <c r="AC379" s="155">
        <v>0.0</v>
      </c>
      <c r="AD379" s="160">
        <v>0.0</v>
      </c>
      <c r="AE379" s="155">
        <v>0.0</v>
      </c>
      <c r="AF379" s="155">
        <v>0.0</v>
      </c>
      <c r="AG379" s="239">
        <f t="shared" si="118"/>
        <v>0</v>
      </c>
    </row>
    <row r="380" outlineLevel="1">
      <c r="A380" s="215" t="s">
        <v>351</v>
      </c>
      <c r="B380" s="160">
        <v>0.0</v>
      </c>
      <c r="C380" s="160">
        <v>0.0</v>
      </c>
      <c r="D380" s="160">
        <v>0.0</v>
      </c>
      <c r="E380" s="160">
        <v>0.0</v>
      </c>
      <c r="F380" s="160">
        <v>0.0</v>
      </c>
      <c r="G380" s="160">
        <v>0.0</v>
      </c>
      <c r="H380" s="160">
        <v>0.0</v>
      </c>
      <c r="I380" s="160">
        <v>0.0</v>
      </c>
      <c r="J380" s="160">
        <v>0.0</v>
      </c>
      <c r="K380" s="160">
        <v>0.0</v>
      </c>
      <c r="L380" s="160">
        <v>0.0</v>
      </c>
      <c r="M380" s="160">
        <v>0.0</v>
      </c>
      <c r="N380" s="160">
        <v>0.0</v>
      </c>
      <c r="O380" s="160">
        <v>0.0</v>
      </c>
      <c r="P380" s="160">
        <v>0.0</v>
      </c>
      <c r="Q380" s="160">
        <v>0.0</v>
      </c>
      <c r="R380" s="155">
        <v>0.0</v>
      </c>
      <c r="S380" s="155">
        <v>0.0</v>
      </c>
      <c r="T380" s="155">
        <v>0.0</v>
      </c>
      <c r="U380" s="155">
        <v>0.0</v>
      </c>
      <c r="V380" s="155">
        <v>0.0</v>
      </c>
      <c r="W380" s="155">
        <v>0.0</v>
      </c>
      <c r="X380" s="155">
        <v>0.0</v>
      </c>
      <c r="Y380" s="155">
        <v>0.0</v>
      </c>
      <c r="Z380" s="155">
        <v>0.0</v>
      </c>
      <c r="AA380" s="155">
        <v>0.0</v>
      </c>
      <c r="AB380" s="155">
        <v>0.0</v>
      </c>
      <c r="AC380" s="155">
        <v>0.0</v>
      </c>
      <c r="AD380" s="155">
        <v>0.0</v>
      </c>
      <c r="AE380" s="155">
        <v>0.0</v>
      </c>
      <c r="AF380" s="155">
        <v>0.0</v>
      </c>
      <c r="AG380" s="239">
        <f t="shared" si="118"/>
        <v>0</v>
      </c>
    </row>
    <row r="381">
      <c r="A381" s="215" t="s">
        <v>352</v>
      </c>
      <c r="B381" s="238"/>
      <c r="C381" s="238"/>
      <c r="D381" s="238"/>
      <c r="E381" s="238"/>
      <c r="F381" s="238"/>
      <c r="G381" s="238"/>
      <c r="H381" s="238"/>
      <c r="I381" s="238"/>
      <c r="J381" s="238"/>
      <c r="K381" s="238"/>
      <c r="L381" s="238"/>
      <c r="M381" s="238"/>
      <c r="N381" s="238"/>
      <c r="O381" s="238"/>
      <c r="P381" s="238"/>
      <c r="Q381" s="238"/>
      <c r="R381" s="231"/>
      <c r="S381" s="231"/>
      <c r="T381" s="231"/>
      <c r="U381" s="238"/>
      <c r="V381" s="238"/>
      <c r="W381" s="238"/>
      <c r="X381" s="238"/>
      <c r="Y381" s="238"/>
      <c r="Z381" s="238"/>
      <c r="AA381" s="238"/>
      <c r="AB381" s="240"/>
      <c r="AC381" s="231"/>
      <c r="AD381" s="238"/>
      <c r="AE381" s="238"/>
      <c r="AF381" s="238"/>
      <c r="AG381" s="152"/>
    </row>
    <row r="382" outlineLevel="1">
      <c r="A382" s="215" t="s">
        <v>353</v>
      </c>
      <c r="B382" s="160">
        <v>7.0</v>
      </c>
      <c r="C382" s="160">
        <v>0.0</v>
      </c>
      <c r="D382" s="160">
        <v>0.0</v>
      </c>
      <c r="E382" s="160">
        <v>0.0</v>
      </c>
      <c r="F382" s="160">
        <v>0.0</v>
      </c>
      <c r="G382" s="160">
        <v>0.0</v>
      </c>
      <c r="H382" s="160">
        <v>1.0</v>
      </c>
      <c r="I382" s="160">
        <v>0.0</v>
      </c>
      <c r="J382" s="160">
        <v>0.0</v>
      </c>
      <c r="K382" s="160">
        <v>0.0</v>
      </c>
      <c r="L382" s="160">
        <v>0.0</v>
      </c>
      <c r="M382" s="160">
        <v>0.0</v>
      </c>
      <c r="N382" s="160">
        <v>0.0</v>
      </c>
      <c r="O382" s="160">
        <v>3.0</v>
      </c>
      <c r="P382" s="160">
        <v>0.0</v>
      </c>
      <c r="Q382" s="160">
        <v>6.0</v>
      </c>
      <c r="R382" s="155">
        <v>0.0</v>
      </c>
      <c r="S382" s="155">
        <v>0.0</v>
      </c>
      <c r="T382" s="155">
        <v>0.0</v>
      </c>
      <c r="U382" s="155">
        <v>0.0</v>
      </c>
      <c r="V382" s="155">
        <v>0.0</v>
      </c>
      <c r="W382" s="155">
        <v>0.0</v>
      </c>
      <c r="X382" s="155">
        <v>0.0</v>
      </c>
      <c r="Y382" s="155">
        <v>0.0</v>
      </c>
      <c r="Z382" s="155">
        <v>0.0</v>
      </c>
      <c r="AA382" s="155">
        <v>0.0</v>
      </c>
      <c r="AB382" s="155">
        <v>0.0</v>
      </c>
      <c r="AC382" s="155">
        <v>0.0</v>
      </c>
      <c r="AD382" s="160">
        <v>0.0</v>
      </c>
      <c r="AE382" s="160">
        <v>0.0</v>
      </c>
      <c r="AF382" s="241">
        <v>1.0</v>
      </c>
      <c r="AG382" s="93">
        <f t="shared" ref="AG382:AG384" si="119">SUM(B382:AF382)</f>
        <v>18</v>
      </c>
    </row>
    <row r="383" outlineLevel="1">
      <c r="A383" s="215" t="s">
        <v>354</v>
      </c>
      <c r="B383" s="160">
        <v>0.0</v>
      </c>
      <c r="C383" s="160">
        <v>0.0</v>
      </c>
      <c r="D383" s="160">
        <v>0.0</v>
      </c>
      <c r="E383" s="160">
        <v>0.0</v>
      </c>
      <c r="F383" s="160">
        <v>0.0</v>
      </c>
      <c r="G383" s="160">
        <v>2.0</v>
      </c>
      <c r="H383" s="160">
        <v>0.0</v>
      </c>
      <c r="I383" s="160">
        <v>0.0</v>
      </c>
      <c r="J383" s="160">
        <v>0.0</v>
      </c>
      <c r="K383" s="160">
        <v>0.0</v>
      </c>
      <c r="L383" s="160">
        <v>0.0</v>
      </c>
      <c r="M383" s="160">
        <v>0.0</v>
      </c>
      <c r="N383" s="160">
        <v>0.0</v>
      </c>
      <c r="O383" s="160">
        <v>0.0</v>
      </c>
      <c r="P383" s="160">
        <v>0.0</v>
      </c>
      <c r="Q383" s="160">
        <v>0.0</v>
      </c>
      <c r="R383" s="155">
        <v>0.0</v>
      </c>
      <c r="S383" s="155">
        <v>0.0</v>
      </c>
      <c r="T383" s="155">
        <v>0.0</v>
      </c>
      <c r="U383" s="155">
        <v>0.0</v>
      </c>
      <c r="V383" s="155">
        <v>0.0</v>
      </c>
      <c r="W383" s="155">
        <v>0.0</v>
      </c>
      <c r="X383" s="155">
        <v>0.0</v>
      </c>
      <c r="Y383" s="155">
        <v>0.0</v>
      </c>
      <c r="Z383" s="155">
        <v>0.0</v>
      </c>
      <c r="AA383" s="155">
        <v>0.0</v>
      </c>
      <c r="AB383" s="155">
        <v>0.0</v>
      </c>
      <c r="AC383" s="155">
        <v>0.0</v>
      </c>
      <c r="AD383" s="160">
        <v>0.0</v>
      </c>
      <c r="AE383" s="160">
        <v>0.0</v>
      </c>
      <c r="AF383" s="241">
        <v>0.0</v>
      </c>
      <c r="AG383" s="93">
        <f t="shared" si="119"/>
        <v>2</v>
      </c>
    </row>
    <row r="384" outlineLevel="1">
      <c r="A384" s="215" t="s">
        <v>355</v>
      </c>
      <c r="B384" s="160">
        <v>0.0</v>
      </c>
      <c r="C384" s="160">
        <v>0.0</v>
      </c>
      <c r="D384" s="160">
        <v>0.0</v>
      </c>
      <c r="E384" s="160">
        <v>0.0</v>
      </c>
      <c r="F384" s="160">
        <v>0.0</v>
      </c>
      <c r="G384" s="160">
        <v>0.0</v>
      </c>
      <c r="H384" s="160">
        <v>0.0</v>
      </c>
      <c r="I384" s="160">
        <v>11.0</v>
      </c>
      <c r="J384" s="160">
        <v>0.0</v>
      </c>
      <c r="K384" s="160">
        <v>0.0</v>
      </c>
      <c r="L384" s="160">
        <v>0.0</v>
      </c>
      <c r="M384" s="160">
        <v>0.0</v>
      </c>
      <c r="N384" s="160">
        <v>0.0</v>
      </c>
      <c r="O384" s="160">
        <v>0.0</v>
      </c>
      <c r="P384" s="160">
        <v>0.0</v>
      </c>
      <c r="Q384" s="160">
        <v>0.0</v>
      </c>
      <c r="R384" s="155">
        <v>16.0</v>
      </c>
      <c r="S384" s="155">
        <v>0.0</v>
      </c>
      <c r="T384" s="155">
        <v>0.0</v>
      </c>
      <c r="U384" s="160">
        <v>17.0</v>
      </c>
      <c r="V384" s="160">
        <v>5.0</v>
      </c>
      <c r="W384" s="160">
        <v>11.0</v>
      </c>
      <c r="X384" s="160">
        <v>3.0</v>
      </c>
      <c r="Y384" s="160">
        <v>10.0</v>
      </c>
      <c r="Z384" s="160">
        <v>0.0</v>
      </c>
      <c r="AA384" s="241">
        <v>0.0</v>
      </c>
      <c r="AB384" s="155">
        <v>0.0</v>
      </c>
      <c r="AC384" s="155">
        <v>0.0</v>
      </c>
      <c r="AD384" s="241">
        <v>15.0</v>
      </c>
      <c r="AE384" s="241">
        <v>20.0</v>
      </c>
      <c r="AF384" s="241">
        <v>9.0</v>
      </c>
      <c r="AG384" s="93">
        <f t="shared" si="119"/>
        <v>117</v>
      </c>
    </row>
    <row r="385">
      <c r="A385" s="215" t="s">
        <v>214</v>
      </c>
      <c r="B385" s="238"/>
      <c r="C385" s="238"/>
      <c r="D385" s="238"/>
      <c r="E385" s="238"/>
      <c r="F385" s="238"/>
      <c r="G385" s="238"/>
      <c r="H385" s="238"/>
      <c r="I385" s="238"/>
      <c r="J385" s="238"/>
      <c r="K385" s="238"/>
      <c r="L385" s="238"/>
      <c r="M385" s="238"/>
      <c r="N385" s="238"/>
      <c r="O385" s="238"/>
      <c r="P385" s="238"/>
      <c r="Q385" s="238"/>
      <c r="R385" s="238"/>
      <c r="S385" s="238"/>
      <c r="T385" s="238"/>
      <c r="U385" s="238"/>
      <c r="V385" s="238"/>
      <c r="W385" s="238"/>
      <c r="X385" s="238"/>
      <c r="Y385" s="238"/>
      <c r="Z385" s="238"/>
      <c r="AA385" s="238"/>
      <c r="AB385" s="238"/>
      <c r="AC385" s="238"/>
      <c r="AD385" s="238"/>
      <c r="AE385" s="238"/>
      <c r="AF385" s="238"/>
      <c r="AG385" s="152"/>
    </row>
    <row r="386" outlineLevel="1">
      <c r="A386" s="215" t="s">
        <v>356</v>
      </c>
      <c r="B386" s="160">
        <v>0.0</v>
      </c>
      <c r="C386" s="160">
        <v>0.0</v>
      </c>
      <c r="D386" s="160">
        <v>0.0</v>
      </c>
      <c r="E386" s="160">
        <v>0.0</v>
      </c>
      <c r="F386" s="160">
        <v>0.0</v>
      </c>
      <c r="G386" s="160">
        <v>0.0</v>
      </c>
      <c r="H386" s="160">
        <v>0.0</v>
      </c>
      <c r="I386" s="160">
        <v>0.0</v>
      </c>
      <c r="J386" s="160">
        <v>0.0</v>
      </c>
      <c r="K386" s="160">
        <v>0.0</v>
      </c>
      <c r="L386" s="160">
        <v>0.0</v>
      </c>
      <c r="M386" s="160">
        <v>0.0</v>
      </c>
      <c r="N386" s="160">
        <v>0.0</v>
      </c>
      <c r="O386" s="160">
        <v>0.0</v>
      </c>
      <c r="P386" s="160">
        <v>0.0</v>
      </c>
      <c r="Q386" s="160">
        <v>0.0</v>
      </c>
      <c r="R386" s="160">
        <v>0.0</v>
      </c>
      <c r="S386" s="160">
        <v>0.0</v>
      </c>
      <c r="T386" s="160">
        <v>0.0</v>
      </c>
      <c r="U386" s="160">
        <v>0.0</v>
      </c>
      <c r="V386" s="160">
        <v>0.0</v>
      </c>
      <c r="W386" s="160">
        <v>0.0</v>
      </c>
      <c r="X386" s="160">
        <v>0.0</v>
      </c>
      <c r="Y386" s="160">
        <v>0.0</v>
      </c>
      <c r="Z386" s="160">
        <v>0.0</v>
      </c>
      <c r="AA386" s="160">
        <v>0.0</v>
      </c>
      <c r="AB386" s="160">
        <v>0.0</v>
      </c>
      <c r="AC386" s="160">
        <v>0.0</v>
      </c>
      <c r="AD386" s="160">
        <v>0.0</v>
      </c>
      <c r="AE386" s="160">
        <v>0.0</v>
      </c>
      <c r="AF386" s="160">
        <v>0.0</v>
      </c>
      <c r="AG386" s="93">
        <f t="shared" ref="AG386:AG391" si="120">SUM(B386:AF386)</f>
        <v>0</v>
      </c>
    </row>
    <row r="387" outlineLevel="1">
      <c r="A387" s="215" t="s">
        <v>357</v>
      </c>
      <c r="B387" s="160">
        <v>0.0</v>
      </c>
      <c r="C387" s="160">
        <v>0.0</v>
      </c>
      <c r="D387" s="160">
        <v>0.0</v>
      </c>
      <c r="E387" s="160">
        <v>0.0</v>
      </c>
      <c r="F387" s="160">
        <v>0.0</v>
      </c>
      <c r="G387" s="160">
        <v>0.0</v>
      </c>
      <c r="H387" s="160">
        <v>0.0</v>
      </c>
      <c r="I387" s="160">
        <v>0.0</v>
      </c>
      <c r="J387" s="160">
        <v>0.0</v>
      </c>
      <c r="K387" s="160">
        <v>0.0</v>
      </c>
      <c r="L387" s="160">
        <v>0.0</v>
      </c>
      <c r="M387" s="160">
        <v>0.0</v>
      </c>
      <c r="N387" s="160">
        <v>0.0</v>
      </c>
      <c r="O387" s="160">
        <v>0.0</v>
      </c>
      <c r="P387" s="160">
        <v>0.0</v>
      </c>
      <c r="Q387" s="160">
        <v>0.0</v>
      </c>
      <c r="R387" s="160">
        <v>0.0</v>
      </c>
      <c r="S387" s="160">
        <v>0.0</v>
      </c>
      <c r="T387" s="160">
        <v>0.0</v>
      </c>
      <c r="U387" s="160">
        <v>0.0</v>
      </c>
      <c r="V387" s="160">
        <v>0.0</v>
      </c>
      <c r="W387" s="160">
        <v>0.0</v>
      </c>
      <c r="X387" s="160">
        <v>0.0</v>
      </c>
      <c r="Y387" s="160">
        <v>0.0</v>
      </c>
      <c r="Z387" s="160">
        <v>0.0</v>
      </c>
      <c r="AA387" s="160">
        <v>0.0</v>
      </c>
      <c r="AB387" s="160">
        <v>0.0</v>
      </c>
      <c r="AC387" s="160">
        <v>0.0</v>
      </c>
      <c r="AD387" s="160">
        <v>0.0</v>
      </c>
      <c r="AE387" s="160">
        <v>0.0</v>
      </c>
      <c r="AF387" s="160">
        <v>0.0</v>
      </c>
      <c r="AG387" s="93">
        <f t="shared" si="120"/>
        <v>0</v>
      </c>
    </row>
    <row r="388" outlineLevel="1">
      <c r="A388" s="215" t="s">
        <v>358</v>
      </c>
      <c r="B388" s="160">
        <v>0.0</v>
      </c>
      <c r="C388" s="160">
        <v>0.0</v>
      </c>
      <c r="D388" s="160">
        <v>0.0</v>
      </c>
      <c r="E388" s="160">
        <v>0.0</v>
      </c>
      <c r="F388" s="160">
        <v>0.0</v>
      </c>
      <c r="G388" s="160">
        <v>0.0</v>
      </c>
      <c r="H388" s="160">
        <v>0.0</v>
      </c>
      <c r="I388" s="160">
        <v>0.0</v>
      </c>
      <c r="J388" s="160">
        <v>0.0</v>
      </c>
      <c r="K388" s="160">
        <v>0.0</v>
      </c>
      <c r="L388" s="160">
        <v>0.0</v>
      </c>
      <c r="M388" s="160">
        <v>0.0</v>
      </c>
      <c r="N388" s="160">
        <v>0.0</v>
      </c>
      <c r="O388" s="160">
        <v>0.0</v>
      </c>
      <c r="P388" s="160">
        <v>0.0</v>
      </c>
      <c r="Q388" s="160">
        <v>0.0</v>
      </c>
      <c r="R388" s="160">
        <v>0.0</v>
      </c>
      <c r="S388" s="160">
        <v>0.0</v>
      </c>
      <c r="T388" s="160">
        <v>0.0</v>
      </c>
      <c r="U388" s="160">
        <v>0.0</v>
      </c>
      <c r="V388" s="160">
        <v>0.0</v>
      </c>
      <c r="W388" s="160">
        <v>0.0</v>
      </c>
      <c r="X388" s="160">
        <v>0.0</v>
      </c>
      <c r="Y388" s="160">
        <v>0.0</v>
      </c>
      <c r="Z388" s="160">
        <v>0.0</v>
      </c>
      <c r="AA388" s="160">
        <v>0.0</v>
      </c>
      <c r="AB388" s="160">
        <v>0.0</v>
      </c>
      <c r="AC388" s="160">
        <v>0.0</v>
      </c>
      <c r="AD388" s="160">
        <v>0.0</v>
      </c>
      <c r="AE388" s="160">
        <v>0.0</v>
      </c>
      <c r="AF388" s="160">
        <v>0.0</v>
      </c>
      <c r="AG388" s="93">
        <f t="shared" si="120"/>
        <v>0</v>
      </c>
    </row>
    <row r="389" outlineLevel="1">
      <c r="A389" s="215" t="s">
        <v>359</v>
      </c>
      <c r="B389" s="160">
        <v>0.0</v>
      </c>
      <c r="C389" s="160">
        <v>0.0</v>
      </c>
      <c r="D389" s="160">
        <v>0.0</v>
      </c>
      <c r="E389" s="160">
        <v>0.0</v>
      </c>
      <c r="F389" s="160">
        <v>0.0</v>
      </c>
      <c r="G389" s="160">
        <v>0.0</v>
      </c>
      <c r="H389" s="160">
        <v>0.0</v>
      </c>
      <c r="I389" s="160">
        <v>0.0</v>
      </c>
      <c r="J389" s="160">
        <v>0.0</v>
      </c>
      <c r="K389" s="160">
        <v>0.0</v>
      </c>
      <c r="L389" s="160">
        <v>0.0</v>
      </c>
      <c r="M389" s="160">
        <v>0.0</v>
      </c>
      <c r="N389" s="160">
        <v>0.0</v>
      </c>
      <c r="O389" s="160">
        <v>0.0</v>
      </c>
      <c r="P389" s="160">
        <v>0.0</v>
      </c>
      <c r="Q389" s="160">
        <v>0.0</v>
      </c>
      <c r="R389" s="160">
        <v>0.0</v>
      </c>
      <c r="S389" s="160">
        <v>0.0</v>
      </c>
      <c r="T389" s="160">
        <v>0.0</v>
      </c>
      <c r="U389" s="160">
        <v>0.0</v>
      </c>
      <c r="V389" s="160">
        <v>0.0</v>
      </c>
      <c r="W389" s="160">
        <v>0.0</v>
      </c>
      <c r="X389" s="160">
        <v>0.0</v>
      </c>
      <c r="Y389" s="160">
        <v>0.0</v>
      </c>
      <c r="Z389" s="160">
        <v>0.0</v>
      </c>
      <c r="AA389" s="160">
        <v>0.0</v>
      </c>
      <c r="AB389" s="160">
        <v>0.0</v>
      </c>
      <c r="AC389" s="160">
        <v>0.0</v>
      </c>
      <c r="AD389" s="160">
        <v>0.0</v>
      </c>
      <c r="AE389" s="160">
        <v>0.0</v>
      </c>
      <c r="AF389" s="160">
        <v>0.0</v>
      </c>
      <c r="AG389" s="93">
        <f t="shared" si="120"/>
        <v>0</v>
      </c>
    </row>
    <row r="390" outlineLevel="1">
      <c r="A390" s="215" t="s">
        <v>360</v>
      </c>
      <c r="B390" s="160">
        <v>0.0</v>
      </c>
      <c r="C390" s="160">
        <v>0.0</v>
      </c>
      <c r="D390" s="160">
        <v>0.0</v>
      </c>
      <c r="E390" s="160">
        <v>0.0</v>
      </c>
      <c r="F390" s="160">
        <v>0.0</v>
      </c>
      <c r="G390" s="155">
        <v>0.0</v>
      </c>
      <c r="H390" s="155">
        <v>0.0</v>
      </c>
      <c r="I390" s="155">
        <v>0.0</v>
      </c>
      <c r="J390" s="155">
        <v>0.0</v>
      </c>
      <c r="K390" s="155">
        <v>0.0</v>
      </c>
      <c r="L390" s="155">
        <v>0.0</v>
      </c>
      <c r="M390" s="155">
        <v>0.0</v>
      </c>
      <c r="N390" s="155">
        <v>0.0</v>
      </c>
      <c r="O390" s="155">
        <v>0.0</v>
      </c>
      <c r="P390" s="155">
        <v>0.0</v>
      </c>
      <c r="Q390" s="155">
        <v>0.0</v>
      </c>
      <c r="R390" s="155">
        <v>0.0</v>
      </c>
      <c r="S390" s="155">
        <v>0.0</v>
      </c>
      <c r="T390" s="155">
        <v>0.0</v>
      </c>
      <c r="U390" s="155">
        <v>0.0</v>
      </c>
      <c r="V390" s="155">
        <v>0.0</v>
      </c>
      <c r="W390" s="155">
        <v>0.0</v>
      </c>
      <c r="X390" s="155">
        <v>0.0</v>
      </c>
      <c r="Y390" s="155">
        <v>0.0</v>
      </c>
      <c r="Z390" s="155">
        <v>0.0</v>
      </c>
      <c r="AA390" s="155">
        <v>0.0</v>
      </c>
      <c r="AB390" s="155">
        <v>0.0</v>
      </c>
      <c r="AC390" s="155">
        <v>0.0</v>
      </c>
      <c r="AD390" s="155">
        <v>0.0</v>
      </c>
      <c r="AE390" s="155">
        <v>0.0</v>
      </c>
      <c r="AF390" s="155">
        <v>0.0</v>
      </c>
      <c r="AG390" s="239">
        <f t="shared" si="120"/>
        <v>0</v>
      </c>
    </row>
    <row r="391" outlineLevel="1">
      <c r="A391" s="215" t="s">
        <v>361</v>
      </c>
      <c r="B391" s="160">
        <v>0.0</v>
      </c>
      <c r="C391" s="160">
        <v>0.0</v>
      </c>
      <c r="D391" s="160">
        <v>0.0</v>
      </c>
      <c r="E391" s="160">
        <v>0.0</v>
      </c>
      <c r="F391" s="160">
        <v>0.0</v>
      </c>
      <c r="G391" s="155">
        <v>0.0</v>
      </c>
      <c r="H391" s="155">
        <v>0.0</v>
      </c>
      <c r="I391" s="155">
        <v>0.0</v>
      </c>
      <c r="J391" s="155">
        <v>0.0</v>
      </c>
      <c r="K391" s="155">
        <v>0.0</v>
      </c>
      <c r="L391" s="155">
        <v>0.0</v>
      </c>
      <c r="M391" s="155">
        <v>0.0</v>
      </c>
      <c r="N391" s="155">
        <v>0.0</v>
      </c>
      <c r="O391" s="155">
        <v>0.0</v>
      </c>
      <c r="P391" s="155">
        <v>0.0</v>
      </c>
      <c r="Q391" s="155">
        <v>0.0</v>
      </c>
      <c r="R391" s="155">
        <v>0.0</v>
      </c>
      <c r="S391" s="155">
        <v>0.0</v>
      </c>
      <c r="T391" s="155">
        <v>0.0</v>
      </c>
      <c r="U391" s="155">
        <v>0.0</v>
      </c>
      <c r="V391" s="155">
        <v>0.0</v>
      </c>
      <c r="W391" s="155">
        <v>0.0</v>
      </c>
      <c r="X391" s="155">
        <v>0.0</v>
      </c>
      <c r="Y391" s="155">
        <v>0.0</v>
      </c>
      <c r="Z391" s="155">
        <v>0.0</v>
      </c>
      <c r="AA391" s="155">
        <v>0.0</v>
      </c>
      <c r="AB391" s="155">
        <v>0.0</v>
      </c>
      <c r="AC391" s="155">
        <v>0.0</v>
      </c>
      <c r="AD391" s="155">
        <v>0.0</v>
      </c>
      <c r="AE391" s="155">
        <v>0.0</v>
      </c>
      <c r="AF391" s="155">
        <v>0.0</v>
      </c>
      <c r="AG391" s="239">
        <f t="shared" si="120"/>
        <v>0</v>
      </c>
    </row>
    <row r="392">
      <c r="A392" s="215" t="s">
        <v>362</v>
      </c>
      <c r="B392" s="231"/>
      <c r="C392" s="231"/>
      <c r="D392" s="231"/>
      <c r="E392" s="231"/>
      <c r="F392" s="231"/>
      <c r="G392" s="231"/>
      <c r="H392" s="231"/>
      <c r="I392" s="231"/>
      <c r="J392" s="231"/>
      <c r="K392" s="231"/>
      <c r="L392" s="231"/>
      <c r="M392" s="231"/>
      <c r="N392" s="231"/>
      <c r="O392" s="231"/>
      <c r="P392" s="231"/>
      <c r="Q392" s="231"/>
      <c r="R392" s="231"/>
      <c r="S392" s="231"/>
      <c r="T392" s="231"/>
      <c r="U392" s="231"/>
      <c r="V392" s="231"/>
      <c r="W392" s="231"/>
      <c r="X392" s="231"/>
      <c r="Y392" s="231"/>
      <c r="Z392" s="231"/>
      <c r="AA392" s="231"/>
      <c r="AB392" s="231"/>
      <c r="AC392" s="231"/>
      <c r="AD392" s="231"/>
      <c r="AE392" s="231"/>
      <c r="AF392" s="231"/>
      <c r="AG392" s="152"/>
    </row>
    <row r="393" outlineLevel="1">
      <c r="A393" s="215" t="s">
        <v>363</v>
      </c>
      <c r="B393" s="160">
        <v>0.0</v>
      </c>
      <c r="C393" s="160">
        <v>0.0</v>
      </c>
      <c r="D393" s="160">
        <v>0.0</v>
      </c>
      <c r="E393" s="160">
        <v>0.0</v>
      </c>
      <c r="F393" s="160">
        <v>0.0</v>
      </c>
      <c r="G393" s="155">
        <v>0.0</v>
      </c>
      <c r="H393" s="155">
        <v>0.0</v>
      </c>
      <c r="I393" s="155">
        <v>0.0</v>
      </c>
      <c r="J393" s="155">
        <v>0.0</v>
      </c>
      <c r="K393" s="155">
        <v>0.0</v>
      </c>
      <c r="L393" s="155">
        <v>0.0</v>
      </c>
      <c r="M393" s="155">
        <v>0.0</v>
      </c>
      <c r="N393" s="155">
        <v>0.0</v>
      </c>
      <c r="O393" s="155">
        <v>0.0</v>
      </c>
      <c r="P393" s="155">
        <v>0.0</v>
      </c>
      <c r="Q393" s="155">
        <v>0.0</v>
      </c>
      <c r="R393" s="155">
        <v>0.0</v>
      </c>
      <c r="S393" s="155">
        <v>0.0</v>
      </c>
      <c r="T393" s="155">
        <v>0.0</v>
      </c>
      <c r="U393" s="155">
        <v>0.0</v>
      </c>
      <c r="V393" s="155">
        <v>0.0</v>
      </c>
      <c r="W393" s="155">
        <v>0.0</v>
      </c>
      <c r="X393" s="155">
        <v>0.0</v>
      </c>
      <c r="Y393" s="155">
        <v>0.0</v>
      </c>
      <c r="Z393" s="155">
        <v>0.0</v>
      </c>
      <c r="AA393" s="155">
        <v>0.0</v>
      </c>
      <c r="AB393" s="155">
        <v>0.0</v>
      </c>
      <c r="AC393" s="155">
        <v>0.0</v>
      </c>
      <c r="AD393" s="155">
        <v>0.0</v>
      </c>
      <c r="AE393" s="155">
        <v>0.0</v>
      </c>
      <c r="AF393" s="155">
        <v>0.0</v>
      </c>
      <c r="AG393" s="93">
        <f t="shared" ref="AG393:AG397" si="121">SUM(B393:AF393)</f>
        <v>0</v>
      </c>
    </row>
    <row r="394" outlineLevel="1">
      <c r="A394" s="215" t="s">
        <v>364</v>
      </c>
      <c r="B394" s="160">
        <v>0.0</v>
      </c>
      <c r="C394" s="160">
        <v>0.0</v>
      </c>
      <c r="D394" s="160">
        <v>0.0</v>
      </c>
      <c r="E394" s="160">
        <v>0.0</v>
      </c>
      <c r="F394" s="160">
        <v>0.0</v>
      </c>
      <c r="G394" s="155">
        <v>0.0</v>
      </c>
      <c r="H394" s="155">
        <v>0.0</v>
      </c>
      <c r="I394" s="155">
        <v>0.0</v>
      </c>
      <c r="J394" s="155">
        <v>0.0</v>
      </c>
      <c r="K394" s="155">
        <v>0.0</v>
      </c>
      <c r="L394" s="155">
        <v>0.0</v>
      </c>
      <c r="M394" s="155">
        <v>0.0</v>
      </c>
      <c r="N394" s="155">
        <v>0.0</v>
      </c>
      <c r="O394" s="155">
        <v>0.0</v>
      </c>
      <c r="P394" s="155">
        <v>0.0</v>
      </c>
      <c r="Q394" s="155">
        <v>0.0</v>
      </c>
      <c r="R394" s="155">
        <v>0.0</v>
      </c>
      <c r="S394" s="155">
        <v>0.0</v>
      </c>
      <c r="T394" s="155">
        <v>0.0</v>
      </c>
      <c r="U394" s="155">
        <v>0.0</v>
      </c>
      <c r="V394" s="155">
        <v>0.0</v>
      </c>
      <c r="W394" s="155">
        <v>0.0</v>
      </c>
      <c r="X394" s="155">
        <v>0.0</v>
      </c>
      <c r="Y394" s="155">
        <v>0.0</v>
      </c>
      <c r="Z394" s="155">
        <v>0.0</v>
      </c>
      <c r="AA394" s="155">
        <v>0.0</v>
      </c>
      <c r="AB394" s="155">
        <v>0.0</v>
      </c>
      <c r="AC394" s="155">
        <v>0.0</v>
      </c>
      <c r="AD394" s="155">
        <v>0.0</v>
      </c>
      <c r="AE394" s="155">
        <v>0.0</v>
      </c>
      <c r="AF394" s="155">
        <v>0.0</v>
      </c>
      <c r="AG394" s="93">
        <f t="shared" si="121"/>
        <v>0</v>
      </c>
    </row>
    <row r="395" outlineLevel="1">
      <c r="A395" s="215" t="s">
        <v>355</v>
      </c>
      <c r="B395" s="160">
        <v>0.0</v>
      </c>
      <c r="C395" s="160">
        <v>0.0</v>
      </c>
      <c r="D395" s="160">
        <v>0.0</v>
      </c>
      <c r="E395" s="160">
        <v>0.0</v>
      </c>
      <c r="F395" s="160">
        <v>0.0</v>
      </c>
      <c r="G395" s="155">
        <v>0.0</v>
      </c>
      <c r="H395" s="155">
        <v>0.0</v>
      </c>
      <c r="I395" s="155">
        <v>0.0</v>
      </c>
      <c r="J395" s="155">
        <v>0.0</v>
      </c>
      <c r="K395" s="155">
        <v>0.0</v>
      </c>
      <c r="L395" s="155">
        <v>0.0</v>
      </c>
      <c r="M395" s="155">
        <v>0.0</v>
      </c>
      <c r="N395" s="155">
        <v>0.0</v>
      </c>
      <c r="O395" s="155">
        <v>0.0</v>
      </c>
      <c r="P395" s="155">
        <v>0.0</v>
      </c>
      <c r="Q395" s="155">
        <v>0.0</v>
      </c>
      <c r="R395" s="155">
        <v>0.0</v>
      </c>
      <c r="S395" s="155">
        <v>0.0</v>
      </c>
      <c r="T395" s="155">
        <v>0.0</v>
      </c>
      <c r="U395" s="155">
        <v>0.0</v>
      </c>
      <c r="V395" s="155">
        <v>0.0</v>
      </c>
      <c r="W395" s="155">
        <v>0.0</v>
      </c>
      <c r="X395" s="155">
        <v>0.0</v>
      </c>
      <c r="Y395" s="155">
        <v>0.0</v>
      </c>
      <c r="Z395" s="155">
        <v>0.0</v>
      </c>
      <c r="AA395" s="155">
        <v>0.0</v>
      </c>
      <c r="AB395" s="155">
        <v>0.0</v>
      </c>
      <c r="AC395" s="155">
        <v>0.0</v>
      </c>
      <c r="AD395" s="155">
        <v>0.0</v>
      </c>
      <c r="AE395" s="155">
        <v>0.0</v>
      </c>
      <c r="AF395" s="155">
        <v>0.0</v>
      </c>
      <c r="AG395" s="93">
        <f t="shared" si="121"/>
        <v>0</v>
      </c>
    </row>
    <row r="396">
      <c r="A396" s="223" t="s">
        <v>221</v>
      </c>
      <c r="B396" s="242">
        <f t="shared" ref="B396:AF396" si="122">B375+B376+B386+B387</f>
        <v>0</v>
      </c>
      <c r="C396" s="242">
        <f t="shared" si="122"/>
        <v>0</v>
      </c>
      <c r="D396" s="242">
        <f t="shared" si="122"/>
        <v>0</v>
      </c>
      <c r="E396" s="242">
        <f t="shared" si="122"/>
        <v>0</v>
      </c>
      <c r="F396" s="242">
        <f t="shared" si="122"/>
        <v>0</v>
      </c>
      <c r="G396" s="242">
        <f t="shared" si="122"/>
        <v>1</v>
      </c>
      <c r="H396" s="242">
        <f t="shared" si="122"/>
        <v>0</v>
      </c>
      <c r="I396" s="242">
        <f t="shared" si="122"/>
        <v>0</v>
      </c>
      <c r="J396" s="242">
        <f t="shared" si="122"/>
        <v>0</v>
      </c>
      <c r="K396" s="242">
        <f t="shared" si="122"/>
        <v>0</v>
      </c>
      <c r="L396" s="242">
        <f t="shared" si="122"/>
        <v>0</v>
      </c>
      <c r="M396" s="242">
        <f t="shared" si="122"/>
        <v>0</v>
      </c>
      <c r="N396" s="242">
        <f t="shared" si="122"/>
        <v>0</v>
      </c>
      <c r="O396" s="242">
        <f t="shared" si="122"/>
        <v>0</v>
      </c>
      <c r="P396" s="242">
        <f t="shared" si="122"/>
        <v>0</v>
      </c>
      <c r="Q396" s="242">
        <f t="shared" si="122"/>
        <v>0</v>
      </c>
      <c r="R396" s="242">
        <f t="shared" si="122"/>
        <v>0</v>
      </c>
      <c r="S396" s="242">
        <f t="shared" si="122"/>
        <v>0</v>
      </c>
      <c r="T396" s="242">
        <f t="shared" si="122"/>
        <v>0</v>
      </c>
      <c r="U396" s="242">
        <f t="shared" si="122"/>
        <v>0</v>
      </c>
      <c r="V396" s="242">
        <f t="shared" si="122"/>
        <v>0</v>
      </c>
      <c r="W396" s="242">
        <f t="shared" si="122"/>
        <v>0</v>
      </c>
      <c r="X396" s="242">
        <f t="shared" si="122"/>
        <v>1</v>
      </c>
      <c r="Y396" s="242">
        <f t="shared" si="122"/>
        <v>1</v>
      </c>
      <c r="Z396" s="242">
        <f t="shared" si="122"/>
        <v>0</v>
      </c>
      <c r="AA396" s="224">
        <f t="shared" si="122"/>
        <v>0</v>
      </c>
      <c r="AB396" s="224">
        <f t="shared" si="122"/>
        <v>0</v>
      </c>
      <c r="AC396" s="224">
        <f t="shared" si="122"/>
        <v>0</v>
      </c>
      <c r="AD396" s="242">
        <f t="shared" si="122"/>
        <v>0</v>
      </c>
      <c r="AE396" s="242">
        <f t="shared" si="122"/>
        <v>2</v>
      </c>
      <c r="AF396" s="242">
        <f t="shared" si="122"/>
        <v>0</v>
      </c>
      <c r="AG396" s="93">
        <f t="shared" si="121"/>
        <v>5</v>
      </c>
    </row>
    <row r="397">
      <c r="A397" s="223" t="s">
        <v>222</v>
      </c>
      <c r="B397" s="242">
        <f t="shared" ref="B397:AF397" si="123">+B377+B378+B388+B389</f>
        <v>0</v>
      </c>
      <c r="C397" s="242">
        <f t="shared" si="123"/>
        <v>0</v>
      </c>
      <c r="D397" s="242">
        <f t="shared" si="123"/>
        <v>0</v>
      </c>
      <c r="E397" s="242">
        <f t="shared" si="123"/>
        <v>0</v>
      </c>
      <c r="F397" s="242">
        <f t="shared" si="123"/>
        <v>0</v>
      </c>
      <c r="G397" s="242">
        <f t="shared" si="123"/>
        <v>0</v>
      </c>
      <c r="H397" s="242">
        <f t="shared" si="123"/>
        <v>0</v>
      </c>
      <c r="I397" s="242">
        <f t="shared" si="123"/>
        <v>0</v>
      </c>
      <c r="J397" s="242">
        <f t="shared" si="123"/>
        <v>0</v>
      </c>
      <c r="K397" s="242">
        <f t="shared" si="123"/>
        <v>2</v>
      </c>
      <c r="L397" s="242">
        <f t="shared" si="123"/>
        <v>0</v>
      </c>
      <c r="M397" s="242">
        <f t="shared" si="123"/>
        <v>0</v>
      </c>
      <c r="N397" s="242">
        <f t="shared" si="123"/>
        <v>1</v>
      </c>
      <c r="O397" s="242">
        <f t="shared" si="123"/>
        <v>1</v>
      </c>
      <c r="P397" s="242">
        <f t="shared" si="123"/>
        <v>0</v>
      </c>
      <c r="Q397" s="242">
        <f t="shared" si="123"/>
        <v>0</v>
      </c>
      <c r="R397" s="242">
        <f t="shared" si="123"/>
        <v>0</v>
      </c>
      <c r="S397" s="242">
        <f t="shared" si="123"/>
        <v>0</v>
      </c>
      <c r="T397" s="242">
        <f t="shared" si="123"/>
        <v>0</v>
      </c>
      <c r="U397" s="242">
        <f t="shared" si="123"/>
        <v>1</v>
      </c>
      <c r="V397" s="242">
        <f t="shared" si="123"/>
        <v>0</v>
      </c>
      <c r="W397" s="242">
        <f t="shared" si="123"/>
        <v>0</v>
      </c>
      <c r="X397" s="242">
        <f t="shared" si="123"/>
        <v>4</v>
      </c>
      <c r="Y397" s="242">
        <f t="shared" si="123"/>
        <v>1</v>
      </c>
      <c r="Z397" s="242">
        <f t="shared" si="123"/>
        <v>0</v>
      </c>
      <c r="AA397" s="224">
        <f t="shared" si="123"/>
        <v>0</v>
      </c>
      <c r="AB397" s="224">
        <f t="shared" si="123"/>
        <v>1</v>
      </c>
      <c r="AC397" s="224">
        <f t="shared" si="123"/>
        <v>0</v>
      </c>
      <c r="AD397" s="242">
        <f t="shared" si="123"/>
        <v>2</v>
      </c>
      <c r="AE397" s="242">
        <f t="shared" si="123"/>
        <v>1</v>
      </c>
      <c r="AF397" s="242">
        <f t="shared" si="123"/>
        <v>0</v>
      </c>
      <c r="AG397" s="93">
        <f t="shared" si="121"/>
        <v>14</v>
      </c>
    </row>
    <row r="398">
      <c r="A398" s="98"/>
      <c r="B398" s="177"/>
      <c r="C398" s="177"/>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c r="AA398" s="177"/>
      <c r="AB398" s="177"/>
      <c r="AC398" s="154"/>
      <c r="AD398" s="177"/>
      <c r="AE398" s="177"/>
      <c r="AF398" s="177"/>
      <c r="AG398" s="209"/>
    </row>
    <row r="399">
      <c r="A399" s="215" t="s">
        <v>223</v>
      </c>
      <c r="B399" s="238"/>
      <c r="C399" s="238"/>
      <c r="D399" s="238"/>
      <c r="E399" s="238"/>
      <c r="F399" s="238"/>
      <c r="G399" s="238"/>
      <c r="H399" s="238"/>
      <c r="I399" s="238"/>
      <c r="J399" s="238"/>
      <c r="K399" s="238"/>
      <c r="L399" s="238"/>
      <c r="M399" s="238"/>
      <c r="N399" s="238"/>
      <c r="O399" s="238"/>
      <c r="P399" s="238"/>
      <c r="Q399" s="238"/>
      <c r="R399" s="238"/>
      <c r="S399" s="238"/>
      <c r="T399" s="238"/>
      <c r="U399" s="238"/>
      <c r="V399" s="238"/>
      <c r="W399" s="238"/>
      <c r="X399" s="238"/>
      <c r="Y399" s="238"/>
      <c r="Z399" s="238"/>
      <c r="AA399" s="238"/>
      <c r="AB399" s="238"/>
      <c r="AC399" s="238"/>
      <c r="AD399" s="238"/>
      <c r="AE399" s="238"/>
      <c r="AF399" s="238"/>
      <c r="AG399" s="152"/>
    </row>
    <row r="400" outlineLevel="1">
      <c r="A400" s="215" t="s">
        <v>224</v>
      </c>
      <c r="B400" s="160">
        <v>0.0</v>
      </c>
      <c r="C400" s="160">
        <v>1.0</v>
      </c>
      <c r="D400" s="160">
        <v>0.0</v>
      </c>
      <c r="E400" s="160">
        <v>0.0</v>
      </c>
      <c r="F400" s="160">
        <v>0.0</v>
      </c>
      <c r="G400" s="160">
        <v>0.0</v>
      </c>
      <c r="H400" s="155">
        <v>0.0</v>
      </c>
      <c r="I400" s="155">
        <v>0.0</v>
      </c>
      <c r="J400" s="160">
        <v>0.0</v>
      </c>
      <c r="K400" s="160">
        <v>1.0</v>
      </c>
      <c r="L400" s="160">
        <v>0.0</v>
      </c>
      <c r="M400" s="160">
        <v>0.0</v>
      </c>
      <c r="N400" s="160">
        <v>0.0</v>
      </c>
      <c r="O400" s="160">
        <v>0.0</v>
      </c>
      <c r="P400" s="160">
        <v>0.0</v>
      </c>
      <c r="Q400" s="160">
        <v>0.0</v>
      </c>
      <c r="R400" s="160">
        <v>0.0</v>
      </c>
      <c r="S400" s="160">
        <v>0.0</v>
      </c>
      <c r="T400" s="160">
        <v>0.0</v>
      </c>
      <c r="U400" s="160">
        <v>0.0</v>
      </c>
      <c r="V400" s="160">
        <v>0.0</v>
      </c>
      <c r="W400" s="160">
        <v>0.0</v>
      </c>
      <c r="X400" s="160">
        <v>1.0</v>
      </c>
      <c r="Y400" s="160">
        <v>0.0</v>
      </c>
      <c r="Z400" s="160">
        <v>0.0</v>
      </c>
      <c r="AA400" s="160">
        <v>0.0</v>
      </c>
      <c r="AB400" s="160">
        <v>0.0</v>
      </c>
      <c r="AC400" s="160">
        <v>0.0</v>
      </c>
      <c r="AD400" s="160">
        <v>0.0</v>
      </c>
      <c r="AE400" s="160">
        <v>2.0</v>
      </c>
      <c r="AF400" s="160">
        <v>0.0</v>
      </c>
      <c r="AG400" s="93">
        <f t="shared" ref="AG400:AG410" si="124">SUM(B400:AF400)</f>
        <v>5</v>
      </c>
    </row>
    <row r="401" outlineLevel="1">
      <c r="A401" s="215" t="s">
        <v>225</v>
      </c>
      <c r="B401" s="160">
        <v>6.0</v>
      </c>
      <c r="C401" s="160">
        <v>1.0</v>
      </c>
      <c r="D401" s="160">
        <v>0.0</v>
      </c>
      <c r="E401" s="160">
        <v>0.0</v>
      </c>
      <c r="F401" s="160">
        <v>0.0</v>
      </c>
      <c r="G401" s="160">
        <v>0.0</v>
      </c>
      <c r="H401" s="155">
        <v>0.0</v>
      </c>
      <c r="I401" s="155">
        <v>0.0</v>
      </c>
      <c r="J401" s="160">
        <v>0.0</v>
      </c>
      <c r="K401" s="160">
        <v>1.0</v>
      </c>
      <c r="L401" s="160">
        <v>0.0</v>
      </c>
      <c r="M401" s="160">
        <v>0.0</v>
      </c>
      <c r="N401" s="160">
        <v>0.0</v>
      </c>
      <c r="O401" s="160">
        <v>2.0</v>
      </c>
      <c r="P401" s="160">
        <v>0.0</v>
      </c>
      <c r="Q401" s="160">
        <v>0.0</v>
      </c>
      <c r="R401" s="160">
        <v>0.0</v>
      </c>
      <c r="S401" s="160">
        <v>0.0</v>
      </c>
      <c r="T401" s="160">
        <v>0.0</v>
      </c>
      <c r="U401" s="160">
        <v>1.0</v>
      </c>
      <c r="V401" s="160">
        <v>0.0</v>
      </c>
      <c r="W401" s="160">
        <v>0.0</v>
      </c>
      <c r="X401" s="160">
        <v>2.0</v>
      </c>
      <c r="Y401" s="160">
        <v>0.0</v>
      </c>
      <c r="Z401" s="160">
        <v>0.0</v>
      </c>
      <c r="AA401" s="160">
        <v>0.0</v>
      </c>
      <c r="AB401" s="160">
        <v>0.0</v>
      </c>
      <c r="AC401" s="160">
        <v>0.0</v>
      </c>
      <c r="AD401" s="160">
        <v>2.0</v>
      </c>
      <c r="AE401" s="160">
        <v>1.0</v>
      </c>
      <c r="AF401" s="160">
        <v>0.0</v>
      </c>
      <c r="AG401" s="93">
        <f t="shared" si="124"/>
        <v>16</v>
      </c>
    </row>
    <row r="402" outlineLevel="1">
      <c r="A402" s="215" t="s">
        <v>365</v>
      </c>
      <c r="B402" s="160">
        <v>0.0</v>
      </c>
      <c r="C402" s="160">
        <v>0.0</v>
      </c>
      <c r="D402" s="160">
        <v>0.0</v>
      </c>
      <c r="E402" s="160">
        <v>0.0</v>
      </c>
      <c r="F402" s="160">
        <v>0.0</v>
      </c>
      <c r="G402" s="160">
        <v>0.0</v>
      </c>
      <c r="H402" s="155">
        <v>0.0</v>
      </c>
      <c r="I402" s="155">
        <v>0.0</v>
      </c>
      <c r="J402" s="160">
        <v>0.0</v>
      </c>
      <c r="K402" s="160">
        <v>1.0</v>
      </c>
      <c r="L402" s="160">
        <v>0.0</v>
      </c>
      <c r="M402" s="160">
        <v>0.0</v>
      </c>
      <c r="N402" s="160">
        <v>0.0</v>
      </c>
      <c r="O402" s="160">
        <v>0.0</v>
      </c>
      <c r="P402" s="160">
        <v>0.0</v>
      </c>
      <c r="Q402" s="160">
        <v>0.0</v>
      </c>
      <c r="R402" s="160">
        <v>0.0</v>
      </c>
      <c r="S402" s="160">
        <v>0.0</v>
      </c>
      <c r="T402" s="160">
        <v>0.0</v>
      </c>
      <c r="U402" s="160">
        <v>0.0</v>
      </c>
      <c r="V402" s="160">
        <v>0.0</v>
      </c>
      <c r="W402" s="160">
        <v>0.0</v>
      </c>
      <c r="X402" s="160">
        <v>1.0</v>
      </c>
      <c r="Y402" s="160">
        <v>0.0</v>
      </c>
      <c r="Z402" s="160">
        <v>0.0</v>
      </c>
      <c r="AA402" s="160">
        <v>0.0</v>
      </c>
      <c r="AB402" s="160">
        <v>0.0</v>
      </c>
      <c r="AC402" s="160">
        <v>0.0</v>
      </c>
      <c r="AD402" s="160">
        <v>0.0</v>
      </c>
      <c r="AE402" s="160">
        <v>0.0</v>
      </c>
      <c r="AF402" s="160">
        <v>0.0</v>
      </c>
      <c r="AG402" s="93">
        <f t="shared" si="124"/>
        <v>2</v>
      </c>
    </row>
    <row r="403" outlineLevel="1">
      <c r="A403" s="215" t="s">
        <v>366</v>
      </c>
      <c r="B403" s="160">
        <v>0.0</v>
      </c>
      <c r="C403" s="160">
        <v>0.0</v>
      </c>
      <c r="D403" s="160">
        <v>0.0</v>
      </c>
      <c r="E403" s="160">
        <v>0.0</v>
      </c>
      <c r="F403" s="160">
        <v>0.0</v>
      </c>
      <c r="G403" s="160">
        <v>0.0</v>
      </c>
      <c r="H403" s="155">
        <v>0.0</v>
      </c>
      <c r="I403" s="155">
        <v>0.0</v>
      </c>
      <c r="J403" s="160">
        <v>0.0</v>
      </c>
      <c r="K403" s="160">
        <v>0.0</v>
      </c>
      <c r="L403" s="160">
        <v>0.0</v>
      </c>
      <c r="M403" s="160">
        <v>0.0</v>
      </c>
      <c r="N403" s="160">
        <v>0.0</v>
      </c>
      <c r="O403" s="160">
        <v>0.0</v>
      </c>
      <c r="P403" s="160">
        <v>0.0</v>
      </c>
      <c r="Q403" s="160">
        <v>0.0</v>
      </c>
      <c r="R403" s="160">
        <v>0.0</v>
      </c>
      <c r="S403" s="160">
        <v>0.0</v>
      </c>
      <c r="T403" s="160">
        <v>0.0</v>
      </c>
      <c r="U403" s="160">
        <v>1.0</v>
      </c>
      <c r="V403" s="160">
        <v>0.0</v>
      </c>
      <c r="W403" s="160">
        <v>0.0</v>
      </c>
      <c r="X403" s="160">
        <v>0.0</v>
      </c>
      <c r="Y403" s="160">
        <v>0.0</v>
      </c>
      <c r="Z403" s="160">
        <v>0.0</v>
      </c>
      <c r="AA403" s="160">
        <v>0.0</v>
      </c>
      <c r="AB403" s="160">
        <v>0.0</v>
      </c>
      <c r="AC403" s="160">
        <v>0.0</v>
      </c>
      <c r="AD403" s="160">
        <v>0.0</v>
      </c>
      <c r="AE403" s="160">
        <v>0.0</v>
      </c>
      <c r="AF403" s="160">
        <v>1.0</v>
      </c>
      <c r="AG403" s="93">
        <f t="shared" si="124"/>
        <v>2</v>
      </c>
    </row>
    <row r="404" outlineLevel="1">
      <c r="A404" s="215" t="s">
        <v>367</v>
      </c>
      <c r="B404" s="160">
        <v>1.0</v>
      </c>
      <c r="C404" s="160">
        <v>1.0</v>
      </c>
      <c r="D404" s="160">
        <v>0.0</v>
      </c>
      <c r="E404" s="160">
        <v>0.0</v>
      </c>
      <c r="F404" s="160">
        <v>0.0</v>
      </c>
      <c r="G404" s="160">
        <v>1.0</v>
      </c>
      <c r="H404" s="155">
        <v>0.0</v>
      </c>
      <c r="I404" s="155">
        <v>0.0</v>
      </c>
      <c r="J404" s="160">
        <v>0.0</v>
      </c>
      <c r="K404" s="160">
        <v>2.0</v>
      </c>
      <c r="L404" s="160">
        <v>0.0</v>
      </c>
      <c r="M404" s="160">
        <v>0.0</v>
      </c>
      <c r="N404" s="160">
        <v>0.0</v>
      </c>
      <c r="O404" s="160">
        <v>1.0</v>
      </c>
      <c r="P404" s="160">
        <v>0.0</v>
      </c>
      <c r="Q404" s="160">
        <v>0.0</v>
      </c>
      <c r="R404" s="160">
        <v>0.0</v>
      </c>
      <c r="S404" s="160">
        <v>0.0</v>
      </c>
      <c r="T404" s="160">
        <v>0.0</v>
      </c>
      <c r="U404" s="160">
        <v>1.0</v>
      </c>
      <c r="V404" s="160">
        <v>0.0</v>
      </c>
      <c r="W404" s="160">
        <v>0.0</v>
      </c>
      <c r="X404" s="160">
        <v>0.0</v>
      </c>
      <c r="Y404" s="160">
        <v>0.0</v>
      </c>
      <c r="Z404" s="160">
        <v>0.0</v>
      </c>
      <c r="AA404" s="160">
        <v>0.0</v>
      </c>
      <c r="AB404" s="160">
        <v>0.0</v>
      </c>
      <c r="AC404" s="160">
        <v>0.0</v>
      </c>
      <c r="AD404" s="160">
        <v>0.0</v>
      </c>
      <c r="AE404" s="160">
        <v>0.0</v>
      </c>
      <c r="AF404" s="160">
        <v>0.0</v>
      </c>
      <c r="AG404" s="93">
        <f t="shared" si="124"/>
        <v>7</v>
      </c>
    </row>
    <row r="405" outlineLevel="1">
      <c r="A405" s="215" t="s">
        <v>368</v>
      </c>
      <c r="B405" s="160">
        <v>0.0</v>
      </c>
      <c r="C405" s="160">
        <v>0.0</v>
      </c>
      <c r="D405" s="160">
        <v>0.0</v>
      </c>
      <c r="E405" s="160">
        <v>0.0</v>
      </c>
      <c r="F405" s="160">
        <v>0.0</v>
      </c>
      <c r="G405" s="160">
        <v>1.0</v>
      </c>
      <c r="H405" s="155">
        <v>0.0</v>
      </c>
      <c r="I405" s="155">
        <v>0.0</v>
      </c>
      <c r="J405" s="160">
        <v>0.0</v>
      </c>
      <c r="K405" s="160">
        <v>0.0</v>
      </c>
      <c r="L405" s="160">
        <v>0.0</v>
      </c>
      <c r="M405" s="160">
        <v>0.0</v>
      </c>
      <c r="N405" s="160">
        <v>0.0</v>
      </c>
      <c r="O405" s="160">
        <v>2.0</v>
      </c>
      <c r="P405" s="160">
        <v>0.0</v>
      </c>
      <c r="Q405" s="160">
        <v>0.0</v>
      </c>
      <c r="R405" s="160">
        <v>0.0</v>
      </c>
      <c r="S405" s="160">
        <v>0.0</v>
      </c>
      <c r="T405" s="160">
        <v>0.0</v>
      </c>
      <c r="U405" s="160">
        <v>0.0</v>
      </c>
      <c r="V405" s="160">
        <v>0.0</v>
      </c>
      <c r="W405" s="160">
        <v>0.0</v>
      </c>
      <c r="X405" s="160">
        <v>0.0</v>
      </c>
      <c r="Y405" s="160">
        <v>0.0</v>
      </c>
      <c r="Z405" s="160">
        <v>0.0</v>
      </c>
      <c r="AA405" s="160">
        <v>0.0</v>
      </c>
      <c r="AB405" s="160">
        <v>0.0</v>
      </c>
      <c r="AC405" s="160">
        <v>0.0</v>
      </c>
      <c r="AD405" s="160">
        <v>0.0</v>
      </c>
      <c r="AE405" s="160">
        <v>1.0</v>
      </c>
      <c r="AF405" s="160">
        <v>0.0</v>
      </c>
      <c r="AG405" s="93">
        <f t="shared" si="124"/>
        <v>4</v>
      </c>
    </row>
    <row r="406" outlineLevel="1">
      <c r="A406" s="215" t="s">
        <v>369</v>
      </c>
      <c r="B406" s="160">
        <v>0.0</v>
      </c>
      <c r="C406" s="160">
        <v>0.0</v>
      </c>
      <c r="D406" s="160">
        <v>0.0</v>
      </c>
      <c r="E406" s="160">
        <v>0.0</v>
      </c>
      <c r="F406" s="160">
        <v>0.0</v>
      </c>
      <c r="G406" s="160">
        <v>2.0</v>
      </c>
      <c r="H406" s="155">
        <v>0.0</v>
      </c>
      <c r="I406" s="155">
        <v>0.0</v>
      </c>
      <c r="J406" s="160">
        <v>0.0</v>
      </c>
      <c r="K406" s="160">
        <v>1.0</v>
      </c>
      <c r="L406" s="160">
        <v>0.0</v>
      </c>
      <c r="M406" s="160">
        <v>0.0</v>
      </c>
      <c r="N406" s="160">
        <v>0.0</v>
      </c>
      <c r="O406" s="160">
        <v>1.0</v>
      </c>
      <c r="P406" s="160">
        <v>0.0</v>
      </c>
      <c r="Q406" s="160">
        <v>0.0</v>
      </c>
      <c r="R406" s="160">
        <v>0.0</v>
      </c>
      <c r="S406" s="160">
        <v>0.0</v>
      </c>
      <c r="T406" s="160">
        <v>0.0</v>
      </c>
      <c r="U406" s="160">
        <v>1.0</v>
      </c>
      <c r="V406" s="160">
        <v>0.0</v>
      </c>
      <c r="W406" s="160">
        <v>0.0</v>
      </c>
      <c r="X406" s="160">
        <v>1.0</v>
      </c>
      <c r="Y406" s="160">
        <v>0.0</v>
      </c>
      <c r="Z406" s="160">
        <v>0.0</v>
      </c>
      <c r="AA406" s="160">
        <v>0.0</v>
      </c>
      <c r="AB406" s="160">
        <v>0.0</v>
      </c>
      <c r="AC406" s="160">
        <v>0.0</v>
      </c>
      <c r="AD406" s="160">
        <v>0.0</v>
      </c>
      <c r="AE406" s="160">
        <v>0.0</v>
      </c>
      <c r="AF406" s="160">
        <v>0.0</v>
      </c>
      <c r="AG406" s="93">
        <f t="shared" si="124"/>
        <v>6</v>
      </c>
    </row>
    <row r="407" outlineLevel="1">
      <c r="A407" s="215" t="s">
        <v>370</v>
      </c>
      <c r="B407" s="160">
        <v>0.0</v>
      </c>
      <c r="C407" s="160">
        <v>0.0</v>
      </c>
      <c r="D407" s="160">
        <v>0.0</v>
      </c>
      <c r="E407" s="160">
        <v>0.0</v>
      </c>
      <c r="F407" s="160">
        <v>0.0</v>
      </c>
      <c r="G407" s="160">
        <v>0.0</v>
      </c>
      <c r="H407" s="155">
        <v>0.0</v>
      </c>
      <c r="I407" s="155">
        <v>0.0</v>
      </c>
      <c r="J407" s="160">
        <v>0.0</v>
      </c>
      <c r="K407" s="160">
        <v>0.0</v>
      </c>
      <c r="L407" s="160">
        <v>0.0</v>
      </c>
      <c r="M407" s="160">
        <v>0.0</v>
      </c>
      <c r="N407" s="160">
        <v>0.0</v>
      </c>
      <c r="O407" s="160">
        <v>0.0</v>
      </c>
      <c r="P407" s="160">
        <v>0.0</v>
      </c>
      <c r="Q407" s="160">
        <v>0.0</v>
      </c>
      <c r="R407" s="160">
        <v>0.0</v>
      </c>
      <c r="S407" s="160">
        <v>0.0</v>
      </c>
      <c r="T407" s="160">
        <v>0.0</v>
      </c>
      <c r="U407" s="160">
        <v>0.0</v>
      </c>
      <c r="V407" s="160">
        <v>0.0</v>
      </c>
      <c r="W407" s="160">
        <v>0.0</v>
      </c>
      <c r="X407" s="160">
        <v>0.0</v>
      </c>
      <c r="Y407" s="160">
        <v>0.0</v>
      </c>
      <c r="Z407" s="160">
        <v>0.0</v>
      </c>
      <c r="AA407" s="160">
        <v>0.0</v>
      </c>
      <c r="AB407" s="160">
        <v>0.0</v>
      </c>
      <c r="AC407" s="160">
        <v>0.0</v>
      </c>
      <c r="AD407" s="160">
        <v>0.0</v>
      </c>
      <c r="AE407" s="160">
        <v>0.0</v>
      </c>
      <c r="AF407" s="160">
        <v>0.0</v>
      </c>
      <c r="AG407" s="93">
        <f t="shared" si="124"/>
        <v>0</v>
      </c>
    </row>
    <row r="408" outlineLevel="1">
      <c r="A408" s="232" t="s">
        <v>371</v>
      </c>
      <c r="B408" s="160">
        <v>0.0</v>
      </c>
      <c r="C408" s="160">
        <v>0.0</v>
      </c>
      <c r="D408" s="160">
        <v>0.0</v>
      </c>
      <c r="E408" s="160">
        <v>0.0</v>
      </c>
      <c r="F408" s="160">
        <v>0.0</v>
      </c>
      <c r="G408" s="160">
        <v>0.0</v>
      </c>
      <c r="H408" s="155">
        <v>0.0</v>
      </c>
      <c r="I408" s="155">
        <v>0.0</v>
      </c>
      <c r="J408" s="160">
        <v>0.0</v>
      </c>
      <c r="K408" s="160">
        <v>0.0</v>
      </c>
      <c r="L408" s="160">
        <v>0.0</v>
      </c>
      <c r="M408" s="160">
        <v>0.0</v>
      </c>
      <c r="N408" s="160">
        <v>0.0</v>
      </c>
      <c r="O408" s="160">
        <v>0.0</v>
      </c>
      <c r="P408" s="160">
        <v>0.0</v>
      </c>
      <c r="Q408" s="160">
        <v>0.0</v>
      </c>
      <c r="R408" s="160">
        <v>0.0</v>
      </c>
      <c r="S408" s="160">
        <v>0.0</v>
      </c>
      <c r="T408" s="160">
        <v>0.0</v>
      </c>
      <c r="U408" s="160">
        <v>0.0</v>
      </c>
      <c r="V408" s="160">
        <v>0.0</v>
      </c>
      <c r="W408" s="160">
        <v>0.0</v>
      </c>
      <c r="X408" s="160">
        <v>0.0</v>
      </c>
      <c r="Y408" s="160">
        <v>0.0</v>
      </c>
      <c r="Z408" s="160">
        <v>0.0</v>
      </c>
      <c r="AA408" s="160">
        <v>0.0</v>
      </c>
      <c r="AB408" s="160">
        <v>0.0</v>
      </c>
      <c r="AC408" s="160">
        <v>0.0</v>
      </c>
      <c r="AD408" s="160">
        <v>0.0</v>
      </c>
      <c r="AE408" s="155">
        <v>0.0</v>
      </c>
      <c r="AF408" s="155">
        <v>0.0</v>
      </c>
      <c r="AG408" s="239">
        <f t="shared" si="124"/>
        <v>0</v>
      </c>
    </row>
    <row r="409" outlineLevel="1">
      <c r="A409" s="232" t="s">
        <v>372</v>
      </c>
      <c r="B409" s="160">
        <v>0.0</v>
      </c>
      <c r="C409" s="160">
        <v>0.0</v>
      </c>
      <c r="D409" s="160">
        <v>0.0</v>
      </c>
      <c r="E409" s="160">
        <v>0.0</v>
      </c>
      <c r="F409" s="160">
        <v>0.0</v>
      </c>
      <c r="G409" s="160">
        <v>0.0</v>
      </c>
      <c r="H409" s="155">
        <v>0.0</v>
      </c>
      <c r="I409" s="155">
        <v>0.0</v>
      </c>
      <c r="J409" s="160">
        <v>0.0</v>
      </c>
      <c r="K409" s="160">
        <v>0.0</v>
      </c>
      <c r="L409" s="160">
        <v>0.0</v>
      </c>
      <c r="M409" s="160">
        <v>0.0</v>
      </c>
      <c r="N409" s="160">
        <v>0.0</v>
      </c>
      <c r="O409" s="160">
        <v>0.0</v>
      </c>
      <c r="P409" s="160">
        <v>0.0</v>
      </c>
      <c r="Q409" s="160">
        <v>0.0</v>
      </c>
      <c r="R409" s="160">
        <v>0.0</v>
      </c>
      <c r="S409" s="160">
        <v>0.0</v>
      </c>
      <c r="T409" s="160">
        <v>0.0</v>
      </c>
      <c r="U409" s="160">
        <v>0.0</v>
      </c>
      <c r="V409" s="160">
        <v>0.0</v>
      </c>
      <c r="W409" s="160">
        <v>0.0</v>
      </c>
      <c r="X409" s="160">
        <v>0.0</v>
      </c>
      <c r="Y409" s="160">
        <v>0.0</v>
      </c>
      <c r="Z409" s="160">
        <v>0.0</v>
      </c>
      <c r="AA409" s="160">
        <v>0.0</v>
      </c>
      <c r="AB409" s="160">
        <v>0.0</v>
      </c>
      <c r="AC409" s="160">
        <v>0.0</v>
      </c>
      <c r="AD409" s="160">
        <v>0.0</v>
      </c>
      <c r="AE409" s="155">
        <v>0.0</v>
      </c>
      <c r="AF409" s="155">
        <v>0.0</v>
      </c>
      <c r="AG409" s="239">
        <f t="shared" si="124"/>
        <v>0</v>
      </c>
    </row>
    <row r="410">
      <c r="A410" s="225" t="s">
        <v>141</v>
      </c>
      <c r="B410" s="242">
        <f t="shared" ref="B410:AF410" si="125">SUM(B400:B409)</f>
        <v>7</v>
      </c>
      <c r="C410" s="242">
        <f t="shared" si="125"/>
        <v>3</v>
      </c>
      <c r="D410" s="242">
        <f t="shared" si="125"/>
        <v>0</v>
      </c>
      <c r="E410" s="242">
        <f t="shared" si="125"/>
        <v>0</v>
      </c>
      <c r="F410" s="242">
        <f t="shared" si="125"/>
        <v>0</v>
      </c>
      <c r="G410" s="242">
        <f t="shared" si="125"/>
        <v>4</v>
      </c>
      <c r="H410" s="242">
        <f t="shared" si="125"/>
        <v>0</v>
      </c>
      <c r="I410" s="242">
        <f t="shared" si="125"/>
        <v>0</v>
      </c>
      <c r="J410" s="242">
        <f t="shared" si="125"/>
        <v>0</v>
      </c>
      <c r="K410" s="243">
        <f t="shared" si="125"/>
        <v>6</v>
      </c>
      <c r="L410" s="242">
        <f t="shared" si="125"/>
        <v>0</v>
      </c>
      <c r="M410" s="242">
        <f t="shared" si="125"/>
        <v>0</v>
      </c>
      <c r="N410" s="242">
        <f t="shared" si="125"/>
        <v>0</v>
      </c>
      <c r="O410" s="242">
        <f t="shared" si="125"/>
        <v>6</v>
      </c>
      <c r="P410" s="242">
        <f t="shared" si="125"/>
        <v>0</v>
      </c>
      <c r="Q410" s="242">
        <f t="shared" si="125"/>
        <v>0</v>
      </c>
      <c r="R410" s="242">
        <f t="shared" si="125"/>
        <v>0</v>
      </c>
      <c r="S410" s="242">
        <f t="shared" si="125"/>
        <v>0</v>
      </c>
      <c r="T410" s="242">
        <f t="shared" si="125"/>
        <v>0</v>
      </c>
      <c r="U410" s="242">
        <f t="shared" si="125"/>
        <v>4</v>
      </c>
      <c r="V410" s="242">
        <f t="shared" si="125"/>
        <v>0</v>
      </c>
      <c r="W410" s="242">
        <f t="shared" si="125"/>
        <v>0</v>
      </c>
      <c r="X410" s="242">
        <f t="shared" si="125"/>
        <v>5</v>
      </c>
      <c r="Y410" s="242">
        <f t="shared" si="125"/>
        <v>0</v>
      </c>
      <c r="Z410" s="242">
        <f t="shared" si="125"/>
        <v>0</v>
      </c>
      <c r="AA410" s="242">
        <f t="shared" si="125"/>
        <v>0</v>
      </c>
      <c r="AB410" s="242">
        <f t="shared" si="125"/>
        <v>0</v>
      </c>
      <c r="AC410" s="242">
        <f t="shared" si="125"/>
        <v>0</v>
      </c>
      <c r="AD410" s="242">
        <f t="shared" si="125"/>
        <v>2</v>
      </c>
      <c r="AE410" s="242">
        <f t="shared" si="125"/>
        <v>4</v>
      </c>
      <c r="AF410" s="242">
        <f t="shared" si="125"/>
        <v>1</v>
      </c>
      <c r="AG410" s="93">
        <f t="shared" si="124"/>
        <v>42</v>
      </c>
    </row>
    <row r="411">
      <c r="A411" s="98"/>
      <c r="B411" s="160"/>
      <c r="C411" s="160"/>
      <c r="D411" s="160"/>
      <c r="E411" s="160"/>
      <c r="F411" s="160"/>
      <c r="G411" s="160"/>
      <c r="H411" s="160"/>
      <c r="I411" s="160"/>
      <c r="J411" s="160"/>
      <c r="K411" s="160"/>
      <c r="L411" s="160"/>
      <c r="M411" s="160"/>
      <c r="N411" s="160"/>
      <c r="O411" s="160"/>
      <c r="P411" s="160"/>
      <c r="Q411" s="160"/>
      <c r="R411" s="160"/>
      <c r="S411" s="160"/>
      <c r="T411" s="160"/>
      <c r="U411" s="160"/>
      <c r="V411" s="160"/>
      <c r="W411" s="160"/>
      <c r="X411" s="160"/>
      <c r="Y411" s="160"/>
      <c r="Z411" s="160"/>
      <c r="AA411" s="160"/>
      <c r="AB411" s="160"/>
      <c r="AC411" s="160"/>
      <c r="AD411" s="160"/>
      <c r="AE411" s="160"/>
      <c r="AF411" s="160"/>
      <c r="AG411" s="152"/>
    </row>
    <row r="412">
      <c r="A412" s="215" t="s">
        <v>296</v>
      </c>
      <c r="B412" s="238"/>
      <c r="C412" s="238"/>
      <c r="D412" s="238"/>
      <c r="E412" s="238"/>
      <c r="F412" s="238"/>
      <c r="G412" s="238"/>
      <c r="H412" s="238"/>
      <c r="I412" s="238"/>
      <c r="J412" s="238"/>
      <c r="K412" s="238"/>
      <c r="L412" s="238"/>
      <c r="M412" s="238"/>
      <c r="N412" s="238"/>
      <c r="O412" s="238"/>
      <c r="P412" s="238"/>
      <c r="Q412" s="238"/>
      <c r="R412" s="238"/>
      <c r="S412" s="238"/>
      <c r="T412" s="238"/>
      <c r="U412" s="238"/>
      <c r="V412" s="238"/>
      <c r="W412" s="238"/>
      <c r="X412" s="238"/>
      <c r="Y412" s="238"/>
      <c r="Z412" s="238"/>
      <c r="AA412" s="238"/>
      <c r="AB412" s="238"/>
      <c r="AC412" s="238"/>
      <c r="AD412" s="238"/>
      <c r="AE412" s="238"/>
      <c r="AF412" s="238"/>
      <c r="AG412" s="152"/>
    </row>
    <row r="413" outlineLevel="1">
      <c r="A413" s="215" t="s">
        <v>224</v>
      </c>
      <c r="B413" s="160">
        <v>0.0</v>
      </c>
      <c r="C413" s="160">
        <v>0.0</v>
      </c>
      <c r="D413" s="160">
        <v>0.0</v>
      </c>
      <c r="E413" s="160">
        <v>0.0</v>
      </c>
      <c r="F413" s="160">
        <v>0.0</v>
      </c>
      <c r="G413" s="160">
        <v>0.0</v>
      </c>
      <c r="H413" s="160">
        <v>0.0</v>
      </c>
      <c r="I413" s="160">
        <v>0.0</v>
      </c>
      <c r="J413" s="160">
        <v>0.0</v>
      </c>
      <c r="K413" s="160">
        <v>0.0</v>
      </c>
      <c r="L413" s="160">
        <v>0.0</v>
      </c>
      <c r="M413" s="160">
        <v>0.0</v>
      </c>
      <c r="N413" s="160">
        <v>0.0</v>
      </c>
      <c r="O413" s="160">
        <v>0.0</v>
      </c>
      <c r="P413" s="160">
        <v>0.0</v>
      </c>
      <c r="Q413" s="160">
        <v>0.0</v>
      </c>
      <c r="R413" s="160">
        <v>0.0</v>
      </c>
      <c r="S413" s="160">
        <v>0.0</v>
      </c>
      <c r="T413" s="160">
        <v>0.0</v>
      </c>
      <c r="U413" s="160">
        <v>0.0</v>
      </c>
      <c r="V413" s="160">
        <v>0.0</v>
      </c>
      <c r="W413" s="160">
        <v>0.0</v>
      </c>
      <c r="X413" s="160">
        <v>0.0</v>
      </c>
      <c r="Y413" s="160">
        <v>0.0</v>
      </c>
      <c r="Z413" s="160">
        <v>0.0</v>
      </c>
      <c r="AA413" s="160">
        <v>0.0</v>
      </c>
      <c r="AB413" s="160">
        <v>0.0</v>
      </c>
      <c r="AC413" s="160">
        <v>0.0</v>
      </c>
      <c r="AD413" s="160">
        <v>0.0</v>
      </c>
      <c r="AE413" s="160">
        <v>0.0</v>
      </c>
      <c r="AF413" s="160">
        <v>0.0</v>
      </c>
      <c r="AG413" s="93">
        <f t="shared" ref="AG413:AG423" si="126">SUM(B413:AF413)</f>
        <v>0</v>
      </c>
    </row>
    <row r="414" outlineLevel="1">
      <c r="A414" s="215" t="s">
        <v>225</v>
      </c>
      <c r="B414" s="160">
        <v>0.0</v>
      </c>
      <c r="C414" s="160">
        <v>0.0</v>
      </c>
      <c r="D414" s="160">
        <v>0.0</v>
      </c>
      <c r="E414" s="160">
        <v>0.0</v>
      </c>
      <c r="F414" s="160">
        <v>0.0</v>
      </c>
      <c r="G414" s="160">
        <v>0.0</v>
      </c>
      <c r="H414" s="160">
        <v>0.0</v>
      </c>
      <c r="I414" s="160">
        <v>0.0</v>
      </c>
      <c r="J414" s="160">
        <v>0.0</v>
      </c>
      <c r="K414" s="160">
        <v>0.0</v>
      </c>
      <c r="L414" s="160">
        <v>0.0</v>
      </c>
      <c r="M414" s="160">
        <v>0.0</v>
      </c>
      <c r="N414" s="160">
        <v>0.0</v>
      </c>
      <c r="O414" s="160">
        <v>0.0</v>
      </c>
      <c r="P414" s="160">
        <v>0.0</v>
      </c>
      <c r="Q414" s="160">
        <v>0.0</v>
      </c>
      <c r="R414" s="160">
        <v>0.0</v>
      </c>
      <c r="S414" s="160">
        <v>0.0</v>
      </c>
      <c r="T414" s="160">
        <v>0.0</v>
      </c>
      <c r="U414" s="160">
        <v>0.0</v>
      </c>
      <c r="V414" s="160">
        <v>0.0</v>
      </c>
      <c r="W414" s="160">
        <v>0.0</v>
      </c>
      <c r="X414" s="160">
        <v>1.0</v>
      </c>
      <c r="Y414" s="160">
        <v>0.0</v>
      </c>
      <c r="Z414" s="160">
        <v>0.0</v>
      </c>
      <c r="AA414" s="160">
        <v>0.0</v>
      </c>
      <c r="AB414" s="160">
        <v>0.0</v>
      </c>
      <c r="AC414" s="160">
        <v>0.0</v>
      </c>
      <c r="AD414" s="160">
        <v>0.0</v>
      </c>
      <c r="AE414" s="160">
        <v>0.0</v>
      </c>
      <c r="AF414" s="160">
        <v>0.0</v>
      </c>
      <c r="AG414" s="93">
        <f t="shared" si="126"/>
        <v>1</v>
      </c>
    </row>
    <row r="415" outlineLevel="1">
      <c r="A415" s="215" t="s">
        <v>373</v>
      </c>
      <c r="B415" s="160">
        <v>0.0</v>
      </c>
      <c r="C415" s="160">
        <v>0.0</v>
      </c>
      <c r="D415" s="160">
        <v>0.0</v>
      </c>
      <c r="E415" s="160">
        <v>0.0</v>
      </c>
      <c r="F415" s="160">
        <v>0.0</v>
      </c>
      <c r="G415" s="160">
        <v>0.0</v>
      </c>
      <c r="H415" s="160">
        <v>0.0</v>
      </c>
      <c r="I415" s="160">
        <v>0.0</v>
      </c>
      <c r="J415" s="160">
        <v>0.0</v>
      </c>
      <c r="K415" s="160">
        <v>0.0</v>
      </c>
      <c r="L415" s="160">
        <v>0.0</v>
      </c>
      <c r="M415" s="160">
        <v>0.0</v>
      </c>
      <c r="N415" s="160">
        <v>0.0</v>
      </c>
      <c r="O415" s="160">
        <v>0.0</v>
      </c>
      <c r="P415" s="160">
        <v>0.0</v>
      </c>
      <c r="Q415" s="160">
        <v>0.0</v>
      </c>
      <c r="R415" s="160">
        <v>0.0</v>
      </c>
      <c r="S415" s="160">
        <v>0.0</v>
      </c>
      <c r="T415" s="160">
        <v>0.0</v>
      </c>
      <c r="U415" s="160">
        <v>0.0</v>
      </c>
      <c r="V415" s="160">
        <v>0.0</v>
      </c>
      <c r="W415" s="160">
        <v>0.0</v>
      </c>
      <c r="X415" s="160">
        <v>1.0</v>
      </c>
      <c r="Y415" s="160">
        <v>0.0</v>
      </c>
      <c r="Z415" s="160">
        <v>0.0</v>
      </c>
      <c r="AA415" s="160">
        <v>0.0</v>
      </c>
      <c r="AB415" s="160">
        <v>0.0</v>
      </c>
      <c r="AC415" s="160">
        <v>0.0</v>
      </c>
      <c r="AD415" s="160">
        <v>0.0</v>
      </c>
      <c r="AE415" s="160">
        <v>0.0</v>
      </c>
      <c r="AF415" s="160">
        <v>0.0</v>
      </c>
      <c r="AG415" s="93">
        <f t="shared" si="126"/>
        <v>1</v>
      </c>
    </row>
    <row r="416" outlineLevel="1">
      <c r="A416" s="215" t="s">
        <v>374</v>
      </c>
      <c r="B416" s="160">
        <v>0.0</v>
      </c>
      <c r="C416" s="160">
        <v>0.0</v>
      </c>
      <c r="D416" s="160">
        <v>0.0</v>
      </c>
      <c r="E416" s="160">
        <v>0.0</v>
      </c>
      <c r="F416" s="160">
        <v>0.0</v>
      </c>
      <c r="G416" s="160">
        <v>0.0</v>
      </c>
      <c r="H416" s="160">
        <v>0.0</v>
      </c>
      <c r="I416" s="160">
        <v>0.0</v>
      </c>
      <c r="J416" s="160">
        <v>0.0</v>
      </c>
      <c r="K416" s="160">
        <v>0.0</v>
      </c>
      <c r="L416" s="160">
        <v>0.0</v>
      </c>
      <c r="M416" s="160">
        <v>0.0</v>
      </c>
      <c r="N416" s="160">
        <v>0.0</v>
      </c>
      <c r="O416" s="160">
        <v>0.0</v>
      </c>
      <c r="P416" s="160">
        <v>0.0</v>
      </c>
      <c r="Q416" s="160">
        <v>0.0</v>
      </c>
      <c r="R416" s="160">
        <v>0.0</v>
      </c>
      <c r="S416" s="160">
        <v>0.0</v>
      </c>
      <c r="T416" s="160">
        <v>0.0</v>
      </c>
      <c r="U416" s="160">
        <v>0.0</v>
      </c>
      <c r="V416" s="160">
        <v>0.0</v>
      </c>
      <c r="W416" s="160">
        <v>0.0</v>
      </c>
      <c r="X416" s="160">
        <v>0.0</v>
      </c>
      <c r="Y416" s="160">
        <v>0.0</v>
      </c>
      <c r="Z416" s="160">
        <v>0.0</v>
      </c>
      <c r="AA416" s="160">
        <v>0.0</v>
      </c>
      <c r="AB416" s="160">
        <v>0.0</v>
      </c>
      <c r="AC416" s="160">
        <v>0.0</v>
      </c>
      <c r="AD416" s="160">
        <v>0.0</v>
      </c>
      <c r="AE416" s="160">
        <v>0.0</v>
      </c>
      <c r="AF416" s="160">
        <v>0.0</v>
      </c>
      <c r="AG416" s="93">
        <f t="shared" si="126"/>
        <v>0</v>
      </c>
    </row>
    <row r="417" outlineLevel="1">
      <c r="A417" s="215" t="s">
        <v>375</v>
      </c>
      <c r="B417" s="160">
        <v>0.0</v>
      </c>
      <c r="C417" s="160">
        <v>0.0</v>
      </c>
      <c r="D417" s="160">
        <v>0.0</v>
      </c>
      <c r="E417" s="160">
        <v>0.0</v>
      </c>
      <c r="F417" s="160">
        <v>0.0</v>
      </c>
      <c r="G417" s="160">
        <v>0.0</v>
      </c>
      <c r="H417" s="160">
        <v>0.0</v>
      </c>
      <c r="I417" s="160">
        <v>0.0</v>
      </c>
      <c r="J417" s="160">
        <v>0.0</v>
      </c>
      <c r="K417" s="160">
        <v>0.0</v>
      </c>
      <c r="L417" s="160">
        <v>0.0</v>
      </c>
      <c r="M417" s="160">
        <v>0.0</v>
      </c>
      <c r="N417" s="160">
        <v>0.0</v>
      </c>
      <c r="O417" s="160">
        <v>0.0</v>
      </c>
      <c r="P417" s="160">
        <v>0.0</v>
      </c>
      <c r="Q417" s="160">
        <v>0.0</v>
      </c>
      <c r="R417" s="160">
        <v>0.0</v>
      </c>
      <c r="S417" s="160">
        <v>0.0</v>
      </c>
      <c r="T417" s="160">
        <v>0.0</v>
      </c>
      <c r="U417" s="160">
        <v>0.0</v>
      </c>
      <c r="V417" s="160">
        <v>0.0</v>
      </c>
      <c r="W417" s="160">
        <v>0.0</v>
      </c>
      <c r="X417" s="160">
        <v>0.0</v>
      </c>
      <c r="Y417" s="160">
        <v>0.0</v>
      </c>
      <c r="Z417" s="160">
        <v>0.0</v>
      </c>
      <c r="AA417" s="160">
        <v>0.0</v>
      </c>
      <c r="AB417" s="160">
        <v>0.0</v>
      </c>
      <c r="AC417" s="160">
        <v>0.0</v>
      </c>
      <c r="AD417" s="160">
        <v>0.0</v>
      </c>
      <c r="AE417" s="160">
        <v>0.0</v>
      </c>
      <c r="AF417" s="160">
        <v>0.0</v>
      </c>
      <c r="AG417" s="93">
        <f t="shared" si="126"/>
        <v>0</v>
      </c>
    </row>
    <row r="418" outlineLevel="1">
      <c r="A418" s="215" t="s">
        <v>376</v>
      </c>
      <c r="B418" s="160">
        <v>0.0</v>
      </c>
      <c r="C418" s="160">
        <v>0.0</v>
      </c>
      <c r="D418" s="160">
        <v>0.0</v>
      </c>
      <c r="E418" s="160">
        <v>0.0</v>
      </c>
      <c r="F418" s="160">
        <v>0.0</v>
      </c>
      <c r="G418" s="160">
        <v>0.0</v>
      </c>
      <c r="H418" s="160">
        <v>0.0</v>
      </c>
      <c r="I418" s="160">
        <v>0.0</v>
      </c>
      <c r="J418" s="160">
        <v>0.0</v>
      </c>
      <c r="K418" s="160">
        <v>0.0</v>
      </c>
      <c r="L418" s="160">
        <v>0.0</v>
      </c>
      <c r="M418" s="160">
        <v>0.0</v>
      </c>
      <c r="N418" s="160">
        <v>0.0</v>
      </c>
      <c r="O418" s="160">
        <v>0.0</v>
      </c>
      <c r="P418" s="160">
        <v>0.0</v>
      </c>
      <c r="Q418" s="160">
        <v>0.0</v>
      </c>
      <c r="R418" s="160">
        <v>0.0</v>
      </c>
      <c r="S418" s="160">
        <v>0.0</v>
      </c>
      <c r="T418" s="160">
        <v>0.0</v>
      </c>
      <c r="U418" s="160">
        <v>0.0</v>
      </c>
      <c r="V418" s="160">
        <v>0.0</v>
      </c>
      <c r="W418" s="160">
        <v>0.0</v>
      </c>
      <c r="X418" s="160">
        <v>0.0</v>
      </c>
      <c r="Y418" s="160">
        <v>0.0</v>
      </c>
      <c r="Z418" s="160">
        <v>0.0</v>
      </c>
      <c r="AA418" s="160">
        <v>0.0</v>
      </c>
      <c r="AB418" s="160">
        <v>0.0</v>
      </c>
      <c r="AC418" s="160">
        <v>0.0</v>
      </c>
      <c r="AD418" s="160">
        <v>0.0</v>
      </c>
      <c r="AE418" s="160">
        <v>0.0</v>
      </c>
      <c r="AF418" s="160">
        <v>0.0</v>
      </c>
      <c r="AG418" s="93">
        <f t="shared" si="126"/>
        <v>0</v>
      </c>
    </row>
    <row r="419" outlineLevel="1">
      <c r="A419" s="215" t="s">
        <v>377</v>
      </c>
      <c r="B419" s="160">
        <v>0.0</v>
      </c>
      <c r="C419" s="160">
        <v>0.0</v>
      </c>
      <c r="D419" s="160">
        <v>0.0</v>
      </c>
      <c r="E419" s="160">
        <v>0.0</v>
      </c>
      <c r="F419" s="160">
        <v>0.0</v>
      </c>
      <c r="G419" s="160">
        <v>0.0</v>
      </c>
      <c r="H419" s="160">
        <v>0.0</v>
      </c>
      <c r="I419" s="160">
        <v>0.0</v>
      </c>
      <c r="J419" s="160">
        <v>0.0</v>
      </c>
      <c r="K419" s="160">
        <v>0.0</v>
      </c>
      <c r="L419" s="160">
        <v>0.0</v>
      </c>
      <c r="M419" s="160">
        <v>0.0</v>
      </c>
      <c r="N419" s="160">
        <v>0.0</v>
      </c>
      <c r="O419" s="160">
        <v>0.0</v>
      </c>
      <c r="P419" s="160">
        <v>0.0</v>
      </c>
      <c r="Q419" s="160">
        <v>0.0</v>
      </c>
      <c r="R419" s="160">
        <v>0.0</v>
      </c>
      <c r="S419" s="160">
        <v>0.0</v>
      </c>
      <c r="T419" s="160">
        <v>0.0</v>
      </c>
      <c r="U419" s="160">
        <v>0.0</v>
      </c>
      <c r="V419" s="160">
        <v>0.0</v>
      </c>
      <c r="W419" s="160">
        <v>0.0</v>
      </c>
      <c r="X419" s="160">
        <v>0.0</v>
      </c>
      <c r="Y419" s="160">
        <v>0.0</v>
      </c>
      <c r="Z419" s="160">
        <v>0.0</v>
      </c>
      <c r="AA419" s="160">
        <v>0.0</v>
      </c>
      <c r="AB419" s="160">
        <v>0.0</v>
      </c>
      <c r="AC419" s="160">
        <v>0.0</v>
      </c>
      <c r="AD419" s="160">
        <v>0.0</v>
      </c>
      <c r="AE419" s="160">
        <v>0.0</v>
      </c>
      <c r="AF419" s="160">
        <v>0.0</v>
      </c>
      <c r="AG419" s="93">
        <f t="shared" si="126"/>
        <v>0</v>
      </c>
    </row>
    <row r="420" outlineLevel="1">
      <c r="A420" s="215" t="s">
        <v>378</v>
      </c>
      <c r="B420" s="160">
        <v>0.0</v>
      </c>
      <c r="C420" s="160">
        <v>0.0</v>
      </c>
      <c r="D420" s="160">
        <v>0.0</v>
      </c>
      <c r="E420" s="160">
        <v>0.0</v>
      </c>
      <c r="F420" s="160">
        <v>0.0</v>
      </c>
      <c r="G420" s="160">
        <v>0.0</v>
      </c>
      <c r="H420" s="160">
        <v>0.0</v>
      </c>
      <c r="I420" s="160">
        <v>0.0</v>
      </c>
      <c r="J420" s="160">
        <v>0.0</v>
      </c>
      <c r="K420" s="160">
        <v>0.0</v>
      </c>
      <c r="L420" s="160">
        <v>0.0</v>
      </c>
      <c r="M420" s="160">
        <v>0.0</v>
      </c>
      <c r="N420" s="160">
        <v>0.0</v>
      </c>
      <c r="O420" s="160">
        <v>0.0</v>
      </c>
      <c r="P420" s="160">
        <v>0.0</v>
      </c>
      <c r="Q420" s="160">
        <v>0.0</v>
      </c>
      <c r="R420" s="160">
        <v>0.0</v>
      </c>
      <c r="S420" s="160">
        <v>0.0</v>
      </c>
      <c r="T420" s="160">
        <v>0.0</v>
      </c>
      <c r="U420" s="160">
        <v>0.0</v>
      </c>
      <c r="V420" s="160">
        <v>0.0</v>
      </c>
      <c r="W420" s="160">
        <v>0.0</v>
      </c>
      <c r="X420" s="160">
        <v>0.0</v>
      </c>
      <c r="Y420" s="160">
        <v>0.0</v>
      </c>
      <c r="Z420" s="160">
        <v>0.0</v>
      </c>
      <c r="AA420" s="160">
        <v>0.0</v>
      </c>
      <c r="AB420" s="160">
        <v>0.0</v>
      </c>
      <c r="AC420" s="160">
        <v>0.0</v>
      </c>
      <c r="AD420" s="160">
        <v>0.0</v>
      </c>
      <c r="AE420" s="160">
        <v>0.0</v>
      </c>
      <c r="AF420" s="160">
        <v>0.0</v>
      </c>
      <c r="AG420" s="93">
        <f t="shared" si="126"/>
        <v>0</v>
      </c>
    </row>
    <row r="421" outlineLevel="1">
      <c r="A421" s="232" t="s">
        <v>379</v>
      </c>
      <c r="B421" s="160">
        <v>0.0</v>
      </c>
      <c r="C421" s="160">
        <v>0.0</v>
      </c>
      <c r="D421" s="160">
        <v>0.0</v>
      </c>
      <c r="E421" s="160">
        <v>0.0</v>
      </c>
      <c r="F421" s="160">
        <v>0.0</v>
      </c>
      <c r="G421" s="160">
        <v>0.0</v>
      </c>
      <c r="H421" s="160">
        <v>0.0</v>
      </c>
      <c r="I421" s="160">
        <v>0.0</v>
      </c>
      <c r="J421" s="160">
        <v>0.0</v>
      </c>
      <c r="K421" s="160">
        <v>0.0</v>
      </c>
      <c r="L421" s="160">
        <v>0.0</v>
      </c>
      <c r="M421" s="160">
        <v>0.0</v>
      </c>
      <c r="N421" s="160">
        <v>0.0</v>
      </c>
      <c r="O421" s="160">
        <v>0.0</v>
      </c>
      <c r="P421" s="160">
        <v>0.0</v>
      </c>
      <c r="Q421" s="160">
        <v>0.0</v>
      </c>
      <c r="R421" s="160">
        <v>0.0</v>
      </c>
      <c r="S421" s="160">
        <v>0.0</v>
      </c>
      <c r="T421" s="160">
        <v>0.0</v>
      </c>
      <c r="U421" s="160">
        <v>0.0</v>
      </c>
      <c r="V421" s="160">
        <v>0.0</v>
      </c>
      <c r="W421" s="160">
        <v>0.0</v>
      </c>
      <c r="X421" s="160">
        <v>0.0</v>
      </c>
      <c r="Y421" s="160">
        <v>0.0</v>
      </c>
      <c r="Z421" s="160">
        <v>0.0</v>
      </c>
      <c r="AA421" s="160">
        <v>0.0</v>
      </c>
      <c r="AB421" s="160">
        <v>0.0</v>
      </c>
      <c r="AC421" s="160">
        <v>0.0</v>
      </c>
      <c r="AD421" s="160">
        <v>0.0</v>
      </c>
      <c r="AE421" s="160">
        <v>0.0</v>
      </c>
      <c r="AF421" s="160">
        <v>0.0</v>
      </c>
      <c r="AG421" s="239">
        <f t="shared" si="126"/>
        <v>0</v>
      </c>
    </row>
    <row r="422" outlineLevel="1">
      <c r="A422" s="232" t="s">
        <v>380</v>
      </c>
      <c r="B422" s="160">
        <v>0.0</v>
      </c>
      <c r="C422" s="160">
        <v>0.0</v>
      </c>
      <c r="D422" s="160">
        <v>0.0</v>
      </c>
      <c r="E422" s="160">
        <v>0.0</v>
      </c>
      <c r="F422" s="160">
        <v>0.0</v>
      </c>
      <c r="G422" s="160">
        <v>0.0</v>
      </c>
      <c r="H422" s="160">
        <v>0.0</v>
      </c>
      <c r="I422" s="160">
        <v>0.0</v>
      </c>
      <c r="J422" s="160">
        <v>0.0</v>
      </c>
      <c r="K422" s="160">
        <v>0.0</v>
      </c>
      <c r="L422" s="160">
        <v>0.0</v>
      </c>
      <c r="M422" s="160">
        <v>0.0</v>
      </c>
      <c r="N422" s="160">
        <v>0.0</v>
      </c>
      <c r="O422" s="160">
        <v>0.0</v>
      </c>
      <c r="P422" s="160">
        <v>0.0</v>
      </c>
      <c r="Q422" s="160">
        <v>0.0</v>
      </c>
      <c r="R422" s="160">
        <v>0.0</v>
      </c>
      <c r="S422" s="160">
        <v>0.0</v>
      </c>
      <c r="T422" s="160">
        <v>0.0</v>
      </c>
      <c r="U422" s="160">
        <v>0.0</v>
      </c>
      <c r="V422" s="160">
        <v>0.0</v>
      </c>
      <c r="W422" s="160">
        <v>0.0</v>
      </c>
      <c r="X422" s="160">
        <v>0.0</v>
      </c>
      <c r="Y422" s="160">
        <v>0.0</v>
      </c>
      <c r="Z422" s="160">
        <v>0.0</v>
      </c>
      <c r="AA422" s="160">
        <v>0.0</v>
      </c>
      <c r="AB422" s="160">
        <v>0.0</v>
      </c>
      <c r="AC422" s="160">
        <v>0.0</v>
      </c>
      <c r="AD422" s="160">
        <v>0.0</v>
      </c>
      <c r="AE422" s="160">
        <v>0.0</v>
      </c>
      <c r="AF422" s="160">
        <v>0.0</v>
      </c>
      <c r="AG422" s="239">
        <f t="shared" si="126"/>
        <v>0</v>
      </c>
    </row>
    <row r="423">
      <c r="A423" s="225" t="s">
        <v>141</v>
      </c>
      <c r="B423" s="242">
        <f t="shared" ref="B423:F423" si="127">SUM(B413:B422)</f>
        <v>0</v>
      </c>
      <c r="C423" s="242">
        <f t="shared" si="127"/>
        <v>0</v>
      </c>
      <c r="D423" s="242">
        <f t="shared" si="127"/>
        <v>0</v>
      </c>
      <c r="E423" s="242">
        <f t="shared" si="127"/>
        <v>0</v>
      </c>
      <c r="F423" s="242">
        <f t="shared" si="127"/>
        <v>0</v>
      </c>
      <c r="G423" s="242">
        <v>0.0</v>
      </c>
      <c r="H423" s="242">
        <f t="shared" ref="H423:AF423" si="128">SUM(H413:H422)</f>
        <v>0</v>
      </c>
      <c r="I423" s="242">
        <f t="shared" si="128"/>
        <v>0</v>
      </c>
      <c r="J423" s="242">
        <f t="shared" si="128"/>
        <v>0</v>
      </c>
      <c r="K423" s="242">
        <f t="shared" si="128"/>
        <v>0</v>
      </c>
      <c r="L423" s="242">
        <f t="shared" si="128"/>
        <v>0</v>
      </c>
      <c r="M423" s="242">
        <f t="shared" si="128"/>
        <v>0</v>
      </c>
      <c r="N423" s="242">
        <f t="shared" si="128"/>
        <v>0</v>
      </c>
      <c r="O423" s="242">
        <f t="shared" si="128"/>
        <v>0</v>
      </c>
      <c r="P423" s="242">
        <f t="shared" si="128"/>
        <v>0</v>
      </c>
      <c r="Q423" s="242">
        <f t="shared" si="128"/>
        <v>0</v>
      </c>
      <c r="R423" s="242">
        <f t="shared" si="128"/>
        <v>0</v>
      </c>
      <c r="S423" s="242">
        <f t="shared" si="128"/>
        <v>0</v>
      </c>
      <c r="T423" s="242">
        <f t="shared" si="128"/>
        <v>0</v>
      </c>
      <c r="U423" s="242">
        <f t="shared" si="128"/>
        <v>0</v>
      </c>
      <c r="V423" s="242">
        <f t="shared" si="128"/>
        <v>0</v>
      </c>
      <c r="W423" s="242">
        <f t="shared" si="128"/>
        <v>0</v>
      </c>
      <c r="X423" s="242">
        <f t="shared" si="128"/>
        <v>2</v>
      </c>
      <c r="Y423" s="242">
        <f t="shared" si="128"/>
        <v>0</v>
      </c>
      <c r="Z423" s="242">
        <f t="shared" si="128"/>
        <v>0</v>
      </c>
      <c r="AA423" s="242">
        <f t="shared" si="128"/>
        <v>0</v>
      </c>
      <c r="AB423" s="242">
        <f t="shared" si="128"/>
        <v>0</v>
      </c>
      <c r="AC423" s="242">
        <f t="shared" si="128"/>
        <v>0</v>
      </c>
      <c r="AD423" s="242">
        <f t="shared" si="128"/>
        <v>0</v>
      </c>
      <c r="AE423" s="242">
        <f t="shared" si="128"/>
        <v>0</v>
      </c>
      <c r="AF423" s="242">
        <f t="shared" si="128"/>
        <v>0</v>
      </c>
      <c r="AG423" s="93">
        <f t="shared" si="126"/>
        <v>2</v>
      </c>
    </row>
    <row r="424">
      <c r="A424" s="244"/>
      <c r="B424" s="160"/>
      <c r="C424" s="160"/>
      <c r="D424" s="160"/>
      <c r="E424" s="160"/>
      <c r="F424" s="160"/>
      <c r="G424" s="160"/>
      <c r="H424" s="160"/>
      <c r="I424" s="160"/>
      <c r="J424" s="160"/>
      <c r="K424" s="160"/>
      <c r="L424" s="160"/>
      <c r="M424" s="160"/>
      <c r="N424" s="160"/>
      <c r="O424" s="160"/>
      <c r="P424" s="160"/>
      <c r="Q424" s="160"/>
      <c r="R424" s="160"/>
      <c r="S424" s="160"/>
      <c r="T424" s="160"/>
      <c r="U424" s="160"/>
      <c r="V424" s="160"/>
      <c r="W424" s="160"/>
      <c r="X424" s="160"/>
      <c r="Y424" s="160"/>
      <c r="Z424" s="160"/>
      <c r="AA424" s="160"/>
      <c r="AB424" s="160"/>
      <c r="AC424" s="160"/>
      <c r="AD424" s="160"/>
      <c r="AE424" s="160"/>
      <c r="AF424" s="160"/>
      <c r="AG424" s="152"/>
    </row>
    <row r="425">
      <c r="A425" s="245" t="s">
        <v>381</v>
      </c>
      <c r="B425" s="242">
        <v>49.0</v>
      </c>
      <c r="C425" s="242">
        <v>26.0</v>
      </c>
      <c r="D425" s="242">
        <v>14.0</v>
      </c>
      <c r="E425" s="242">
        <v>0.0</v>
      </c>
      <c r="F425" s="242">
        <v>0.0</v>
      </c>
      <c r="G425" s="242">
        <v>20.0</v>
      </c>
      <c r="H425" s="242">
        <v>18.0</v>
      </c>
      <c r="I425" s="242">
        <v>11.0</v>
      </c>
      <c r="J425" s="242">
        <v>0.0</v>
      </c>
      <c r="K425" s="242">
        <v>3.0</v>
      </c>
      <c r="L425" s="242">
        <v>0.0</v>
      </c>
      <c r="M425" s="242">
        <v>0.0</v>
      </c>
      <c r="N425" s="242">
        <v>1.0</v>
      </c>
      <c r="O425" s="242">
        <v>50.0</v>
      </c>
      <c r="P425" s="242">
        <v>0.0</v>
      </c>
      <c r="Q425" s="242">
        <v>15.0</v>
      </c>
      <c r="R425" s="242">
        <v>16.0</v>
      </c>
      <c r="S425" s="242">
        <v>0.0</v>
      </c>
      <c r="T425" s="242">
        <v>0.0</v>
      </c>
      <c r="U425" s="242">
        <v>47.0</v>
      </c>
      <c r="V425" s="242">
        <v>5.0</v>
      </c>
      <c r="W425" s="242">
        <v>15.0</v>
      </c>
      <c r="X425" s="242">
        <v>23.0</v>
      </c>
      <c r="Y425" s="242">
        <v>25.0</v>
      </c>
      <c r="Z425" s="242">
        <v>0.0</v>
      </c>
      <c r="AA425" s="242">
        <v>0.0</v>
      </c>
      <c r="AB425" s="242">
        <v>1.0</v>
      </c>
      <c r="AC425" s="242">
        <v>48.0</v>
      </c>
      <c r="AD425" s="242">
        <v>25.0</v>
      </c>
      <c r="AE425" s="242">
        <v>0.0</v>
      </c>
      <c r="AF425" s="242">
        <v>14.0</v>
      </c>
      <c r="AG425" s="93">
        <f t="shared" ref="AG425:AG426" si="129">SUM(B425:AF425)</f>
        <v>426</v>
      </c>
    </row>
    <row r="426">
      <c r="A426" s="245" t="s">
        <v>382</v>
      </c>
      <c r="B426" s="242">
        <v>0.0</v>
      </c>
      <c r="C426" s="242">
        <v>0.0</v>
      </c>
      <c r="D426" s="242">
        <v>0.0</v>
      </c>
      <c r="E426" s="242">
        <v>0.0</v>
      </c>
      <c r="F426" s="242">
        <v>0.0</v>
      </c>
      <c r="G426" s="242">
        <v>0.0</v>
      </c>
      <c r="H426" s="242">
        <v>0.0</v>
      </c>
      <c r="I426" s="242">
        <v>0.0</v>
      </c>
      <c r="J426" s="242">
        <v>0.0</v>
      </c>
      <c r="K426" s="242">
        <v>0.0</v>
      </c>
      <c r="L426" s="242">
        <v>0.0</v>
      </c>
      <c r="M426" s="242">
        <v>0.0</v>
      </c>
      <c r="N426" s="242">
        <v>0.0</v>
      </c>
      <c r="O426" s="242">
        <v>0.0</v>
      </c>
      <c r="P426" s="242">
        <v>0.0</v>
      </c>
      <c r="Q426" s="242">
        <v>0.0</v>
      </c>
      <c r="R426" s="242">
        <v>0.0</v>
      </c>
      <c r="S426" s="242">
        <v>0.0</v>
      </c>
      <c r="T426" s="242">
        <v>0.0</v>
      </c>
      <c r="U426" s="242">
        <v>0.0</v>
      </c>
      <c r="V426" s="242">
        <v>0.0</v>
      </c>
      <c r="W426" s="242">
        <v>0.0</v>
      </c>
      <c r="X426" s="242">
        <v>21.0</v>
      </c>
      <c r="Y426" s="242">
        <v>0.0</v>
      </c>
      <c r="Z426" s="242">
        <v>0.0</v>
      </c>
      <c r="AA426" s="242">
        <v>0.0</v>
      </c>
      <c r="AB426" s="242">
        <v>0.0</v>
      </c>
      <c r="AC426" s="242">
        <v>0.0</v>
      </c>
      <c r="AD426" s="242">
        <v>0.0</v>
      </c>
      <c r="AE426" s="242">
        <v>0.0</v>
      </c>
      <c r="AF426" s="242">
        <v>0.0</v>
      </c>
      <c r="AG426" s="93">
        <f t="shared" si="129"/>
        <v>21</v>
      </c>
    </row>
    <row r="427">
      <c r="A427" s="166"/>
      <c r="B427" s="177"/>
      <c r="C427" s="177"/>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c r="AA427" s="177"/>
      <c r="AB427" s="177"/>
      <c r="AC427" s="177"/>
      <c r="AD427" s="177"/>
      <c r="AE427" s="177"/>
      <c r="AF427" s="177"/>
      <c r="AG427" s="209"/>
    </row>
    <row r="428">
      <c r="A428" s="138" t="s">
        <v>383</v>
      </c>
      <c r="AG428" s="209"/>
    </row>
    <row r="429">
      <c r="A429" s="227" t="s">
        <v>384</v>
      </c>
      <c r="B429" s="242">
        <v>0.0</v>
      </c>
      <c r="C429" s="242">
        <v>0.0</v>
      </c>
      <c r="D429" s="242">
        <v>0.0</v>
      </c>
      <c r="E429" s="242">
        <v>0.0</v>
      </c>
      <c r="F429" s="242">
        <v>0.0</v>
      </c>
      <c r="G429" s="242">
        <v>0.0</v>
      </c>
      <c r="H429" s="242">
        <v>0.0</v>
      </c>
      <c r="I429" s="242">
        <v>0.0</v>
      </c>
      <c r="J429" s="242">
        <v>0.0</v>
      </c>
      <c r="K429" s="242">
        <v>0.0</v>
      </c>
      <c r="L429" s="242">
        <v>0.0</v>
      </c>
      <c r="M429" s="242">
        <v>0.0</v>
      </c>
      <c r="N429" s="242">
        <v>0.0</v>
      </c>
      <c r="O429" s="242">
        <v>0.0</v>
      </c>
      <c r="P429" s="242">
        <v>0.0</v>
      </c>
      <c r="Q429" s="242">
        <v>0.0</v>
      </c>
      <c r="R429" s="242">
        <v>0.0</v>
      </c>
      <c r="S429" s="242">
        <v>0.0</v>
      </c>
      <c r="T429" s="242">
        <v>0.0</v>
      </c>
      <c r="U429" s="242">
        <v>1.0</v>
      </c>
      <c r="V429" s="242">
        <v>0.0</v>
      </c>
      <c r="W429" s="242">
        <v>0.0</v>
      </c>
      <c r="X429" s="242">
        <v>1.0</v>
      </c>
      <c r="Y429" s="242">
        <v>0.0</v>
      </c>
      <c r="Z429" s="242">
        <v>0.0</v>
      </c>
      <c r="AA429" s="242">
        <v>0.0</v>
      </c>
      <c r="AB429" s="242">
        <v>0.0</v>
      </c>
      <c r="AC429" s="242">
        <v>0.0</v>
      </c>
      <c r="AD429" s="242">
        <v>0.0</v>
      </c>
      <c r="AE429" s="242">
        <v>1.0</v>
      </c>
      <c r="AF429" s="242">
        <v>0.0</v>
      </c>
      <c r="AG429" s="93">
        <f t="shared" ref="AG429:AG430" si="130">SUM(B429:AF429)</f>
        <v>3</v>
      </c>
    </row>
    <row r="430">
      <c r="A430" s="227" t="s">
        <v>385</v>
      </c>
      <c r="B430" s="242">
        <v>0.0</v>
      </c>
      <c r="C430" s="242">
        <v>0.0</v>
      </c>
      <c r="D430" s="242">
        <v>0.0</v>
      </c>
      <c r="E430" s="242">
        <v>0.0</v>
      </c>
      <c r="F430" s="242">
        <v>0.0</v>
      </c>
      <c r="G430" s="242">
        <v>0.0</v>
      </c>
      <c r="H430" s="242">
        <v>0.0</v>
      </c>
      <c r="I430" s="242">
        <v>0.0</v>
      </c>
      <c r="J430" s="242">
        <v>0.0</v>
      </c>
      <c r="K430" s="242">
        <v>0.0</v>
      </c>
      <c r="L430" s="242">
        <v>0.0</v>
      </c>
      <c r="M430" s="242">
        <v>0.0</v>
      </c>
      <c r="N430" s="242">
        <v>0.0</v>
      </c>
      <c r="O430" s="242">
        <v>0.0</v>
      </c>
      <c r="P430" s="242">
        <v>0.0</v>
      </c>
      <c r="Q430" s="242">
        <v>0.0</v>
      </c>
      <c r="R430" s="242">
        <v>0.0</v>
      </c>
      <c r="S430" s="242">
        <v>0.0</v>
      </c>
      <c r="T430" s="242">
        <v>0.0</v>
      </c>
      <c r="U430" s="242">
        <v>0.0</v>
      </c>
      <c r="V430" s="242">
        <v>0.0</v>
      </c>
      <c r="W430" s="242">
        <v>0.0</v>
      </c>
      <c r="X430" s="242">
        <v>1.0</v>
      </c>
      <c r="Y430" s="242">
        <v>0.0</v>
      </c>
      <c r="Z430" s="242">
        <v>0.0</v>
      </c>
      <c r="AA430" s="242">
        <v>0.0</v>
      </c>
      <c r="AB430" s="242">
        <v>0.0</v>
      </c>
      <c r="AC430" s="242">
        <v>0.0</v>
      </c>
      <c r="AD430" s="242">
        <v>0.0</v>
      </c>
      <c r="AE430" s="242">
        <v>0.0</v>
      </c>
      <c r="AF430" s="242">
        <v>0.0</v>
      </c>
      <c r="AG430" s="93">
        <f t="shared" si="130"/>
        <v>1</v>
      </c>
    </row>
    <row r="431">
      <c r="A431" s="166"/>
      <c r="AG431" s="209"/>
    </row>
    <row r="432">
      <c r="A432" s="138" t="s">
        <v>386</v>
      </c>
      <c r="AG432" s="209"/>
    </row>
    <row r="433">
      <c r="A433" s="225" t="s">
        <v>387</v>
      </c>
      <c r="B433" s="246">
        <f t="shared" ref="B433:AF433" si="131">B552</f>
        <v>0</v>
      </c>
      <c r="C433" s="246">
        <f t="shared" si="131"/>
        <v>0</v>
      </c>
      <c r="D433" s="246">
        <f t="shared" si="131"/>
        <v>0</v>
      </c>
      <c r="E433" s="246">
        <f t="shared" si="131"/>
        <v>0</v>
      </c>
      <c r="F433" s="246">
        <f t="shared" si="131"/>
        <v>0</v>
      </c>
      <c r="G433" s="246">
        <f t="shared" si="131"/>
        <v>0</v>
      </c>
      <c r="H433" s="246">
        <f t="shared" si="131"/>
        <v>0</v>
      </c>
      <c r="I433" s="246">
        <f t="shared" si="131"/>
        <v>331.94</v>
      </c>
      <c r="J433" s="246">
        <f t="shared" si="131"/>
        <v>0</v>
      </c>
      <c r="K433" s="246">
        <f t="shared" si="131"/>
        <v>0</v>
      </c>
      <c r="L433" s="246">
        <f t="shared" si="131"/>
        <v>0</v>
      </c>
      <c r="M433" s="246">
        <f t="shared" si="131"/>
        <v>0</v>
      </c>
      <c r="N433" s="246">
        <f t="shared" si="131"/>
        <v>0</v>
      </c>
      <c r="O433" s="246">
        <f t="shared" si="131"/>
        <v>0</v>
      </c>
      <c r="P433" s="246">
        <f t="shared" si="131"/>
        <v>0</v>
      </c>
      <c r="Q433" s="246">
        <f t="shared" si="131"/>
        <v>0</v>
      </c>
      <c r="R433" s="246">
        <f t="shared" si="131"/>
        <v>0</v>
      </c>
      <c r="S433" s="246">
        <f t="shared" si="131"/>
        <v>0</v>
      </c>
      <c r="T433" s="246">
        <f t="shared" si="131"/>
        <v>0</v>
      </c>
      <c r="U433" s="246">
        <f t="shared" si="131"/>
        <v>0</v>
      </c>
      <c r="V433" s="246">
        <f t="shared" si="131"/>
        <v>0</v>
      </c>
      <c r="W433" s="246">
        <f t="shared" si="131"/>
        <v>0</v>
      </c>
      <c r="X433" s="246">
        <f t="shared" si="131"/>
        <v>0</v>
      </c>
      <c r="Y433" s="246">
        <f t="shared" si="131"/>
        <v>0</v>
      </c>
      <c r="Z433" s="246">
        <f t="shared" si="131"/>
        <v>0</v>
      </c>
      <c r="AA433" s="246">
        <f t="shared" si="131"/>
        <v>0</v>
      </c>
      <c r="AB433" s="246">
        <f t="shared" si="131"/>
        <v>0</v>
      </c>
      <c r="AC433" s="246">
        <f t="shared" si="131"/>
        <v>0</v>
      </c>
      <c r="AD433" s="246">
        <f t="shared" si="131"/>
        <v>0</v>
      </c>
      <c r="AE433" s="246">
        <f t="shared" si="131"/>
        <v>59.99</v>
      </c>
      <c r="AF433" s="246">
        <f t="shared" si="131"/>
        <v>0</v>
      </c>
      <c r="AG433" s="93">
        <f>SUM(B433:AF433)</f>
        <v>391.93</v>
      </c>
    </row>
    <row r="434">
      <c r="A434" s="166"/>
      <c r="AG434" s="209"/>
    </row>
    <row r="435">
      <c r="A435" s="247" t="s">
        <v>388</v>
      </c>
      <c r="B435" s="83"/>
      <c r="C435" s="83"/>
      <c r="D435" s="83"/>
      <c r="E435" s="83"/>
      <c r="F435" s="83"/>
      <c r="G435" s="83"/>
      <c r="H435" s="83"/>
      <c r="I435" s="83"/>
      <c r="J435" s="83"/>
      <c r="K435" s="83"/>
      <c r="L435" s="83"/>
      <c r="M435" s="83"/>
      <c r="N435" s="83"/>
      <c r="O435" s="83"/>
      <c r="P435" s="83"/>
      <c r="Q435" s="83"/>
      <c r="R435" s="83"/>
      <c r="S435" s="83"/>
      <c r="T435" s="83"/>
      <c r="U435" s="83"/>
      <c r="V435" s="83"/>
      <c r="W435" s="83"/>
      <c r="X435" s="83"/>
      <c r="Y435" s="83"/>
      <c r="Z435" s="83"/>
      <c r="AA435" s="83"/>
      <c r="AB435" s="83"/>
      <c r="AC435" s="83"/>
      <c r="AD435" s="83"/>
      <c r="AE435" s="83"/>
      <c r="AF435" s="83"/>
      <c r="AG435" s="209"/>
    </row>
    <row r="436">
      <c r="A436" s="248" t="s">
        <v>389</v>
      </c>
      <c r="B436" s="249">
        <f t="shared" ref="B436:AF436" si="132">SUM(B25:B29)</f>
        <v>7840.134968</v>
      </c>
      <c r="C436" s="249">
        <f t="shared" si="132"/>
        <v>9463.997738</v>
      </c>
      <c r="D436" s="249">
        <f t="shared" si="132"/>
        <v>10455.00683</v>
      </c>
      <c r="E436" s="249">
        <f t="shared" si="132"/>
        <v>11520.99126</v>
      </c>
      <c r="F436" s="249">
        <f t="shared" si="132"/>
        <v>12133.02014</v>
      </c>
      <c r="G436" s="249">
        <f t="shared" si="132"/>
        <v>13136.32557</v>
      </c>
      <c r="H436" s="249">
        <f t="shared" si="132"/>
        <v>12405.05522</v>
      </c>
      <c r="I436" s="249">
        <f t="shared" si="132"/>
        <v>9616.436442</v>
      </c>
      <c r="J436" s="249">
        <f t="shared" si="132"/>
        <v>6953.095465</v>
      </c>
      <c r="K436" s="249">
        <f t="shared" si="132"/>
        <v>7532.586281</v>
      </c>
      <c r="L436" s="249">
        <f t="shared" si="132"/>
        <v>6665.723747</v>
      </c>
      <c r="M436" s="249">
        <f t="shared" si="132"/>
        <v>5129.272308</v>
      </c>
      <c r="N436" s="249">
        <f t="shared" si="132"/>
        <v>5879.844128</v>
      </c>
      <c r="O436" s="249">
        <f t="shared" si="132"/>
        <v>6728.984812</v>
      </c>
      <c r="P436" s="249">
        <f t="shared" si="132"/>
        <v>7197.85557</v>
      </c>
      <c r="Q436" s="249">
        <f t="shared" si="132"/>
        <v>4661.41428</v>
      </c>
      <c r="R436" s="249">
        <f t="shared" si="132"/>
        <v>4126.98584</v>
      </c>
      <c r="S436" s="249">
        <f t="shared" si="132"/>
        <v>4519.723956</v>
      </c>
      <c r="T436" s="249">
        <f t="shared" si="132"/>
        <v>4006.87321</v>
      </c>
      <c r="U436" s="249">
        <f t="shared" si="132"/>
        <v>4391.19256</v>
      </c>
      <c r="V436" s="249">
        <f t="shared" si="132"/>
        <v>3653.65205</v>
      </c>
      <c r="W436" s="249">
        <f t="shared" si="132"/>
        <v>4179.61865</v>
      </c>
      <c r="X436" s="249">
        <f t="shared" si="132"/>
        <v>4564.072013</v>
      </c>
      <c r="Y436" s="249">
        <f t="shared" si="132"/>
        <v>4711.99874</v>
      </c>
      <c r="Z436" s="249">
        <f t="shared" si="132"/>
        <v>5133.020606</v>
      </c>
      <c r="AA436" s="249">
        <f t="shared" si="132"/>
        <v>4886.686607</v>
      </c>
      <c r="AB436" s="249">
        <f t="shared" si="132"/>
        <v>4842.17594</v>
      </c>
      <c r="AC436" s="249">
        <f t="shared" si="132"/>
        <v>4624.923026</v>
      </c>
      <c r="AD436" s="249">
        <f t="shared" si="132"/>
        <v>4569.077649</v>
      </c>
      <c r="AE436" s="249">
        <f t="shared" si="132"/>
        <v>4504.959172</v>
      </c>
      <c r="AF436" s="249">
        <f t="shared" si="132"/>
        <v>3713.880585</v>
      </c>
      <c r="AG436" s="93">
        <f t="shared" ref="AG436:AG457" si="134">SUM(B436:AF436)</f>
        <v>203748.5854</v>
      </c>
    </row>
    <row r="437">
      <c r="A437" s="250" t="s">
        <v>390</v>
      </c>
      <c r="B437" s="134" t="str">
        <f t="shared" ref="B437:AD437" si="133">B30</f>
        <v>-</v>
      </c>
      <c r="C437" s="134" t="str">
        <f t="shared" si="133"/>
        <v>-</v>
      </c>
      <c r="D437" s="134" t="str">
        <f t="shared" si="133"/>
        <v>-</v>
      </c>
      <c r="E437" s="134" t="str">
        <f t="shared" si="133"/>
        <v>-</v>
      </c>
      <c r="F437" s="134" t="str">
        <f t="shared" si="133"/>
        <v>-</v>
      </c>
      <c r="G437" s="134" t="str">
        <f t="shared" si="133"/>
        <v>-</v>
      </c>
      <c r="H437" s="134" t="str">
        <f t="shared" si="133"/>
        <v>-</v>
      </c>
      <c r="I437" s="134" t="str">
        <f t="shared" si="133"/>
        <v>-</v>
      </c>
      <c r="J437" s="134" t="str">
        <f t="shared" si="133"/>
        <v>-</v>
      </c>
      <c r="K437" s="134" t="str">
        <f t="shared" si="133"/>
        <v>-</v>
      </c>
      <c r="L437" s="134" t="str">
        <f t="shared" si="133"/>
        <v>-</v>
      </c>
      <c r="M437" s="134" t="str">
        <f t="shared" si="133"/>
        <v>-</v>
      </c>
      <c r="N437" s="134" t="str">
        <f t="shared" si="133"/>
        <v>-</v>
      </c>
      <c r="O437" s="134" t="str">
        <f t="shared" si="133"/>
        <v>-</v>
      </c>
      <c r="P437" s="134" t="str">
        <f t="shared" si="133"/>
        <v>-</v>
      </c>
      <c r="Q437" s="134" t="str">
        <f t="shared" si="133"/>
        <v>-</v>
      </c>
      <c r="R437" s="134" t="str">
        <f t="shared" si="133"/>
        <v>-</v>
      </c>
      <c r="S437" s="134" t="str">
        <f t="shared" si="133"/>
        <v>-</v>
      </c>
      <c r="T437" s="134" t="str">
        <f t="shared" si="133"/>
        <v>-</v>
      </c>
      <c r="U437" s="134" t="str">
        <f t="shared" si="133"/>
        <v>-</v>
      </c>
      <c r="V437" s="134" t="str">
        <f t="shared" si="133"/>
        <v>-</v>
      </c>
      <c r="W437" s="134" t="str">
        <f t="shared" si="133"/>
        <v>-</v>
      </c>
      <c r="X437" s="134" t="str">
        <f t="shared" si="133"/>
        <v>-</v>
      </c>
      <c r="Y437" s="134" t="str">
        <f t="shared" si="133"/>
        <v>-</v>
      </c>
      <c r="Z437" s="134" t="str">
        <f t="shared" si="133"/>
        <v>-</v>
      </c>
      <c r="AA437" s="134" t="str">
        <f t="shared" si="133"/>
        <v>-</v>
      </c>
      <c r="AB437" s="134" t="str">
        <f t="shared" si="133"/>
        <v>-</v>
      </c>
      <c r="AC437" s="134" t="str">
        <f t="shared" si="133"/>
        <v>-</v>
      </c>
      <c r="AD437" s="134" t="str">
        <f t="shared" si="133"/>
        <v>-</v>
      </c>
      <c r="AE437" s="134"/>
      <c r="AF437" s="134"/>
      <c r="AG437" s="93">
        <f t="shared" si="134"/>
        <v>0</v>
      </c>
    </row>
    <row r="438">
      <c r="A438" s="248" t="s">
        <v>391</v>
      </c>
      <c r="B438" s="251">
        <f>(B55+B56)*'Data - P&amp;L'!$C$3</f>
        <v>2954.6</v>
      </c>
      <c r="C438" s="251">
        <f>(C55+C56)*'Data - P&amp;L'!$C$3</f>
        <v>3562.9</v>
      </c>
      <c r="D438" s="251">
        <f>(D55+D56)*'Data - P&amp;L'!$C$3</f>
        <v>3302.2</v>
      </c>
      <c r="E438" s="251">
        <f>(E55+E56)*'Data - P&amp;L'!$C$3</f>
        <v>3562.9</v>
      </c>
      <c r="F438" s="251">
        <f>(F55+F56)*'Data - P&amp;L'!$C$3</f>
        <v>3389.1</v>
      </c>
      <c r="G438" s="251">
        <f>(G55+G56)*'Data - P&amp;L'!$C$3</f>
        <v>5996.1</v>
      </c>
      <c r="H438" s="251">
        <f>(H55+H56)*'Data - P&amp;L'!$C$3</f>
        <v>4518.8</v>
      </c>
      <c r="I438" s="251">
        <f>(I55+I56)*'Data - P&amp;L'!$C$3</f>
        <v>2867.7</v>
      </c>
      <c r="J438" s="251">
        <f>(J55+J56)*'Data - P&amp;L'!$C$3</f>
        <v>2085.6</v>
      </c>
      <c r="K438" s="251">
        <f>(K55+K56)*'Data - P&amp;L'!$C$3</f>
        <v>1911.8</v>
      </c>
      <c r="L438" s="251">
        <f>(L55+L56)*'Data - P&amp;L'!$C$3</f>
        <v>2172.5</v>
      </c>
      <c r="M438" s="251">
        <f>(M55+M56)*'Data - P&amp;L'!$C$3</f>
        <v>2520.1</v>
      </c>
      <c r="N438" s="251">
        <f>(N55+N56)*'Data - P&amp;L'!$C$3</f>
        <v>1303.5</v>
      </c>
      <c r="O438" s="251">
        <f>(O55+O56)*'Data - P&amp;L'!$C$3</f>
        <v>1651.1</v>
      </c>
      <c r="P438" s="251">
        <f>(P55+P56)*'Data - P&amp;L'!$C$3</f>
        <v>955.9</v>
      </c>
      <c r="Q438" s="251">
        <f>(Q55+Q56)*'Data - P&amp;L'!$C$3</f>
        <v>782.1</v>
      </c>
      <c r="R438" s="251">
        <f>(R55+R56)*'Data - P&amp;L'!$C$3</f>
        <v>608.3</v>
      </c>
      <c r="S438" s="251">
        <f>(S55+S56)*'Data - P&amp;L'!$C$3</f>
        <v>1129.7</v>
      </c>
      <c r="T438" s="251">
        <f>(T55+T56)*'Data - P&amp;L'!$C$3</f>
        <v>1129.7</v>
      </c>
      <c r="U438" s="251">
        <f>(U55+U56)*'Data - P&amp;L'!$C$3</f>
        <v>1042.8</v>
      </c>
      <c r="V438" s="251">
        <f>(V55+V56)*'Data - P&amp;L'!$C$3</f>
        <v>1738</v>
      </c>
      <c r="W438" s="251">
        <f>(W55+W56)*'Data - P&amp;L'!$C$3</f>
        <v>695.2</v>
      </c>
      <c r="X438" s="251">
        <f>(X55+X56)*'Data - P&amp;L'!$C$3</f>
        <v>521.4</v>
      </c>
      <c r="Y438" s="251">
        <f>(Y55+Y56)*'Data - P&amp;L'!$C$3</f>
        <v>695.2</v>
      </c>
      <c r="Z438" s="251">
        <f>(Z55+Z56)*'Data - P&amp;L'!$C$3</f>
        <v>608.3</v>
      </c>
      <c r="AA438" s="251">
        <f>(AA55+AA56)*'Data - P&amp;L'!$C$3</f>
        <v>1042.8</v>
      </c>
      <c r="AB438" s="251">
        <f>(AB55+AB56)*'Data - P&amp;L'!$C$3</f>
        <v>1216.6</v>
      </c>
      <c r="AC438" s="251">
        <f>(AC55+AC56)*'Data - P&amp;L'!$C$3</f>
        <v>1042.8</v>
      </c>
      <c r="AD438" s="251">
        <f>(AD55+AD56)*'Data - P&amp;L'!$C$3</f>
        <v>955.9</v>
      </c>
      <c r="AE438" s="251">
        <f>(AE55+AE56)*'Data - P&amp;L'!$C$3</f>
        <v>869</v>
      </c>
      <c r="AF438" s="251">
        <f>(AF55+AF56)*'Data - P&amp;L'!$C$3</f>
        <v>1042.8</v>
      </c>
      <c r="AG438" s="252">
        <f t="shared" si="134"/>
        <v>57875.4</v>
      </c>
    </row>
    <row r="439">
      <c r="A439" s="250" t="s">
        <v>392</v>
      </c>
      <c r="B439" s="134">
        <f>(B57+B58)*'Data - P&amp;L'!$C$4</f>
        <v>12201.25</v>
      </c>
      <c r="C439" s="134">
        <f>(C57+C58)*'Data - P&amp;L'!$C$4</f>
        <v>11810.81</v>
      </c>
      <c r="D439" s="134">
        <f>(D57+D58)*'Data - P&amp;L'!$C$4</f>
        <v>16886.53</v>
      </c>
      <c r="E439" s="134">
        <f>(E57+E58)*'Data - P&amp;L'!$C$4</f>
        <v>10346.66</v>
      </c>
      <c r="F439" s="134">
        <f>(F57+F58)*'Data - P&amp;L'!$C$4</f>
        <v>11420.37</v>
      </c>
      <c r="G439" s="134">
        <f>(G57+G58)*'Data - P&amp;L'!$C$4</f>
        <v>11420.37</v>
      </c>
      <c r="H439" s="134">
        <f>(H57+H58)*'Data - P&amp;L'!$C$4</f>
        <v>9565.78</v>
      </c>
      <c r="I439" s="134">
        <f>(I57+I58)*'Data - P&amp;L'!$C$4</f>
        <v>8980.12</v>
      </c>
      <c r="J439" s="134">
        <f>(J57+J58)*'Data - P&amp;L'!$C$4</f>
        <v>6247.04</v>
      </c>
      <c r="K439" s="134">
        <f>(K57+K58)*'Data - P&amp;L'!$C$4</f>
        <v>5368.55</v>
      </c>
      <c r="L439" s="134">
        <f>(L57+L58)*'Data - P&amp;L'!$C$4</f>
        <v>5856.6</v>
      </c>
      <c r="M439" s="134">
        <f>(M57+M58)*'Data - P&amp;L'!$C$4</f>
        <v>5270.94</v>
      </c>
      <c r="N439" s="134">
        <f>(N57+N58)*'Data - P&amp;L'!$C$4</f>
        <v>4099.62</v>
      </c>
      <c r="O439" s="134">
        <f>(O57+O58)*'Data - P&amp;L'!$C$4</f>
        <v>3318.74</v>
      </c>
      <c r="P439" s="134">
        <f>(P57+P58)*'Data - P&amp;L'!$C$4</f>
        <v>3709.18</v>
      </c>
      <c r="Q439" s="134">
        <f>(Q57+Q58)*'Data - P&amp;L'!$C$4</f>
        <v>2733.08</v>
      </c>
      <c r="R439" s="134">
        <f>(R57+R58)*'Data - P&amp;L'!$C$4</f>
        <v>4880.5</v>
      </c>
      <c r="S439" s="134">
        <f>(S57+S58)*'Data - P&amp;L'!$C$4</f>
        <v>3709.18</v>
      </c>
      <c r="T439" s="134">
        <f>(T57+T58)*'Data - P&amp;L'!$C$4</f>
        <v>3513.96</v>
      </c>
      <c r="U439" s="134">
        <f>(U57+U58)*'Data - P&amp;L'!$C$4</f>
        <v>4490.06</v>
      </c>
      <c r="V439" s="134">
        <f>(V57+V58)*'Data - P&amp;L'!$C$4</f>
        <v>2928.3</v>
      </c>
      <c r="W439" s="134">
        <f>(W57+W58)*'Data - P&amp;L'!$C$4</f>
        <v>2830.69</v>
      </c>
      <c r="X439" s="134">
        <f>(X57+X58)*'Data - P&amp;L'!$C$4</f>
        <v>2440.25</v>
      </c>
      <c r="Y439" s="134">
        <f>(Y57+Y58)*'Data - P&amp;L'!$C$4</f>
        <v>2537.86</v>
      </c>
      <c r="Z439" s="134">
        <f>(Z57+Z58)*'Data - P&amp;L'!$C$4</f>
        <v>2049.81</v>
      </c>
      <c r="AA439" s="134">
        <f>(AA57+AA58)*'Data - P&amp;L'!$C$4</f>
        <v>3611.57</v>
      </c>
      <c r="AB439" s="134">
        <f>(AB57+AB58)*'Data - P&amp;L'!$C$4</f>
        <v>2830.69</v>
      </c>
      <c r="AC439" s="134">
        <f>(AC57+AC58)*'Data - P&amp;L'!$C$4</f>
        <v>3416.35</v>
      </c>
      <c r="AD439" s="134">
        <f>(AD57+AD58)*'Data - P&amp;L'!$C$4</f>
        <v>3123.52</v>
      </c>
      <c r="AE439" s="134">
        <f>(AE57+AE58)*'Data - P&amp;L'!$C$4</f>
        <v>1952.2</v>
      </c>
      <c r="AF439" s="134">
        <f>(AF57+AF58)*'Data - P&amp;L'!$C$4</f>
        <v>3318.74</v>
      </c>
      <c r="AG439" s="93">
        <f t="shared" si="134"/>
        <v>176869.32</v>
      </c>
    </row>
    <row r="440">
      <c r="A440" s="248" t="s">
        <v>393</v>
      </c>
      <c r="B440" s="134">
        <f>B61*'Data - P&amp;L'!$C$15</f>
        <v>87.9</v>
      </c>
      <c r="C440" s="134">
        <f>C61*'Data - P&amp;L'!$C$15</f>
        <v>263.7</v>
      </c>
      <c r="D440" s="134">
        <f>D61*'Data - P&amp;L'!$C$15</f>
        <v>263.7</v>
      </c>
      <c r="E440" s="134">
        <f>E61*'Data - P&amp;L'!$C$15</f>
        <v>527.4</v>
      </c>
      <c r="F440" s="134">
        <f>F61*'Data - P&amp;L'!$C$15</f>
        <v>703.2</v>
      </c>
      <c r="G440" s="134">
        <f>G61*'Data - P&amp;L'!$C$15</f>
        <v>439.5</v>
      </c>
      <c r="H440" s="134">
        <f>H61*'Data - P&amp;L'!$C$15</f>
        <v>527.4</v>
      </c>
      <c r="I440" s="134">
        <f>I61*'Data - P&amp;L'!$C$15</f>
        <v>439.5</v>
      </c>
      <c r="J440" s="134">
        <f>J61*'Data - P&amp;L'!$C$15</f>
        <v>615.3</v>
      </c>
      <c r="K440" s="134">
        <f>K61*'Data - P&amp;L'!$C$15</f>
        <v>351.6</v>
      </c>
      <c r="L440" s="134">
        <f>L61*'Data - P&amp;L'!$C$15</f>
        <v>966.9</v>
      </c>
      <c r="M440" s="134">
        <f>M61*'Data - P&amp;L'!$C$15</f>
        <v>791.1</v>
      </c>
      <c r="N440" s="134">
        <f>N61*'Data - P&amp;L'!$C$15</f>
        <v>87.9</v>
      </c>
      <c r="O440" s="134">
        <f>O61*'Data - P&amp;L'!$C$15</f>
        <v>263.7</v>
      </c>
      <c r="P440" s="134">
        <f>P61*'Data - P&amp;L'!$C$15</f>
        <v>527.4</v>
      </c>
      <c r="Q440" s="134">
        <f>Q61*'Data - P&amp;L'!$C$15</f>
        <v>263.7</v>
      </c>
      <c r="R440" s="134">
        <f>R61*'Data - P&amp;L'!$C$15</f>
        <v>263.7</v>
      </c>
      <c r="S440" s="134">
        <f>S61*'Data - P&amp;L'!$C$15</f>
        <v>175.8</v>
      </c>
      <c r="T440" s="134">
        <f>T61*'Data - P&amp;L'!$C$15</f>
        <v>175.8</v>
      </c>
      <c r="U440" s="134">
        <f>U61*'Data - P&amp;L'!$C$15</f>
        <v>87.9</v>
      </c>
      <c r="V440" s="134">
        <f>V61*'Data - P&amp;L'!$C$15</f>
        <v>263.7</v>
      </c>
      <c r="W440" s="134">
        <f>W61*'Data - P&amp;L'!$C$15</f>
        <v>439.5</v>
      </c>
      <c r="X440" s="134">
        <f>X61*'Data - P&amp;L'!$C$15</f>
        <v>175.8</v>
      </c>
      <c r="Y440" s="134">
        <f>Y61*'Data - P&amp;L'!$C$15</f>
        <v>87.9</v>
      </c>
      <c r="Z440" s="134">
        <f>Z61*'Data - P&amp;L'!$C$15</f>
        <v>351.6</v>
      </c>
      <c r="AA440" s="134">
        <f>AA61*'Data - P&amp;L'!$C$15</f>
        <v>351.6</v>
      </c>
      <c r="AB440" s="134">
        <f>AB61*'Data - P&amp;L'!$C$15</f>
        <v>175.8</v>
      </c>
      <c r="AC440" s="134">
        <f>AC61*'Data - P&amp;L'!$C$15</f>
        <v>439.5</v>
      </c>
      <c r="AD440" s="134">
        <f>AD61*'Data - P&amp;L'!$C$15</f>
        <v>87.9</v>
      </c>
      <c r="AE440" s="134">
        <f>AE61*'Data - P&amp;L'!$C$15</f>
        <v>175.8</v>
      </c>
      <c r="AF440" s="134">
        <f>AF61*'Data - P&amp;L'!$C$15</f>
        <v>87.9</v>
      </c>
      <c r="AG440" s="93">
        <f t="shared" si="134"/>
        <v>10460.1</v>
      </c>
    </row>
    <row r="441">
      <c r="A441" s="250" t="s">
        <v>394</v>
      </c>
      <c r="B441" s="134">
        <f>B62*'Data - P&amp;L'!$C$16</f>
        <v>972.1</v>
      </c>
      <c r="C441" s="134">
        <f>C62*'Data - P&amp;L'!$C$16</f>
        <v>1166.52</v>
      </c>
      <c r="D441" s="134">
        <f>D62*'Data - P&amp;L'!$C$16</f>
        <v>1263.73</v>
      </c>
      <c r="E441" s="134">
        <f>E62*'Data - P&amp;L'!$C$16</f>
        <v>777.68</v>
      </c>
      <c r="F441" s="134">
        <f>F62*'Data - P&amp;L'!$C$16</f>
        <v>1652.57</v>
      </c>
      <c r="G441" s="134">
        <f>G62*'Data - P&amp;L'!$C$16</f>
        <v>972.1</v>
      </c>
      <c r="H441" s="134">
        <f>H62*'Data - P&amp;L'!$C$16</f>
        <v>486.05</v>
      </c>
      <c r="I441" s="134">
        <f>I62*'Data - P&amp;L'!$C$16</f>
        <v>680.47</v>
      </c>
      <c r="J441" s="134">
        <f>J62*'Data - P&amp;L'!$C$16</f>
        <v>874.89</v>
      </c>
      <c r="K441" s="134">
        <f>K62*'Data - P&amp;L'!$C$16</f>
        <v>583.26</v>
      </c>
      <c r="L441" s="134">
        <f>L62*'Data - P&amp;L'!$C$16</f>
        <v>1360.94</v>
      </c>
      <c r="M441" s="134">
        <f>M62*'Data - P&amp;L'!$C$16</f>
        <v>2041.41</v>
      </c>
      <c r="N441" s="134">
        <f>N62*'Data - P&amp;L'!$C$16</f>
        <v>777.68</v>
      </c>
      <c r="O441" s="134">
        <f>O62*'Data - P&amp;L'!$C$16</f>
        <v>1166.52</v>
      </c>
      <c r="P441" s="134">
        <f>P62*'Data - P&amp;L'!$C$16</f>
        <v>291.63</v>
      </c>
      <c r="Q441" s="134">
        <f>Q62*'Data - P&amp;L'!$C$16</f>
        <v>583.26</v>
      </c>
      <c r="R441" s="134">
        <f>R62*'Data - P&amp;L'!$C$16</f>
        <v>777.68</v>
      </c>
      <c r="S441" s="134">
        <f>S62*'Data - P&amp;L'!$C$16</f>
        <v>1166.52</v>
      </c>
      <c r="T441" s="134">
        <f>T62*'Data - P&amp;L'!$C$16</f>
        <v>583.26</v>
      </c>
      <c r="U441" s="134">
        <f>U62*'Data - P&amp;L'!$C$16</f>
        <v>583.26</v>
      </c>
      <c r="V441" s="134">
        <f>V62*'Data - P&amp;L'!$C$16</f>
        <v>680.47</v>
      </c>
      <c r="W441" s="134">
        <f>W62*'Data - P&amp;L'!$C$16</f>
        <v>583.26</v>
      </c>
      <c r="X441" s="134">
        <f>X62*'Data - P&amp;L'!$C$16</f>
        <v>680.47</v>
      </c>
      <c r="Y441" s="134">
        <f>Y62*'Data - P&amp;L'!$C$16</f>
        <v>777.68</v>
      </c>
      <c r="Z441" s="134">
        <f>Z62*'Data - P&amp;L'!$C$16</f>
        <v>1166.52</v>
      </c>
      <c r="AA441" s="134">
        <f>AA62*'Data - P&amp;L'!$C$16</f>
        <v>972.1</v>
      </c>
      <c r="AB441" s="134">
        <f>AB62*'Data - P&amp;L'!$C$16</f>
        <v>680.47</v>
      </c>
      <c r="AC441" s="134">
        <f>AC62*'Data - P&amp;L'!$C$16</f>
        <v>583.26</v>
      </c>
      <c r="AD441" s="134">
        <f>AD62*'Data - P&amp;L'!$C$16</f>
        <v>583.26</v>
      </c>
      <c r="AE441" s="134">
        <f>AE62*'Data - P&amp;L'!$C$16</f>
        <v>486.05</v>
      </c>
      <c r="AF441" s="134">
        <f>AF62*'Data - P&amp;L'!$C$16</f>
        <v>680.47</v>
      </c>
      <c r="AG441" s="93">
        <f t="shared" si="134"/>
        <v>26635.54</v>
      </c>
    </row>
    <row r="442">
      <c r="A442" s="250" t="s">
        <v>395</v>
      </c>
      <c r="B442" s="134">
        <f>B65*'Data - P&amp;L'!$C$6</f>
        <v>203.13</v>
      </c>
      <c r="C442" s="134">
        <f>C65*'Data - P&amp;L'!$C$6</f>
        <v>186.66</v>
      </c>
      <c r="D442" s="134">
        <f>D65*'Data - P&amp;L'!$C$6</f>
        <v>252.54</v>
      </c>
      <c r="E442" s="134">
        <f>E65*'Data - P&amp;L'!$C$6</f>
        <v>170.19</v>
      </c>
      <c r="F442" s="134">
        <f>F65*'Data - P&amp;L'!$C$6</f>
        <v>236.07</v>
      </c>
      <c r="G442" s="134">
        <f>G65*'Data - P&amp;L'!$C$6</f>
        <v>192.15</v>
      </c>
      <c r="H442" s="134">
        <f>H65*'Data - P&amp;L'!$C$6</f>
        <v>148.23</v>
      </c>
      <c r="I442" s="134">
        <f>I65*'Data - P&amp;L'!$C$6</f>
        <v>137.25</v>
      </c>
      <c r="J442" s="134">
        <f>J65*'Data - P&amp;L'!$C$6</f>
        <v>82.35</v>
      </c>
      <c r="K442" s="134">
        <f>K65*'Data - P&amp;L'!$C$6</f>
        <v>65.88</v>
      </c>
      <c r="L442" s="134">
        <f>L65*'Data - P&amp;L'!$C$6</f>
        <v>65.88</v>
      </c>
      <c r="M442" s="134">
        <f>M65*'Data - P&amp;L'!$C$6</f>
        <v>137.25</v>
      </c>
      <c r="N442" s="134">
        <f>N65*'Data - P&amp;L'!$C$6</f>
        <v>87.84</v>
      </c>
      <c r="O442" s="134">
        <f>O65*'Data - P&amp;L'!$C$6</f>
        <v>98.82</v>
      </c>
      <c r="P442" s="134">
        <f>P65*'Data - P&amp;L'!$C$6</f>
        <v>49.41</v>
      </c>
      <c r="Q442" s="134">
        <f>Q65*'Data - P&amp;L'!$C$6</f>
        <v>98.82</v>
      </c>
      <c r="R442" s="134">
        <f>R65*'Data - P&amp;L'!$C$6</f>
        <v>98.82</v>
      </c>
      <c r="S442" s="134">
        <f>S65*'Data - P&amp;L'!$C$6</f>
        <v>98.82</v>
      </c>
      <c r="T442" s="134">
        <f>T65*'Data - P&amp;L'!$C$6</f>
        <v>82.35</v>
      </c>
      <c r="U442" s="134">
        <f>U65*'Data - P&amp;L'!$C$6</f>
        <v>32.94</v>
      </c>
      <c r="V442" s="134">
        <f>V65*'Data - P&amp;L'!$C$6</f>
        <v>54.9</v>
      </c>
      <c r="W442" s="134">
        <f>W65*'Data - P&amp;L'!$C$6</f>
        <v>65.88</v>
      </c>
      <c r="X442" s="134">
        <f>X65*'Data - P&amp;L'!$C$6</f>
        <v>60.39</v>
      </c>
      <c r="Y442" s="134">
        <f>Y65*'Data - P&amp;L'!$C$6</f>
        <v>16.47</v>
      </c>
      <c r="Z442" s="134">
        <f>Z65*'Data - P&amp;L'!$C$6</f>
        <v>38.43</v>
      </c>
      <c r="AA442" s="134">
        <f>AA65*'Data - P&amp;L'!$C$6</f>
        <v>43.92</v>
      </c>
      <c r="AB442" s="134">
        <f>AB65*'Data - P&amp;L'!$C$6</f>
        <v>82.35</v>
      </c>
      <c r="AC442" s="134">
        <f>AC65*'Data - P&amp;L'!$C$6</f>
        <v>60.39</v>
      </c>
      <c r="AD442" s="134">
        <f>AD65*'Data - P&amp;L'!$C$6</f>
        <v>60.39</v>
      </c>
      <c r="AE442" s="134">
        <f>AE65*'Data - P&amp;L'!$C$6</f>
        <v>60.39</v>
      </c>
      <c r="AF442" s="134">
        <f>AF65*'Data - P&amp;L'!$C$6</f>
        <v>54.9</v>
      </c>
      <c r="AG442" s="93">
        <f t="shared" si="134"/>
        <v>3123.81</v>
      </c>
    </row>
    <row r="443">
      <c r="A443" s="250" t="s">
        <v>396</v>
      </c>
      <c r="B443" s="134">
        <f>B66*'Data - P&amp;L'!$C$8</f>
        <v>17.85</v>
      </c>
      <c r="C443" s="134">
        <f>C66*'Data - P&amp;L'!$C$8</f>
        <v>21.42</v>
      </c>
      <c r="D443" s="134">
        <f>D66*'Data - P&amp;L'!$C$8</f>
        <v>35.7</v>
      </c>
      <c r="E443" s="134">
        <f>E66*'Data - P&amp;L'!$C$8</f>
        <v>23.8</v>
      </c>
      <c r="F443" s="134">
        <f>F66*'Data - P&amp;L'!$C$8</f>
        <v>34.51</v>
      </c>
      <c r="G443" s="134">
        <f>G66*'Data - P&amp;L'!$C$8</f>
        <v>28.56</v>
      </c>
      <c r="H443" s="134">
        <f>H66*'Data - P&amp;L'!$C$8</f>
        <v>17.85</v>
      </c>
      <c r="I443" s="134">
        <f>I66*'Data - P&amp;L'!$C$8</f>
        <v>11.9</v>
      </c>
      <c r="J443" s="134">
        <f>J66*'Data - P&amp;L'!$C$8</f>
        <v>17.85</v>
      </c>
      <c r="K443" s="134">
        <f>K66*'Data - P&amp;L'!$C$8</f>
        <v>10.71</v>
      </c>
      <c r="L443" s="134">
        <f>L66*'Data - P&amp;L'!$C$8</f>
        <v>24.99</v>
      </c>
      <c r="M443" s="134">
        <f>M66*'Data - P&amp;L'!$C$8</f>
        <v>26.18</v>
      </c>
      <c r="N443" s="134">
        <f>N66*'Data - P&amp;L'!$C$8</f>
        <v>14.28</v>
      </c>
      <c r="O443" s="134">
        <f>O66*'Data - P&amp;L'!$C$8</f>
        <v>24.99</v>
      </c>
      <c r="P443" s="134">
        <f>P66*'Data - P&amp;L'!$C$8</f>
        <v>13.09</v>
      </c>
      <c r="Q443" s="134">
        <f>Q66*'Data - P&amp;L'!$C$8</f>
        <v>11.9</v>
      </c>
      <c r="R443" s="134">
        <f>R66*'Data - P&amp;L'!$C$8</f>
        <v>11.9</v>
      </c>
      <c r="S443" s="134">
        <f>S66*'Data - P&amp;L'!$C$8</f>
        <v>13.09</v>
      </c>
      <c r="T443" s="134">
        <f>T66*'Data - P&amp;L'!$C$8</f>
        <v>10.71</v>
      </c>
      <c r="U443" s="134">
        <f>U66*'Data - P&amp;L'!$C$8</f>
        <v>8.33</v>
      </c>
      <c r="V443" s="134">
        <f>V66*'Data - P&amp;L'!$C$8</f>
        <v>17.85</v>
      </c>
      <c r="W443" s="134">
        <f>W66*'Data - P&amp;L'!$C$8</f>
        <v>15.47</v>
      </c>
      <c r="X443" s="134">
        <f>X66*'Data - P&amp;L'!$C$8</f>
        <v>15.47</v>
      </c>
      <c r="Y443" s="134">
        <f>Y66*'Data - P&amp;L'!$C$8</f>
        <v>13.09</v>
      </c>
      <c r="Z443" s="134">
        <f>Z66*'Data - P&amp;L'!$C$8</f>
        <v>9.52</v>
      </c>
      <c r="AA443" s="134">
        <f>AA66*'Data - P&amp;L'!$C$8</f>
        <v>9.52</v>
      </c>
      <c r="AB443" s="134">
        <f>AB66*'Data - P&amp;L'!$C$8</f>
        <v>13.09</v>
      </c>
      <c r="AC443" s="134">
        <f>AC66*'Data - P&amp;L'!$C$8</f>
        <v>11.9</v>
      </c>
      <c r="AD443" s="134">
        <f>AD66*'Data - P&amp;L'!$C$8</f>
        <v>11.9</v>
      </c>
      <c r="AE443" s="134">
        <f>AE66*'Data - P&amp;L'!$C$8</f>
        <v>8.33</v>
      </c>
      <c r="AF443" s="134">
        <f>AF66*'Data - P&amp;L'!$C$8</f>
        <v>8.33</v>
      </c>
      <c r="AG443" s="93">
        <f t="shared" si="134"/>
        <v>514.08</v>
      </c>
    </row>
    <row r="444">
      <c r="A444" s="250" t="s">
        <v>397</v>
      </c>
      <c r="B444" s="134">
        <f>(B67+B68)*'Data - P&amp;L'!$C$9</f>
        <v>153.18</v>
      </c>
      <c r="C444" s="134">
        <f>(C67+C68)*'Data - P&amp;L'!$C$9</f>
        <v>166.5</v>
      </c>
      <c r="D444" s="134">
        <f>(D67+D68)*'Data - P&amp;L'!$C$9</f>
        <v>279.72</v>
      </c>
      <c r="E444" s="134">
        <f>(E67+E68)*'Data - P&amp;L'!$C$9</f>
        <v>166.5</v>
      </c>
      <c r="F444" s="134">
        <f>(F67+F68)*'Data - P&amp;L'!$C$9</f>
        <v>206.46</v>
      </c>
      <c r="G444" s="134">
        <f>(G67+G68)*'Data - P&amp;L'!$C$9</f>
        <v>233.1</v>
      </c>
      <c r="H444" s="134">
        <f>(H67+H68)*'Data - P&amp;L'!$C$9</f>
        <v>213.12</v>
      </c>
      <c r="I444" s="134">
        <f>(I67+I68)*'Data - P&amp;L'!$C$9</f>
        <v>113.22</v>
      </c>
      <c r="J444" s="134">
        <f>(J67+J68)*'Data - P&amp;L'!$C$9</f>
        <v>179.82</v>
      </c>
      <c r="K444" s="134">
        <f>(K67+K68)*'Data - P&amp;L'!$C$9</f>
        <v>99.9</v>
      </c>
      <c r="L444" s="134">
        <f>(L67+L68)*'Data - P&amp;L'!$C$9</f>
        <v>153.18</v>
      </c>
      <c r="M444" s="134">
        <f>(M67+M68)*'Data - P&amp;L'!$C$9</f>
        <v>206.46</v>
      </c>
      <c r="N444" s="134">
        <f>(N67+N68)*'Data - P&amp;L'!$C$9</f>
        <v>79.92</v>
      </c>
      <c r="O444" s="134">
        <f>(O67+O68)*'Data - P&amp;L'!$C$9</f>
        <v>86.58</v>
      </c>
      <c r="P444" s="134">
        <f>(P67+P68)*'Data - P&amp;L'!$C$9</f>
        <v>93.24</v>
      </c>
      <c r="Q444" s="134">
        <f>(Q67+Q68)*'Data - P&amp;L'!$C$9</f>
        <v>93.24</v>
      </c>
      <c r="R444" s="134">
        <f>(R67+R68)*'Data - P&amp;L'!$C$9</f>
        <v>119.88</v>
      </c>
      <c r="S444" s="134">
        <f>(S67+S68)*'Data - P&amp;L'!$C$9</f>
        <v>86.58</v>
      </c>
      <c r="T444" s="134">
        <f>(T67+T68)*'Data - P&amp;L'!$C$9</f>
        <v>79.92</v>
      </c>
      <c r="U444" s="134">
        <f>(U67+U68)*'Data - P&amp;L'!$C$9</f>
        <v>59.94</v>
      </c>
      <c r="V444" s="134">
        <f>(V67+V68)*'Data - P&amp;L'!$C$9</f>
        <v>193.14</v>
      </c>
      <c r="W444" s="134">
        <f>(W67+W68)*'Data - P&amp;L'!$C$9</f>
        <v>113.22</v>
      </c>
      <c r="X444" s="134">
        <f>(X67+X68)*'Data - P&amp;L'!$C$9</f>
        <v>79.92</v>
      </c>
      <c r="Y444" s="134">
        <f>(Y67+Y68)*'Data - P&amp;L'!$C$9</f>
        <v>106.56</v>
      </c>
      <c r="Z444" s="134">
        <f>(Z67+Z68)*'Data - P&amp;L'!$C$9</f>
        <v>53.28</v>
      </c>
      <c r="AA444" s="134">
        <f>(AA67+AA68)*'Data - P&amp;L'!$C$9</f>
        <v>73.26</v>
      </c>
      <c r="AB444" s="134">
        <f>(AB67+AB68)*'Data - P&amp;L'!$C$9</f>
        <v>106.56</v>
      </c>
      <c r="AC444" s="134">
        <f>(AC67+AC68)*'Data - P&amp;L'!$C$9</f>
        <v>153.18</v>
      </c>
      <c r="AD444" s="134">
        <f>(AD67+AD68)*'Data - P&amp;L'!$C$9</f>
        <v>86.58</v>
      </c>
      <c r="AE444" s="134">
        <f>(AE67+AE68)*'Data - P&amp;L'!$C$9</f>
        <v>73.26</v>
      </c>
      <c r="AF444" s="134">
        <f>(AF67+AF68)*'Data - P&amp;L'!$C$9</f>
        <v>46.62</v>
      </c>
      <c r="AG444" s="93">
        <f t="shared" si="134"/>
        <v>3956.04</v>
      </c>
    </row>
    <row r="445">
      <c r="A445" s="250" t="s">
        <v>398</v>
      </c>
      <c r="B445" s="134">
        <f>(B69+B70)*'Data - P&amp;L'!$C$5</f>
        <v>362.88</v>
      </c>
      <c r="C445" s="134">
        <f>(C69+C70)*'Data - P&amp;L'!$C$5</f>
        <v>376.32</v>
      </c>
      <c r="D445" s="134">
        <f>(D69+D70)*'Data - P&amp;L'!$C$5</f>
        <v>228.48</v>
      </c>
      <c r="E445" s="134">
        <f>(E69+E70)*'Data - P&amp;L'!$C$5</f>
        <v>268.8</v>
      </c>
      <c r="F445" s="134">
        <f>(F69+F70)*'Data - P&amp;L'!$C$5</f>
        <v>174.72</v>
      </c>
      <c r="G445" s="134">
        <f>(G69+G70)*'Data - P&amp;L'!$C$5</f>
        <v>255.36</v>
      </c>
      <c r="H445" s="134">
        <f>(H69+H70)*'Data - P&amp;L'!$C$5</f>
        <v>389.76</v>
      </c>
      <c r="I445" s="134">
        <f>(I69+I70)*'Data - P&amp;L'!$C$5</f>
        <v>295.68</v>
      </c>
      <c r="J445" s="134">
        <f>(J69+J70)*'Data - P&amp;L'!$C$5</f>
        <v>161.28</v>
      </c>
      <c r="K445" s="134">
        <f>(K69+K70)*'Data - P&amp;L'!$C$5</f>
        <v>174.72</v>
      </c>
      <c r="L445" s="134">
        <f>(L69+L70)*'Data - P&amp;L'!$C$5</f>
        <v>201.6</v>
      </c>
      <c r="M445" s="134">
        <f>(M69+M70)*'Data - P&amp;L'!$C$5</f>
        <v>268.8</v>
      </c>
      <c r="N445" s="134">
        <f>(N69+N70)*'Data - P&amp;L'!$C$5</f>
        <v>336</v>
      </c>
      <c r="O445" s="134">
        <f>(O69+O70)*'Data - P&amp;L'!$C$5</f>
        <v>188.16</v>
      </c>
      <c r="P445" s="134">
        <f>(P69+P70)*'Data - P&amp;L'!$C$5</f>
        <v>107.52</v>
      </c>
      <c r="Q445" s="134">
        <f>(Q69+Q70)*'Data - P&amp;L'!$C$5</f>
        <v>134.4</v>
      </c>
      <c r="R445" s="134">
        <f>(R69+R70)*'Data - P&amp;L'!$C$5</f>
        <v>120.96</v>
      </c>
      <c r="S445" s="134">
        <f>(S69+S70)*'Data - P&amp;L'!$C$5</f>
        <v>376.32</v>
      </c>
      <c r="T445" s="134">
        <f>(T69+T70)*'Data - P&amp;L'!$C$5</f>
        <v>201.6</v>
      </c>
      <c r="U445" s="134">
        <f>(U69+U70)*'Data - P&amp;L'!$C$5</f>
        <v>161.28</v>
      </c>
      <c r="V445" s="134">
        <f>(V69+V70)*'Data - P&amp;L'!$C$5</f>
        <v>188.16</v>
      </c>
      <c r="W445" s="134">
        <f>(W69+W70)*'Data - P&amp;L'!$C$5</f>
        <v>161.28</v>
      </c>
      <c r="X445" s="134">
        <f>(X69+X70)*'Data - P&amp;L'!$C$5</f>
        <v>120.96</v>
      </c>
      <c r="Y445" s="134">
        <f>(Y69+Y70)*'Data - P&amp;L'!$C$5</f>
        <v>147.84</v>
      </c>
      <c r="Z445" s="134">
        <f>(Z69+Z70)*'Data - P&amp;L'!$C$5</f>
        <v>147.84</v>
      </c>
      <c r="AA445" s="134">
        <f>(AA69+AA70)*'Data - P&amp;L'!$C$5</f>
        <v>201.6</v>
      </c>
      <c r="AB445" s="134">
        <f>(AB69+AB70)*'Data - P&amp;L'!$C$5</f>
        <v>188.16</v>
      </c>
      <c r="AC445" s="134">
        <f>(AC69+AC70)*'Data - P&amp;L'!$C$5</f>
        <v>134.4</v>
      </c>
      <c r="AD445" s="134">
        <f>(AD69+AD70)*'Data - P&amp;L'!$C$5</f>
        <v>228.48</v>
      </c>
      <c r="AE445" s="134">
        <f>(AE69+AE70)*'Data - P&amp;L'!$C$5</f>
        <v>94.08</v>
      </c>
      <c r="AF445" s="134">
        <f>(AF69+AF70)*'Data - P&amp;L'!$C$5</f>
        <v>107.52</v>
      </c>
      <c r="AG445" s="93">
        <f t="shared" si="134"/>
        <v>6504.96</v>
      </c>
    </row>
    <row r="446">
      <c r="A446" s="250" t="s">
        <v>399</v>
      </c>
      <c r="B446" s="253">
        <f>(B71+B72)*'Data - P&amp;L'!$C$10</f>
        <v>330</v>
      </c>
      <c r="C446" s="253">
        <f>(C71+C72)*'Data - P&amp;L'!$C$10</f>
        <v>312</v>
      </c>
      <c r="D446" s="253">
        <f>(D71+D72)*'Data - P&amp;L'!$C$10</f>
        <v>438</v>
      </c>
      <c r="E446" s="253">
        <f>(E71+E72)*'Data - P&amp;L'!$C$10</f>
        <v>354</v>
      </c>
      <c r="F446" s="253">
        <f>(F71+F72)*'Data - P&amp;L'!$C$10</f>
        <v>354</v>
      </c>
      <c r="G446" s="253">
        <f>(G71+G72)*'Data - P&amp;L'!$C$10</f>
        <v>276</v>
      </c>
      <c r="H446" s="253">
        <f>(H71+H72)*'Data - P&amp;L'!$C$10</f>
        <v>252</v>
      </c>
      <c r="I446" s="253">
        <f>(I71+I72)*'Data - P&amp;L'!$C$10</f>
        <v>198</v>
      </c>
      <c r="J446" s="253">
        <f>(J71+J72)*'Data - P&amp;L'!$C$10</f>
        <v>210</v>
      </c>
      <c r="K446" s="253">
        <f>(K71+K72)*'Data - P&amp;L'!$C$10</f>
        <v>162</v>
      </c>
      <c r="L446" s="253">
        <f>(L71+L72)*'Data - P&amp;L'!$C$10</f>
        <v>306</v>
      </c>
      <c r="M446" s="253">
        <f>(M71+M72)*'Data - P&amp;L'!$C$10</f>
        <v>288</v>
      </c>
      <c r="N446" s="253">
        <f>(N71+N72)*'Data - P&amp;L'!$C$10</f>
        <v>216</v>
      </c>
      <c r="O446" s="253">
        <f>(O71+O72)*'Data - P&amp;L'!$C$10</f>
        <v>192</v>
      </c>
      <c r="P446" s="253">
        <f>(P71+P72)*'Data - P&amp;L'!$C$10</f>
        <v>102</v>
      </c>
      <c r="Q446" s="253">
        <f>(Q71+Q72)*'Data - P&amp;L'!$C$10</f>
        <v>150</v>
      </c>
      <c r="R446" s="253">
        <f>(R71+R72)*'Data - P&amp;L'!$C$10</f>
        <v>162</v>
      </c>
      <c r="S446" s="253">
        <f>(S71+S72)*'Data - P&amp;L'!$C$10</f>
        <v>180</v>
      </c>
      <c r="T446" s="253">
        <f>(T71+T72)*'Data - P&amp;L'!$C$10</f>
        <v>192</v>
      </c>
      <c r="U446" s="253">
        <f>(U71+U72)*'Data - P&amp;L'!$C$10</f>
        <v>114</v>
      </c>
      <c r="V446" s="253">
        <f>(V71+V72)*'Data - P&amp;L'!$C$10</f>
        <v>156</v>
      </c>
      <c r="W446" s="253">
        <f>(W71+W72)*'Data - P&amp;L'!$C$10</f>
        <v>138</v>
      </c>
      <c r="X446" s="253">
        <f>(X71+X72)*'Data - P&amp;L'!$C$10</f>
        <v>120</v>
      </c>
      <c r="Y446" s="253">
        <f>(Y71+Y72)*'Data - P&amp;L'!$C$10</f>
        <v>102</v>
      </c>
      <c r="Z446" s="253">
        <f>(Z71+Z72)*'Data - P&amp;L'!$C$10</f>
        <v>114</v>
      </c>
      <c r="AA446" s="253">
        <f>(AA71+AA72)*'Data - P&amp;L'!$C$10</f>
        <v>144</v>
      </c>
      <c r="AB446" s="253">
        <f>(AB71+AB72)*'Data - P&amp;L'!$C$10</f>
        <v>132</v>
      </c>
      <c r="AC446" s="253">
        <f>(AC71+AC72)*'Data - P&amp;L'!$C$10</f>
        <v>150</v>
      </c>
      <c r="AD446" s="253">
        <f>(AD71+AD72)*'Data - P&amp;L'!$C$10</f>
        <v>114</v>
      </c>
      <c r="AE446" s="253">
        <f>(AE71+AE72)*'Data - P&amp;L'!$C$10</f>
        <v>84</v>
      </c>
      <c r="AF446" s="253">
        <f>(AF71+AF72)*'Data - P&amp;L'!$C$10</f>
        <v>60</v>
      </c>
      <c r="AG446" s="93">
        <f t="shared" si="134"/>
        <v>6102</v>
      </c>
    </row>
    <row r="447">
      <c r="A447" s="250" t="s">
        <v>400</v>
      </c>
      <c r="B447" s="253">
        <f>B73*'Data - P&amp;L'!$C$17</f>
        <v>0</v>
      </c>
      <c r="C447" s="253">
        <f>C73*'Data - P&amp;L'!$C$17</f>
        <v>13.73</v>
      </c>
      <c r="D447" s="253">
        <f>D73*'Data - P&amp;L'!$C$17</f>
        <v>13.73</v>
      </c>
      <c r="E447" s="253">
        <f>E73*'Data - P&amp;L'!$C$17</f>
        <v>13.73</v>
      </c>
      <c r="F447" s="253">
        <f>F73*'Data - P&amp;L'!$C$17</f>
        <v>13.73</v>
      </c>
      <c r="G447" s="253">
        <f>G73*'Data - P&amp;L'!$C$17</f>
        <v>0</v>
      </c>
      <c r="H447" s="253">
        <f>H73*'Data - P&amp;L'!$C$17</f>
        <v>27.46</v>
      </c>
      <c r="I447" s="253">
        <f>I73*'Data - P&amp;L'!$C$17</f>
        <v>13.73</v>
      </c>
      <c r="J447" s="253">
        <f>J73*'Data - P&amp;L'!$C$17</f>
        <v>27.46</v>
      </c>
      <c r="K447" s="253">
        <f>K73*'Data - P&amp;L'!$C$17</f>
        <v>27.46</v>
      </c>
      <c r="L447" s="253">
        <f>L73*'Data - P&amp;L'!$C$17</f>
        <v>27.46</v>
      </c>
      <c r="M447" s="253">
        <f>M73*'Data - P&amp;L'!$C$17</f>
        <v>54.92</v>
      </c>
      <c r="N447" s="253">
        <f>N73*'Data - P&amp;L'!$C$17</f>
        <v>13.73</v>
      </c>
      <c r="O447" s="253">
        <f>O73*'Data - P&amp;L'!$C$17</f>
        <v>13.73</v>
      </c>
      <c r="P447" s="253">
        <f>P73*'Data - P&amp;L'!$C$17</f>
        <v>41.19</v>
      </c>
      <c r="Q447" s="253">
        <f>Q73*'Data - P&amp;L'!$C$17</f>
        <v>27.46</v>
      </c>
      <c r="R447" s="253">
        <f>R73*'Data - P&amp;L'!$C$17</f>
        <v>13.73</v>
      </c>
      <c r="S447" s="253">
        <f>S73*'Data - P&amp;L'!$C$17</f>
        <v>13.73</v>
      </c>
      <c r="T447" s="253">
        <f>T73*'Data - P&amp;L'!$C$17</f>
        <v>13.73</v>
      </c>
      <c r="U447" s="253">
        <f>U73*'Data - P&amp;L'!$C$17</f>
        <v>0</v>
      </c>
      <c r="V447" s="253">
        <f>V73*'Data - P&amp;L'!$C$17</f>
        <v>27.46</v>
      </c>
      <c r="W447" s="253">
        <f>W73*'Data - P&amp;L'!$C$17</f>
        <v>27.46</v>
      </c>
      <c r="X447" s="253">
        <f>X73*'Data - P&amp;L'!$C$17</f>
        <v>13.73</v>
      </c>
      <c r="Y447" s="253">
        <f>Y73*'Data - P&amp;L'!$C$17</f>
        <v>13.73</v>
      </c>
      <c r="Z447" s="253">
        <f>Z73*'Data - P&amp;L'!$C$17</f>
        <v>13.73</v>
      </c>
      <c r="AA447" s="253">
        <f>AA73*'Data - P&amp;L'!$C$17</f>
        <v>13.73</v>
      </c>
      <c r="AB447" s="253">
        <f>AB73*'Data - P&amp;L'!$C$17</f>
        <v>0</v>
      </c>
      <c r="AC447" s="253">
        <f>AC73*'Data - P&amp;L'!$C$17</f>
        <v>0</v>
      </c>
      <c r="AD447" s="253">
        <f>AD73*'Data - P&amp;L'!$C$17</f>
        <v>0</v>
      </c>
      <c r="AE447" s="253">
        <f>AE73*'Data - P&amp;L'!$C$17</f>
        <v>13.73</v>
      </c>
      <c r="AF447" s="253">
        <f>AF73*'Data - P&amp;L'!$C$17</f>
        <v>0</v>
      </c>
      <c r="AG447" s="93">
        <f t="shared" si="134"/>
        <v>494.28</v>
      </c>
    </row>
    <row r="448">
      <c r="A448" s="250" t="s">
        <v>401</v>
      </c>
      <c r="B448" s="253">
        <f>B74*'Data - P&amp;L'!$C$18</f>
        <v>26.68</v>
      </c>
      <c r="C448" s="253">
        <f>C74*'Data - P&amp;L'!$C$18</f>
        <v>0</v>
      </c>
      <c r="D448" s="253">
        <f>D74*'Data - P&amp;L'!$C$18</f>
        <v>26.68</v>
      </c>
      <c r="E448" s="253">
        <f>E74*'Data - P&amp;L'!$C$18</f>
        <v>0</v>
      </c>
      <c r="F448" s="253">
        <f>F74*'Data - P&amp;L'!$C$18</f>
        <v>80.04</v>
      </c>
      <c r="G448" s="253">
        <f>G74*'Data - P&amp;L'!$C$18</f>
        <v>26.68</v>
      </c>
      <c r="H448" s="253">
        <f>H74*'Data - P&amp;L'!$C$18</f>
        <v>106.72</v>
      </c>
      <c r="I448" s="253">
        <f>I74*'Data - P&amp;L'!$C$18</f>
        <v>53.36</v>
      </c>
      <c r="J448" s="253">
        <f>J74*'Data - P&amp;L'!$C$18</f>
        <v>0</v>
      </c>
      <c r="K448" s="253">
        <f>K74*'Data - P&amp;L'!$C$18</f>
        <v>0</v>
      </c>
      <c r="L448" s="253">
        <f>L74*'Data - P&amp;L'!$C$18</f>
        <v>53.36</v>
      </c>
      <c r="M448" s="253">
        <f>M74*'Data - P&amp;L'!$C$18</f>
        <v>26.68</v>
      </c>
      <c r="N448" s="253">
        <f>N74*'Data - P&amp;L'!$C$18</f>
        <v>0</v>
      </c>
      <c r="O448" s="253">
        <f>O74*'Data - P&amp;L'!$C$18</f>
        <v>53.36</v>
      </c>
      <c r="P448" s="253">
        <f>P74*'Data - P&amp;L'!$C$18</f>
        <v>0</v>
      </c>
      <c r="Q448" s="253">
        <f>Q74*'Data - P&amp;L'!$C$18</f>
        <v>26.68</v>
      </c>
      <c r="R448" s="253">
        <f>R74*'Data - P&amp;L'!$C$18</f>
        <v>0</v>
      </c>
      <c r="S448" s="253">
        <f>S74*'Data - P&amp;L'!$C$18</f>
        <v>0</v>
      </c>
      <c r="T448" s="253">
        <f>T74*'Data - P&amp;L'!$C$18</f>
        <v>0</v>
      </c>
      <c r="U448" s="253">
        <f>U74*'Data - P&amp;L'!$C$18</f>
        <v>0</v>
      </c>
      <c r="V448" s="253">
        <f>V74*'Data - P&amp;L'!$C$18</f>
        <v>53.36</v>
      </c>
      <c r="W448" s="253">
        <f>W74*'Data - P&amp;L'!$C$18</f>
        <v>26.68</v>
      </c>
      <c r="X448" s="253">
        <f>X74*'Data - P&amp;L'!$C$18</f>
        <v>106.72</v>
      </c>
      <c r="Y448" s="253">
        <f>Y74*'Data - P&amp;L'!$C$18</f>
        <v>26.68</v>
      </c>
      <c r="Z448" s="253">
        <f>Z74*'Data - P&amp;L'!$C$18</f>
        <v>26.68</v>
      </c>
      <c r="AA448" s="253">
        <f>AA74*'Data - P&amp;L'!$C$18</f>
        <v>0</v>
      </c>
      <c r="AB448" s="253">
        <f>AB74*'Data - P&amp;L'!$C$18</f>
        <v>0</v>
      </c>
      <c r="AC448" s="253">
        <f>AC74*'Data - P&amp;L'!$C$18</f>
        <v>0</v>
      </c>
      <c r="AD448" s="253">
        <f>AD74*'Data - P&amp;L'!$C$18</f>
        <v>0</v>
      </c>
      <c r="AE448" s="253">
        <f>AE74*'Data - P&amp;L'!$C$18</f>
        <v>0</v>
      </c>
      <c r="AF448" s="253">
        <f>AF74*'Data - P&amp;L'!$C$18</f>
        <v>53.36</v>
      </c>
      <c r="AG448" s="93">
        <f t="shared" si="134"/>
        <v>773.72</v>
      </c>
    </row>
    <row r="449">
      <c r="A449" s="250" t="s">
        <v>402</v>
      </c>
      <c r="B449" s="253">
        <f>B88*'Data - P&amp;L'!$C$11</f>
        <v>0</v>
      </c>
      <c r="C449" s="253">
        <f>C88*'Data - P&amp;L'!$C$11</f>
        <v>0</v>
      </c>
      <c r="D449" s="253">
        <f>D88*'Data - P&amp;L'!$C$11</f>
        <v>0</v>
      </c>
      <c r="E449" s="253">
        <f>E88*'Data - P&amp;L'!$C$11</f>
        <v>0</v>
      </c>
      <c r="F449" s="253">
        <f>F88*'Data - P&amp;L'!$C$11</f>
        <v>0</v>
      </c>
      <c r="G449" s="253">
        <f>G88*'Data - P&amp;L'!$C$11</f>
        <v>0</v>
      </c>
      <c r="H449" s="253">
        <f>H88*'Data - P&amp;L'!$C$11</f>
        <v>0</v>
      </c>
      <c r="I449" s="253">
        <f>I88*'Data - P&amp;L'!$C$11</f>
        <v>0</v>
      </c>
      <c r="J449" s="253">
        <f>J88*'Data - P&amp;L'!$C$11</f>
        <v>0</v>
      </c>
      <c r="K449" s="253">
        <f>K88*'Data - P&amp;L'!$C$11</f>
        <v>3.94</v>
      </c>
      <c r="L449" s="253">
        <f>L88*'Data - P&amp;L'!$C$11</f>
        <v>0</v>
      </c>
      <c r="M449" s="253">
        <f>M88*'Data - P&amp;L'!$C$11</f>
        <v>11.82</v>
      </c>
      <c r="N449" s="253">
        <f>N88*'Data - P&amp;L'!$C$11</f>
        <v>0</v>
      </c>
      <c r="O449" s="253">
        <f>O88*'Data - P&amp;L'!$C$11</f>
        <v>0</v>
      </c>
      <c r="P449" s="253">
        <f>P88*'Data - P&amp;L'!$C$11</f>
        <v>0</v>
      </c>
      <c r="Q449" s="253">
        <f>Q88*'Data - P&amp;L'!$C$11</f>
        <v>0</v>
      </c>
      <c r="R449" s="253">
        <f>R88*'Data - P&amp;L'!$C$11</f>
        <v>0</v>
      </c>
      <c r="S449" s="253">
        <f>S88*'Data - P&amp;L'!$C$11</f>
        <v>0</v>
      </c>
      <c r="T449" s="253">
        <f>T88*'Data - P&amp;L'!$C$11</f>
        <v>0</v>
      </c>
      <c r="U449" s="253">
        <f>U88*'Data - P&amp;L'!$C$11</f>
        <v>0</v>
      </c>
      <c r="V449" s="253">
        <f>V88*'Data - P&amp;L'!$C$11</f>
        <v>0</v>
      </c>
      <c r="W449" s="253">
        <f>W88*'Data - P&amp;L'!$C$11</f>
        <v>3.94</v>
      </c>
      <c r="X449" s="253">
        <f>X88*'Data - P&amp;L'!$C$11</f>
        <v>0</v>
      </c>
      <c r="Y449" s="253">
        <f>Y88*'Data - P&amp;L'!$C$11</f>
        <v>0</v>
      </c>
      <c r="Z449" s="253">
        <f>Z88*'Data - P&amp;L'!$C$11</f>
        <v>0</v>
      </c>
      <c r="AA449" s="253">
        <f>AA88*'Data - P&amp;L'!$C$11</f>
        <v>0</v>
      </c>
      <c r="AB449" s="253">
        <f>AB88*'Data - P&amp;L'!$C$11</f>
        <v>0</v>
      </c>
      <c r="AC449" s="253">
        <f>AC88*'Data - P&amp;L'!$C$11</f>
        <v>0</v>
      </c>
      <c r="AD449" s="253">
        <f>AD88*'Data - P&amp;L'!$C$11</f>
        <v>0</v>
      </c>
      <c r="AE449" s="253">
        <f>AE88*'Data - P&amp;L'!$C$11</f>
        <v>0</v>
      </c>
      <c r="AF449" s="253">
        <f>AF88*'Data - P&amp;L'!$C$11</f>
        <v>0</v>
      </c>
      <c r="AG449" s="93">
        <f t="shared" si="134"/>
        <v>19.7</v>
      </c>
    </row>
    <row r="450">
      <c r="A450" s="254" t="s">
        <v>403</v>
      </c>
      <c r="B450" s="255"/>
      <c r="C450" s="255"/>
      <c r="D450" s="255"/>
      <c r="E450" s="255"/>
      <c r="F450" s="255"/>
      <c r="G450" s="255"/>
      <c r="H450" s="255"/>
      <c r="I450" s="255"/>
      <c r="J450" s="255"/>
      <c r="K450" s="255"/>
      <c r="L450" s="255"/>
      <c r="M450" s="255"/>
      <c r="N450" s="255"/>
      <c r="O450" s="255"/>
      <c r="P450" s="255"/>
      <c r="Q450" s="255"/>
      <c r="R450" s="255"/>
      <c r="S450" s="255"/>
      <c r="T450" s="255"/>
      <c r="U450" s="255"/>
      <c r="V450" s="255"/>
      <c r="W450" s="255"/>
      <c r="X450" s="255"/>
      <c r="Y450" s="255"/>
      <c r="Z450" s="255"/>
      <c r="AA450" s="255"/>
      <c r="AB450" s="255"/>
      <c r="AC450" s="255"/>
      <c r="AD450" s="255"/>
      <c r="AE450" s="255"/>
      <c r="AF450" s="255"/>
      <c r="AG450" s="93">
        <f t="shared" si="134"/>
        <v>0</v>
      </c>
    </row>
    <row r="451">
      <c r="A451" s="250" t="s">
        <v>404</v>
      </c>
      <c r="B451" s="134">
        <f>(B52*'Data - P&amp;L'!$L$12*'Data - P&amp;L'!$L$3)+(B52*'Data - P&amp;L'!$L$13*'Data - P&amp;L'!$L$14)</f>
        <v>1912.307078</v>
      </c>
      <c r="C451" s="134">
        <f>(C52*'Data - P&amp;L'!$L$12*'Data - P&amp;L'!$L$3)+(C52*'Data - P&amp;L'!$L$13*'Data - P&amp;L'!$L$14)</f>
        <v>1989.732366</v>
      </c>
      <c r="D451" s="134">
        <f>(D52*'Data - P&amp;L'!$L$12*'Data - P&amp;L'!$L$3)+(D52*'Data - P&amp;L'!$L$13*'Data - P&amp;L'!$L$14)</f>
        <v>2521.551106</v>
      </c>
      <c r="E451" s="134">
        <f>(E52*'Data - P&amp;L'!$L$12*'Data - P&amp;L'!$L$3)+(E52*'Data - P&amp;L'!$L$13*'Data - P&amp;L'!$L$14)</f>
        <v>1782.393392</v>
      </c>
      <c r="F451" s="134">
        <f>(F52*'Data - P&amp;L'!$L$12*'Data - P&amp;L'!$L$3)+(F52*'Data - P&amp;L'!$L$13*'Data - P&amp;L'!$L$14)</f>
        <v>2041.146055</v>
      </c>
      <c r="G451" s="134">
        <f>(G52*'Data - P&amp;L'!$L$12*'Data - P&amp;L'!$L$3)+(G52*'Data - P&amp;L'!$L$13*'Data - P&amp;L'!$L$14)</f>
        <v>2159.001086</v>
      </c>
      <c r="H451" s="134">
        <f>(H52*'Data - P&amp;L'!$L$12*'Data - P&amp;L'!$L$3)+(H52*'Data - P&amp;L'!$L$13*'Data - P&amp;L'!$L$14)</f>
        <v>1804.430091</v>
      </c>
      <c r="I451" s="134">
        <f>(I52*'Data - P&amp;L'!$L$12*'Data - P&amp;L'!$L$3)+(I52*'Data - P&amp;L'!$L$13*'Data - P&amp;L'!$L$14)</f>
        <v>1531.02638</v>
      </c>
      <c r="J451" s="134">
        <f>(J52*'Data - P&amp;L'!$L$12*'Data - P&amp;L'!$L$3)+(J52*'Data - P&amp;L'!$L$13*'Data - P&amp;L'!$L$14)</f>
        <v>1187.475562</v>
      </c>
      <c r="K451" s="134">
        <f>(K52*'Data - P&amp;L'!$L$12*'Data - P&amp;L'!$L$3)+(K52*'Data - P&amp;L'!$L$13*'Data - P&amp;L'!$L$14)</f>
        <v>978.8408484</v>
      </c>
      <c r="L451" s="134">
        <f>(L52*'Data - P&amp;L'!$L$12*'Data - P&amp;L'!$L$3)+(L52*'Data - P&amp;L'!$L$13*'Data - P&amp;L'!$L$14)</f>
        <v>1308.23535</v>
      </c>
      <c r="M451" s="134">
        <f>(M52*'Data - P&amp;L'!$L$12*'Data - P&amp;L'!$L$3)+(M52*'Data - P&amp;L'!$L$13*'Data - P&amp;L'!$L$14)</f>
        <v>1363.178224</v>
      </c>
      <c r="N451" s="134">
        <f>(N52*'Data - P&amp;L'!$L$12*'Data - P&amp;L'!$L$3)+(N52*'Data - P&amp;L'!$L$13*'Data - P&amp;L'!$L$14)</f>
        <v>830.9746591</v>
      </c>
      <c r="O451" s="134">
        <f>(O52*'Data - P&amp;L'!$L$12*'Data - P&amp;L'!$L$3)+(O52*'Data - P&amp;L'!$L$13*'Data - P&amp;L'!$L$14)</f>
        <v>822.0901992</v>
      </c>
      <c r="P451" s="134">
        <f>(P52*'Data - P&amp;L'!$L$12*'Data - P&amp;L'!$L$3)+(P52*'Data - P&amp;L'!$L$13*'Data - P&amp;L'!$L$14)</f>
        <v>670.4062068</v>
      </c>
      <c r="Q451" s="134">
        <f>(Q52*'Data - P&amp;L'!$L$12*'Data - P&amp;L'!$L$3)+(Q52*'Data - P&amp;L'!$L$13*'Data - P&amp;L'!$L$14)</f>
        <v>570.9399562</v>
      </c>
      <c r="R451" s="134">
        <f>(R52*'Data - P&amp;L'!$L$12*'Data - P&amp;L'!$L$3)+(R52*'Data - P&amp;L'!$L$13*'Data - P&amp;L'!$L$14)</f>
        <v>815.8358828</v>
      </c>
      <c r="S451" s="134">
        <f>(S52*'Data - P&amp;L'!$L$12*'Data - P&amp;L'!$L$3)+(S52*'Data - P&amp;L'!$L$13*'Data - P&amp;L'!$L$14)</f>
        <v>825.6580487</v>
      </c>
      <c r="T451" s="134">
        <f>(T52*'Data - P&amp;L'!$L$12*'Data - P&amp;L'!$L$3)+(T52*'Data - P&amp;L'!$L$13*'Data - P&amp;L'!$L$14)</f>
        <v>694.8614575</v>
      </c>
      <c r="U451" s="134">
        <f>(U52*'Data - P&amp;L'!$L$12*'Data - P&amp;L'!$L$3)+(U52*'Data - P&amp;L'!$L$13*'Data - P&amp;L'!$L$14)</f>
        <v>731.1540287</v>
      </c>
      <c r="V451" s="134">
        <f>(V52*'Data - P&amp;L'!$L$12*'Data - P&amp;L'!$L$3)+(V52*'Data - P&amp;L'!$L$13*'Data - P&amp;L'!$L$14)</f>
        <v>754.1256945</v>
      </c>
      <c r="W451" s="134">
        <f>(W52*'Data - P&amp;L'!$L$12*'Data - P&amp;L'!$L$3)+(W52*'Data - P&amp;L'!$L$13*'Data - P&amp;L'!$L$14)</f>
        <v>616.3599384</v>
      </c>
      <c r="X451" s="134">
        <f>(X52*'Data - P&amp;L'!$L$12*'Data - P&amp;L'!$L$3)+(X52*'Data - P&amp;L'!$L$13*'Data - P&amp;L'!$L$14)</f>
        <v>522.8018445</v>
      </c>
      <c r="Y451" s="134">
        <f>(Y52*'Data - P&amp;L'!$L$12*'Data - P&amp;L'!$L$3)+(Y52*'Data - P&amp;L'!$L$13*'Data - P&amp;L'!$L$14)</f>
        <v>549.6098848</v>
      </c>
      <c r="Z451" s="134">
        <f>(Z52*'Data - P&amp;L'!$L$12*'Data - P&amp;L'!$L$3)+(Z52*'Data - P&amp;L'!$L$13*'Data - P&amp;L'!$L$14)</f>
        <v>576.3357236</v>
      </c>
      <c r="AA451" s="134">
        <f>(AA52*'Data - P&amp;L'!$L$12*'Data - P&amp;L'!$L$3)+(AA52*'Data - P&amp;L'!$L$13*'Data - P&amp;L'!$L$14)</f>
        <v>745.4105088</v>
      </c>
      <c r="AB451" s="134">
        <f>(AB52*'Data - P&amp;L'!$L$12*'Data - P&amp;L'!$L$3)+(AB52*'Data - P&amp;L'!$L$13*'Data - P&amp;L'!$L$14)</f>
        <v>664.9261068</v>
      </c>
      <c r="AC451" s="134">
        <f>(AC52*'Data - P&amp;L'!$L$12*'Data - P&amp;L'!$L$3)+(AC52*'Data - P&amp;L'!$L$13*'Data - P&amp;L'!$L$14)</f>
        <v>713.6088796</v>
      </c>
      <c r="AD451" s="134">
        <f>(AD52*'Data - P&amp;L'!$L$12*'Data - P&amp;L'!$L$3)+(AD52*'Data - P&amp;L'!$L$13*'Data - P&amp;L'!$L$14)</f>
        <v>634.6917862</v>
      </c>
      <c r="AE451" s="134">
        <f>(AE52*'Data - P&amp;L'!$L$12*'Data - P&amp;L'!$L$3)+(AE52*'Data - P&amp;L'!$L$13*'Data - P&amp;L'!$L$14)</f>
        <v>441.2162468</v>
      </c>
      <c r="AF451" s="134">
        <f>(AF52*'Data - P&amp;L'!$L$12*'Data - P&amp;L'!$L$3)+(AF52*'Data - P&amp;L'!$L$13*'Data - P&amp;L'!$L$14)</f>
        <v>660.4141578</v>
      </c>
      <c r="AG451" s="252">
        <f t="shared" si="134"/>
        <v>33420.73875</v>
      </c>
    </row>
    <row r="452">
      <c r="A452" s="256" t="s">
        <v>405</v>
      </c>
      <c r="B452" s="257">
        <f>(B42*'Data - P&amp;L'!$L$12*'Data - P&amp;L'!$I$10)+(B42*'Data - P&amp;L'!$L$13*'Data - P&amp;L'!$L$15)</f>
        <v>66.9</v>
      </c>
      <c r="C452" s="257">
        <f>(C42*'Data - P&amp;L'!$L$12*'Data - P&amp;L'!$I$10)+(C42*'Data - P&amp;L'!$L$13*'Data - P&amp;L'!$L$15)</f>
        <v>70.8</v>
      </c>
      <c r="D452" s="257">
        <f>(D42*'Data - P&amp;L'!$L$12*'Data - P&amp;L'!$I$10)+(D42*'Data - P&amp;L'!$L$13*'Data - P&amp;L'!$L$15)</f>
        <v>86.1</v>
      </c>
      <c r="E452" s="257">
        <f>(E42*'Data - P&amp;L'!$L$12*'Data - P&amp;L'!$I$10)+(E42*'Data - P&amp;L'!$L$13*'Data - P&amp;L'!$L$15)</f>
        <v>63.3</v>
      </c>
      <c r="F452" s="257">
        <f>(F42*'Data - P&amp;L'!$L$12*'Data - P&amp;L'!$I$10)+(F42*'Data - P&amp;L'!$L$13*'Data - P&amp;L'!$L$15)</f>
        <v>68.1</v>
      </c>
      <c r="G452" s="257">
        <f>(G42*'Data - P&amp;L'!$L$12*'Data - P&amp;L'!$I$10)+(G42*'Data - P&amp;L'!$L$13*'Data - P&amp;L'!$L$15)</f>
        <v>75.6</v>
      </c>
      <c r="H452" s="257">
        <f>(H42*'Data - P&amp;L'!$L$12*'Data - P&amp;L'!$I$10)+(H42*'Data - P&amp;L'!$L$13*'Data - P&amp;L'!$L$15)</f>
        <v>68.7</v>
      </c>
      <c r="I452" s="257">
        <f>(I42*'Data - P&amp;L'!$L$12*'Data - P&amp;L'!$I$10)+(I42*'Data - P&amp;L'!$L$13*'Data - P&amp;L'!$L$15)</f>
        <v>53.7</v>
      </c>
      <c r="J452" s="257">
        <f>(J42*'Data - P&amp;L'!$L$12*'Data - P&amp;L'!$I$10)+(J42*'Data - P&amp;L'!$L$13*'Data - P&amp;L'!$L$15)</f>
        <v>47.1</v>
      </c>
      <c r="K452" s="257">
        <f>(K42*'Data - P&amp;L'!$L$12*'Data - P&amp;L'!$I$10)+(K42*'Data - P&amp;L'!$L$13*'Data - P&amp;L'!$L$15)</f>
        <v>38.4</v>
      </c>
      <c r="L452" s="257">
        <f>(L42*'Data - P&amp;L'!$L$12*'Data - P&amp;L'!$I$10)+(L42*'Data - P&amp;L'!$L$13*'Data - P&amp;L'!$L$15)</f>
        <v>51.3</v>
      </c>
      <c r="M452" s="257">
        <f>(M42*'Data - P&amp;L'!$L$12*'Data - P&amp;L'!$I$10)+(M42*'Data - P&amp;L'!$L$13*'Data - P&amp;L'!$L$15)</f>
        <v>51.3</v>
      </c>
      <c r="N452" s="257">
        <f>(N42*'Data - P&amp;L'!$L$12*'Data - P&amp;L'!$I$10)+(N42*'Data - P&amp;L'!$L$13*'Data - P&amp;L'!$L$15)</f>
        <v>37.5</v>
      </c>
      <c r="O452" s="257">
        <f>(O42*'Data - P&amp;L'!$L$12*'Data - P&amp;L'!$I$10)+(O42*'Data - P&amp;L'!$L$13*'Data - P&amp;L'!$L$15)</f>
        <v>34.8</v>
      </c>
      <c r="P452" s="257">
        <f>(P42*'Data - P&amp;L'!$L$12*'Data - P&amp;L'!$I$10)+(P42*'Data - P&amp;L'!$L$13*'Data - P&amp;L'!$L$15)</f>
        <v>28.5</v>
      </c>
      <c r="Q452" s="257">
        <f>(Q42*'Data - P&amp;L'!$L$12*'Data - P&amp;L'!$I$10)+(Q42*'Data - P&amp;L'!$L$13*'Data - P&amp;L'!$L$15)</f>
        <v>26.7</v>
      </c>
      <c r="R452" s="257">
        <f>(R42*'Data - P&amp;L'!$L$12*'Data - P&amp;L'!$I$10)+(R42*'Data - P&amp;L'!$L$13*'Data - P&amp;L'!$L$15)</f>
        <v>29.7</v>
      </c>
      <c r="S452" s="257">
        <f>(S42*'Data - P&amp;L'!$L$12*'Data - P&amp;L'!$I$10)+(S42*'Data - P&amp;L'!$L$13*'Data - P&amp;L'!$L$15)</f>
        <v>34.8</v>
      </c>
      <c r="T452" s="257">
        <f>(T42*'Data - P&amp;L'!$L$12*'Data - P&amp;L'!$I$10)+(T42*'Data - P&amp;L'!$L$13*'Data - P&amp;L'!$L$15)</f>
        <v>28.5</v>
      </c>
      <c r="U452" s="257">
        <f>(U42*'Data - P&amp;L'!$L$12*'Data - P&amp;L'!$I$10)+(U42*'Data - P&amp;L'!$L$13*'Data - P&amp;L'!$L$15)</f>
        <v>29.4</v>
      </c>
      <c r="V452" s="257">
        <f>(V42*'Data - P&amp;L'!$L$12*'Data - P&amp;L'!$I$10)+(V42*'Data - P&amp;L'!$L$13*'Data - P&amp;L'!$L$15)</f>
        <v>37.5</v>
      </c>
      <c r="W452" s="257">
        <f>(W42*'Data - P&amp;L'!$L$12*'Data - P&amp;L'!$I$10)+(W42*'Data - P&amp;L'!$L$13*'Data - P&amp;L'!$L$15)</f>
        <v>33.3</v>
      </c>
      <c r="X452" s="257">
        <f>(X42*'Data - P&amp;L'!$L$12*'Data - P&amp;L'!$I$10)+(X42*'Data - P&amp;L'!$L$13*'Data - P&amp;L'!$L$15)</f>
        <v>28.8</v>
      </c>
      <c r="Y452" s="257">
        <f>(Y42*'Data - P&amp;L'!$L$12*'Data - P&amp;L'!$I$10)+(Y42*'Data - P&amp;L'!$L$13*'Data - P&amp;L'!$L$15)</f>
        <v>30.6</v>
      </c>
      <c r="Z452" s="257">
        <f>(Z42*'Data - P&amp;L'!$L$12*'Data - P&amp;L'!$I$10)+(Z42*'Data - P&amp;L'!$L$13*'Data - P&amp;L'!$L$15)</f>
        <v>27</v>
      </c>
      <c r="AA452" s="257">
        <f>(AA42*'Data - P&amp;L'!$L$12*'Data - P&amp;L'!$I$10)+(AA42*'Data - P&amp;L'!$L$13*'Data - P&amp;L'!$L$15)</f>
        <v>31.2</v>
      </c>
      <c r="AB452" s="257">
        <f>(AB42*'Data - P&amp;L'!$L$12*'Data - P&amp;L'!$I$10)+(AB42*'Data - P&amp;L'!$L$13*'Data - P&amp;L'!$L$15)</f>
        <v>27</v>
      </c>
      <c r="AC452" s="257">
        <f>(AC42*'Data - P&amp;L'!$L$12*'Data - P&amp;L'!$I$10)+(AC42*'Data - P&amp;L'!$L$13*'Data - P&amp;L'!$L$15)</f>
        <v>36.6</v>
      </c>
      <c r="AD452" s="257">
        <f>(AD42*'Data - P&amp;L'!$L$12*'Data - P&amp;L'!$I$10)+(AD42*'Data - P&amp;L'!$L$13*'Data - P&amp;L'!$L$15)</f>
        <v>28.8</v>
      </c>
      <c r="AE452" s="257">
        <f>(AE42*'Data - P&amp;L'!$L$12*'Data - P&amp;L'!$I$10)+(AE42*'Data - P&amp;L'!$L$13*'Data - P&amp;L'!$L$15)</f>
        <v>19.5</v>
      </c>
      <c r="AF452" s="257">
        <f>(AF42*'Data - P&amp;L'!$L$12*'Data - P&amp;L'!$I$10)+(AF42*'Data - P&amp;L'!$L$13*'Data - P&amp;L'!$L$15)</f>
        <v>32.7</v>
      </c>
      <c r="AG452" s="258">
        <f t="shared" si="134"/>
        <v>1324.2</v>
      </c>
    </row>
    <row r="453">
      <c r="A453" s="259" t="s">
        <v>406</v>
      </c>
      <c r="B453" s="134">
        <f>((SUM(B171:B174))*'Data - P&amp;L'!$C$38)+((SUM(B178:B181))*'Data - P&amp;L'!$C$39)</f>
        <v>1898.46</v>
      </c>
      <c r="C453" s="134">
        <f>((SUM(C171:C174))*'Data - P&amp;L'!$C$38)+((SUM(C178:C181))*'Data - P&amp;L'!$C$39)</f>
        <v>1934.28</v>
      </c>
      <c r="D453" s="134">
        <f>((SUM(D171:D174))*'Data - P&amp;L'!$C$38)+((SUM(D178:D181))*'Data - P&amp;L'!$C$39)</f>
        <v>2519.34</v>
      </c>
      <c r="E453" s="134">
        <f>((SUM(E171:E174))*'Data - P&amp;L'!$C$38)+((SUM(E178:E181))*'Data - P&amp;L'!$C$39)</f>
        <v>1755.18</v>
      </c>
      <c r="F453" s="134">
        <f>((SUM(F171:F174))*'Data - P&amp;L'!$C$38)+((SUM(F178:F181))*'Data - P&amp;L'!$C$39)</f>
        <v>1862.64</v>
      </c>
      <c r="G453" s="134">
        <f>((SUM(G171:G174))*'Data - P&amp;L'!$C$38)+((SUM(G178:G181))*'Data - P&amp;L'!$C$39)</f>
        <v>2220.84</v>
      </c>
      <c r="H453" s="134">
        <f>((SUM(H171:H174))*'Data - P&amp;L'!$C$38)+((SUM(H178:H181))*'Data - P&amp;L'!$C$39)</f>
        <v>1791</v>
      </c>
      <c r="I453" s="134">
        <f>((SUM(I171:I174))*'Data - P&amp;L'!$C$38)+((SUM(I178:I181))*'Data - P&amp;L'!$C$39)</f>
        <v>1492.5</v>
      </c>
      <c r="J453" s="134">
        <f>((SUM(J171:J174))*'Data - P&amp;L'!$C$38)+((SUM(J178:J181))*'Data - P&amp;L'!$C$39)</f>
        <v>1050.72</v>
      </c>
      <c r="K453" s="134">
        <f>((SUM(K171:K174))*'Data - P&amp;L'!$C$38)+((SUM(K178:K181))*'Data - P&amp;L'!$C$39)</f>
        <v>919.38</v>
      </c>
      <c r="L453" s="134">
        <f>((SUM(L171:L174))*'Data - P&amp;L'!$C$38)+((SUM(L178:L181))*'Data - P&amp;L'!$C$39)</f>
        <v>1014.9</v>
      </c>
      <c r="M453" s="134">
        <f>((SUM(M171:M174))*'Data - P&amp;L'!$C$38)+((SUM(M178:M181))*'Data - P&amp;L'!$C$39)</f>
        <v>991.02</v>
      </c>
      <c r="N453" s="134">
        <f>((SUM(N171:N174))*'Data - P&amp;L'!$C$38)+((SUM(N178:N181))*'Data - P&amp;L'!$C$39)</f>
        <v>680.58</v>
      </c>
      <c r="O453" s="134">
        <f>((SUM(O171:O174))*'Data - P&amp;L'!$C$38)+((SUM(O178:O181))*'Data - P&amp;L'!$C$39)</f>
        <v>632.82</v>
      </c>
      <c r="P453" s="134">
        <f>((SUM(P171:P174))*'Data - P&amp;L'!$C$38)+((SUM(P178:P181))*'Data - P&amp;L'!$C$39)</f>
        <v>585.06</v>
      </c>
      <c r="Q453" s="134">
        <f>((SUM(Q171:Q174))*'Data - P&amp;L'!$C$38)+((SUM(Q178:Q181))*'Data - P&amp;L'!$C$39)</f>
        <v>441.78</v>
      </c>
      <c r="R453" s="134">
        <f>((SUM(R171:R174))*'Data - P&amp;L'!$C$38)+((SUM(R178:R181))*'Data - P&amp;L'!$C$39)</f>
        <v>680.58</v>
      </c>
      <c r="S453" s="134">
        <f>((SUM(S171:S174))*'Data - P&amp;L'!$C$38)+((SUM(S178:S181))*'Data - P&amp;L'!$C$39)</f>
        <v>608.94</v>
      </c>
      <c r="T453" s="134">
        <f>((SUM(T171:T174))*'Data - P&amp;L'!$C$38)+((SUM(T178:T181))*'Data - P&amp;L'!$C$39)</f>
        <v>585.06</v>
      </c>
      <c r="U453" s="134">
        <f>((SUM(U171:U174))*'Data - P&amp;L'!$C$38)+((SUM(U178:U181))*'Data - P&amp;L'!$C$39)</f>
        <v>692.52</v>
      </c>
      <c r="V453" s="134">
        <f>((SUM(V171:V174))*'Data - P&amp;L'!$C$38)+((SUM(V178:V181))*'Data - P&amp;L'!$C$39)</f>
        <v>597</v>
      </c>
      <c r="W453" s="134">
        <f>((SUM(W171:W174))*'Data - P&amp;L'!$C$38)+((SUM(W178:W181))*'Data - P&amp;L'!$C$39)</f>
        <v>441.78</v>
      </c>
      <c r="X453" s="134">
        <f>((SUM(X171:X174))*'Data - P&amp;L'!$C$38)+((SUM(X178:X181))*'Data - P&amp;L'!$C$39)</f>
        <v>370.14</v>
      </c>
      <c r="Y453" s="134">
        <f>((SUM(Y171:Y174))*'Data - P&amp;L'!$C$38)+((SUM(Y178:Y181))*'Data - P&amp;L'!$C$39)</f>
        <v>405.96</v>
      </c>
      <c r="Z453" s="134">
        <f>((SUM(Z171:Z174))*'Data - P&amp;L'!$C$38)+((SUM(Z178:Z181))*'Data - P&amp;L'!$C$39)</f>
        <v>346.26</v>
      </c>
      <c r="AA453" s="134">
        <f>((SUM(AA171:AA174))*'Data - P&amp;L'!$C$38)+((SUM(AA178:AA181))*'Data - P&amp;L'!$C$39)</f>
        <v>585.06</v>
      </c>
      <c r="AB453" s="134">
        <f>((SUM(AB171:AB174))*'Data - P&amp;L'!$C$38)+((SUM(AB178:AB181))*'Data - P&amp;L'!$C$39)</f>
        <v>537.3</v>
      </c>
      <c r="AC453" s="134">
        <f>((SUM(AC171:AC174))*'Data - P&amp;L'!$C$38)+((SUM(AC178:AC181))*'Data - P&amp;L'!$C$39)</f>
        <v>573.12</v>
      </c>
      <c r="AD453" s="134">
        <f>((SUM(AD171:AD174))*'Data - P&amp;L'!$C$38)+((SUM(AD178:AD181))*'Data - P&amp;L'!$C$39)</f>
        <v>513.42</v>
      </c>
      <c r="AE453" s="134">
        <f>((SUM(AE171:AE174))*'Data - P&amp;L'!$C$38)+((SUM(AE178:AE181))*'Data - P&amp;L'!$C$39)</f>
        <v>358.2</v>
      </c>
      <c r="AF453" s="134">
        <f>((SUM(AF171:AF174))*'Data - P&amp;L'!$C$38)+((SUM(AF178:AF181))*'Data - P&amp;L'!$C$39)</f>
        <v>549.24</v>
      </c>
      <c r="AG453" s="252">
        <f t="shared" si="134"/>
        <v>29635.08</v>
      </c>
    </row>
    <row r="454">
      <c r="A454" s="250" t="s">
        <v>407</v>
      </c>
      <c r="B454" s="253">
        <f>((SUM(B171:B174))*'Data - P&amp;L'!$C$34)+((SUM(B178:B181))*'Data - P&amp;L'!$C$35)</f>
        <v>5483.91</v>
      </c>
      <c r="C454" s="253">
        <f>((SUM(C171:C174))*'Data - P&amp;L'!$C$34)+((SUM(C178:C181))*'Data - P&amp;L'!$C$35)</f>
        <v>5587.38</v>
      </c>
      <c r="D454" s="253">
        <f>((SUM(D171:D174))*'Data - P&amp;L'!$C$34)+((SUM(D178:D181))*'Data - P&amp;L'!$C$35)</f>
        <v>7277.39</v>
      </c>
      <c r="E454" s="253">
        <f>((SUM(E171:E174))*'Data - P&amp;L'!$C$34)+((SUM(E178:E181))*'Data - P&amp;L'!$C$35)</f>
        <v>5070.03</v>
      </c>
      <c r="F454" s="253">
        <f>((SUM(F171:F174))*'Data - P&amp;L'!$C$34)+((SUM(F178:F181))*'Data - P&amp;L'!$C$35)</f>
        <v>5380.44</v>
      </c>
      <c r="G454" s="253">
        <f>((SUM(G171:G174))*'Data - P&amp;L'!$C$34)+((SUM(G178:G181))*'Data - P&amp;L'!$C$35)</f>
        <v>6415.14</v>
      </c>
      <c r="H454" s="253">
        <f>((SUM(H171:H174))*'Data - P&amp;L'!$C$34)+((SUM(H178:H181))*'Data - P&amp;L'!$C$35)</f>
        <v>5173.5</v>
      </c>
      <c r="I454" s="253">
        <f>((SUM(I171:I174))*'Data - P&amp;L'!$C$34)+((SUM(I178:I181))*'Data - P&amp;L'!$C$35)</f>
        <v>4311.25</v>
      </c>
      <c r="J454" s="253">
        <f>((SUM(J171:J174))*'Data - P&amp;L'!$C$34)+((SUM(J178:J181))*'Data - P&amp;L'!$C$35)</f>
        <v>3035.12</v>
      </c>
      <c r="K454" s="253">
        <f>((SUM(K171:K174))*'Data - P&amp;L'!$C$34)+((SUM(K178:K181))*'Data - P&amp;L'!$C$35)</f>
        <v>2655.73</v>
      </c>
      <c r="L454" s="253">
        <f>((SUM(L171:L174))*'Data - P&amp;L'!$C$34)+((SUM(L178:L181))*'Data - P&amp;L'!$C$35)</f>
        <v>2931.65</v>
      </c>
      <c r="M454" s="253">
        <f>((SUM(M171:M174))*'Data - P&amp;L'!$C$34)+((SUM(M178:M181))*'Data - P&amp;L'!$C$35)</f>
        <v>2862.67</v>
      </c>
      <c r="N454" s="253">
        <f>((SUM(N171:N174))*'Data - P&amp;L'!$C$34)+((SUM(N178:N181))*'Data - P&amp;L'!$C$35)</f>
        <v>1965.93</v>
      </c>
      <c r="O454" s="253">
        <f>((SUM(O171:O174))*'Data - P&amp;L'!$C$34)+((SUM(O178:O181))*'Data - P&amp;L'!$C$35)</f>
        <v>1827.97</v>
      </c>
      <c r="P454" s="253">
        <f>((SUM(P171:P174))*'Data - P&amp;L'!$C$34)+((SUM(P178:P181))*'Data - P&amp;L'!$C$35)</f>
        <v>1690.01</v>
      </c>
      <c r="Q454" s="253">
        <f>((SUM(Q171:Q174))*'Data - P&amp;L'!$C$34)+((SUM(Q178:Q181))*'Data - P&amp;L'!$C$35)</f>
        <v>1276.13</v>
      </c>
      <c r="R454" s="253">
        <f>((SUM(R171:R174))*'Data - P&amp;L'!$C$34)+((SUM(R178:R181))*'Data - P&amp;L'!$C$35)</f>
        <v>1965.93</v>
      </c>
      <c r="S454" s="253">
        <f>((SUM(S171:S174))*'Data - P&amp;L'!$C$34)+((SUM(S178:S181))*'Data - P&amp;L'!$C$35)</f>
        <v>1758.99</v>
      </c>
      <c r="T454" s="253">
        <f>((SUM(T171:T174))*'Data - P&amp;L'!$C$34)+((SUM(T178:T181))*'Data - P&amp;L'!$C$35)</f>
        <v>1690.01</v>
      </c>
      <c r="U454" s="253">
        <f>((SUM(U171:U174))*'Data - P&amp;L'!$C$34)+((SUM(U178:U181))*'Data - P&amp;L'!$C$35)</f>
        <v>2000.42</v>
      </c>
      <c r="V454" s="253">
        <f>((SUM(V171:V174))*'Data - P&amp;L'!$C$34)+((SUM(V178:V181))*'Data - P&amp;L'!$C$35)</f>
        <v>1724.5</v>
      </c>
      <c r="W454" s="253">
        <f>((SUM(W171:W174))*'Data - P&amp;L'!$C$34)+((SUM(W178:W181))*'Data - P&amp;L'!$C$35)</f>
        <v>1276.13</v>
      </c>
      <c r="X454" s="253">
        <f>((SUM(X171:X174))*'Data - P&amp;L'!$C$34)+((SUM(X178:X181))*'Data - P&amp;L'!$C$35)</f>
        <v>1069.19</v>
      </c>
      <c r="Y454" s="253">
        <f>((SUM(Y171:Y174))*'Data - P&amp;L'!$C$34)+((SUM(Y178:Y181))*'Data - P&amp;L'!$C$35)</f>
        <v>1172.66</v>
      </c>
      <c r="Z454" s="253">
        <f>((SUM(Z171:Z174))*'Data - P&amp;L'!$C$34)+((SUM(Z178:Z181))*'Data - P&amp;L'!$C$35)</f>
        <v>1000.21</v>
      </c>
      <c r="AA454" s="253">
        <f>((SUM(AA171:AA174))*'Data - P&amp;L'!$C$34)+((SUM(AA178:AA181))*'Data - P&amp;L'!$C$35)</f>
        <v>1690.01</v>
      </c>
      <c r="AB454" s="253">
        <f>((SUM(AB171:AB174))*'Data - P&amp;L'!$C$34)+((SUM(AB178:AB181))*'Data - P&amp;L'!$C$35)</f>
        <v>1552.05</v>
      </c>
      <c r="AC454" s="253">
        <f>((SUM(AC171:AC174))*'Data - P&amp;L'!$C$34)+((SUM(AC178:AC181))*'Data - P&amp;L'!$C$35)</f>
        <v>1655.52</v>
      </c>
      <c r="AD454" s="253">
        <f>((SUM(AD171:AD174))*'Data - P&amp;L'!$C$34)+((SUM(AD178:AD181))*'Data - P&amp;L'!$C$35)</f>
        <v>1483.07</v>
      </c>
      <c r="AE454" s="253">
        <f>((SUM(AE171:AE174))*'Data - P&amp;L'!$C$34)+((SUM(AE178:AE181))*'Data - P&amp;L'!$C$35)</f>
        <v>1034.7</v>
      </c>
      <c r="AF454" s="253">
        <f>((SUM(AF171:AF174))*'Data - P&amp;L'!$C$34)+((SUM(AF178:AF181))*'Data - P&amp;L'!$C$35)</f>
        <v>1586.54</v>
      </c>
      <c r="AG454" s="93">
        <f t="shared" si="134"/>
        <v>85604.18</v>
      </c>
    </row>
    <row r="455">
      <c r="A455" s="250" t="s">
        <v>408</v>
      </c>
      <c r="B455" s="260">
        <f>((SUM(B188:B195))*'Data - P&amp;L'!$D$38)+((SUM(B201:B208))*'Data - P&amp;L'!$D$39)</f>
        <v>225.295</v>
      </c>
      <c r="C455" s="260">
        <f>((SUM(C188:C195))*'Data - P&amp;L'!$D$38)+((SUM(C201:C208))*'Data - P&amp;L'!$D$39)</f>
        <v>225.295</v>
      </c>
      <c r="D455" s="260">
        <f>((SUM(D188:D195))*'Data - P&amp;L'!$D$38)+((SUM(D201:D208))*'Data - P&amp;L'!$D$39)</f>
        <v>298.48</v>
      </c>
      <c r="E455" s="260">
        <f>((SUM(E188:E195))*'Data - P&amp;L'!$D$38)+((SUM(E201:E208))*'Data - P&amp;L'!$D$39)</f>
        <v>222.425</v>
      </c>
      <c r="F455" s="260">
        <f>((SUM(F188:F195))*'Data - P&amp;L'!$D$38)+((SUM(F201:F208))*'Data - P&amp;L'!$D$39)</f>
        <v>251.125</v>
      </c>
      <c r="G455" s="260">
        <f>((SUM(G188:G195))*'Data - P&amp;L'!$D$38)+((SUM(G201:G208))*'Data - P&amp;L'!$D$39)</f>
        <v>228.165</v>
      </c>
      <c r="H455" s="260">
        <f>((SUM(H188:H195))*'Data - P&amp;L'!$D$38)+((SUM(H201:H208))*'Data - P&amp;L'!$D$39)</f>
        <v>208.075</v>
      </c>
      <c r="I455" s="260">
        <f>((SUM(I188:I195))*'Data - P&amp;L'!$D$38)+((SUM(I201:I208))*'Data - P&amp;L'!$D$39)</f>
        <v>153.545</v>
      </c>
      <c r="J455" s="260">
        <f>((SUM(J188:J195))*'Data - P&amp;L'!$D$38)+((SUM(J201:J208))*'Data - P&amp;L'!$D$39)</f>
        <v>149.24</v>
      </c>
      <c r="K455" s="260">
        <f>((SUM(K188:K195))*'Data - P&amp;L'!$D$38)+((SUM(K201:K208))*'Data - P&amp;L'!$D$39)</f>
        <v>109.06</v>
      </c>
      <c r="L455" s="260">
        <f>((SUM(L188:L195))*'Data - P&amp;L'!$D$38)+((SUM(L201:L208))*'Data - P&amp;L'!$D$39)</f>
        <v>175.07</v>
      </c>
      <c r="M455" s="260">
        <f>((SUM(M188:M195))*'Data - P&amp;L'!$D$38)+((SUM(M201:M208))*'Data - P&amp;L'!$D$39)</f>
        <v>209.51</v>
      </c>
      <c r="N455" s="260">
        <f>((SUM(N188:N195))*'Data - P&amp;L'!$D$38)+((SUM(N201:N208))*'Data - P&amp;L'!$D$39)</f>
        <v>144.935</v>
      </c>
      <c r="O455" s="260">
        <f>((SUM(O188:O195))*'Data - P&amp;L'!$D$38)+((SUM(O201:O208))*'Data - P&amp;L'!$D$39)</f>
        <v>140.63</v>
      </c>
      <c r="P455" s="260">
        <f>((SUM(P188:P195))*'Data - P&amp;L'!$D$38)+((SUM(P201:P208))*'Data - P&amp;L'!$D$39)</f>
        <v>84.665</v>
      </c>
      <c r="Q455" s="260">
        <f>((SUM(Q188:Q195))*'Data - P&amp;L'!$D$38)+((SUM(Q201:Q208))*'Data - P&amp;L'!$D$39)</f>
        <v>110.495</v>
      </c>
      <c r="R455" s="260">
        <f>((SUM(R188:R195))*'Data - P&amp;L'!$D$38)+((SUM(R201:R208))*'Data - P&amp;L'!$D$39)</f>
        <v>117.67</v>
      </c>
      <c r="S455" s="260">
        <f>((SUM(S188:S195))*'Data - P&amp;L'!$D$38)+((SUM(S201:S208))*'Data - P&amp;L'!$D$39)</f>
        <v>143.5</v>
      </c>
      <c r="T455" s="260">
        <f>((SUM(T188:T195))*'Data - P&amp;L'!$D$38)+((SUM(T201:T208))*'Data - P&amp;L'!$D$39)</f>
        <v>119.105</v>
      </c>
      <c r="U455" s="260">
        <f>((SUM(U188:U195))*'Data - P&amp;L'!$D$38)+((SUM(U201:U208))*'Data - P&amp;L'!$D$39)</f>
        <v>76.055</v>
      </c>
      <c r="V455" s="260">
        <f>((SUM(V188:V195))*'Data - P&amp;L'!$D$38)+((SUM(V201:V208))*'Data - P&amp;L'!$D$39)</f>
        <v>134.89</v>
      </c>
      <c r="W455" s="260">
        <f>((SUM(W188:W195))*'Data - P&amp;L'!$D$38)+((SUM(W201:W208))*'Data - P&amp;L'!$D$39)</f>
        <v>110.495</v>
      </c>
      <c r="X455" s="260">
        <f>((SUM(X188:X195))*'Data - P&amp;L'!$D$38)+((SUM(X201:X208))*'Data - P&amp;L'!$D$39)</f>
        <v>93.275</v>
      </c>
      <c r="Y455" s="260">
        <f>((SUM(Y188:Y195))*'Data - P&amp;L'!$D$38)+((SUM(Y201:Y208))*'Data - P&amp;L'!$D$39)</f>
        <v>83.23</v>
      </c>
      <c r="Z455" s="260">
        <f>((SUM(Z188:Z195))*'Data - P&amp;L'!$D$38)+((SUM(Z201:Z208))*'Data - P&amp;L'!$D$39)</f>
        <v>76.055</v>
      </c>
      <c r="AA455" s="260">
        <f>((SUM(AA188:AA195))*'Data - P&amp;L'!$D$38)+((SUM(AA201:AA208))*'Data - P&amp;L'!$D$39)</f>
        <v>94.71</v>
      </c>
      <c r="AB455" s="260">
        <f>((SUM(AB188:AB195))*'Data - P&amp;L'!$D$38)+((SUM(AB201:AB208))*'Data - P&amp;L'!$D$39)</f>
        <v>114.8</v>
      </c>
      <c r="AC455" s="260">
        <f>((SUM(AC188:AC195))*'Data - P&amp;L'!$D$38)+((SUM(AC201:AC208))*'Data - P&amp;L'!$D$39)</f>
        <v>116.235</v>
      </c>
      <c r="AD455" s="260">
        <f>((SUM(AD188:AD195))*'Data - P&amp;L'!$D$38)+((SUM(AD201:AD208))*'Data - P&amp;L'!$D$39)</f>
        <v>100.45</v>
      </c>
      <c r="AE455" s="260">
        <f>((SUM(AE188:AE195))*'Data - P&amp;L'!$D$38)+((SUM(AE201:AE208))*'Data - P&amp;L'!$D$39)</f>
        <v>71.75</v>
      </c>
      <c r="AF455" s="260">
        <f>((SUM(AF188:AF195))*'Data - P&amp;L'!$D$38)+((SUM(AF201:AF208))*'Data - P&amp;L'!$D$39)</f>
        <v>60.27</v>
      </c>
      <c r="AG455" s="93">
        <f t="shared" si="134"/>
        <v>4448.5</v>
      </c>
    </row>
    <row r="456">
      <c r="A456" s="250" t="s">
        <v>409</v>
      </c>
      <c r="B456" s="260">
        <f>(B198*'Data - P&amp;L'!$D$34)+(B211*'Data - P&amp;L'!$D$35)</f>
        <v>1529.44</v>
      </c>
      <c r="C456" s="260">
        <f>(C198*'Data - P&amp;L'!$D$34)+(C211*'Data - P&amp;L'!$D$35)</f>
        <v>1529.44</v>
      </c>
      <c r="D456" s="260">
        <f>(D198*'Data - P&amp;L'!$D$34)+(D211*'Data - P&amp;L'!$D$35)</f>
        <v>2032.8</v>
      </c>
      <c r="E456" s="260">
        <f>(E198*'Data - P&amp;L'!$D$34)+(E211*'Data - P&amp;L'!$D$35)</f>
        <v>1510.08</v>
      </c>
      <c r="F456" s="260">
        <f>(F198*'Data - P&amp;L'!$D$34)+(F211*'Data - P&amp;L'!$D$35)</f>
        <v>1732.72</v>
      </c>
      <c r="G456" s="260">
        <f>(G198*'Data - P&amp;L'!$D$34)+(G211*'Data - P&amp;L'!$D$35)</f>
        <v>1548.8</v>
      </c>
      <c r="H456" s="260">
        <f>(H198*'Data - P&amp;L'!$D$34)+(H211*'Data - P&amp;L'!$D$35)</f>
        <v>1461.68</v>
      </c>
      <c r="I456" s="260">
        <f>(I198*'Data - P&amp;L'!$D$34)+(I211*'Data - P&amp;L'!$D$35)</f>
        <v>1064.8</v>
      </c>
      <c r="J456" s="260">
        <f>(J198*'Data - P&amp;L'!$D$34)+(J211*'Data - P&amp;L'!$D$35)</f>
        <v>1026.08</v>
      </c>
      <c r="K456" s="260">
        <f>(K198*'Data - P&amp;L'!$D$34)+(K211*'Data - P&amp;L'!$D$35)</f>
        <v>755.04</v>
      </c>
      <c r="L456" s="260">
        <f>(L198*'Data - P&amp;L'!$D$34)+(L211*'Data - P&amp;L'!$D$35)</f>
        <v>1219.68</v>
      </c>
      <c r="M456" s="260">
        <f>(M198*'Data - P&amp;L'!$D$34)+(M211*'Data - P&amp;L'!$D$35)</f>
        <v>1461.68</v>
      </c>
      <c r="N456" s="260">
        <f>(N198*'Data - P&amp;L'!$D$34)+(N211*'Data - P&amp;L'!$D$35)</f>
        <v>987.36</v>
      </c>
      <c r="O456" s="260">
        <f>(O198*'Data - P&amp;L'!$D$34)+(O211*'Data - P&amp;L'!$D$35)</f>
        <v>977.68</v>
      </c>
      <c r="P456" s="260">
        <f>(P198*'Data - P&amp;L'!$D$34)+(P211*'Data - P&amp;L'!$D$35)</f>
        <v>600.16</v>
      </c>
      <c r="Q456" s="260">
        <f>(Q198*'Data - P&amp;L'!$D$34)+(Q211*'Data - P&amp;L'!$D$35)</f>
        <v>774.4</v>
      </c>
      <c r="R456" s="260">
        <f>(R198*'Data - P&amp;L'!$D$34)+(R211*'Data - P&amp;L'!$D$35)</f>
        <v>803.44</v>
      </c>
      <c r="S456" s="260">
        <f>(S198*'Data - P&amp;L'!$D$34)+(S211*'Data - P&amp;L'!$D$35)</f>
        <v>977.68</v>
      </c>
      <c r="T456" s="260">
        <f>(T198*'Data - P&amp;L'!$D$34)+(T211*'Data - P&amp;L'!$D$35)</f>
        <v>813.12</v>
      </c>
      <c r="U456" s="260">
        <f>(U198*'Data - P&amp;L'!$D$34)+(U211*'Data - P&amp;L'!$D$35)</f>
        <v>513.04</v>
      </c>
      <c r="V456" s="260">
        <f>(V198*'Data - P&amp;L'!$D$34)+(V211*'Data - P&amp;L'!$D$35)</f>
        <v>948.64</v>
      </c>
      <c r="W456" s="260">
        <f>(W198*'Data - P&amp;L'!$D$34)+(W211*'Data - P&amp;L'!$D$35)</f>
        <v>774.4</v>
      </c>
      <c r="X456" s="260">
        <f>(X198*'Data - P&amp;L'!$D$34)+(X211*'Data - P&amp;L'!$D$35)</f>
        <v>677.6</v>
      </c>
      <c r="Y456" s="260">
        <f>(Y198*'Data - P&amp;L'!$D$34)+(Y211*'Data - P&amp;L'!$D$35)</f>
        <v>580.8</v>
      </c>
      <c r="Z456" s="260">
        <f>(Z198*'Data - P&amp;L'!$D$34)+(Z211*'Data - P&amp;L'!$D$35)</f>
        <v>532.4</v>
      </c>
      <c r="AA456" s="260">
        <f>(AA198*'Data - P&amp;L'!$D$34)+(AA211*'Data - P&amp;L'!$D$35)</f>
        <v>648.56</v>
      </c>
      <c r="AB456" s="260">
        <f>(AB198*'Data - P&amp;L'!$D$34)+(AB211*'Data - P&amp;L'!$D$35)</f>
        <v>774.4</v>
      </c>
      <c r="AC456" s="260">
        <f>(AC198*'Data - P&amp;L'!$D$34)+(AC211*'Data - P&amp;L'!$D$35)</f>
        <v>784.08</v>
      </c>
      <c r="AD456" s="260">
        <f>(AD198*'Data - P&amp;L'!$D$34)+(AD211*'Data - P&amp;L'!$D$35)</f>
        <v>677.6</v>
      </c>
      <c r="AE456" s="260">
        <f>(AE198*'Data - P&amp;L'!$D$34)+(AE211*'Data - P&amp;L'!$D$35)</f>
        <v>493.68</v>
      </c>
      <c r="AF456" s="260">
        <f>(AF198*'Data - P&amp;L'!$D$34)+(AF211*'Data - P&amp;L'!$D$35)</f>
        <v>425.92</v>
      </c>
      <c r="AG456" s="93">
        <f t="shared" si="134"/>
        <v>30637.2</v>
      </c>
    </row>
    <row r="457">
      <c r="A457" s="250" t="s">
        <v>410</v>
      </c>
      <c r="B457" s="260">
        <f>B88*'Data - P&amp;L'!$E$23</f>
        <v>0</v>
      </c>
      <c r="C457" s="260">
        <f>C88*'Data - P&amp;L'!$E$23</f>
        <v>0</v>
      </c>
      <c r="D457" s="260">
        <f>D88*'Data - P&amp;L'!$E$23</f>
        <v>0</v>
      </c>
      <c r="E457" s="260">
        <f>E88*'Data - P&amp;L'!$E$23</f>
        <v>0</v>
      </c>
      <c r="F457" s="260">
        <f>F88*'Data - P&amp;L'!$E$23</f>
        <v>0</v>
      </c>
      <c r="G457" s="260">
        <f>G88*'Data - P&amp;L'!$E$23</f>
        <v>0</v>
      </c>
      <c r="H457" s="260">
        <f>H88*'Data - P&amp;L'!$E$23</f>
        <v>0</v>
      </c>
      <c r="I457" s="260">
        <f>I88*'Data - P&amp;L'!$E$23</f>
        <v>0</v>
      </c>
      <c r="J457" s="260">
        <f>J88*'Data - P&amp;L'!$E$23</f>
        <v>0</v>
      </c>
      <c r="K457" s="260">
        <f>K88*'Data - P&amp;L'!$E$23</f>
        <v>5.4</v>
      </c>
      <c r="L457" s="260">
        <f>L88*'Data - P&amp;L'!$E$23</f>
        <v>0</v>
      </c>
      <c r="M457" s="260">
        <f>M88*'Data - P&amp;L'!$E$23</f>
        <v>16.2</v>
      </c>
      <c r="N457" s="260">
        <f>N88*'Data - P&amp;L'!$E$23</f>
        <v>0</v>
      </c>
      <c r="O457" s="260">
        <f>O88*'Data - P&amp;L'!$E$23</f>
        <v>0</v>
      </c>
      <c r="P457" s="260">
        <f>P88*'Data - P&amp;L'!$E$23</f>
        <v>0</v>
      </c>
      <c r="Q457" s="260">
        <f>Q88*'Data - P&amp;L'!$E$23</f>
        <v>0</v>
      </c>
      <c r="R457" s="260">
        <f>R88*'Data - P&amp;L'!$E$23</f>
        <v>0</v>
      </c>
      <c r="S457" s="260">
        <f>S88*'Data - P&amp;L'!$E$23</f>
        <v>0</v>
      </c>
      <c r="T457" s="260">
        <f>T88*'Data - P&amp;L'!$E$23</f>
        <v>0</v>
      </c>
      <c r="U457" s="260">
        <f>U88*'Data - P&amp;L'!$E$23</f>
        <v>0</v>
      </c>
      <c r="V457" s="260">
        <f>V88*'Data - P&amp;L'!$E$23</f>
        <v>0</v>
      </c>
      <c r="W457" s="260">
        <f>W88*'Data - P&amp;L'!$E$23</f>
        <v>5.4</v>
      </c>
      <c r="X457" s="260">
        <f>X88*'Data - P&amp;L'!$E$23</f>
        <v>0</v>
      </c>
      <c r="Y457" s="260">
        <f>Y88*'Data - P&amp;L'!$E$23</f>
        <v>0</v>
      </c>
      <c r="Z457" s="260">
        <f>Z88*'Data - P&amp;L'!$E$23</f>
        <v>0</v>
      </c>
      <c r="AA457" s="260">
        <f>AA88*'Data - P&amp;L'!$E$23</f>
        <v>0</v>
      </c>
      <c r="AB457" s="260">
        <f>AB88*'Data - P&amp;L'!$E$23</f>
        <v>0</v>
      </c>
      <c r="AC457" s="260">
        <f>AC88*'Data - P&amp;L'!$E$23</f>
        <v>0</v>
      </c>
      <c r="AD457" s="260">
        <f>AD88*'Data - P&amp;L'!$E$23</f>
        <v>0</v>
      </c>
      <c r="AE457" s="260">
        <f>AE88*'Data - P&amp;L'!$E$23</f>
        <v>0</v>
      </c>
      <c r="AF457" s="260">
        <f>AF88*'Data - P&amp;L'!$E$23</f>
        <v>0</v>
      </c>
      <c r="AG457" s="93">
        <f t="shared" si="134"/>
        <v>27</v>
      </c>
    </row>
    <row r="458">
      <c r="A458" s="254" t="s">
        <v>411</v>
      </c>
      <c r="B458" s="261"/>
      <c r="C458" s="261"/>
      <c r="D458" s="261"/>
      <c r="E458" s="261"/>
      <c r="F458" s="261"/>
      <c r="G458" s="261"/>
      <c r="H458" s="261"/>
      <c r="I458" s="261"/>
      <c r="J458" s="261"/>
      <c r="K458" s="261"/>
      <c r="L458" s="261"/>
      <c r="M458" s="261"/>
      <c r="N458" s="261"/>
      <c r="O458" s="261"/>
      <c r="P458" s="261"/>
      <c r="Q458" s="261"/>
      <c r="R458" s="261"/>
      <c r="S458" s="261"/>
      <c r="T458" s="261"/>
      <c r="U458" s="261"/>
      <c r="V458" s="261"/>
      <c r="W458" s="261"/>
      <c r="X458" s="261"/>
      <c r="Y458" s="261"/>
      <c r="Z458" s="261"/>
      <c r="AA458" s="261"/>
      <c r="AB458" s="261"/>
      <c r="AC458" s="261"/>
      <c r="AD458" s="261"/>
      <c r="AE458" s="261"/>
      <c r="AF458" s="261"/>
      <c r="AG458" s="258"/>
    </row>
    <row r="459">
      <c r="A459" s="250" t="s">
        <v>412</v>
      </c>
      <c r="B459" s="260">
        <f t="shared" ref="B459:AF459" si="135">B50</f>
        <v>3844.09</v>
      </c>
      <c r="C459" s="260">
        <f t="shared" si="135"/>
        <v>4055.37</v>
      </c>
      <c r="D459" s="260">
        <f t="shared" si="135"/>
        <v>5095.66</v>
      </c>
      <c r="E459" s="260">
        <f t="shared" si="135"/>
        <v>3519.57</v>
      </c>
      <c r="F459" s="260">
        <f t="shared" si="135"/>
        <v>4250.54</v>
      </c>
      <c r="G459" s="260">
        <f t="shared" si="135"/>
        <v>4119.82</v>
      </c>
      <c r="H459" s="260">
        <f t="shared" si="135"/>
        <v>3542.38</v>
      </c>
      <c r="I459" s="260">
        <f t="shared" si="135"/>
        <v>3223.01</v>
      </c>
      <c r="J459" s="260">
        <f t="shared" si="135"/>
        <v>2318.1</v>
      </c>
      <c r="K459" s="260">
        <f t="shared" si="135"/>
        <v>1842.11</v>
      </c>
      <c r="L459" s="260">
        <f t="shared" si="135"/>
        <v>2660.59</v>
      </c>
      <c r="M459" s="260">
        <f t="shared" si="135"/>
        <v>2614.07</v>
      </c>
      <c r="N459" s="260">
        <f t="shared" si="135"/>
        <v>1534.36</v>
      </c>
      <c r="O459" s="260">
        <f t="shared" si="135"/>
        <v>1704.75</v>
      </c>
      <c r="P459" s="260">
        <f t="shared" si="135"/>
        <v>1277.74</v>
      </c>
      <c r="Q459" s="260">
        <f t="shared" si="135"/>
        <v>1185.04</v>
      </c>
      <c r="R459" s="260">
        <f t="shared" si="135"/>
        <v>1685.34</v>
      </c>
      <c r="S459" s="260">
        <f t="shared" si="135"/>
        <v>1708.21</v>
      </c>
      <c r="T459" s="260">
        <f t="shared" si="135"/>
        <v>1323.38</v>
      </c>
      <c r="U459" s="260">
        <f t="shared" si="135"/>
        <v>1467.02</v>
      </c>
      <c r="V459" s="260">
        <f t="shared" si="135"/>
        <v>1525.25</v>
      </c>
      <c r="W459" s="260">
        <f t="shared" si="135"/>
        <v>1246.17</v>
      </c>
      <c r="X459" s="260">
        <f t="shared" si="135"/>
        <v>1096.21</v>
      </c>
      <c r="Y459" s="260">
        <f t="shared" si="135"/>
        <v>1086.01</v>
      </c>
      <c r="Z459" s="260">
        <f t="shared" si="135"/>
        <v>1213.07</v>
      </c>
      <c r="AA459" s="260">
        <f t="shared" si="135"/>
        <v>1459.3</v>
      </c>
      <c r="AB459" s="260">
        <f t="shared" si="135"/>
        <v>1260.96</v>
      </c>
      <c r="AC459" s="260">
        <f t="shared" si="135"/>
        <v>1450.33</v>
      </c>
      <c r="AD459" s="260">
        <f t="shared" si="135"/>
        <v>1257.48</v>
      </c>
      <c r="AE459" s="260">
        <f t="shared" si="135"/>
        <v>915.67</v>
      </c>
      <c r="AF459" s="260">
        <f t="shared" si="135"/>
        <v>1194.32</v>
      </c>
      <c r="AG459" s="93">
        <f t="shared" ref="AG459:AG460" si="136">SUM(B459:AF459)</f>
        <v>66675.92</v>
      </c>
    </row>
    <row r="460">
      <c r="A460" s="256" t="s">
        <v>413</v>
      </c>
      <c r="B460" s="262">
        <f>((SUM(B222:B225))+B255)*'Data - P&amp;L'!$O$3</f>
        <v>0</v>
      </c>
      <c r="C460" s="262">
        <f>((SUM(C222:C225))+C255)*'Data - P&amp;L'!$O$3</f>
        <v>0</v>
      </c>
      <c r="D460" s="262">
        <f>((SUM(D222:D225))+D255)*'Data - P&amp;L'!$O$3</f>
        <v>0</v>
      </c>
      <c r="E460" s="262">
        <f>((SUM(E222:E225))+E255)*'Data - P&amp;L'!$O$3</f>
        <v>0</v>
      </c>
      <c r="F460" s="262">
        <f>((SUM(F222:F225))+F255)*'Data - P&amp;L'!$O$3</f>
        <v>0</v>
      </c>
      <c r="G460" s="262">
        <f>((SUM(G222:G225))+G255)*'Data - P&amp;L'!$O$3</f>
        <v>0</v>
      </c>
      <c r="H460" s="262">
        <f>((SUM(H222:H225))+H255)*'Data - P&amp;L'!$O$3</f>
        <v>0</v>
      </c>
      <c r="I460" s="262">
        <f>((SUM(I222:I225))+I255)*'Data - P&amp;L'!$O$3</f>
        <v>0</v>
      </c>
      <c r="J460" s="262">
        <f>((SUM(J222:J225))+J255)*'Data - P&amp;L'!$O$3</f>
        <v>0</v>
      </c>
      <c r="K460" s="262">
        <f>((SUM(K222:K225))+K255)*'Data - P&amp;L'!$O$3</f>
        <v>0</v>
      </c>
      <c r="L460" s="262">
        <f>((SUM(L222:L225))+L255)*'Data - P&amp;L'!$O$3</f>
        <v>0</v>
      </c>
      <c r="M460" s="262">
        <f>((SUM(M222:M225))+M255)*'Data - P&amp;L'!$O$3</f>
        <v>0</v>
      </c>
      <c r="N460" s="262">
        <f>((SUM(N222:N225))+N255)*'Data - P&amp;L'!$O$3</f>
        <v>0</v>
      </c>
      <c r="O460" s="262">
        <f>((SUM(O222:O225))+O255)*'Data - P&amp;L'!$O$3</f>
        <v>0</v>
      </c>
      <c r="P460" s="262">
        <f>((SUM(P222:P225))+P255)*'Data - P&amp;L'!$O$3</f>
        <v>0</v>
      </c>
      <c r="Q460" s="262">
        <f>((SUM(Q222:Q225))+Q255)*'Data - P&amp;L'!$O$3</f>
        <v>0</v>
      </c>
      <c r="R460" s="262">
        <f>((SUM(R222:R225))+R255)*'Data - P&amp;L'!$O$3</f>
        <v>0</v>
      </c>
      <c r="S460" s="262">
        <f>((SUM(S222:S225))+S255)*'Data - P&amp;L'!$O$3</f>
        <v>0</v>
      </c>
      <c r="T460" s="262">
        <f>((SUM(T222:T225))+T255)*'Data - P&amp;L'!$O$3</f>
        <v>0</v>
      </c>
      <c r="U460" s="262">
        <f>((SUM(U222:U225))+U255)*'Data - P&amp;L'!$O$3</f>
        <v>0</v>
      </c>
      <c r="V460" s="262">
        <f>((SUM(V222:V225))+V255)*'Data - P&amp;L'!$O$3</f>
        <v>0</v>
      </c>
      <c r="W460" s="262">
        <f>((SUM(W222:W225))+W255)*'Data - P&amp;L'!$O$3</f>
        <v>0</v>
      </c>
      <c r="X460" s="262">
        <f>((SUM(X222:X225))+X255)*'Data - P&amp;L'!$O$3</f>
        <v>0</v>
      </c>
      <c r="Y460" s="262">
        <f>((SUM(Y222:Y225))+Y255)*'Data - P&amp;L'!$O$3</f>
        <v>0</v>
      </c>
      <c r="Z460" s="262">
        <f>((SUM(Z222:Z225))+Z255)*'Data - P&amp;L'!$O$3</f>
        <v>0</v>
      </c>
      <c r="AA460" s="262">
        <f>((SUM(AA222:AA225))+AA255)*'Data - P&amp;L'!$O$3</f>
        <v>0</v>
      </c>
      <c r="AB460" s="262">
        <f>((SUM(AB222:AB225))+AB255)*'Data - P&amp;L'!$O$3</f>
        <v>0</v>
      </c>
      <c r="AC460" s="262">
        <f>((SUM(AC222:AC225))+AC255)*'Data - P&amp;L'!$O$3</f>
        <v>0</v>
      </c>
      <c r="AD460" s="262">
        <f>((SUM(AD222:AD225))+AD255)*'Data - P&amp;L'!$O$3</f>
        <v>0</v>
      </c>
      <c r="AE460" s="262">
        <f>((SUM(AE222:AE225))+AE255)*'Data - P&amp;L'!$O$3</f>
        <v>0</v>
      </c>
      <c r="AF460" s="262">
        <f>((SUM(AF222:AF225))+AF255)*'Data - P&amp;L'!$O$3</f>
        <v>0</v>
      </c>
      <c r="AG460" s="258">
        <f t="shared" si="136"/>
        <v>0</v>
      </c>
    </row>
    <row r="461">
      <c r="A461" s="86"/>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263"/>
      <c r="Z461" s="263"/>
      <c r="AA461" s="263"/>
      <c r="AB461" s="263"/>
      <c r="AC461" s="263"/>
      <c r="AD461" s="263"/>
      <c r="AE461" s="263"/>
      <c r="AF461" s="263"/>
      <c r="AG461" s="93"/>
    </row>
    <row r="462">
      <c r="A462" s="223" t="s">
        <v>414</v>
      </c>
      <c r="B462" s="264">
        <f t="shared" ref="B462:AF462" si="137">SUM(B436:B460)</f>
        <v>40110.10705</v>
      </c>
      <c r="C462" s="264">
        <f t="shared" si="137"/>
        <v>42736.8551</v>
      </c>
      <c r="D462" s="264">
        <f t="shared" si="137"/>
        <v>53277.33794</v>
      </c>
      <c r="E462" s="264">
        <f t="shared" si="137"/>
        <v>41655.62966</v>
      </c>
      <c r="F462" s="264">
        <f t="shared" si="137"/>
        <v>45984.5012</v>
      </c>
      <c r="G462" s="264">
        <f t="shared" si="137"/>
        <v>49743.61166</v>
      </c>
      <c r="H462" s="264">
        <f t="shared" si="137"/>
        <v>42707.99031</v>
      </c>
      <c r="I462" s="264">
        <f t="shared" si="137"/>
        <v>35237.19782</v>
      </c>
      <c r="J462" s="264">
        <f t="shared" si="137"/>
        <v>26268.52103</v>
      </c>
      <c r="K462" s="264">
        <f t="shared" si="137"/>
        <v>23596.36713</v>
      </c>
      <c r="L462" s="264">
        <f t="shared" si="137"/>
        <v>27216.5591</v>
      </c>
      <c r="M462" s="264">
        <f t="shared" si="137"/>
        <v>26342.56053</v>
      </c>
      <c r="N462" s="264">
        <f t="shared" si="137"/>
        <v>19077.95379</v>
      </c>
      <c r="O462" s="264">
        <f t="shared" si="137"/>
        <v>19927.42501</v>
      </c>
      <c r="P462" s="264">
        <f t="shared" si="137"/>
        <v>18024.95678</v>
      </c>
      <c r="Q462" s="264">
        <f t="shared" si="137"/>
        <v>13951.53924</v>
      </c>
      <c r="R462" s="264">
        <f t="shared" si="137"/>
        <v>17282.95172</v>
      </c>
      <c r="S462" s="264">
        <f t="shared" si="137"/>
        <v>17527.242</v>
      </c>
      <c r="T462" s="264">
        <f t="shared" si="137"/>
        <v>15243.93967</v>
      </c>
      <c r="U462" s="264">
        <f t="shared" si="137"/>
        <v>16481.31159</v>
      </c>
      <c r="V462" s="264">
        <f t="shared" si="137"/>
        <v>15676.89774</v>
      </c>
      <c r="W462" s="264">
        <f t="shared" si="137"/>
        <v>13784.23359</v>
      </c>
      <c r="X462" s="264">
        <f t="shared" si="137"/>
        <v>12757.19886</v>
      </c>
      <c r="Y462" s="264">
        <f t="shared" si="137"/>
        <v>13145.87862</v>
      </c>
      <c r="Z462" s="264">
        <f t="shared" si="137"/>
        <v>13484.06133</v>
      </c>
      <c r="AA462" s="264">
        <f t="shared" si="137"/>
        <v>16605.03712</v>
      </c>
      <c r="AB462" s="264">
        <f t="shared" si="137"/>
        <v>15199.33205</v>
      </c>
      <c r="AC462" s="264">
        <f t="shared" si="137"/>
        <v>15946.19691</v>
      </c>
      <c r="AD462" s="264">
        <f t="shared" si="137"/>
        <v>14516.51944</v>
      </c>
      <c r="AE462" s="264">
        <f t="shared" si="137"/>
        <v>11656.51542</v>
      </c>
      <c r="AF462" s="264">
        <f t="shared" si="137"/>
        <v>13683.92474</v>
      </c>
      <c r="AG462" s="93">
        <f>SUM(B462:AF462)</f>
        <v>748850.3541</v>
      </c>
    </row>
    <row r="463">
      <c r="A463" s="166"/>
      <c r="AG463" s="265"/>
    </row>
    <row r="464">
      <c r="A464" s="166"/>
      <c r="B464" s="43"/>
      <c r="C464" s="43"/>
      <c r="D464" s="43"/>
      <c r="E464" s="43"/>
      <c r="F464" s="43"/>
      <c r="G464" s="43"/>
      <c r="H464" s="43"/>
      <c r="I464" s="43"/>
      <c r="J464" s="43"/>
      <c r="K464" s="43"/>
      <c r="L464" s="43"/>
      <c r="M464" s="43"/>
      <c r="N464" s="43"/>
      <c r="O464" s="43"/>
      <c r="P464" s="43"/>
      <c r="Q464" s="43"/>
      <c r="R464" s="43"/>
      <c r="S464" s="43"/>
      <c r="T464" s="43"/>
      <c r="U464" s="43"/>
      <c r="V464" s="43"/>
      <c r="W464" s="43"/>
      <c r="AG464" s="265"/>
    </row>
    <row r="465">
      <c r="A465" s="86"/>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263"/>
      <c r="Z465" s="263"/>
      <c r="AA465" s="263"/>
      <c r="AB465" s="263"/>
      <c r="AC465" s="263"/>
      <c r="AD465" s="263"/>
      <c r="AE465" s="263"/>
      <c r="AF465" s="263"/>
      <c r="AG465" s="93"/>
    </row>
    <row r="466">
      <c r="A466" s="266" t="s">
        <v>415</v>
      </c>
      <c r="B466" s="267">
        <f t="shared" ref="B466:X466" si="138">B468/B59</f>
        <v>142.7783205</v>
      </c>
      <c r="C466" s="267">
        <f t="shared" si="138"/>
        <v>139.6180549</v>
      </c>
      <c r="D466" s="267">
        <f t="shared" si="138"/>
        <v>140.0275927</v>
      </c>
      <c r="E466" s="267">
        <f t="shared" si="138"/>
        <v>114.891635</v>
      </c>
      <c r="F466" s="267">
        <f t="shared" si="138"/>
        <v>134.9949923</v>
      </c>
      <c r="G466" s="267">
        <f t="shared" si="138"/>
        <v>113.8235932</v>
      </c>
      <c r="H466" s="267">
        <f t="shared" si="138"/>
        <v>110.4035313</v>
      </c>
      <c r="I466" s="267">
        <f t="shared" si="138"/>
        <v>120.4085774</v>
      </c>
      <c r="J466" s="267">
        <f t="shared" si="138"/>
        <v>144.7208974</v>
      </c>
      <c r="K466" s="267">
        <f t="shared" si="138"/>
        <v>111.1006866</v>
      </c>
      <c r="L466" s="267">
        <f t="shared" si="138"/>
        <v>185.339893</v>
      </c>
      <c r="M466" s="267">
        <f t="shared" si="138"/>
        <v>222.0789093</v>
      </c>
      <c r="N466" s="267">
        <f t="shared" si="138"/>
        <v>144.1462494</v>
      </c>
      <c r="O466" s="267">
        <f t="shared" si="138"/>
        <v>133.4914149</v>
      </c>
      <c r="P466" s="267">
        <f t="shared" si="138"/>
        <v>81.53639231</v>
      </c>
      <c r="Q466" s="267">
        <f t="shared" si="138"/>
        <v>129.7735342</v>
      </c>
      <c r="R466" s="267">
        <f t="shared" si="138"/>
        <v>166.9138294</v>
      </c>
      <c r="S466" s="267">
        <f t="shared" si="138"/>
        <v>188.0866274</v>
      </c>
      <c r="T466" s="267">
        <f t="shared" si="138"/>
        <v>154.6849047</v>
      </c>
      <c r="U466" s="267">
        <f t="shared" si="138"/>
        <v>129.9010071</v>
      </c>
      <c r="V466" s="267">
        <f t="shared" si="138"/>
        <v>181.8640451</v>
      </c>
      <c r="W466" s="267">
        <f t="shared" si="138"/>
        <v>174.6161192</v>
      </c>
      <c r="X466" s="267">
        <f t="shared" si="138"/>
        <v>142.4132627</v>
      </c>
      <c r="Y466" s="267"/>
      <c r="Z466" s="267"/>
      <c r="AA466" s="267"/>
      <c r="AB466" s="267"/>
      <c r="AC466" s="267"/>
      <c r="AD466" s="267"/>
      <c r="AE466" s="267"/>
      <c r="AF466" s="267"/>
      <c r="AG466" s="268"/>
    </row>
    <row r="467">
      <c r="A467" s="269">
        <f>SUM(B52:AF52)</f>
        <v>1097741.46</v>
      </c>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263"/>
      <c r="Z467" s="263"/>
      <c r="AA467" s="263"/>
      <c r="AB467" s="263"/>
      <c r="AC467" s="263"/>
      <c r="AD467" s="263"/>
      <c r="AE467" s="263"/>
      <c r="AF467" s="263"/>
      <c r="AG467" s="93"/>
    </row>
    <row r="468">
      <c r="A468" s="270" t="s">
        <v>416</v>
      </c>
      <c r="B468" s="263">
        <f t="shared" ref="B468:AF468" si="139">B52-B462</f>
        <v>22701.75295</v>
      </c>
      <c r="C468" s="263">
        <f t="shared" si="139"/>
        <v>22618.1249</v>
      </c>
      <c r="D468" s="263">
        <f t="shared" si="139"/>
        <v>29545.82206</v>
      </c>
      <c r="E468" s="263">
        <f t="shared" si="139"/>
        <v>16889.07034</v>
      </c>
      <c r="F468" s="263">
        <f t="shared" si="139"/>
        <v>21059.2188</v>
      </c>
      <c r="G468" s="263">
        <f t="shared" si="139"/>
        <v>21171.18834</v>
      </c>
      <c r="H468" s="263">
        <f t="shared" si="139"/>
        <v>16560.52969</v>
      </c>
      <c r="I468" s="263">
        <f t="shared" si="139"/>
        <v>15051.07218</v>
      </c>
      <c r="J468" s="263">
        <f t="shared" si="139"/>
        <v>12735.43897</v>
      </c>
      <c r="K468" s="263">
        <f t="shared" si="139"/>
        <v>8554.752871</v>
      </c>
      <c r="L468" s="263">
        <f t="shared" si="139"/>
        <v>15753.8909</v>
      </c>
      <c r="M468" s="263">
        <f t="shared" si="139"/>
        <v>18432.54947</v>
      </c>
      <c r="N468" s="263">
        <f t="shared" si="139"/>
        <v>8216.336213</v>
      </c>
      <c r="O468" s="263">
        <f t="shared" si="139"/>
        <v>7075.044989</v>
      </c>
      <c r="P468" s="263">
        <f t="shared" si="139"/>
        <v>3995.283223</v>
      </c>
      <c r="Q468" s="263">
        <f t="shared" si="139"/>
        <v>4801.620764</v>
      </c>
      <c r="R468" s="263">
        <f t="shared" si="139"/>
        <v>9514.088277</v>
      </c>
      <c r="S468" s="263">
        <f t="shared" si="139"/>
        <v>9592.417995</v>
      </c>
      <c r="T468" s="263">
        <f t="shared" si="139"/>
        <v>7579.560333</v>
      </c>
      <c r="U468" s="263">
        <f t="shared" si="139"/>
        <v>7534.258411</v>
      </c>
      <c r="V468" s="263">
        <f t="shared" si="139"/>
        <v>9093.202256</v>
      </c>
      <c r="W468" s="263">
        <f t="shared" si="139"/>
        <v>6460.796412</v>
      </c>
      <c r="X468" s="263">
        <f t="shared" si="139"/>
        <v>4414.811143</v>
      </c>
      <c r="Y468" s="263">
        <f t="shared" si="139"/>
        <v>4906.671375</v>
      </c>
      <c r="Z468" s="263">
        <f t="shared" si="139"/>
        <v>5446.32867</v>
      </c>
      <c r="AA468" s="263">
        <f t="shared" si="139"/>
        <v>7878.802884</v>
      </c>
      <c r="AB468" s="263">
        <f t="shared" si="139"/>
        <v>6640.907953</v>
      </c>
      <c r="AC468" s="263">
        <f t="shared" si="139"/>
        <v>7493.083094</v>
      </c>
      <c r="AD468" s="263">
        <f t="shared" si="139"/>
        <v>6330.640565</v>
      </c>
      <c r="AE468" s="263">
        <f t="shared" si="139"/>
        <v>2835.724581</v>
      </c>
      <c r="AF468" s="263">
        <f t="shared" si="139"/>
        <v>8008.115257</v>
      </c>
      <c r="AG468" s="93">
        <f>SUM(B468:AF468)</f>
        <v>348891.1059</v>
      </c>
    </row>
    <row r="469">
      <c r="A469" s="271">
        <f>SUM(B468:AF468)</f>
        <v>348891.1059</v>
      </c>
      <c r="B469" s="272"/>
      <c r="C469" s="272"/>
      <c r="D469" s="272"/>
      <c r="E469" s="272"/>
      <c r="F469" s="272"/>
      <c r="G469" s="272"/>
      <c r="H469" s="272"/>
      <c r="I469" s="272"/>
      <c r="J469" s="272"/>
      <c r="K469" s="272"/>
      <c r="L469" s="272"/>
      <c r="M469" s="272"/>
      <c r="N469" s="272"/>
      <c r="O469" s="272"/>
      <c r="P469" s="272"/>
      <c r="Q469" s="272"/>
      <c r="R469" s="272"/>
      <c r="S469" s="272"/>
      <c r="T469" s="272"/>
      <c r="U469" s="272"/>
      <c r="V469" s="272"/>
      <c r="W469" s="272"/>
      <c r="X469" s="272"/>
      <c r="Y469" s="272"/>
      <c r="Z469" s="272"/>
      <c r="AA469" s="272"/>
      <c r="AB469" s="272"/>
      <c r="AC469" s="272"/>
      <c r="AD469" s="272"/>
      <c r="AE469" s="272"/>
      <c r="AF469" s="272"/>
      <c r="AG469" s="93"/>
    </row>
    <row r="470">
      <c r="A470" s="270" t="s">
        <v>417</v>
      </c>
      <c r="B470" s="272">
        <f t="shared" ref="B470:AF470" si="140">B468/B52</f>
        <v>0.3614246251</v>
      </c>
      <c r="C470" s="272">
        <f t="shared" si="140"/>
        <v>0.3460811234</v>
      </c>
      <c r="D470" s="272">
        <f t="shared" si="140"/>
        <v>0.3567338177</v>
      </c>
      <c r="E470" s="272">
        <f t="shared" si="140"/>
        <v>0.2884816276</v>
      </c>
      <c r="F470" s="272">
        <f t="shared" si="140"/>
        <v>0.3141117289</v>
      </c>
      <c r="G470" s="272">
        <f t="shared" si="140"/>
        <v>0.2985440041</v>
      </c>
      <c r="H470" s="272">
        <f t="shared" si="140"/>
        <v>0.2794152729</v>
      </c>
      <c r="I470" s="272">
        <f t="shared" si="140"/>
        <v>0.2992958831</v>
      </c>
      <c r="J470" s="272">
        <f t="shared" si="140"/>
        <v>0.3265165633</v>
      </c>
      <c r="K470" s="272">
        <f t="shared" si="140"/>
        <v>0.2660794669</v>
      </c>
      <c r="L470" s="272">
        <f t="shared" si="140"/>
        <v>0.3666215016</v>
      </c>
      <c r="M470" s="272">
        <f t="shared" si="140"/>
        <v>0.4116695519</v>
      </c>
      <c r="N470" s="272">
        <f t="shared" si="140"/>
        <v>0.3010276586</v>
      </c>
      <c r="O470" s="272">
        <f t="shared" si="140"/>
        <v>0.2620147338</v>
      </c>
      <c r="P470" s="272">
        <f t="shared" si="140"/>
        <v>0.181436861</v>
      </c>
      <c r="Q470" s="272">
        <f t="shared" si="140"/>
        <v>0.2560432889</v>
      </c>
      <c r="R470" s="272">
        <f t="shared" si="140"/>
        <v>0.3550425076</v>
      </c>
      <c r="S470" s="272">
        <f t="shared" si="140"/>
        <v>0.3537071628</v>
      </c>
      <c r="T470" s="272">
        <f t="shared" si="140"/>
        <v>0.3320945662</v>
      </c>
      <c r="U470" s="272">
        <f t="shared" si="140"/>
        <v>0.3137239054</v>
      </c>
      <c r="V470" s="272">
        <f t="shared" si="140"/>
        <v>0.3671039784</v>
      </c>
      <c r="W470" s="272">
        <f t="shared" si="140"/>
        <v>0.3191299994</v>
      </c>
      <c r="X470" s="272">
        <f t="shared" si="140"/>
        <v>0.2570934412</v>
      </c>
      <c r="Y470" s="272">
        <f t="shared" si="140"/>
        <v>0.2717993511</v>
      </c>
      <c r="Z470" s="272">
        <f t="shared" si="140"/>
        <v>0.2877029301</v>
      </c>
      <c r="AA470" s="272">
        <f t="shared" si="140"/>
        <v>0.3217960452</v>
      </c>
      <c r="AB470" s="272">
        <f t="shared" si="140"/>
        <v>0.3040675356</v>
      </c>
      <c r="AC470" s="272">
        <f t="shared" si="140"/>
        <v>0.3196806</v>
      </c>
      <c r="AD470" s="272">
        <f t="shared" si="140"/>
        <v>0.3036692079</v>
      </c>
      <c r="AE470" s="272">
        <f t="shared" si="140"/>
        <v>0.1956719307</v>
      </c>
      <c r="AF470" s="272">
        <f t="shared" si="140"/>
        <v>0.3691729896</v>
      </c>
      <c r="AG470" s="93"/>
    </row>
    <row r="471">
      <c r="A471" s="273">
        <f>A469/A467</f>
        <v>0.3178262994</v>
      </c>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263"/>
      <c r="Z471" s="263"/>
      <c r="AA471" s="263"/>
      <c r="AB471" s="263"/>
      <c r="AC471" s="263"/>
      <c r="AD471" s="263"/>
      <c r="AE471" s="263"/>
      <c r="AF471" s="263"/>
      <c r="AG471" s="93"/>
    </row>
    <row r="472">
      <c r="A472" s="274" t="s">
        <v>418</v>
      </c>
      <c r="B472" s="275">
        <f>Summary!B97</f>
        <v>8.011578915</v>
      </c>
      <c r="C472" s="275">
        <f>Summary!C97</f>
        <v>6.905641972</v>
      </c>
      <c r="D472" s="275">
        <f>Summary!D97</f>
        <v>7.921865698</v>
      </c>
      <c r="E472" s="275">
        <f>Summary!E97</f>
        <v>5.081567954</v>
      </c>
      <c r="F472" s="275">
        <f>Summary!F97</f>
        <v>5.525723952</v>
      </c>
      <c r="G472" s="275">
        <f>Summary!G97</f>
        <v>5.39837412</v>
      </c>
      <c r="H472" s="275">
        <f>Summary!H97</f>
        <v>4.777771559</v>
      </c>
      <c r="I472" s="275">
        <f>Summary!I97</f>
        <v>5.229408035</v>
      </c>
      <c r="J472" s="275">
        <f>Summary!J97</f>
        <v>5.60958212</v>
      </c>
      <c r="K472" s="275">
        <f>Summary!K97</f>
        <v>4.268271056</v>
      </c>
      <c r="L472" s="275">
        <f>Summary!L97</f>
        <v>6.446479277</v>
      </c>
      <c r="M472" s="275">
        <f>Summary!M97</f>
        <v>8.729329876</v>
      </c>
      <c r="N472" s="275">
        <f>Summary!N97</f>
        <v>4.642009109</v>
      </c>
      <c r="O472" s="275">
        <f>Summary!O97</f>
        <v>4.012859407</v>
      </c>
      <c r="P472" s="275">
        <f>Summary!P97</f>
        <v>3.059277834</v>
      </c>
      <c r="Q472" s="275">
        <f>Summary!Q97</f>
        <v>4.023062288</v>
      </c>
      <c r="R472" s="275">
        <f>Summary!R97</f>
        <v>6.493126228</v>
      </c>
      <c r="S472" s="275">
        <f>Summary!S97</f>
        <v>6.000291227</v>
      </c>
      <c r="T472" s="275">
        <f>Summary!T97</f>
        <v>5.696087399</v>
      </c>
      <c r="U472" s="275">
        <f>Summary!U97</f>
        <v>5.469031401</v>
      </c>
      <c r="V472" s="275">
        <f>Summary!V97</f>
        <v>6.779545414</v>
      </c>
      <c r="W472" s="275">
        <f>Summary!W97</f>
        <v>4.843750518</v>
      </c>
      <c r="X472" s="275">
        <f>Summary!X97</f>
        <v>3.76243187</v>
      </c>
      <c r="Y472" s="275">
        <f>Summary!Y97</f>
        <v>3.831187357</v>
      </c>
      <c r="Z472" s="275">
        <f>Summary!Z97</f>
        <v>3.687962986</v>
      </c>
      <c r="AA472" s="275">
        <f>Summary!AA97</f>
        <v>5.010315162</v>
      </c>
      <c r="AB472" s="275">
        <f>Summary!AB97</f>
        <v>4.510418512</v>
      </c>
      <c r="AC472" s="275">
        <f>Summary!AC97</f>
        <v>5.06803678</v>
      </c>
      <c r="AD472" s="275">
        <f>Summary!AD97</f>
        <v>4.562662664</v>
      </c>
      <c r="AE472" s="275">
        <f>Summary!AE97</f>
        <v>3.216952573</v>
      </c>
      <c r="AF472" s="275">
        <f>Summary!AF97</f>
        <v>5.840801691</v>
      </c>
      <c r="AG472" s="276"/>
    </row>
    <row r="473">
      <c r="A473" s="86"/>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263"/>
      <c r="Z473" s="263"/>
      <c r="AA473" s="263"/>
      <c r="AB473" s="263"/>
      <c r="AC473" s="263"/>
      <c r="AD473" s="263"/>
      <c r="AE473" s="263"/>
      <c r="AF473" s="263"/>
      <c r="AG473" s="93"/>
    </row>
    <row r="474">
      <c r="A474" s="86"/>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263"/>
      <c r="Z474" s="263"/>
      <c r="AA474" s="263"/>
      <c r="AB474" s="263"/>
      <c r="AC474" s="263"/>
      <c r="AD474" s="263"/>
      <c r="AE474" s="263"/>
      <c r="AF474" s="263"/>
      <c r="AG474" s="93"/>
    </row>
    <row r="475">
      <c r="A475" s="247" t="s">
        <v>419</v>
      </c>
      <c r="B475" s="262" t="str">
        <f t="shared" ref="B475:AD475" si="141">iferror(#REF!+#REF!+#REF!+#REF!+#REF!,"")</f>
        <v/>
      </c>
      <c r="C475" s="262" t="str">
        <f t="shared" si="141"/>
        <v/>
      </c>
      <c r="D475" s="262" t="str">
        <f t="shared" si="141"/>
        <v/>
      </c>
      <c r="E475" s="262" t="str">
        <f t="shared" si="141"/>
        <v/>
      </c>
      <c r="F475" s="262" t="str">
        <f t="shared" si="141"/>
        <v/>
      </c>
      <c r="G475" s="262" t="str">
        <f t="shared" si="141"/>
        <v/>
      </c>
      <c r="H475" s="262" t="str">
        <f t="shared" si="141"/>
        <v/>
      </c>
      <c r="I475" s="262" t="str">
        <f t="shared" si="141"/>
        <v/>
      </c>
      <c r="J475" s="262" t="str">
        <f t="shared" si="141"/>
        <v/>
      </c>
      <c r="K475" s="262" t="str">
        <f t="shared" si="141"/>
        <v/>
      </c>
      <c r="L475" s="262" t="str">
        <f t="shared" si="141"/>
        <v/>
      </c>
      <c r="M475" s="262" t="str">
        <f t="shared" si="141"/>
        <v/>
      </c>
      <c r="N475" s="262" t="str">
        <f t="shared" si="141"/>
        <v/>
      </c>
      <c r="O475" s="262" t="str">
        <f t="shared" si="141"/>
        <v/>
      </c>
      <c r="P475" s="262" t="str">
        <f t="shared" si="141"/>
        <v/>
      </c>
      <c r="Q475" s="262" t="str">
        <f t="shared" si="141"/>
        <v/>
      </c>
      <c r="R475" s="262" t="str">
        <f t="shared" si="141"/>
        <v/>
      </c>
      <c r="S475" s="262" t="str">
        <f t="shared" si="141"/>
        <v/>
      </c>
      <c r="T475" s="262" t="str">
        <f t="shared" si="141"/>
        <v/>
      </c>
      <c r="U475" s="262" t="str">
        <f t="shared" si="141"/>
        <v/>
      </c>
      <c r="V475" s="262" t="str">
        <f t="shared" si="141"/>
        <v/>
      </c>
      <c r="W475" s="262" t="str">
        <f t="shared" si="141"/>
        <v/>
      </c>
      <c r="X475" s="262" t="str">
        <f t="shared" si="141"/>
        <v/>
      </c>
      <c r="Y475" s="262" t="str">
        <f t="shared" si="141"/>
        <v/>
      </c>
      <c r="Z475" s="262" t="str">
        <f t="shared" si="141"/>
        <v/>
      </c>
      <c r="AA475" s="262" t="str">
        <f t="shared" si="141"/>
        <v/>
      </c>
      <c r="AB475" s="262" t="str">
        <f t="shared" si="141"/>
        <v/>
      </c>
      <c r="AC475" s="262" t="str">
        <f t="shared" si="141"/>
        <v/>
      </c>
      <c r="AD475" s="262" t="str">
        <f t="shared" si="141"/>
        <v/>
      </c>
      <c r="AE475" s="263"/>
      <c r="AF475" s="263"/>
      <c r="AG475" s="93">
        <f t="shared" ref="AG475:AG524" si="143">SUM(B475:AF475)</f>
        <v>0</v>
      </c>
    </row>
    <row r="476">
      <c r="A476" s="250" t="s">
        <v>420</v>
      </c>
      <c r="B476" s="277">
        <f t="shared" ref="B476:AF476" si="142">SUM(B477:B491)-B492</f>
        <v>-683.295</v>
      </c>
      <c r="C476" s="277">
        <f t="shared" si="142"/>
        <v>-655.035</v>
      </c>
      <c r="D476" s="277">
        <f t="shared" si="142"/>
        <v>-557.95</v>
      </c>
      <c r="E476" s="277">
        <f t="shared" si="142"/>
        <v>-312.75</v>
      </c>
      <c r="F476" s="277">
        <f t="shared" si="142"/>
        <v>11.115</v>
      </c>
      <c r="G476" s="277">
        <f t="shared" si="142"/>
        <v>-439.72</v>
      </c>
      <c r="H476" s="277">
        <f t="shared" si="142"/>
        <v>0</v>
      </c>
      <c r="I476" s="277">
        <f t="shared" si="142"/>
        <v>-739.21</v>
      </c>
      <c r="J476" s="277">
        <f t="shared" si="142"/>
        <v>-2975.665</v>
      </c>
      <c r="K476" s="277">
        <f t="shared" si="142"/>
        <v>0</v>
      </c>
      <c r="L476" s="277">
        <f t="shared" si="142"/>
        <v>-187.91</v>
      </c>
      <c r="M476" s="277">
        <f t="shared" si="142"/>
        <v>-419.12</v>
      </c>
      <c r="N476" s="277">
        <f t="shared" si="142"/>
        <v>-1208.66</v>
      </c>
      <c r="O476" s="277">
        <f t="shared" si="142"/>
        <v>-682.105</v>
      </c>
      <c r="P476" s="277">
        <f t="shared" si="142"/>
        <v>-1756.21</v>
      </c>
      <c r="Q476" s="277">
        <f t="shared" si="142"/>
        <v>-430.91</v>
      </c>
      <c r="R476" s="277">
        <f t="shared" si="142"/>
        <v>-234.73</v>
      </c>
      <c r="S476" s="277">
        <f t="shared" si="142"/>
        <v>0</v>
      </c>
      <c r="T476" s="277">
        <f t="shared" si="142"/>
        <v>0</v>
      </c>
      <c r="U476" s="277">
        <f t="shared" si="142"/>
        <v>-4646.73</v>
      </c>
      <c r="V476" s="277">
        <f t="shared" si="142"/>
        <v>-451.285</v>
      </c>
      <c r="W476" s="277">
        <f t="shared" si="142"/>
        <v>-1369.825</v>
      </c>
      <c r="X476" s="277">
        <f t="shared" si="142"/>
        <v>-1249.1</v>
      </c>
      <c r="Y476" s="277">
        <f t="shared" si="142"/>
        <v>0</v>
      </c>
      <c r="Z476" s="277">
        <f t="shared" si="142"/>
        <v>-779.71</v>
      </c>
      <c r="AA476" s="277">
        <f t="shared" si="142"/>
        <v>0</v>
      </c>
      <c r="AB476" s="277">
        <f t="shared" si="142"/>
        <v>-424.7</v>
      </c>
      <c r="AC476" s="277">
        <f t="shared" si="142"/>
        <v>0</v>
      </c>
      <c r="AD476" s="277">
        <f t="shared" si="142"/>
        <v>-183.24</v>
      </c>
      <c r="AE476" s="278">
        <f t="shared" si="142"/>
        <v>0</v>
      </c>
      <c r="AF476" s="278">
        <f t="shared" si="142"/>
        <v>0</v>
      </c>
      <c r="AG476" s="93">
        <f t="shared" si="143"/>
        <v>-20376.745</v>
      </c>
    </row>
    <row r="477" outlineLevel="1">
      <c r="A477" s="147" t="s">
        <v>421</v>
      </c>
      <c r="B477" s="263">
        <f>(B262+B263+B269+B270)*'Data - P&amp;L'!$C$3</f>
        <v>0</v>
      </c>
      <c r="C477" s="263">
        <f>(C262+C263+C269+C270)*'Data - P&amp;L'!$C$3</f>
        <v>86.9</v>
      </c>
      <c r="D477" s="263">
        <f>(D262+D263+D269+D270)*'Data - P&amp;L'!$C$3</f>
        <v>0</v>
      </c>
      <c r="E477" s="263">
        <f>(E262+E263+E269+E270)*'Data - P&amp;L'!$C$3</f>
        <v>0</v>
      </c>
      <c r="F477" s="263">
        <f>(F262+F263+F269+F270)*'Data - P&amp;L'!$C$3</f>
        <v>0</v>
      </c>
      <c r="G477" s="263">
        <f>(G262+G263+G269+G270)*'Data - P&amp;L'!$C$3</f>
        <v>0</v>
      </c>
      <c r="H477" s="263">
        <f>(H262+H263+H269+H270)*'Data - P&amp;L'!$C$3</f>
        <v>0</v>
      </c>
      <c r="I477" s="263">
        <f>(I262+I263+I269+I270)*'Data - P&amp;L'!$C$3</f>
        <v>0</v>
      </c>
      <c r="J477" s="263">
        <f>(J262+J263+J269+J270)*'Data - P&amp;L'!$C$3</f>
        <v>173.8</v>
      </c>
      <c r="K477" s="263">
        <f>(K262+K263+K269+K270)*'Data - P&amp;L'!$C$3</f>
        <v>0</v>
      </c>
      <c r="L477" s="263">
        <f>(L262+L263+L269+L270)*'Data - P&amp;L'!$C$3</f>
        <v>0</v>
      </c>
      <c r="M477" s="263">
        <f>(M262+M263+M269+M270)*'Data - P&amp;L'!$C$3</f>
        <v>0</v>
      </c>
      <c r="N477" s="263">
        <f>(N262+N263+N269+N270)*'Data - P&amp;L'!$C$3</f>
        <v>0</v>
      </c>
      <c r="O477" s="263">
        <f>(O262+O263+O269+O270)*'Data - P&amp;L'!$C$3</f>
        <v>0</v>
      </c>
      <c r="P477" s="263">
        <f>(P262+P263+P269+P270)*'Data - P&amp;L'!$C$3</f>
        <v>0</v>
      </c>
      <c r="Q477" s="263">
        <f>(Q262+Q263+Q269+Q270)*'Data - P&amp;L'!$C$3</f>
        <v>0</v>
      </c>
      <c r="R477" s="263">
        <f>(R262+R263+R269+R270)*'Data - P&amp;L'!$C$3</f>
        <v>0</v>
      </c>
      <c r="S477" s="263">
        <f>(S262+S263+S269+S270)*'Data - P&amp;L'!$C$3</f>
        <v>0</v>
      </c>
      <c r="T477" s="263">
        <f>(T262+T263+T269+T270)*'Data - P&amp;L'!$C$3</f>
        <v>0</v>
      </c>
      <c r="U477" s="263">
        <f>(U262+U263+U269+U270)*'Data - P&amp;L'!$C$3</f>
        <v>0</v>
      </c>
      <c r="V477" s="263">
        <f>(V262+V263+V269+V270)*'Data - P&amp;L'!$C$3</f>
        <v>0</v>
      </c>
      <c r="W477" s="263">
        <f>(W262+W263+W269+W270)*'Data - P&amp;L'!$C$3</f>
        <v>86.9</v>
      </c>
      <c r="X477" s="263">
        <f>(X262+X263+X269+X270)*'Data - P&amp;L'!$C$3</f>
        <v>0</v>
      </c>
      <c r="Y477" s="263">
        <f>(Y262+Y263+Y269+Y270)*'Data - P&amp;L'!$C$3</f>
        <v>0</v>
      </c>
      <c r="Z477" s="263">
        <f>(Z262+Z263+Z269+Z270)*'Data - P&amp;L'!$C$3</f>
        <v>0</v>
      </c>
      <c r="AA477" s="263">
        <f>(AA262+AA263+AA269+AA270)*'Data - P&amp;L'!$C$3</f>
        <v>0</v>
      </c>
      <c r="AB477" s="263">
        <f>(AB262+AB263+AB269+AB270)*'Data - P&amp;L'!$C$3</f>
        <v>0</v>
      </c>
      <c r="AC477" s="263">
        <f>(AC262+AC263+AC269+AC270)*'Data - P&amp;L'!$C$3</f>
        <v>0</v>
      </c>
      <c r="AD477" s="263">
        <f>(AD262+AD263+AD269+AD270)*'Data - P&amp;L'!$C$3</f>
        <v>0</v>
      </c>
      <c r="AE477" s="263">
        <f>(AE262+AE263+AE269+AE270)*'Data - P&amp;L'!$C$3</f>
        <v>0</v>
      </c>
      <c r="AF477" s="263">
        <f>(AF262+AF263+AF269+AF270)*'Data - P&amp;L'!$C$3</f>
        <v>0</v>
      </c>
      <c r="AG477" s="93">
        <f t="shared" si="143"/>
        <v>347.6</v>
      </c>
    </row>
    <row r="478" outlineLevel="1">
      <c r="A478" s="147" t="s">
        <v>422</v>
      </c>
      <c r="B478" s="263">
        <f>(B264+B265+B271+B272)*'Data - P&amp;L'!$C$4</f>
        <v>97.61</v>
      </c>
      <c r="C478" s="263">
        <f>(C264+C265+C271+C272)*'Data - P&amp;L'!$C$4</f>
        <v>0</v>
      </c>
      <c r="D478" s="263">
        <f>(D264+D265+D271+D272)*'Data - P&amp;L'!$C$4</f>
        <v>0</v>
      </c>
      <c r="E478" s="263">
        <f>(E264+E265+E271+E272)*'Data - P&amp;L'!$C$4</f>
        <v>0</v>
      </c>
      <c r="F478" s="263">
        <f>(F264+F265+F271+F272)*'Data - P&amp;L'!$C$4</f>
        <v>0</v>
      </c>
      <c r="G478" s="263">
        <f>(G264+G265+G271+G272)*'Data - P&amp;L'!$C$4</f>
        <v>0</v>
      </c>
      <c r="H478" s="263">
        <f>(H264+H265+H271+H272)*'Data - P&amp;L'!$C$4</f>
        <v>0</v>
      </c>
      <c r="I478" s="263">
        <f>(I264+I265+I271+I272)*'Data - P&amp;L'!$C$4</f>
        <v>195.22</v>
      </c>
      <c r="J478" s="263">
        <f>(J264+J265+J271+J272)*'Data - P&amp;L'!$C$4</f>
        <v>0</v>
      </c>
      <c r="K478" s="263">
        <f>(K264+K265+K271+K272)*'Data - P&amp;L'!$C$4</f>
        <v>0</v>
      </c>
      <c r="L478" s="263">
        <f>(L264+L265+L271+L272)*'Data - P&amp;L'!$C$4</f>
        <v>0</v>
      </c>
      <c r="M478" s="263">
        <f>(M264+M265+M271+M272)*'Data - P&amp;L'!$C$4</f>
        <v>0</v>
      </c>
      <c r="N478" s="263">
        <f>(N264+N265+N271+N272)*'Data - P&amp;L'!$C$4</f>
        <v>97.61</v>
      </c>
      <c r="O478" s="263">
        <f>(O264+O265+O271+O272)*'Data - P&amp;L'!$C$4</f>
        <v>0</v>
      </c>
      <c r="P478" s="263">
        <f>(P264+P265+P271+P272)*'Data - P&amp;L'!$C$4</f>
        <v>0</v>
      </c>
      <c r="Q478" s="263">
        <f>(Q264+Q265+Q271+Q272)*'Data - P&amp;L'!$C$4</f>
        <v>0</v>
      </c>
      <c r="R478" s="263">
        <f>(R264+R265+R271+R272)*'Data - P&amp;L'!$C$4</f>
        <v>0</v>
      </c>
      <c r="S478" s="263">
        <f>(S264+S265+S271+S272)*'Data - P&amp;L'!$C$4</f>
        <v>0</v>
      </c>
      <c r="T478" s="263">
        <f>(T264+T265+T271+T272)*'Data - P&amp;L'!$C$4</f>
        <v>0</v>
      </c>
      <c r="U478" s="263">
        <f>(U264+U265+U271+U272)*'Data - P&amp;L'!$C$4</f>
        <v>195.22</v>
      </c>
      <c r="V478" s="263">
        <f>(V264+V265+V271+V272)*'Data - P&amp;L'!$C$4</f>
        <v>97.61</v>
      </c>
      <c r="W478" s="263">
        <f>(W264+W265+W271+W272)*'Data - P&amp;L'!$C$4</f>
        <v>0</v>
      </c>
      <c r="X478" s="263">
        <f>(X264+X265+X271+X272)*'Data - P&amp;L'!$C$4</f>
        <v>97.61</v>
      </c>
      <c r="Y478" s="263">
        <f>(Y264+Y265+Y271+Y272)*'Data - P&amp;L'!$C$4</f>
        <v>0</v>
      </c>
      <c r="Z478" s="263">
        <f>(Z264+Z265+Z271+Z272)*'Data - P&amp;L'!$C$4</f>
        <v>0</v>
      </c>
      <c r="AA478" s="263">
        <f>(AA264+AA265+AA271+AA272)*'Data - P&amp;L'!$C$4</f>
        <v>0</v>
      </c>
      <c r="AB478" s="263">
        <f>(AB264+AB265+AB271+AB272)*'Data - P&amp;L'!$C$4</f>
        <v>0</v>
      </c>
      <c r="AC478" s="263">
        <f>(AC264+AC265+AC271+AC272)*'Data - P&amp;L'!$C$4</f>
        <v>0</v>
      </c>
      <c r="AD478" s="263">
        <f>(AD264+AD265+AD271+AD272)*'Data - P&amp;L'!$C$4</f>
        <v>0</v>
      </c>
      <c r="AE478" s="263">
        <f>(AE264+AE265+AE271+AE272)*'Data - P&amp;L'!$C$4</f>
        <v>0</v>
      </c>
      <c r="AF478" s="263">
        <f>(AF264+AF265+AF271+AF272)*'Data - P&amp;L'!$C$4</f>
        <v>0</v>
      </c>
      <c r="AG478" s="93">
        <f t="shared" si="143"/>
        <v>780.88</v>
      </c>
    </row>
    <row r="479" outlineLevel="1">
      <c r="A479" s="147" t="s">
        <v>393</v>
      </c>
      <c r="B479" s="263">
        <f>(B266+B273)*'Data - P&amp;L'!$C$15</f>
        <v>0</v>
      </c>
      <c r="C479" s="263">
        <f>(C266+C273)*'Data - P&amp;L'!$C$15</f>
        <v>0</v>
      </c>
      <c r="D479" s="263">
        <f>(D266+D273)*'Data - P&amp;L'!$C$15</f>
        <v>0</v>
      </c>
      <c r="E479" s="263">
        <f>(E266+E273)*'Data - P&amp;L'!$C$15</f>
        <v>87.9</v>
      </c>
      <c r="F479" s="263">
        <f>(F266+F273)*'Data - P&amp;L'!$C$15</f>
        <v>0</v>
      </c>
      <c r="G479" s="263">
        <f>(G266+G273)*'Data - P&amp;L'!$C$15</f>
        <v>0</v>
      </c>
      <c r="H479" s="263">
        <f>(H266+H273)*'Data - P&amp;L'!$C$15</f>
        <v>0</v>
      </c>
      <c r="I479" s="263">
        <f>(I266+I273)*'Data - P&amp;L'!$C$15</f>
        <v>0</v>
      </c>
      <c r="J479" s="263">
        <f>(J266+J273)*'Data - P&amp;L'!$C$15</f>
        <v>0</v>
      </c>
      <c r="K479" s="263">
        <f>(K266+K273)*'Data - P&amp;L'!$C$15</f>
        <v>0</v>
      </c>
      <c r="L479" s="263">
        <f>(L266+L273)*'Data - P&amp;L'!$C$15</f>
        <v>87.9</v>
      </c>
      <c r="M479" s="263">
        <f>(M266+M273)*'Data - P&amp;L'!$C$15</f>
        <v>87.9</v>
      </c>
      <c r="N479" s="263">
        <f>(N266+N273)*'Data - P&amp;L'!$C$15</f>
        <v>175.8</v>
      </c>
      <c r="O479" s="263">
        <f>(O266+O273)*'Data - P&amp;L'!$C$15</f>
        <v>87.9</v>
      </c>
      <c r="P479" s="263">
        <f>(P266+P273)*'Data - P&amp;L'!$C$15</f>
        <v>175.8</v>
      </c>
      <c r="Q479" s="263">
        <f>(Q266+Q273)*'Data - P&amp;L'!$C$15</f>
        <v>87.9</v>
      </c>
      <c r="R479" s="263">
        <f>(R266+R273)*'Data - P&amp;L'!$C$15</f>
        <v>0</v>
      </c>
      <c r="S479" s="263">
        <f>(S266+S273)*'Data - P&amp;L'!$C$15</f>
        <v>0</v>
      </c>
      <c r="T479" s="263">
        <f>(T266+T273)*'Data - P&amp;L'!$C$15</f>
        <v>0</v>
      </c>
      <c r="U479" s="263">
        <f>(U266+U273)*'Data - P&amp;L'!$C$15</f>
        <v>439.5</v>
      </c>
      <c r="V479" s="263">
        <f>(V266+V273)*'Data - P&amp;L'!$C$15</f>
        <v>0</v>
      </c>
      <c r="W479" s="263">
        <f>(W266+W273)*'Data - P&amp;L'!$C$15</f>
        <v>87.9</v>
      </c>
      <c r="X479" s="263">
        <f>(X266+X273)*'Data - P&amp;L'!$C$15</f>
        <v>0</v>
      </c>
      <c r="Y479" s="263">
        <f>(Y266+Y273)*'Data - P&amp;L'!$C$15</f>
        <v>0</v>
      </c>
      <c r="Z479" s="263">
        <f>(Z266+Z273)*'Data - P&amp;L'!$C$15</f>
        <v>175.8</v>
      </c>
      <c r="AA479" s="263">
        <f>(AA266+AA273)*'Data - P&amp;L'!$C$15</f>
        <v>0</v>
      </c>
      <c r="AB479" s="263">
        <f>(AB266+AB273)*'Data - P&amp;L'!$C$15</f>
        <v>87.9</v>
      </c>
      <c r="AC479" s="263">
        <f>(AC266+AC273)*'Data - P&amp;L'!$C$15</f>
        <v>0</v>
      </c>
      <c r="AD479" s="263">
        <f>(AD266+AD273)*'Data - P&amp;L'!$C$15</f>
        <v>87.9</v>
      </c>
      <c r="AE479" s="263">
        <f>(AE266+AE273)*'Data - P&amp;L'!$C$15</f>
        <v>0</v>
      </c>
      <c r="AF479" s="263">
        <f>(AF266+AF273)*'Data - P&amp;L'!$C$15</f>
        <v>0</v>
      </c>
      <c r="AG479" s="93">
        <f t="shared" si="143"/>
        <v>1670.1</v>
      </c>
    </row>
    <row r="480" outlineLevel="1">
      <c r="A480" s="147" t="s">
        <v>394</v>
      </c>
      <c r="B480" s="263">
        <f>(B267+B274)*'Data - P&amp;L'!$C$16</f>
        <v>194.42</v>
      </c>
      <c r="C480" s="263">
        <f>(C267+C274)*'Data - P&amp;L'!$C$16</f>
        <v>194.42</v>
      </c>
      <c r="D480" s="263">
        <f>(D267+D274)*'Data - P&amp;L'!$C$16</f>
        <v>194.42</v>
      </c>
      <c r="E480" s="263">
        <f>(E267+E274)*'Data - P&amp;L'!$C$16</f>
        <v>0</v>
      </c>
      <c r="F480" s="263">
        <f>(F267+F274)*'Data - P&amp;L'!$C$16</f>
        <v>0</v>
      </c>
      <c r="G480" s="263">
        <f>(G267+G274)*'Data - P&amp;L'!$C$16</f>
        <v>97.21</v>
      </c>
      <c r="H480" s="263">
        <f>(H267+H274)*'Data - P&amp;L'!$C$16</f>
        <v>0</v>
      </c>
      <c r="I480" s="263">
        <f>(I267+I274)*'Data - P&amp;L'!$C$16</f>
        <v>97.21</v>
      </c>
      <c r="J480" s="263">
        <f>(J267+J274)*'Data - P&amp;L'!$C$16</f>
        <v>972.1</v>
      </c>
      <c r="K480" s="263">
        <f>(K267+K274)*'Data - P&amp;L'!$C$16</f>
        <v>0</v>
      </c>
      <c r="L480" s="263">
        <f>(L267+L274)*'Data - P&amp;L'!$C$16</f>
        <v>0</v>
      </c>
      <c r="M480" s="263">
        <f>(M267+M274)*'Data - P&amp;L'!$C$16</f>
        <v>97.21</v>
      </c>
      <c r="N480" s="263">
        <f>(N267+N274)*'Data - P&amp;L'!$C$16</f>
        <v>194.42</v>
      </c>
      <c r="O480" s="263">
        <f>(O267+O274)*'Data - P&amp;L'!$C$16</f>
        <v>194.42</v>
      </c>
      <c r="P480" s="263">
        <f>(P267+P274)*'Data - P&amp;L'!$C$16</f>
        <v>486.05</v>
      </c>
      <c r="Q480" s="263">
        <f>(Q267+Q274)*'Data - P&amp;L'!$C$16</f>
        <v>97.21</v>
      </c>
      <c r="R480" s="263">
        <f>(R267+R274)*'Data - P&amp;L'!$C$16</f>
        <v>97.21</v>
      </c>
      <c r="S480" s="263">
        <f>(S267+S274)*'Data - P&amp;L'!$C$16</f>
        <v>0</v>
      </c>
      <c r="T480" s="263">
        <f>(T267+T274)*'Data - P&amp;L'!$C$16</f>
        <v>0</v>
      </c>
      <c r="U480" s="263">
        <f>(U267+U274)*'Data - P&amp;L'!$C$16</f>
        <v>1166.52</v>
      </c>
      <c r="V480" s="263">
        <f>(V267+V274)*'Data - P&amp;L'!$C$16</f>
        <v>97.21</v>
      </c>
      <c r="W480" s="263">
        <f>(W267+W274)*'Data - P&amp;L'!$C$16</f>
        <v>388.84</v>
      </c>
      <c r="X480" s="263">
        <f>(X267+X274)*'Data - P&amp;L'!$C$16</f>
        <v>388.84</v>
      </c>
      <c r="Y480" s="263">
        <f>(Y267+Y274)*'Data - P&amp;L'!$C$16</f>
        <v>0</v>
      </c>
      <c r="Z480" s="263">
        <f>(Z267+Z274)*'Data - P&amp;L'!$C$16</f>
        <v>291.63</v>
      </c>
      <c r="AA480" s="263">
        <f>(AA267+AA274)*'Data - P&amp;L'!$C$16</f>
        <v>0</v>
      </c>
      <c r="AB480" s="263">
        <f>(AB267+AB274)*'Data - P&amp;L'!$C$16</f>
        <v>97.21</v>
      </c>
      <c r="AC480" s="263">
        <f>(AC267+AC274)*'Data - P&amp;L'!$C$16</f>
        <v>0</v>
      </c>
      <c r="AD480" s="263">
        <f>(AD267+AD274)*'Data - P&amp;L'!$C$16</f>
        <v>0</v>
      </c>
      <c r="AE480" s="263">
        <f>(AE267+AE274)*'Data - P&amp;L'!$C$16</f>
        <v>0</v>
      </c>
      <c r="AF480" s="263">
        <f>(AF267+AF274)*'Data - P&amp;L'!$C$16</f>
        <v>0</v>
      </c>
      <c r="AG480" s="93">
        <f t="shared" si="143"/>
        <v>5346.55</v>
      </c>
    </row>
    <row r="481" outlineLevel="1">
      <c r="A481" s="147" t="s">
        <v>423</v>
      </c>
      <c r="B481" s="263">
        <f>(B279+B293)*'Data - P&amp;L'!$C$6</f>
        <v>5.49</v>
      </c>
      <c r="C481" s="263">
        <f>(C279+C293)*'Data - P&amp;L'!$C$6</f>
        <v>0</v>
      </c>
      <c r="D481" s="263">
        <f>(D279+D293)*'Data - P&amp;L'!$C$6</f>
        <v>0</v>
      </c>
      <c r="E481" s="263">
        <f>(E279+E293)*'Data - P&amp;L'!$C$6</f>
        <v>0</v>
      </c>
      <c r="F481" s="263">
        <f>(F279+F293)*'Data - P&amp;L'!$C$6</f>
        <v>0</v>
      </c>
      <c r="G481" s="263">
        <f>(G279+G293)*'Data - P&amp;L'!$C$6</f>
        <v>0</v>
      </c>
      <c r="H481" s="263">
        <f>(H279+H293)*'Data - P&amp;L'!$C$6</f>
        <v>0</v>
      </c>
      <c r="I481" s="263">
        <f>(I279+I293)*'Data - P&amp;L'!$C$6</f>
        <v>0</v>
      </c>
      <c r="J481" s="263">
        <f>(J279+J293)*'Data - P&amp;L'!$C$6</f>
        <v>0</v>
      </c>
      <c r="K481" s="263">
        <f>(K279+K293)*'Data - P&amp;L'!$C$6</f>
        <v>0</v>
      </c>
      <c r="L481" s="263">
        <f>(L279+L293)*'Data - P&amp;L'!$C$6</f>
        <v>0</v>
      </c>
      <c r="M481" s="263">
        <f>(M279+M293)*'Data - P&amp;L'!$C$6</f>
        <v>0</v>
      </c>
      <c r="N481" s="263">
        <f>(N279+N293)*'Data - P&amp;L'!$C$6</f>
        <v>5.49</v>
      </c>
      <c r="O481" s="263">
        <f>(O279+O293)*'Data - P&amp;L'!$C$6</f>
        <v>0</v>
      </c>
      <c r="P481" s="263">
        <f>(P279+P293)*'Data - P&amp;L'!$C$6</f>
        <v>0</v>
      </c>
      <c r="Q481" s="263">
        <f>(Q279+Q293)*'Data - P&amp;L'!$C$6</f>
        <v>0</v>
      </c>
      <c r="R481" s="263">
        <f>(R279+R293)*'Data - P&amp;L'!$C$6</f>
        <v>0</v>
      </c>
      <c r="S481" s="263">
        <f>(S279+S293)*'Data - P&amp;L'!$C$6</f>
        <v>0</v>
      </c>
      <c r="T481" s="263">
        <f>(T279+T293)*'Data - P&amp;L'!$C$6</f>
        <v>0</v>
      </c>
      <c r="U481" s="263">
        <f>(U279+U293)*'Data - P&amp;L'!$C$6</f>
        <v>5.49</v>
      </c>
      <c r="V481" s="263">
        <f>(V279+V293)*'Data - P&amp;L'!$C$6</f>
        <v>0</v>
      </c>
      <c r="W481" s="263">
        <f>(W279+W293)*'Data - P&amp;L'!$C$6</f>
        <v>0</v>
      </c>
      <c r="X481" s="263">
        <f>(X279+X293)*'Data - P&amp;L'!$C$6</f>
        <v>0</v>
      </c>
      <c r="Y481" s="263">
        <f>(Y279+Y293)*'Data - P&amp;L'!$C$6</f>
        <v>0</v>
      </c>
      <c r="Z481" s="263">
        <f>(Z279+Z293)*'Data - P&amp;L'!$C$6</f>
        <v>0</v>
      </c>
      <c r="AA481" s="263">
        <f>(AA279+AA293)*'Data - P&amp;L'!$C$6</f>
        <v>0</v>
      </c>
      <c r="AB481" s="263">
        <f>(AB279+AB293)*'Data - P&amp;L'!$C$6</f>
        <v>0</v>
      </c>
      <c r="AC481" s="263">
        <f>(AC279+AC293)*'Data - P&amp;L'!$C$6</f>
        <v>0</v>
      </c>
      <c r="AD481" s="263">
        <f>(AD279+AD293)*'Data - P&amp;L'!$C$6</f>
        <v>0</v>
      </c>
      <c r="AE481" s="263">
        <f>(AE279+AE293)*'Data - P&amp;L'!$C$6</f>
        <v>0</v>
      </c>
      <c r="AF481" s="263">
        <f>(AF279+AF293)*'Data - P&amp;L'!$C$6</f>
        <v>0</v>
      </c>
      <c r="AG481" s="93">
        <f t="shared" si="143"/>
        <v>16.47</v>
      </c>
    </row>
    <row r="482" outlineLevel="1">
      <c r="A482" s="147" t="s">
        <v>424</v>
      </c>
      <c r="B482" s="263">
        <f>(B280+B294)*'Data - P&amp;L'!$C$8</f>
        <v>0</v>
      </c>
      <c r="C482" s="263">
        <f>(C280+C294)*'Data - P&amp;L'!$C$8</f>
        <v>0</v>
      </c>
      <c r="D482" s="263">
        <f>(D280+D294)*'Data - P&amp;L'!$C$8</f>
        <v>0</v>
      </c>
      <c r="E482" s="263">
        <f>(E280+E294)*'Data - P&amp;L'!$C$8</f>
        <v>1.19</v>
      </c>
      <c r="F482" s="263">
        <f>(F280+F294)*'Data - P&amp;L'!$C$8</f>
        <v>0</v>
      </c>
      <c r="G482" s="263">
        <f>(G280+G294)*'Data - P&amp;L'!$C$8</f>
        <v>0</v>
      </c>
      <c r="H482" s="263">
        <f>(H280+H294)*'Data - P&amp;L'!$C$8</f>
        <v>0</v>
      </c>
      <c r="I482" s="263">
        <f>(I280+I294)*'Data - P&amp;L'!$C$8</f>
        <v>0</v>
      </c>
      <c r="J482" s="263">
        <f>(J280+J294)*'Data - P&amp;L'!$C$8</f>
        <v>1.19</v>
      </c>
      <c r="K482" s="263">
        <f>(K280+K294)*'Data - P&amp;L'!$C$8</f>
        <v>0</v>
      </c>
      <c r="L482" s="263">
        <f>(L280+L294)*'Data - P&amp;L'!$C$8</f>
        <v>0</v>
      </c>
      <c r="M482" s="263">
        <f>(M280+M294)*'Data - P&amp;L'!$C$8</f>
        <v>0</v>
      </c>
      <c r="N482" s="263">
        <f>(N280+N294)*'Data - P&amp;L'!$C$8</f>
        <v>0</v>
      </c>
      <c r="O482" s="263">
        <f>(O280+O294)*'Data - P&amp;L'!$C$8</f>
        <v>0</v>
      </c>
      <c r="P482" s="263">
        <f>(P279+P294)*'Data - P&amp;L'!$C$8</f>
        <v>0</v>
      </c>
      <c r="Q482" s="263">
        <f>(Q280+Q294)*'Data - P&amp;L'!$C$8</f>
        <v>1.19</v>
      </c>
      <c r="R482" s="263">
        <f>(R280+R294)*'Data - P&amp;L'!$C$8</f>
        <v>0</v>
      </c>
      <c r="S482" s="263">
        <f>(S280+S294)*'Data - P&amp;L'!$C$8</f>
        <v>0</v>
      </c>
      <c r="T482" s="263">
        <f>(T280+T294)*'Data - P&amp;L'!$C$8</f>
        <v>0</v>
      </c>
      <c r="U482" s="263">
        <f>(U280+U294)*'Data - P&amp;L'!$C$8</f>
        <v>0</v>
      </c>
      <c r="V482" s="263">
        <f>(V280+V294)*'Data - P&amp;L'!$C$8</f>
        <v>0</v>
      </c>
      <c r="W482" s="263">
        <f>(W280+W294)*'Data - P&amp;L'!$C$8</f>
        <v>0</v>
      </c>
      <c r="X482" s="263">
        <f>(X280+X294)*'Data - P&amp;L'!$C$8</f>
        <v>0</v>
      </c>
      <c r="Y482" s="263">
        <f>(Y280+Y294)*'Data - P&amp;L'!$C$8</f>
        <v>0</v>
      </c>
      <c r="Z482" s="263">
        <f>(Z280+Z294)*'Data - P&amp;L'!$C$8</f>
        <v>0</v>
      </c>
      <c r="AA482" s="263">
        <f>(AA280+AA294)*'Data - P&amp;L'!$C$8</f>
        <v>0</v>
      </c>
      <c r="AB482" s="263">
        <f>(AB280+AB294)*'Data - P&amp;L'!$C$8</f>
        <v>0</v>
      </c>
      <c r="AC482" s="263">
        <f>(AC280+AC294)*'Data - P&amp;L'!$C$8</f>
        <v>0</v>
      </c>
      <c r="AD482" s="263">
        <f>(AD280+AD294)*'Data - P&amp;L'!$C$8</f>
        <v>0</v>
      </c>
      <c r="AE482" s="263">
        <f>(AE280+AE294)*'Data - P&amp;L'!$C$8</f>
        <v>0</v>
      </c>
      <c r="AF482" s="263">
        <f>(AF280+AF294)*'Data - P&amp;L'!$C$8</f>
        <v>0</v>
      </c>
      <c r="AG482" s="93">
        <f t="shared" si="143"/>
        <v>3.57</v>
      </c>
    </row>
    <row r="483" outlineLevel="1">
      <c r="A483" s="147" t="s">
        <v>425</v>
      </c>
      <c r="B483" s="263">
        <f>(B281+B282+B295+B296)*'Data - P&amp;L'!$C$9</f>
        <v>0</v>
      </c>
      <c r="C483" s="263">
        <f>(C281+C282+C295+C296)*'Data - P&amp;L'!$C$9</f>
        <v>0</v>
      </c>
      <c r="D483" s="263">
        <f>(D281+D282+D295+D296)*'Data - P&amp;L'!$C$9</f>
        <v>6.66</v>
      </c>
      <c r="E483" s="263">
        <f>(E281+E282+E295+E296)*'Data - P&amp;L'!$C$9</f>
        <v>0</v>
      </c>
      <c r="F483" s="263">
        <f>(F281+F282+F295+F296)*'Data - P&amp;L'!$C$9</f>
        <v>0</v>
      </c>
      <c r="G483" s="263">
        <f>(G281+G282+G295+G296)*'Data - P&amp;L'!$C$9</f>
        <v>0</v>
      </c>
      <c r="H483" s="263">
        <f>(H281+H282+H295+H296)*'Data - P&amp;L'!$C$9</f>
        <v>0</v>
      </c>
      <c r="I483" s="263">
        <f>(I281+I282+I295+I296)*'Data - P&amp;L'!$C$9</f>
        <v>0</v>
      </c>
      <c r="J483" s="263">
        <f>(J281+J282+J295+J296)*'Data - P&amp;L'!$C$9</f>
        <v>13.32</v>
      </c>
      <c r="K483" s="263">
        <f>(K281+K282+K295+K296)*'Data - P&amp;L'!$C$9</f>
        <v>0</v>
      </c>
      <c r="L483" s="263">
        <f>(L281+L282+L295+L296)*'Data - P&amp;L'!$C$9</f>
        <v>0</v>
      </c>
      <c r="M483" s="263">
        <f>(M281+M282+M295+M296)*'Data - P&amp;L'!$C$9</f>
        <v>0</v>
      </c>
      <c r="N483" s="263">
        <f>(N281+N282+N295+N296)*'Data - P&amp;L'!$C$9</f>
        <v>0</v>
      </c>
      <c r="O483" s="263">
        <f>(O281+O282+O295+O296)*'Data - P&amp;L'!$C$9</f>
        <v>6.66</v>
      </c>
      <c r="P483" s="263">
        <f>(P281+P282+P295+P296)*'Data - P&amp;L'!$C$9</f>
        <v>0</v>
      </c>
      <c r="Q483" s="263">
        <f>(Q281+Q282+Q295+Q296)*'Data - P&amp;L'!$C$9</f>
        <v>0</v>
      </c>
      <c r="R483" s="263">
        <f>(R281+R282+R295+R296)*'Data - P&amp;L'!$C$9</f>
        <v>0</v>
      </c>
      <c r="S483" s="263">
        <f>(S281+S282+S295+S296)*'Data - P&amp;L'!$C$9</f>
        <v>0</v>
      </c>
      <c r="T483" s="263">
        <f>(T281+T282+T295+T296)*'Data - P&amp;L'!$C$9</f>
        <v>0</v>
      </c>
      <c r="U483" s="263">
        <f>(U281+U282+U295+U296)*'Data - P&amp;L'!$C$9</f>
        <v>0</v>
      </c>
      <c r="V483" s="263">
        <f>(V281+V282+V295+V296)*'Data - P&amp;L'!$C$9</f>
        <v>0</v>
      </c>
      <c r="W483" s="263">
        <f>(W281+W282+W295+W296)*'Data - P&amp;L'!$C$9</f>
        <v>0</v>
      </c>
      <c r="X483" s="263">
        <f>(X281+X282+X295+X296)*'Data - P&amp;L'!$C$9</f>
        <v>6.66</v>
      </c>
      <c r="Y483" s="263">
        <f>(Y281+Y282+Y295+Y296)*'Data - P&amp;L'!$C$9</f>
        <v>0</v>
      </c>
      <c r="Z483" s="263">
        <f>(Z281+Z282+Z295+Z296)*'Data - P&amp;L'!$C$9</f>
        <v>0</v>
      </c>
      <c r="AA483" s="263">
        <f>(AA281+AA282+AA295+AA296)*'Data - P&amp;L'!$C$9</f>
        <v>0</v>
      </c>
      <c r="AB483" s="263">
        <f>(AB281+AB282+AB295+AB296)*'Data - P&amp;L'!$C$9</f>
        <v>0</v>
      </c>
      <c r="AC483" s="263">
        <f>(AC281+AC282+AC295+AC296)*'Data - P&amp;L'!$C$9</f>
        <v>0</v>
      </c>
      <c r="AD483" s="263">
        <f>(AD281+AD282+AD295+AD296)*'Data - P&amp;L'!$C$9</f>
        <v>0</v>
      </c>
      <c r="AE483" s="263">
        <f>(AE281+AE282+AE295+AE296)*'Data - P&amp;L'!$C$9</f>
        <v>0</v>
      </c>
      <c r="AF483" s="263">
        <f>(AF281+AF282+AF295+AF296)*'Data - P&amp;L'!$C$9</f>
        <v>0</v>
      </c>
      <c r="AG483" s="93">
        <f t="shared" si="143"/>
        <v>33.3</v>
      </c>
    </row>
    <row r="484" outlineLevel="1">
      <c r="A484" s="147" t="s">
        <v>426</v>
      </c>
      <c r="B484" s="263">
        <f>(B283+B284+B297+B298)*'Data - P&amp;L'!$C$5</f>
        <v>0</v>
      </c>
      <c r="C484" s="263">
        <f>(C283+C284+C297+C298)*'Data - P&amp;L'!$C$5</f>
        <v>0</v>
      </c>
      <c r="D484" s="263">
        <f>(D283+D284+D297+D298)*'Data - P&amp;L'!$C$5</f>
        <v>0</v>
      </c>
      <c r="E484" s="263">
        <f>(E283+E284+E297+E298)*'Data - P&amp;L'!$C$5</f>
        <v>0</v>
      </c>
      <c r="F484" s="263">
        <f>(F283+F284+F297+F298)*'Data - P&amp;L'!$C$5</f>
        <v>0</v>
      </c>
      <c r="G484" s="263">
        <f>(G283+G284+G297+G298)*'Data - P&amp;L'!$C$5</f>
        <v>0</v>
      </c>
      <c r="H484" s="263">
        <f>(H283+H284+H297+H298)*'Data - P&amp;L'!$C$5</f>
        <v>0</v>
      </c>
      <c r="I484" s="263">
        <f>(I283+I284+I297+I298)*'Data - P&amp;L'!$C$5</f>
        <v>0</v>
      </c>
      <c r="J484" s="263">
        <f>(J283+J284+J297+J298)*'Data - P&amp;L'!$C$5</f>
        <v>0</v>
      </c>
      <c r="K484" s="263">
        <f>(K283+K284+K297+K298)*'Data - P&amp;L'!$C$5</f>
        <v>0</v>
      </c>
      <c r="L484" s="263">
        <f>(L283+L284+L297+L298)*'Data - P&amp;L'!$C$5</f>
        <v>0</v>
      </c>
      <c r="M484" s="263">
        <f>(M283+M284+M297+M298)*'Data - P&amp;L'!$C$5</f>
        <v>0</v>
      </c>
      <c r="N484" s="263">
        <f>(N283+N284+N297+N298)*'Data - P&amp;L'!$C$5</f>
        <v>0</v>
      </c>
      <c r="O484" s="263">
        <f>(O283+O284+O297+O298)*'Data - P&amp;L'!$C$5</f>
        <v>0</v>
      </c>
      <c r="P484" s="263">
        <f>(P283+P284+P297+P298)*'Data - P&amp;L'!$C$5</f>
        <v>0</v>
      </c>
      <c r="Q484" s="263">
        <f>(Q283+Q284+Q297+Q298)*'Data - P&amp;L'!$C$5</f>
        <v>0</v>
      </c>
      <c r="R484" s="263">
        <f>(R283+R284+R297+R298)*'Data - P&amp;L'!$C$5</f>
        <v>0</v>
      </c>
      <c r="S484" s="263">
        <f>(S283+S284+S297+S298)*'Data - P&amp;L'!$C$5</f>
        <v>0</v>
      </c>
      <c r="T484" s="263">
        <f>(T283+T284+T297+T298)*'Data - P&amp;L'!$C$5</f>
        <v>0</v>
      </c>
      <c r="U484" s="263">
        <f>(U283+U284+U297+U298)*'Data - P&amp;L'!$C$5</f>
        <v>13.44</v>
      </c>
      <c r="V484" s="263">
        <f>(V283+V284+V297+V298)*'Data - P&amp;L'!$C$5</f>
        <v>0</v>
      </c>
      <c r="W484" s="263">
        <f>(W283+W284+W297+W298)*'Data - P&amp;L'!$C$5</f>
        <v>0</v>
      </c>
      <c r="X484" s="263">
        <f>(X283+X284+X297+X298)*'Data - P&amp;L'!$C$5</f>
        <v>0</v>
      </c>
      <c r="Y484" s="263">
        <f>(Y283+Y284+Y297+Y298)*'Data - P&amp;L'!$C$5</f>
        <v>0</v>
      </c>
      <c r="Z484" s="263">
        <f>(Z283+Z284+Z297+Z298)*'Data - P&amp;L'!$C$5</f>
        <v>0</v>
      </c>
      <c r="AA484" s="263">
        <f>(AA283+AA284+AA297+AA298)*'Data - P&amp;L'!$C$5</f>
        <v>0</v>
      </c>
      <c r="AB484" s="263">
        <f>(AB283+AB284+AB297+AB298)*'Data - P&amp;L'!$C$5</f>
        <v>0</v>
      </c>
      <c r="AC484" s="263">
        <f>(AC283+AC284+AC297+AC298)*'Data - P&amp;L'!$C$5</f>
        <v>0</v>
      </c>
      <c r="AD484" s="263">
        <f>(AD283+AD284+AD297+AD298)*'Data - P&amp;L'!$C$5</f>
        <v>0</v>
      </c>
      <c r="AE484" s="263">
        <f>(AE283+AE284+AE297+AE298)*'Data - P&amp;L'!$C$5</f>
        <v>0</v>
      </c>
      <c r="AF484" s="263">
        <f>(AF283+AF284+AF297+AF298)*'Data - P&amp;L'!$C$5</f>
        <v>0</v>
      </c>
      <c r="AG484" s="93">
        <f t="shared" si="143"/>
        <v>13.44</v>
      </c>
    </row>
    <row r="485" outlineLevel="1">
      <c r="A485" s="147" t="s">
        <v>427</v>
      </c>
      <c r="B485" s="263">
        <f>(B285+B286+B299+B300)*'Data - P&amp;L'!$C$10</f>
        <v>0</v>
      </c>
      <c r="C485" s="263">
        <f>(C285+C286+C299+C300)*'Data - P&amp;L'!$C$10</f>
        <v>6</v>
      </c>
      <c r="D485" s="263">
        <f>(D285+D286+D299+D300)*'Data - P&amp;L'!$C$10</f>
        <v>6</v>
      </c>
      <c r="E485" s="263">
        <f>(E285+E286+E299+E300)*'Data - P&amp;L'!$C$10</f>
        <v>0</v>
      </c>
      <c r="F485" s="263">
        <f>(F285+F286+F299+F300)*'Data - P&amp;L'!$C$10</f>
        <v>0</v>
      </c>
      <c r="G485" s="263">
        <f>(G285+G286+G299+G300)*'Data - P&amp;L'!$C$10</f>
        <v>0</v>
      </c>
      <c r="H485" s="263">
        <f>(H285+H286+H299+H300)*'Data - P&amp;L'!$C$10</f>
        <v>0</v>
      </c>
      <c r="I485" s="263">
        <f>(I285+I286+I299+I300)*'Data - P&amp;L'!$C$10</f>
        <v>0</v>
      </c>
      <c r="J485" s="263">
        <f>(J285+J286+J299+J300)*'Data - P&amp;L'!$C$10</f>
        <v>6</v>
      </c>
      <c r="K485" s="263">
        <f>(K285+K286+K299+K300)*'Data - P&amp;L'!$C$10</f>
        <v>0</v>
      </c>
      <c r="L485" s="263">
        <f>(L285+L286+L299+L300)*'Data - P&amp;L'!$C$10</f>
        <v>0</v>
      </c>
      <c r="M485" s="263">
        <f>(M285+M286+M299+M300)*'Data - P&amp;L'!$C$10</f>
        <v>0</v>
      </c>
      <c r="N485" s="263">
        <f>(N285+N286+N299+N300)*'Data - P&amp;L'!$C$10</f>
        <v>6</v>
      </c>
      <c r="O485" s="263">
        <f>(O285+O286+O299+O300)*'Data - P&amp;L'!$C$10</f>
        <v>0</v>
      </c>
      <c r="P485" s="263">
        <f>(P285+P286+P299+P300)*'Data - P&amp;L'!$C$10</f>
        <v>0</v>
      </c>
      <c r="Q485" s="263">
        <f>(Q285+Q286+Q299+Q300)*'Data - P&amp;L'!$C$10</f>
        <v>6</v>
      </c>
      <c r="R485" s="263">
        <f>(R285+R286+R299+R300)*'Data - P&amp;L'!$C$10</f>
        <v>0</v>
      </c>
      <c r="S485" s="263">
        <f>(S285+S286+S299+S300)*'Data - P&amp;L'!$C$10</f>
        <v>0</v>
      </c>
      <c r="T485" s="263">
        <f>(T285+T286+T299+T300)*'Data - P&amp;L'!$C$10</f>
        <v>0</v>
      </c>
      <c r="U485" s="263">
        <f>(U285+U286+U299+U300)*'Data - P&amp;L'!$C$10</f>
        <v>12</v>
      </c>
      <c r="V485" s="263">
        <f>(V285+V286+V299+V300)*'Data - P&amp;L'!$C$10</f>
        <v>6</v>
      </c>
      <c r="W485" s="263">
        <f>(W285+W286+W299+W300)*'Data - P&amp;L'!$C$10</f>
        <v>6</v>
      </c>
      <c r="X485" s="263">
        <f>(X285+X286+X299+X300)*'Data - P&amp;L'!$C$10</f>
        <v>6</v>
      </c>
      <c r="Y485" s="263">
        <f>(Y285+Y286+Y299+Y300)*'Data - P&amp;L'!$C$10</f>
        <v>0</v>
      </c>
      <c r="Z485" s="263">
        <f>(Z285+Z286+Z299+Z300)*'Data - P&amp;L'!$C$10</f>
        <v>0</v>
      </c>
      <c r="AA485" s="263">
        <f>(AA285+AA286+AA299+AA300)*'Data - P&amp;L'!$C$10</f>
        <v>0</v>
      </c>
      <c r="AB485" s="263">
        <f>(AB285+AB286+AB299+AB300)*'Data - P&amp;L'!$C$10</f>
        <v>0</v>
      </c>
      <c r="AC485" s="263">
        <f>(AC285+AC286+AC299+AC300)*'Data - P&amp;L'!$C$10</f>
        <v>0</v>
      </c>
      <c r="AD485" s="263">
        <f>(AD285+AD286+AD299+AD300)*'Data - P&amp;L'!$C$10</f>
        <v>0</v>
      </c>
      <c r="AE485" s="263">
        <f>(AE285+AE286+AE299+AE300)*'Data - P&amp;L'!$C$10</f>
        <v>0</v>
      </c>
      <c r="AF485" s="263">
        <f>(AF285+AF286+AF299+AF300)*'Data - P&amp;L'!$C$10</f>
        <v>0</v>
      </c>
      <c r="AG485" s="93">
        <f t="shared" si="143"/>
        <v>60</v>
      </c>
    </row>
    <row r="486" outlineLevel="1">
      <c r="A486" s="147" t="s">
        <v>400</v>
      </c>
      <c r="B486" s="263">
        <f>(B287+B301)*'Data - P&amp;L'!$C$17</f>
        <v>0</v>
      </c>
      <c r="C486" s="263">
        <f>(C287+C301)*'Data - P&amp;L'!$C$17</f>
        <v>0</v>
      </c>
      <c r="D486" s="263">
        <f>(D287+D301)*'Data - P&amp;L'!$C$17</f>
        <v>0</v>
      </c>
      <c r="E486" s="263">
        <f>(E287+E301)*'Data - P&amp;L'!$C$17</f>
        <v>0</v>
      </c>
      <c r="F486" s="263">
        <f>(F287+F301)*'Data - P&amp;L'!$C$17</f>
        <v>0</v>
      </c>
      <c r="G486" s="263">
        <f>(G287+G301)*'Data - P&amp;L'!$C$17</f>
        <v>0</v>
      </c>
      <c r="H486" s="263">
        <f>(H287+H301)*'Data - P&amp;L'!$C$17</f>
        <v>0</v>
      </c>
      <c r="I486" s="263">
        <f>(I287+I301)*'Data - P&amp;L'!$C$17</f>
        <v>0</v>
      </c>
      <c r="J486" s="263">
        <f>(J287+J301)*'Data - P&amp;L'!$C$17</f>
        <v>0</v>
      </c>
      <c r="K486" s="263">
        <f>(K287+K301)*'Data - P&amp;L'!$C$17</f>
        <v>0</v>
      </c>
      <c r="L486" s="263">
        <f>(L287+L301)*'Data - P&amp;L'!$C$17</f>
        <v>0</v>
      </c>
      <c r="M486" s="263">
        <f>(M287+M301)*'Data - P&amp;L'!$C$17</f>
        <v>0</v>
      </c>
      <c r="N486" s="263">
        <f>(N287+N301)*'Data - P&amp;L'!$C$17</f>
        <v>0</v>
      </c>
      <c r="O486" s="263">
        <f>(O287+O301)*'Data - P&amp;L'!$C$17</f>
        <v>0</v>
      </c>
      <c r="P486" s="263">
        <f>(P287+P301)*'Data - P&amp;L'!$C$17</f>
        <v>0</v>
      </c>
      <c r="Q486" s="263">
        <f>(Q287+Q301)*'Data - P&amp;L'!$C$17</f>
        <v>0</v>
      </c>
      <c r="R486" s="263">
        <f>(R287+R301)*'Data - P&amp;L'!$C$17</f>
        <v>0</v>
      </c>
      <c r="S486" s="263">
        <f>(S287+S301)*'Data - P&amp;L'!$C$17</f>
        <v>0</v>
      </c>
      <c r="T486" s="263">
        <f>(T287+T301)*'Data - P&amp;L'!$C$17</f>
        <v>0</v>
      </c>
      <c r="U486" s="263">
        <f>(U287+U301)*'Data - P&amp;L'!$C$17</f>
        <v>13.73</v>
      </c>
      <c r="V486" s="263">
        <f>(V287+V301)*'Data - P&amp;L'!$C$17</f>
        <v>0</v>
      </c>
      <c r="W486" s="263">
        <f>(W287+W301)*'Data - P&amp;L'!$C$17</f>
        <v>0</v>
      </c>
      <c r="X486" s="263">
        <f>(X287+X301)*'Data - P&amp;L'!$C$17</f>
        <v>0</v>
      </c>
      <c r="Y486" s="263">
        <f>(Y287+Y301)*'Data - P&amp;L'!$C$17</f>
        <v>0</v>
      </c>
      <c r="Z486" s="263">
        <f>(Z287+Z301)*'Data - P&amp;L'!$C$17</f>
        <v>0</v>
      </c>
      <c r="AA486" s="263">
        <f>(AA287+AA301)*'Data - P&amp;L'!$C$17</f>
        <v>0</v>
      </c>
      <c r="AB486" s="263">
        <f>(AB287+AB301)*'Data - P&amp;L'!$C$17</f>
        <v>0</v>
      </c>
      <c r="AC486" s="263">
        <f>(AC287+AC301)*'Data - P&amp;L'!$C$17</f>
        <v>0</v>
      </c>
      <c r="AD486" s="263">
        <f>(AD287+AD301)*'Data - P&amp;L'!$C$17</f>
        <v>0</v>
      </c>
      <c r="AE486" s="263">
        <f>(AE287+AE301)*'Data - P&amp;L'!$C$17</f>
        <v>0</v>
      </c>
      <c r="AF486" s="263">
        <f>(AF287+AF301)*'Data - P&amp;L'!$C$17</f>
        <v>0</v>
      </c>
      <c r="AG486" s="93">
        <f t="shared" si="143"/>
        <v>13.73</v>
      </c>
    </row>
    <row r="487" outlineLevel="1">
      <c r="A487" s="147" t="s">
        <v>401</v>
      </c>
      <c r="B487" s="263">
        <f>(B288+B302)*'Data - P&amp;L'!$C$18</f>
        <v>0</v>
      </c>
      <c r="C487" s="263">
        <f>(C288+C302)*'Data - P&amp;L'!$C$18</f>
        <v>0</v>
      </c>
      <c r="D487" s="263">
        <f>(D288+D302)*'Data - P&amp;L'!$C$18</f>
        <v>0</v>
      </c>
      <c r="E487" s="263">
        <f>(E288+E302)*'Data - P&amp;L'!$C$18</f>
        <v>0</v>
      </c>
      <c r="F487" s="263">
        <f>(F288+F302)*'Data - P&amp;L'!$C$18</f>
        <v>0</v>
      </c>
      <c r="G487" s="263">
        <f>(G288+G302)*'Data - P&amp;L'!$C$18</f>
        <v>0</v>
      </c>
      <c r="H487" s="263">
        <f>(H288+H302)*'Data - P&amp;L'!$C$18</f>
        <v>0</v>
      </c>
      <c r="I487" s="263">
        <f>(I288+I302)*'Data - P&amp;L'!$C$18</f>
        <v>0</v>
      </c>
      <c r="J487" s="263">
        <f>(J288+J302)*'Data - P&amp;L'!$C$18</f>
        <v>26.68</v>
      </c>
      <c r="K487" s="263">
        <f>(K288+K302)*'Data - P&amp;L'!$C$18</f>
        <v>0</v>
      </c>
      <c r="L487" s="263">
        <f>(L288+L302)*'Data - P&amp;L'!$C$18</f>
        <v>0</v>
      </c>
      <c r="M487" s="263">
        <f>(M288+M302)*'Data - P&amp;L'!$C$18</f>
        <v>0</v>
      </c>
      <c r="N487" s="263">
        <f>(N288+N302)*'Data - P&amp;L'!$C$18</f>
        <v>0</v>
      </c>
      <c r="O487" s="263">
        <f>(O288+O302)*'Data - P&amp;L'!$C$18</f>
        <v>0</v>
      </c>
      <c r="P487" s="263">
        <f>(P288+P302)*'Data - P&amp;L'!$C$18</f>
        <v>0</v>
      </c>
      <c r="Q487" s="263">
        <f>(Q288+Q302)*'Data - P&amp;L'!$C$18</f>
        <v>0</v>
      </c>
      <c r="R487" s="263">
        <f>(R288+R302)*'Data - P&amp;L'!$C$18</f>
        <v>0</v>
      </c>
      <c r="S487" s="263">
        <f>(S288+S302)*'Data - P&amp;L'!$C$18</f>
        <v>0</v>
      </c>
      <c r="T487" s="263">
        <f>(T288+T302)*'Data - P&amp;L'!$C$18</f>
        <v>0</v>
      </c>
      <c r="U487" s="263">
        <f>(U288+U302)*'Data - P&amp;L'!$C$18</f>
        <v>26.68</v>
      </c>
      <c r="V487" s="263">
        <f>(V288+V302)*'Data - P&amp;L'!$C$18</f>
        <v>0</v>
      </c>
      <c r="W487" s="263">
        <f>(W288+W302)*'Data - P&amp;L'!$C$18</f>
        <v>0</v>
      </c>
      <c r="X487" s="263">
        <f>(X288+X302)*'Data - P&amp;L'!$C$18</f>
        <v>0</v>
      </c>
      <c r="Y487" s="263">
        <f>(Y288+Y302)*'Data - P&amp;L'!$C$18</f>
        <v>0</v>
      </c>
      <c r="Z487" s="263">
        <f>(Z288+Z302)*'Data - P&amp;L'!$C$18</f>
        <v>0</v>
      </c>
      <c r="AA487" s="263">
        <f>(AA288+AA302)*'Data - P&amp;L'!$C$18</f>
        <v>0</v>
      </c>
      <c r="AB487" s="263">
        <f>(AB288+AB302)*'Data - P&amp;L'!$C$18</f>
        <v>0</v>
      </c>
      <c r="AC487" s="263">
        <f>(AC288+AC302)*'Data - P&amp;L'!$C$18</f>
        <v>0</v>
      </c>
      <c r="AD487" s="263">
        <f>(AD288+AD302)*'Data - P&amp;L'!$C$18</f>
        <v>0</v>
      </c>
      <c r="AE487" s="263">
        <f>(AE288+AE302)*'Data - P&amp;L'!$C$18</f>
        <v>0</v>
      </c>
      <c r="AF487" s="263">
        <f>(AF288+AF302)*'Data - P&amp;L'!$C$18</f>
        <v>0</v>
      </c>
      <c r="AG487" s="93">
        <f t="shared" si="143"/>
        <v>53.36</v>
      </c>
    </row>
    <row r="488" outlineLevel="1">
      <c r="A488" s="147" t="s">
        <v>428</v>
      </c>
      <c r="B488" s="263">
        <f>((SUM(B262:B265))*'Data - P&amp;L'!$C$38)+((SUM(B269:B272))*'Data - P&amp;L'!$C$39)</f>
        <v>11.94</v>
      </c>
      <c r="C488" s="263">
        <f>((SUM(C262:C265))*'Data - P&amp;L'!$C$38)+((SUM(C269:C272))*'Data - P&amp;L'!$C$39)</f>
        <v>11.94</v>
      </c>
      <c r="D488" s="263">
        <f>((SUM(D262:D265))*'Data - P&amp;L'!$C$38)+((SUM(D269:D272))*'Data - P&amp;L'!$C$39)</f>
        <v>0</v>
      </c>
      <c r="E488" s="263">
        <f>((SUM(E262:E265))*'Data - P&amp;L'!$C$38)+((SUM(E269:E272))*'Data - P&amp;L'!$C$39)</f>
        <v>0</v>
      </c>
      <c r="F488" s="263">
        <f>((SUM(F262:F265))*'Data - P&amp;L'!$C$38)+((SUM(F269:F272))*'Data - P&amp;L'!$C$39)</f>
        <v>0</v>
      </c>
      <c r="G488" s="263">
        <f>((SUM(G262:G265))*'Data - P&amp;L'!$C$38)+((SUM(G269:G272))*'Data - P&amp;L'!$C$39)</f>
        <v>0</v>
      </c>
      <c r="H488" s="263">
        <f>((SUM(H262:H265))*'Data - P&amp;L'!$C$38)+((SUM(H269:H272))*'Data - P&amp;L'!$C$39)</f>
        <v>0</v>
      </c>
      <c r="I488" s="263">
        <f>((SUM(I262:I265))*'Data - P&amp;L'!$C$38)+((SUM(I269:I272))*'Data - P&amp;L'!$C$39)</f>
        <v>23.88</v>
      </c>
      <c r="J488" s="263">
        <f>((SUM(J262:J265))*'Data - P&amp;L'!$C$38)+((SUM(J269:J272))*'Data - P&amp;L'!$C$39)</f>
        <v>23.88</v>
      </c>
      <c r="K488" s="263">
        <f>((SUM(K262:K265))*'Data - P&amp;L'!$C$38)+((SUM(K269:K272))*'Data - P&amp;L'!$C$39)</f>
        <v>0</v>
      </c>
      <c r="L488" s="263">
        <f>((SUM(L262:L265))*'Data - P&amp;L'!$C$38)+((SUM(L269:L272))*'Data - P&amp;L'!$C$39)</f>
        <v>0</v>
      </c>
      <c r="M488" s="263">
        <f>((SUM(M262:M265))*'Data - P&amp;L'!$C$38)+((SUM(M269:M272))*'Data - P&amp;L'!$C$39)</f>
        <v>0</v>
      </c>
      <c r="N488" s="263">
        <f>((SUM(N262:N265))*'Data - P&amp;L'!$C$38)+((SUM(N269:N272))*'Data - P&amp;L'!$C$39)</f>
        <v>11.94</v>
      </c>
      <c r="O488" s="263">
        <f>((SUM(O262:O265))*'Data - P&amp;L'!$C$38)+((SUM(O269:O272))*'Data - P&amp;L'!$C$39)</f>
        <v>0</v>
      </c>
      <c r="P488" s="263">
        <f>((SUM(P262:P265))*'Data - P&amp;L'!$C$38)+((SUM(P269:P272))*'Data - P&amp;L'!$C$39)</f>
        <v>0</v>
      </c>
      <c r="Q488" s="263">
        <f>((SUM(Q262:Q265))*'Data - P&amp;L'!$C$38)+((SUM(Q269:Q272))*'Data - P&amp;L'!$C$39)</f>
        <v>0</v>
      </c>
      <c r="R488" s="263">
        <f>((SUM(R262:R265))*'Data - P&amp;L'!$C$38)+((SUM(R269:R272))*'Data - P&amp;L'!$C$39)</f>
        <v>0</v>
      </c>
      <c r="S488" s="263">
        <f>((SUM(S262:S265))*'Data - P&amp;L'!$C$38)+((SUM(S269:S272))*'Data - P&amp;L'!$C$39)</f>
        <v>0</v>
      </c>
      <c r="T488" s="263">
        <f>((SUM(T262:T265))*'Data - P&amp;L'!$C$38)+((SUM(T269:T272))*'Data - P&amp;L'!$C$39)</f>
        <v>0</v>
      </c>
      <c r="U488" s="263">
        <f>((SUM(U262:U265))*'Data - P&amp;L'!$C$38)+((SUM(U269:U272))*'Data - P&amp;L'!$C$39)</f>
        <v>23.88</v>
      </c>
      <c r="V488" s="263">
        <f>((SUM(V262:V265))*'Data - P&amp;L'!$C$38)+((SUM(V269:V272))*'Data - P&amp;L'!$C$39)</f>
        <v>11.94</v>
      </c>
      <c r="W488" s="263">
        <f>((SUM(W262:W265))*'Data - P&amp;L'!$C$38)+((SUM(W269:W272))*'Data - P&amp;L'!$C$39)</f>
        <v>11.94</v>
      </c>
      <c r="X488" s="263">
        <f>((SUM(X262:X265))*'Data - P&amp;L'!$C$38)+((SUM(X269:X272))*'Data - P&amp;L'!$C$39)</f>
        <v>11.94</v>
      </c>
      <c r="Y488" s="263">
        <f>((SUM(Y262:Y265))*'Data - P&amp;L'!$C$38)+((SUM(Y269:Y272))*'Data - P&amp;L'!$C$39)</f>
        <v>0</v>
      </c>
      <c r="Z488" s="263">
        <f>((SUM(Z262:Z265))*'Data - P&amp;L'!$C$38)+((SUM(Z269:Z272))*'Data - P&amp;L'!$C$39)</f>
        <v>0</v>
      </c>
      <c r="AA488" s="263">
        <f>((SUM(AA262:AA265))*'Data - P&amp;L'!$C$38)+((SUM(AA269:AA272))*'Data - P&amp;L'!$C$39)</f>
        <v>0</v>
      </c>
      <c r="AB488" s="263">
        <f>((SUM(AB262:AB265))*'Data - P&amp;L'!$C$38)+((SUM(AB269:AB272))*'Data - P&amp;L'!$C$39)</f>
        <v>0</v>
      </c>
      <c r="AC488" s="263">
        <f>((SUM(AC262:AC265))*'Data - P&amp;L'!$C$38)+((SUM(AC269:AC272))*'Data - P&amp;L'!$C$39)</f>
        <v>0</v>
      </c>
      <c r="AD488" s="263">
        <f>((SUM(AD262:AD265))*'Data - P&amp;L'!$C$38)+((SUM(AD269:AD272))*'Data - P&amp;L'!$C$39)</f>
        <v>0</v>
      </c>
      <c r="AE488" s="263">
        <f>((SUM(AE262:AE265))*'Data - P&amp;L'!$C$38)+((SUM(AE269:AE272))*'Data - P&amp;L'!$C$39)</f>
        <v>0</v>
      </c>
      <c r="AF488" s="263">
        <f>((SUM(AF262:AF265))*'Data - P&amp;L'!$C$38)+((SUM(AF269:AF272))*'Data - P&amp;L'!$C$39)</f>
        <v>0</v>
      </c>
      <c r="AG488" s="93">
        <f t="shared" si="143"/>
        <v>143.28</v>
      </c>
    </row>
    <row r="489" outlineLevel="1">
      <c r="A489" s="147" t="s">
        <v>429</v>
      </c>
      <c r="B489" s="263">
        <f>((B262+B263+B264+B265)*'Data - P&amp;L'!$C$34)+((B269+B270+B271+B272)*'Data - P&amp;L'!$C$35)</f>
        <v>34.49</v>
      </c>
      <c r="C489" s="263">
        <f>((C262+C263+C264+C265)*'Data - P&amp;L'!$C$34)+((C269+C270+C271+C272)*'Data - P&amp;L'!$C$35)</f>
        <v>34.49</v>
      </c>
      <c r="D489" s="263">
        <f>((D262+D263+D264+D265)*'Data - P&amp;L'!$C$34)+((D269+D270+D271+D272)*'Data - P&amp;L'!$C$35)</f>
        <v>0</v>
      </c>
      <c r="E489" s="263">
        <f>((E262+E263+E264+E265)*'Data - P&amp;L'!$C$34)+((E269+E270+E271+E272)*'Data - P&amp;L'!$C$35)</f>
        <v>0</v>
      </c>
      <c r="F489" s="263">
        <f>((F262+F263+F264+F265)*'Data - P&amp;L'!$C$34)+((F269+F270+F271+F272)*'Data - P&amp;L'!$C$35)</f>
        <v>0</v>
      </c>
      <c r="G489" s="263">
        <f>((G262+G263+G264+G265)*'Data - P&amp;L'!$C$34)+((G269+G270+G271+G272)*'Data - P&amp;L'!$C$35)</f>
        <v>0</v>
      </c>
      <c r="H489" s="263">
        <f>((H262+H263+H264+H265)*'Data - P&amp;L'!$C$34)+((H269+H270+H271+H272)*'Data - P&amp;L'!$C$35)</f>
        <v>0</v>
      </c>
      <c r="I489" s="263">
        <f>((I262+I263+I264+I265)*'Data - P&amp;L'!$C$34)+((I269+I270+I271+I272)*'Data - P&amp;L'!$C$35)</f>
        <v>68.98</v>
      </c>
      <c r="J489" s="263">
        <f>((J262+J263+J264+J265)*'Data - P&amp;L'!$C$34)+((J269+J270+J271+J272)*'Data - P&amp;L'!$C$35)</f>
        <v>68.98</v>
      </c>
      <c r="K489" s="263">
        <f>((K262+K263+K264+K265)*'Data - P&amp;L'!$C$34)+((K269+K270+K271+K272)*'Data - P&amp;L'!$C$35)</f>
        <v>0</v>
      </c>
      <c r="L489" s="263">
        <f>((L262+L263+L264+L265)*'Data - P&amp;L'!$C$34)+((L269+L270+L271+L272)*'Data - P&amp;L'!$C$35)</f>
        <v>0</v>
      </c>
      <c r="M489" s="263">
        <f>((M262+M263+M264+M265)*'Data - P&amp;L'!$C$34)+((M269+M270+M271+M272)*'Data - P&amp;L'!$C$35)</f>
        <v>0</v>
      </c>
      <c r="N489" s="263">
        <f>((N262+N263+N264+N265)*'Data - P&amp;L'!$C$34)+((N269+N270+N271+N272)*'Data - P&amp;L'!$C$35)</f>
        <v>34.49</v>
      </c>
      <c r="O489" s="263">
        <f>((O262+O263+O264+O265)*'Data - P&amp;L'!$C$34)+((O269+O270+O271+O272)*'Data - P&amp;L'!$C$35)</f>
        <v>0</v>
      </c>
      <c r="P489" s="263">
        <f>((P262+P263+P264+P265)*'Data - P&amp;L'!$C$34)+((P269+P270+P271+P272)*'Data - P&amp;L'!$C$35)</f>
        <v>0</v>
      </c>
      <c r="Q489" s="263">
        <f>((Q262+Q263+Q264+Q265)*'Data - P&amp;L'!$C$34)+((Q269+Q270+Q271+Q272)*'Data - P&amp;L'!$C$35)</f>
        <v>0</v>
      </c>
      <c r="R489" s="263">
        <f>((R262+R263+R264+R265)*'Data - P&amp;L'!$C$34)+((R269+R270+R271+R272)*'Data - P&amp;L'!$C$35)</f>
        <v>0</v>
      </c>
      <c r="S489" s="263">
        <f>((S262+S263+S264+S265)*'Data - P&amp;L'!$C$34)+((S269+S270+S271+S272)*'Data - P&amp;L'!$C$35)</f>
        <v>0</v>
      </c>
      <c r="T489" s="263">
        <f>((T262+T263+T264+T265)*'Data - P&amp;L'!$C$34)+((T269+T270+T271+T272)*'Data - P&amp;L'!$C$35)</f>
        <v>0</v>
      </c>
      <c r="U489" s="263">
        <f>((U262+U263+U264+U265)*'Data - P&amp;L'!$C$34)+((U269+U270+U271+U272)*'Data - P&amp;L'!$C$35)</f>
        <v>68.98</v>
      </c>
      <c r="V489" s="263">
        <f>((V262+V263+V264+V265)*'Data - P&amp;L'!$C$34)+((V269+V270+V271+V272)*'Data - P&amp;L'!$C$35)</f>
        <v>34.49</v>
      </c>
      <c r="W489" s="263">
        <f>((W262+W263+W264+W265)*'Data - P&amp;L'!$C$34)+((W269+W270+W271+W272)*'Data - P&amp;L'!$C$35)</f>
        <v>34.49</v>
      </c>
      <c r="X489" s="263">
        <f>((X262+X263+X264+X265)*'Data - P&amp;L'!$C$34)+((X269+X270+X271+X272)*'Data - P&amp;L'!$C$35)</f>
        <v>34.49</v>
      </c>
      <c r="Y489" s="263">
        <f>((Y262+Y263+Y264+Y265)*'Data - P&amp;L'!$C$34)+((Y269+Y270+Y271+Y272)*'Data - P&amp;L'!$C$35)</f>
        <v>0</v>
      </c>
      <c r="Z489" s="263">
        <f>((Z262+Z263+Z264+Z265)*'Data - P&amp;L'!$C$34)+((Z269+Z270+Z271+Z272)*'Data - P&amp;L'!$C$35)</f>
        <v>0</v>
      </c>
      <c r="AA489" s="263">
        <f>((AA262+AA263+AA264+AA265)*'Data - P&amp;L'!$C$34)+((AA269+AA270+AA271+AA272)*'Data - P&amp;L'!$C$35)</f>
        <v>0</v>
      </c>
      <c r="AB489" s="263">
        <f>((AB262+AB263+AB264+AB265)*'Data - P&amp;L'!$C$34)+((AB269+AB270+AB271+AB272)*'Data - P&amp;L'!$C$35)</f>
        <v>0</v>
      </c>
      <c r="AC489" s="263">
        <f>((AC262+AC263+AC264+AC265)*'Data - P&amp;L'!$C$34)+((AC269+AC270+AC271+AC272)*'Data - P&amp;L'!$C$35)</f>
        <v>0</v>
      </c>
      <c r="AD489" s="263">
        <f>((AD262+AD263+AD264+AD265)*'Data - P&amp;L'!$C$34)+((AD269+AD270+AD271+AD272)*'Data - P&amp;L'!$C$35)</f>
        <v>0</v>
      </c>
      <c r="AE489" s="263">
        <f>((AE262+AE263+AE264+AE265)*'Data - P&amp;L'!$C$34)+((AE269+AE270+AE271+AE272)*'Data - P&amp;L'!$C$35)</f>
        <v>0</v>
      </c>
      <c r="AF489" s="263">
        <f>((AF262+AF263+AF264+AF265)*'Data - P&amp;L'!$C$34)+((AF269+AF270+AF271+AF272)*'Data - P&amp;L'!$C$35)</f>
        <v>0</v>
      </c>
      <c r="AG489" s="93">
        <f t="shared" si="143"/>
        <v>413.88</v>
      </c>
    </row>
    <row r="490" outlineLevel="1">
      <c r="A490" s="147" t="s">
        <v>430</v>
      </c>
      <c r="B490" s="263">
        <f>(B290*'Data - P&amp;L'!$D$38)+(B303*'Data - P&amp;L'!$D$39)</f>
        <v>1.435</v>
      </c>
      <c r="C490" s="263">
        <f>(C290*'Data - P&amp;L'!$D$38)+(C303*'Data - P&amp;L'!$D$39)</f>
        <v>1.435</v>
      </c>
      <c r="D490" s="263">
        <f>(D290*'Data - P&amp;L'!$D$38)+(D303*'Data - P&amp;L'!$D$39)</f>
        <v>2.87</v>
      </c>
      <c r="E490" s="263">
        <f>(E290*'Data - P&amp;L'!$D$38)+(E303*'Data - P&amp;L'!$D$39)</f>
        <v>2.87</v>
      </c>
      <c r="F490" s="263">
        <f>(F290*'Data - P&amp;L'!$D$38)+(F303*'Data - P&amp;L'!$D$39)</f>
        <v>1.435</v>
      </c>
      <c r="G490" s="263">
        <f>(G290*'Data - P&amp;L'!$D$38)+(G303*'Data - P&amp;L'!$D$39)</f>
        <v>0</v>
      </c>
      <c r="H490" s="263">
        <f>(H290*'Data - P&amp;L'!$D$38)+(H303*'Data - P&amp;L'!$D$39)</f>
        <v>0</v>
      </c>
      <c r="I490" s="263">
        <f>(I290*'Data - P&amp;L'!$D$38)+(I303*'Data - P&amp;L'!$D$39)</f>
        <v>0</v>
      </c>
      <c r="J490" s="263">
        <f>(J290*'Data - P&amp;L'!$D$38)+(J303*'Data - P&amp;L'!$D$39)</f>
        <v>7.175</v>
      </c>
      <c r="K490" s="263">
        <f>(K290*'Data - P&amp;L'!$D$38)+(K303*'Data - P&amp;L'!$D$39)</f>
        <v>0</v>
      </c>
      <c r="L490" s="263">
        <f>(L290*'Data - P&amp;L'!$D$38)+(L303*'Data - P&amp;L'!$D$39)</f>
        <v>0</v>
      </c>
      <c r="M490" s="263">
        <f>(M290*'Data - P&amp;L'!$D$38)+(M303*'Data - P&amp;L'!$D$39)</f>
        <v>0</v>
      </c>
      <c r="N490" s="263">
        <f>(N290*'Data - P&amp;L'!$D$38)+(N303*'Data - P&amp;L'!$D$39)</f>
        <v>2.87</v>
      </c>
      <c r="O490" s="263">
        <f>(O290*'Data - P&amp;L'!$D$38)+(O303*'Data - P&amp;L'!$D$39)</f>
        <v>1.435</v>
      </c>
      <c r="P490" s="263">
        <f>(P290*'Data - P&amp;L'!$D$38)+(P303*'Data - P&amp;L'!$D$39)</f>
        <v>0</v>
      </c>
      <c r="Q490" s="263">
        <f>(Q290*'Data - P&amp;L'!$D$38)+(Q303*'Data - P&amp;L'!$D$39)</f>
        <v>2.87</v>
      </c>
      <c r="R490" s="263">
        <f>(R290*'Data - P&amp;L'!$D$38)+(R303*'Data - P&amp;L'!$D$39)</f>
        <v>0</v>
      </c>
      <c r="S490" s="263">
        <f>(S290*'Data - P&amp;L'!$D$38)+(S303*'Data - P&amp;L'!$D$39)</f>
        <v>0</v>
      </c>
      <c r="T490" s="263">
        <f>(T290*'Data - P&amp;L'!$D$38)+(T303*'Data - P&amp;L'!$D$39)</f>
        <v>0</v>
      </c>
      <c r="U490" s="263">
        <f>(U290*'Data - P&amp;L'!$D$38)+(U303*'Data - P&amp;L'!$D$39)</f>
        <v>8.61</v>
      </c>
      <c r="V490" s="263">
        <f>(V290*'Data - P&amp;L'!$D$38)+(V303*'Data - P&amp;L'!$D$39)</f>
        <v>1.435</v>
      </c>
      <c r="W490" s="263">
        <f>(W290*'Data - P&amp;L'!$D$38)+(W303*'Data - P&amp;L'!$D$39)</f>
        <v>1.435</v>
      </c>
      <c r="X490" s="263">
        <f>(X290*'Data - P&amp;L'!$D$38)+(X303*'Data - P&amp;L'!$D$39)</f>
        <v>2.87</v>
      </c>
      <c r="Y490" s="263">
        <f>(Y290*'Data - P&amp;L'!$D$38)+(Y303*'Data - P&amp;L'!$D$39)</f>
        <v>0</v>
      </c>
      <c r="Z490" s="263">
        <f>(Z290*'Data - P&amp;L'!$D$38)+(Z303*'Data - P&amp;L'!$D$39)</f>
        <v>0</v>
      </c>
      <c r="AA490" s="263">
        <f>(AA290*'Data - P&amp;L'!$D$38)+(AA303*'Data - P&amp;L'!$D$39)</f>
        <v>0</v>
      </c>
      <c r="AB490" s="263">
        <f>(AB290*'Data - P&amp;L'!$D$38)+(AB303*'Data - P&amp;L'!$D$39)</f>
        <v>0</v>
      </c>
      <c r="AC490" s="263">
        <f>(AC290*'Data - P&amp;L'!$D$38)+(AC303*'Data - P&amp;L'!$D$39)</f>
        <v>0</v>
      </c>
      <c r="AD490" s="263">
        <f>(AD290*'Data - P&amp;L'!$D$38)+(AD303*'Data - P&amp;L'!$D$39)</f>
        <v>0</v>
      </c>
      <c r="AE490" s="263">
        <f>(AE290*'Data - P&amp;L'!$D$38)+(AE303*'Data - P&amp;L'!$D$39)</f>
        <v>0</v>
      </c>
      <c r="AF490" s="263">
        <f>(AF290*'Data - P&amp;L'!$D$38)+(AF303*'Data - P&amp;L'!$D$39)</f>
        <v>0</v>
      </c>
      <c r="AG490" s="93">
        <f t="shared" si="143"/>
        <v>38.745</v>
      </c>
    </row>
    <row r="491" outlineLevel="1">
      <c r="A491" s="147" t="s">
        <v>431</v>
      </c>
      <c r="B491" s="263">
        <f>(B290*'Data - P&amp;L'!$D$34)+(B303*'Data - P&amp;L'!$D$35)</f>
        <v>9.68</v>
      </c>
      <c r="C491" s="263">
        <f>(C290*'Data - P&amp;L'!$D$34)+(C303*'Data - P&amp;L'!$D$35)</f>
        <v>9.68</v>
      </c>
      <c r="D491" s="263">
        <f>(D290*'Data - P&amp;L'!$D$34)+(D303*'Data - P&amp;L'!$D$35)</f>
        <v>19.36</v>
      </c>
      <c r="E491" s="263">
        <f>(E290*'Data - P&amp;L'!$D$34)+(E303*'Data - P&amp;L'!$D$35)</f>
        <v>19.36</v>
      </c>
      <c r="F491" s="263">
        <f>(F290*'Data - P&amp;L'!$D$34)+(F303*'Data - P&amp;L'!$D$35)</f>
        <v>9.68</v>
      </c>
      <c r="G491" s="263">
        <f>(G290*'Data - P&amp;L'!$D$34)+(G303*'Data - P&amp;L'!$D$35)</f>
        <v>0</v>
      </c>
      <c r="H491" s="263">
        <f>(H290*'Data - P&amp;L'!$D$34)+(H303*'Data - P&amp;L'!$D$35)</f>
        <v>0</v>
      </c>
      <c r="I491" s="263">
        <f>(I290*'Data - P&amp;L'!$D$34)+(I303*'Data - P&amp;L'!$D$35)</f>
        <v>0</v>
      </c>
      <c r="J491" s="263">
        <f>(J290*'Data - P&amp;L'!$D$34)+(J303*'Data - P&amp;L'!$D$35)</f>
        <v>48.4</v>
      </c>
      <c r="K491" s="263">
        <f>(K290*'Data - P&amp;L'!$D$34)+(K303*'Data - P&amp;L'!$D$35)</f>
        <v>0</v>
      </c>
      <c r="L491" s="263">
        <f>(L290*'Data - P&amp;L'!$D$34)+(L303*'Data - P&amp;L'!$D$35)</f>
        <v>0</v>
      </c>
      <c r="M491" s="263">
        <f>(M290*'Data - P&amp;L'!$D$34)+(M303*'Data - P&amp;L'!$D$35)</f>
        <v>0</v>
      </c>
      <c r="N491" s="263">
        <f>(N290*'Data - P&amp;L'!$D$34)+(N303*'Data - P&amp;L'!$D$35)</f>
        <v>19.36</v>
      </c>
      <c r="O491" s="263">
        <f>(O290*'Data - P&amp;L'!$D$34)+(O303*'Data - P&amp;L'!$D$35)</f>
        <v>9.68</v>
      </c>
      <c r="P491" s="263">
        <f>(P290*'Data - P&amp;L'!$D$34)+(P303*'Data - P&amp;L'!$D$35)</f>
        <v>0</v>
      </c>
      <c r="Q491" s="263">
        <f>(Q290*'Data - P&amp;L'!$D$34)+(Q303*'Data - P&amp;L'!$D$35)</f>
        <v>19.36</v>
      </c>
      <c r="R491" s="263">
        <f>(R290*'Data - P&amp;L'!$D$34)+(R303*'Data - P&amp;L'!$D$35)</f>
        <v>0</v>
      </c>
      <c r="S491" s="263">
        <f>(S290*'Data - P&amp;L'!$D$34)+(S303*'Data - P&amp;L'!$D$35)</f>
        <v>0</v>
      </c>
      <c r="T491" s="263">
        <f>(T290*'Data - P&amp;L'!$D$34)+(T303*'Data - P&amp;L'!$D$35)</f>
        <v>0</v>
      </c>
      <c r="U491" s="263">
        <f>(U290*'Data - P&amp;L'!$D$34)+(U303*'Data - P&amp;L'!$D$35)</f>
        <v>58.08</v>
      </c>
      <c r="V491" s="263">
        <f>(V290*'Data - P&amp;L'!$D$34)+(V303*'Data - P&amp;L'!$D$35)</f>
        <v>9.68</v>
      </c>
      <c r="W491" s="263">
        <f>(W290*'Data - P&amp;L'!$D$34)+(W303*'Data - P&amp;L'!$D$35)</f>
        <v>9.68</v>
      </c>
      <c r="X491" s="263">
        <f>(X290*'Data - P&amp;L'!$D$34)+(X303*'Data - P&amp;L'!$D$35)</f>
        <v>19.36</v>
      </c>
      <c r="Y491" s="263">
        <f>(Y290*'Data - P&amp;L'!$D$34)+(Y303*'Data - P&amp;L'!$D$35)</f>
        <v>0</v>
      </c>
      <c r="Z491" s="263">
        <f>(Z290*'Data - P&amp;L'!$D$34)+(Z303*'Data - P&amp;L'!$D$35)</f>
        <v>0</v>
      </c>
      <c r="AA491" s="263">
        <f>(AA290*'Data - P&amp;L'!$D$34)+(AA303*'Data - P&amp;L'!$D$35)</f>
        <v>0</v>
      </c>
      <c r="AB491" s="263">
        <f>(AB290*'Data - P&amp;L'!$D$34)+(AB303*'Data - P&amp;L'!$D$35)</f>
        <v>0</v>
      </c>
      <c r="AC491" s="263">
        <f>(AC290*'Data - P&amp;L'!$D$34)+(AC303*'Data - P&amp;L'!$D$35)</f>
        <v>0</v>
      </c>
      <c r="AD491" s="263">
        <f>(AD290*'Data - P&amp;L'!$D$34)+(AD303*'Data - P&amp;L'!$D$35)</f>
        <v>0</v>
      </c>
      <c r="AE491" s="263">
        <f>(AE290*'Data - P&amp;L'!$D$34)+(AE303*'Data - P&amp;L'!$D$35)</f>
        <v>0</v>
      </c>
      <c r="AF491" s="263">
        <f>(AF290*'Data - P&amp;L'!$D$34)+(AF303*'Data - P&amp;L'!$D$35)</f>
        <v>0</v>
      </c>
      <c r="AG491" s="93">
        <f t="shared" si="143"/>
        <v>261.36</v>
      </c>
    </row>
    <row r="492" outlineLevel="1">
      <c r="A492" s="147" t="s">
        <v>432</v>
      </c>
      <c r="B492" s="263">
        <f t="shared" ref="B492:AF492" si="144">B307+B312</f>
        <v>1038.36</v>
      </c>
      <c r="C492" s="263">
        <f t="shared" si="144"/>
        <v>999.9</v>
      </c>
      <c r="D492" s="263">
        <f t="shared" si="144"/>
        <v>787.26</v>
      </c>
      <c r="E492" s="263">
        <f t="shared" si="144"/>
        <v>424.07</v>
      </c>
      <c r="F492" s="263">
        <f t="shared" si="144"/>
        <v>0</v>
      </c>
      <c r="G492" s="263">
        <f t="shared" si="144"/>
        <v>536.93</v>
      </c>
      <c r="H492" s="263">
        <f t="shared" si="144"/>
        <v>0</v>
      </c>
      <c r="I492" s="263">
        <f t="shared" si="144"/>
        <v>1124.5</v>
      </c>
      <c r="J492" s="263">
        <f t="shared" si="144"/>
        <v>4317.19</v>
      </c>
      <c r="K492" s="263">
        <f t="shared" si="144"/>
        <v>0</v>
      </c>
      <c r="L492" s="263">
        <f t="shared" si="144"/>
        <v>275.81</v>
      </c>
      <c r="M492" s="263">
        <f t="shared" si="144"/>
        <v>604.23</v>
      </c>
      <c r="N492" s="263">
        <f t="shared" si="144"/>
        <v>1756.64</v>
      </c>
      <c r="O492" s="263">
        <f t="shared" si="144"/>
        <v>982.2</v>
      </c>
      <c r="P492" s="263">
        <f t="shared" si="144"/>
        <v>2418.06</v>
      </c>
      <c r="Q492" s="263">
        <f t="shared" si="144"/>
        <v>645.44</v>
      </c>
      <c r="R492" s="263">
        <f t="shared" si="144"/>
        <v>331.94</v>
      </c>
      <c r="S492" s="263">
        <f t="shared" si="144"/>
        <v>0</v>
      </c>
      <c r="T492" s="263">
        <f t="shared" si="144"/>
        <v>0</v>
      </c>
      <c r="U492" s="263">
        <f t="shared" si="144"/>
        <v>6678.86</v>
      </c>
      <c r="V492" s="263">
        <f t="shared" si="144"/>
        <v>709.65</v>
      </c>
      <c r="W492" s="263">
        <f t="shared" si="144"/>
        <v>1997.01</v>
      </c>
      <c r="X492" s="263">
        <f t="shared" si="144"/>
        <v>1816.87</v>
      </c>
      <c r="Y492" s="263">
        <f t="shared" si="144"/>
        <v>0</v>
      </c>
      <c r="Z492" s="263">
        <f t="shared" si="144"/>
        <v>1247.14</v>
      </c>
      <c r="AA492" s="263">
        <f t="shared" si="144"/>
        <v>0</v>
      </c>
      <c r="AB492" s="263">
        <f t="shared" si="144"/>
        <v>609.81</v>
      </c>
      <c r="AC492" s="263">
        <f t="shared" si="144"/>
        <v>0</v>
      </c>
      <c r="AD492" s="263">
        <f t="shared" si="144"/>
        <v>271.14</v>
      </c>
      <c r="AE492" s="263">
        <f t="shared" si="144"/>
        <v>0</v>
      </c>
      <c r="AF492" s="263">
        <f t="shared" si="144"/>
        <v>0</v>
      </c>
      <c r="AG492" s="93">
        <f t="shared" si="143"/>
        <v>29573.01</v>
      </c>
    </row>
    <row r="493">
      <c r="A493" s="250" t="s">
        <v>433</v>
      </c>
      <c r="B493" s="277">
        <f t="shared" ref="B493:AF493" si="145">SUM(B494:B506)-B507-B508</f>
        <v>0</v>
      </c>
      <c r="C493" s="277">
        <f t="shared" si="145"/>
        <v>0</v>
      </c>
      <c r="D493" s="277">
        <f t="shared" si="145"/>
        <v>-312.3425</v>
      </c>
      <c r="E493" s="277">
        <f t="shared" si="145"/>
        <v>0</v>
      </c>
      <c r="F493" s="277">
        <f t="shared" si="145"/>
        <v>0</v>
      </c>
      <c r="G493" s="277">
        <f t="shared" si="145"/>
        <v>0</v>
      </c>
      <c r="H493" s="277">
        <f t="shared" si="145"/>
        <v>-2341.61625</v>
      </c>
      <c r="I493" s="277">
        <f t="shared" si="145"/>
        <v>-91.66125</v>
      </c>
      <c r="J493" s="277">
        <f t="shared" si="145"/>
        <v>0</v>
      </c>
      <c r="K493" s="277">
        <f t="shared" si="145"/>
        <v>0</v>
      </c>
      <c r="L493" s="277">
        <f t="shared" si="145"/>
        <v>0</v>
      </c>
      <c r="M493" s="277">
        <f t="shared" si="145"/>
        <v>0</v>
      </c>
      <c r="N493" s="277">
        <f t="shared" si="145"/>
        <v>0</v>
      </c>
      <c r="O493" s="277">
        <f t="shared" si="145"/>
        <v>-456.0525</v>
      </c>
      <c r="P493" s="277">
        <f t="shared" si="145"/>
        <v>-547.7725</v>
      </c>
      <c r="Q493" s="277">
        <f t="shared" si="145"/>
        <v>-1042.81625</v>
      </c>
      <c r="R493" s="277">
        <f t="shared" si="145"/>
        <v>0</v>
      </c>
      <c r="S493" s="277">
        <f t="shared" si="145"/>
        <v>-311.6125</v>
      </c>
      <c r="T493" s="277">
        <f t="shared" si="145"/>
        <v>0</v>
      </c>
      <c r="U493" s="277">
        <f t="shared" si="145"/>
        <v>-257.0125</v>
      </c>
      <c r="V493" s="277">
        <f t="shared" si="145"/>
        <v>-352.3925</v>
      </c>
      <c r="W493" s="277">
        <f t="shared" si="145"/>
        <v>-296.8425</v>
      </c>
      <c r="X493" s="277">
        <f t="shared" si="145"/>
        <v>-4643.7125</v>
      </c>
      <c r="Y493" s="277">
        <f t="shared" si="145"/>
        <v>0</v>
      </c>
      <c r="Z493" s="277">
        <f t="shared" si="145"/>
        <v>0</v>
      </c>
      <c r="AA493" s="277">
        <f t="shared" si="145"/>
        <v>-287.6025</v>
      </c>
      <c r="AB493" s="277">
        <f t="shared" si="145"/>
        <v>-312.4025</v>
      </c>
      <c r="AC493" s="277">
        <f t="shared" si="145"/>
        <v>-396.3425</v>
      </c>
      <c r="AD493" s="277">
        <f t="shared" si="145"/>
        <v>-861.9175</v>
      </c>
      <c r="AE493" s="277">
        <f t="shared" si="145"/>
        <v>-262.7725</v>
      </c>
      <c r="AF493" s="277">
        <f t="shared" si="145"/>
        <v>0</v>
      </c>
      <c r="AG493" s="93">
        <f t="shared" si="143"/>
        <v>-12774.87125</v>
      </c>
    </row>
    <row r="494" outlineLevel="1">
      <c r="A494" s="147" t="s">
        <v>434</v>
      </c>
      <c r="B494" s="263">
        <f>((B317+B318+B324+B325)*'Data - P&amp;L'!$C$3)*'Data - P&amp;L'!$C$54</f>
        <v>0</v>
      </c>
      <c r="C494" s="263">
        <f>((C317+C318+C324+C325)*'Data - P&amp;L'!$C$3)*'Data - P&amp;L'!$C$54</f>
        <v>0</v>
      </c>
      <c r="D494" s="263">
        <f>((D317+D318+D324+D325)*'Data - P&amp;L'!$C$3)*'Data - P&amp;L'!$C$54</f>
        <v>0</v>
      </c>
      <c r="E494" s="263">
        <f>((E317+E318+E324+E325)*'Data - P&amp;L'!$C$3)*'Data - P&amp;L'!$C$54</f>
        <v>0</v>
      </c>
      <c r="F494" s="263">
        <f>((F317+F318+F324+F325)*'Data - P&amp;L'!$C$3)*'Data - P&amp;L'!$C$54</f>
        <v>0</v>
      </c>
      <c r="G494" s="263">
        <f>((G317+G318+G324+G325)*'Data - P&amp;L'!$C$3)*'Data - P&amp;L'!$C$54</f>
        <v>0</v>
      </c>
      <c r="H494" s="263">
        <f>((H317+H318+H324+H325)*'Data - P&amp;L'!$C$3)*'Data - P&amp;L'!$C$54</f>
        <v>0</v>
      </c>
      <c r="I494" s="263">
        <f>((I317+I318+I324+I325)*'Data - P&amp;L'!$C$3)*'Data - P&amp;L'!$C$54</f>
        <v>0</v>
      </c>
      <c r="J494" s="263">
        <f>((J317+J318+J324+J325)*'Data - P&amp;L'!$C$3)*'Data - P&amp;L'!$C$54</f>
        <v>0</v>
      </c>
      <c r="K494" s="263">
        <f>((K317+K318+K324+K325)*'Data - P&amp;L'!$C$3)*'Data - P&amp;L'!$C$54</f>
        <v>0</v>
      </c>
      <c r="L494" s="263">
        <f>((L317+L318+L324+L325)*'Data - P&amp;L'!$C$3)*'Data - P&amp;L'!$C$54</f>
        <v>0</v>
      </c>
      <c r="M494" s="263">
        <f>((M317+M318+M324+M325)*'Data - P&amp;L'!$C$3)*'Data - P&amp;L'!$C$54</f>
        <v>0</v>
      </c>
      <c r="N494" s="263">
        <f>((N317+N318+N324+N325)*'Data - P&amp;L'!$C$3)*'Data - P&amp;L'!$C$54</f>
        <v>0</v>
      </c>
      <c r="O494" s="263">
        <f>((O317+O318+O324+O325)*'Data - P&amp;L'!$C$3)*'Data - P&amp;L'!$C$54</f>
        <v>0</v>
      </c>
      <c r="P494" s="263">
        <f>((P317+P318+P324+P325)*'Data - P&amp;L'!$C$3)*'Data - P&amp;L'!$C$54</f>
        <v>21.725</v>
      </c>
      <c r="Q494" s="263">
        <f>((Q317+Q318+Q324+Q325)*'Data - P&amp;L'!$C$3)*'Data - P&amp;L'!$C$54</f>
        <v>21.725</v>
      </c>
      <c r="R494" s="263">
        <f>((R317+R318+R324+R325)*'Data - P&amp;L'!$C$3)*'Data - P&amp;L'!$C$54</f>
        <v>0</v>
      </c>
      <c r="S494" s="263">
        <f>((S317+S318+S324+S325)*'Data - P&amp;L'!$C$3)*'Data - P&amp;L'!$C$54</f>
        <v>0</v>
      </c>
      <c r="T494" s="263">
        <f>((T317+T318+T324+T325)*'Data - P&amp;L'!$C$3)*'Data - P&amp;L'!$C$54</f>
        <v>0</v>
      </c>
      <c r="U494" s="263">
        <f>((U317+U318+U324+U325)*'Data - P&amp;L'!$C$3)*'Data - P&amp;L'!$C$54</f>
        <v>0</v>
      </c>
      <c r="V494" s="263">
        <f>((V317+V318+V324+V325)*'Data - P&amp;L'!$C$3)*'Data - P&amp;L'!$C$54</f>
        <v>0</v>
      </c>
      <c r="W494" s="263">
        <f>((W317+W318+W324+W325)*'Data - P&amp;L'!$C$3)*'Data - P&amp;L'!$C$54</f>
        <v>0</v>
      </c>
      <c r="X494" s="263">
        <f>((X317+X318+X324+X325)*'Data - P&amp;L'!$C$3)*'Data - P&amp;L'!$C$54</f>
        <v>130.35</v>
      </c>
      <c r="Y494" s="263">
        <f>((Y317+Y318+Y324+Y325)*'Data - P&amp;L'!$C$3)*'Data - P&amp;L'!$C$54</f>
        <v>0</v>
      </c>
      <c r="Z494" s="263">
        <f>((Z317+Z318+Z324+Z325)*'Data - P&amp;L'!$C$3)*'Data - P&amp;L'!$C$54</f>
        <v>0</v>
      </c>
      <c r="AA494" s="263">
        <f>((AA317+AA318+AA324+AA325)*'Data - P&amp;L'!$C$3)*'Data - P&amp;L'!$C$54</f>
        <v>0</v>
      </c>
      <c r="AB494" s="263">
        <f>((AB317+AB318+AB324+AB325)*'Data - P&amp;L'!$C$3)*'Data - P&amp;L'!$C$54</f>
        <v>0</v>
      </c>
      <c r="AC494" s="263">
        <f>((AC317+AC318+AC324+AC325)*'Data - P&amp;L'!$C$3)*'Data - P&amp;L'!$C$54</f>
        <v>0</v>
      </c>
      <c r="AD494" s="263">
        <f>((AD317+AD318+AD324+AD325)*'Data - P&amp;L'!$C$3)*'Data - P&amp;L'!$C$54</f>
        <v>0</v>
      </c>
      <c r="AE494" s="263">
        <f>((AE317+AE318+AE324+AE325)*'Data - P&amp;L'!$C$3)*'Data - P&amp;L'!$C$54</f>
        <v>0</v>
      </c>
      <c r="AF494" s="263">
        <f>((AF317+AF318+AF324+AF325)*'Data - P&amp;L'!$C$3)*'Data - P&amp;L'!$C$54</f>
        <v>0</v>
      </c>
      <c r="AG494" s="93">
        <f t="shared" si="143"/>
        <v>173.8</v>
      </c>
    </row>
    <row r="495" outlineLevel="1">
      <c r="A495" s="147" t="s">
        <v>435</v>
      </c>
      <c r="B495" s="263">
        <f>(B319+B320+B326+B327)*'Data - P&amp;L'!$C$4*'Data - P&amp;L'!$C$54</f>
        <v>0</v>
      </c>
      <c r="C495" s="263">
        <f>(C319+C320+C326+C327)*'Data - P&amp;L'!$C$4*'Data - P&amp;L'!$C$54</f>
        <v>0</v>
      </c>
      <c r="D495" s="263">
        <f>(D319+D320+D326+D327)*'Data - P&amp;L'!$C$4*'Data - P&amp;L'!$C$54</f>
        <v>24.4025</v>
      </c>
      <c r="E495" s="263">
        <f>(E319+E320+E326+E327)*'Data - P&amp;L'!$C$4*'Data - P&amp;L'!$C$54</f>
        <v>0</v>
      </c>
      <c r="F495" s="263">
        <f>(F319+F320+F326+F327)*'Data - P&amp;L'!$C$4*'Data - P&amp;L'!$C$54</f>
        <v>0</v>
      </c>
      <c r="G495" s="263">
        <f>(G319+G320+G326+G327)*'Data - P&amp;L'!$C$4*'Data - P&amp;L'!$C$54</f>
        <v>0</v>
      </c>
      <c r="H495" s="263">
        <f>(H319+H320+H326+H327)*'Data - P&amp;L'!$C$4*'Data - P&amp;L'!$C$54</f>
        <v>170.8175</v>
      </c>
      <c r="I495" s="263">
        <f>(I319+I320+I326+I327)*'Data - P&amp;L'!$C$4*'Data - P&amp;L'!$C$54</f>
        <v>0</v>
      </c>
      <c r="J495" s="263">
        <f>(J319+J320+J326+J327)*'Data - P&amp;L'!$C$4*'Data - P&amp;L'!$C$54</f>
        <v>0</v>
      </c>
      <c r="K495" s="263">
        <f>(K319+K320+K326+K327)*'Data - P&amp;L'!$C$4*'Data - P&amp;L'!$C$54</f>
        <v>0</v>
      </c>
      <c r="L495" s="263">
        <f>(L319+L320+L326+L327)*'Data - P&amp;L'!$C$4*'Data - P&amp;L'!$C$54</f>
        <v>0</v>
      </c>
      <c r="M495" s="263">
        <f>(M319+M320+M326+M327)*'Data - P&amp;L'!$C$4*'Data - P&amp;L'!$C$54</f>
        <v>0</v>
      </c>
      <c r="N495" s="263">
        <f>(N319+N320+N326+N327)*'Data - P&amp;L'!$C$4*'Data - P&amp;L'!$C$54</f>
        <v>0</v>
      </c>
      <c r="O495" s="263">
        <f>(O319+O320+O326+O327)*'Data - P&amp;L'!$C$4*'Data - P&amp;L'!$C$54</f>
        <v>24.4025</v>
      </c>
      <c r="P495" s="263">
        <f>(P319+P320+P326+P327)*'Data - P&amp;L'!$C$4*'Data - P&amp;L'!$C$54</f>
        <v>24.4025</v>
      </c>
      <c r="Q495" s="263">
        <f>(Q319+Q320+Q326+Q327)*'Data - P&amp;L'!$C$4*'Data - P&amp;L'!$C$54</f>
        <v>48.805</v>
      </c>
      <c r="R495" s="263">
        <f>(R319+R320+R326+R327)*'Data - P&amp;L'!$C$4*'Data - P&amp;L'!$C$54</f>
        <v>0</v>
      </c>
      <c r="S495" s="263">
        <f>(S319+S320+S326+S327)*'Data - P&amp;L'!$C$4*'Data - P&amp;L'!$C$54</f>
        <v>24.4025</v>
      </c>
      <c r="T495" s="263">
        <f>(T319+T320+T326+T327)*'Data - P&amp;L'!$C$4*'Data - P&amp;L'!$C$54</f>
        <v>0</v>
      </c>
      <c r="U495" s="263">
        <f>(U319+U320+U326+U327)*'Data - P&amp;L'!$C$4*'Data - P&amp;L'!$C$54</f>
        <v>24.4025</v>
      </c>
      <c r="V495" s="263">
        <f>(V319+V320+V326+V327)*'Data - P&amp;L'!$C$4*'Data - P&amp;L'!$C$54</f>
        <v>0</v>
      </c>
      <c r="W495" s="263">
        <f>(W319+W320+W326+W327)*'Data - P&amp;L'!$C$4*'Data - P&amp;L'!$C$54</f>
        <v>24.4025</v>
      </c>
      <c r="X495" s="263">
        <f>(X319+X320+X326+X327)*'Data - P&amp;L'!$C$4*'Data - P&amp;L'!$C$54</f>
        <v>244.025</v>
      </c>
      <c r="Y495" s="263">
        <f>(Y319+Y320+Y326+Y327)*'Data - P&amp;L'!$C$4*'Data - P&amp;L'!$C$54</f>
        <v>0</v>
      </c>
      <c r="Z495" s="263">
        <f>(Z319+Z320+Z326+Z327)*'Data - P&amp;L'!$C$4*'Data - P&amp;L'!$C$54</f>
        <v>0</v>
      </c>
      <c r="AA495" s="263">
        <f>(AA319+AA320+AA326+AA327)*'Data - P&amp;L'!$C$4*'Data - P&amp;L'!$C$54</f>
        <v>24.4025</v>
      </c>
      <c r="AB495" s="263">
        <f>(AB319+AB320+AB326+AB327)*'Data - P&amp;L'!$C$4*'Data - P&amp;L'!$C$54</f>
        <v>24.4025</v>
      </c>
      <c r="AC495" s="263">
        <f>(AC319+AC320+AC326+AC327)*'Data - P&amp;L'!$C$4*'Data - P&amp;L'!$C$54</f>
        <v>24.4025</v>
      </c>
      <c r="AD495" s="263">
        <f>(AD319+AD320+AD326+AD327)*'Data - P&amp;L'!$C$4*'Data - P&amp;L'!$C$54</f>
        <v>48.805</v>
      </c>
      <c r="AE495" s="263">
        <f>(AE319+AE320+AE326+AE327)*'Data - P&amp;L'!$C$4*'Data - P&amp;L'!$C$54</f>
        <v>24.4025</v>
      </c>
      <c r="AF495" s="263">
        <f>(AF319+AF320+AF326+AF327)*'Data - P&amp;L'!$C$4*'Data - P&amp;L'!$C$54</f>
        <v>0</v>
      </c>
      <c r="AG495" s="93">
        <f t="shared" si="143"/>
        <v>756.4775</v>
      </c>
    </row>
    <row r="496" outlineLevel="1">
      <c r="A496" s="147" t="s">
        <v>393</v>
      </c>
      <c r="B496" s="263">
        <f>(B321+B328)*'Data - P&amp;L'!$C$15*'Data - P&amp;L'!$C$54</f>
        <v>0</v>
      </c>
      <c r="C496" s="263">
        <f>(C321+C328)*'Data - P&amp;L'!$C$15*'Data - P&amp;L'!$C$54</f>
        <v>0</v>
      </c>
      <c r="D496" s="263">
        <f>(D321+D328)*'Data - P&amp;L'!$C$15*'Data - P&amp;L'!$C$54</f>
        <v>0</v>
      </c>
      <c r="E496" s="263">
        <f>(E321+E328)*'Data - P&amp;L'!$C$15*'Data - P&amp;L'!$C$54</f>
        <v>0</v>
      </c>
      <c r="F496" s="263">
        <f>(F321+F328)*'Data - P&amp;L'!$C$15*'Data - P&amp;L'!$C$54</f>
        <v>0</v>
      </c>
      <c r="G496" s="263">
        <f>(G321+G328)*'Data - P&amp;L'!$C$15*'Data - P&amp;L'!$C$54</f>
        <v>0</v>
      </c>
      <c r="H496" s="263">
        <f>(H321+H328)*'Data - P&amp;L'!$C$15*'Data - P&amp;L'!$C$54</f>
        <v>0</v>
      </c>
      <c r="I496" s="263">
        <f>(I321+I328)*'Data - P&amp;L'!$C$15*'Data - P&amp;L'!$C$54</f>
        <v>0</v>
      </c>
      <c r="J496" s="263">
        <f>(J321+J328)*'Data - P&amp;L'!$C$15*'Data - P&amp;L'!$C$54</f>
        <v>0</v>
      </c>
      <c r="K496" s="263">
        <f>(K321+K328)*'Data - P&amp;L'!$C$15*'Data - P&amp;L'!$C$54</f>
        <v>0</v>
      </c>
      <c r="L496" s="263">
        <f>(L321+L328)*'Data - P&amp;L'!$C$15*'Data - P&amp;L'!$C$54</f>
        <v>0</v>
      </c>
      <c r="M496" s="263">
        <f>(M321+M328)*'Data - P&amp;L'!$C$15*'Data - P&amp;L'!$C$54</f>
        <v>0</v>
      </c>
      <c r="N496" s="263">
        <f>(N321+N328)*'Data - P&amp;L'!$C$15*'Data - P&amp;L'!$C$54</f>
        <v>0</v>
      </c>
      <c r="O496" s="263">
        <f>(O321+O328)*'Data - P&amp;L'!$C$15*'Data - P&amp;L'!$C$54</f>
        <v>0</v>
      </c>
      <c r="P496" s="263">
        <f>(P321+P328)*'Data - P&amp;L'!$C$15*'Data - P&amp;L'!$C$54</f>
        <v>0</v>
      </c>
      <c r="Q496" s="263">
        <f>(Q321+Q328)*'Data - P&amp;L'!$C$15*'Data - P&amp;L'!$C$54</f>
        <v>0</v>
      </c>
      <c r="R496" s="263">
        <f>(R321+R328)*'Data - P&amp;L'!$C$15*'Data - P&amp;L'!$C$54</f>
        <v>0</v>
      </c>
      <c r="S496" s="263">
        <f>(S321+S328)*'Data - P&amp;L'!$C$15*'Data - P&amp;L'!$C$54</f>
        <v>0</v>
      </c>
      <c r="T496" s="263">
        <f>(T321+T328)*'Data - P&amp;L'!$C$15*'Data - P&amp;L'!$C$54</f>
        <v>0</v>
      </c>
      <c r="U496" s="263">
        <f>(U321+U328)*'Data - P&amp;L'!$C$15*'Data - P&amp;L'!$C$54</f>
        <v>0</v>
      </c>
      <c r="V496" s="263">
        <f>(V321+V328)*'Data - P&amp;L'!$C$15*'Data - P&amp;L'!$C$54</f>
        <v>0</v>
      </c>
      <c r="W496" s="263">
        <f>(W321+W328)*'Data - P&amp;L'!$C$15*'Data - P&amp;L'!$C$54</f>
        <v>0</v>
      </c>
      <c r="X496" s="263">
        <f>(X321+X328)*'Data - P&amp;L'!$C$15*'Data - P&amp;L'!$C$54</f>
        <v>0</v>
      </c>
      <c r="Y496" s="263">
        <f>(Y321+Y328)*'Data - P&amp;L'!$C$15*'Data - P&amp;L'!$C$54</f>
        <v>0</v>
      </c>
      <c r="Z496" s="263">
        <f>(Z321+Z328)*'Data - P&amp;L'!$C$15*'Data - P&amp;L'!$C$54</f>
        <v>0</v>
      </c>
      <c r="AA496" s="263">
        <f>(AA321+AA328)*'Data - P&amp;L'!$C$15*'Data - P&amp;L'!$C$54</f>
        <v>0</v>
      </c>
      <c r="AB496" s="263">
        <f>(AB321+AB328)*'Data - P&amp;L'!$C$15*'Data - P&amp;L'!$C$54</f>
        <v>0</v>
      </c>
      <c r="AC496" s="263">
        <f>(AC321+AC328)*'Data - P&amp;L'!$C$15*'Data - P&amp;L'!$C$54</f>
        <v>0</v>
      </c>
      <c r="AD496" s="263">
        <f>(AD321+AD328)*'Data - P&amp;L'!$C$15*'Data - P&amp;L'!$C$54</f>
        <v>0</v>
      </c>
      <c r="AE496" s="263">
        <f>(AE321+AE328)*'Data - P&amp;L'!$C$15*'Data - P&amp;L'!$C$54</f>
        <v>0</v>
      </c>
      <c r="AF496" s="263">
        <f>(AF321+AF328)*'Data - P&amp;L'!$C$15*'Data - P&amp;L'!$C$54</f>
        <v>0</v>
      </c>
      <c r="AG496" s="93">
        <f t="shared" si="143"/>
        <v>0</v>
      </c>
    </row>
    <row r="497" outlineLevel="1">
      <c r="A497" s="147" t="s">
        <v>394</v>
      </c>
      <c r="B497" s="263">
        <f>(B322+B329)*'Data - P&amp;L'!$C$16*'Data - P&amp;L'!$C$54</f>
        <v>0</v>
      </c>
      <c r="C497" s="263">
        <f>(C322+C329)*'Data - P&amp;L'!$C$16*'Data - P&amp;L'!$C$54</f>
        <v>0</v>
      </c>
      <c r="D497" s="263">
        <f>(D322+D329)*'Data - P&amp;L'!$C$16*'Data - P&amp;L'!$C$54</f>
        <v>0</v>
      </c>
      <c r="E497" s="263">
        <f>(E322+E329)*'Data - P&amp;L'!$C$16*'Data - P&amp;L'!$C$54</f>
        <v>0</v>
      </c>
      <c r="F497" s="263">
        <f>(F322+F329)*'Data - P&amp;L'!$C$16*'Data - P&amp;L'!$C$54</f>
        <v>0</v>
      </c>
      <c r="G497" s="263">
        <f>(G322+G329)*'Data - P&amp;L'!$C$16*'Data - P&amp;L'!$C$54</f>
        <v>0</v>
      </c>
      <c r="H497" s="263">
        <f>(H322+H329)*'Data - P&amp;L'!$C$16*'Data - P&amp;L'!$C$54</f>
        <v>0</v>
      </c>
      <c r="I497" s="263">
        <f>(I322+I329)*'Data - P&amp;L'!$C$16*'Data - P&amp;L'!$C$54</f>
        <v>0</v>
      </c>
      <c r="J497" s="263">
        <f>(J322+J329)*'Data - P&amp;L'!$C$16*'Data - P&amp;L'!$C$54</f>
        <v>0</v>
      </c>
      <c r="K497" s="263">
        <f>(K322+K329)*'Data - P&amp;L'!$C$16*'Data - P&amp;L'!$C$54</f>
        <v>0</v>
      </c>
      <c r="L497" s="263">
        <f>(L322+L329)*'Data - P&amp;L'!$C$16*'Data - P&amp;L'!$C$54</f>
        <v>0</v>
      </c>
      <c r="M497" s="263">
        <f>(M322+M329)*'Data - P&amp;L'!$C$16*'Data - P&amp;L'!$C$54</f>
        <v>0</v>
      </c>
      <c r="N497" s="263">
        <f>(N322+N329)*'Data - P&amp;L'!$C$16*'Data - P&amp;L'!$C$54</f>
        <v>0</v>
      </c>
      <c r="O497" s="263">
        <f>(O322+O329)*'Data - P&amp;L'!$C$16*'Data - P&amp;L'!$C$54</f>
        <v>0</v>
      </c>
      <c r="P497" s="263">
        <f>(P322+P329)*'Data - P&amp;L'!$C$16*'Data - P&amp;L'!$C$54</f>
        <v>0</v>
      </c>
      <c r="Q497" s="263">
        <f>(Q322+Q329)*'Data - P&amp;L'!$C$16*'Data - P&amp;L'!$C$54</f>
        <v>0</v>
      </c>
      <c r="R497" s="263">
        <f>(R322+R329)*'Data - P&amp;L'!$C$16*'Data - P&amp;L'!$C$54</f>
        <v>0</v>
      </c>
      <c r="S497" s="263">
        <f>(S322+S329)*'Data - P&amp;L'!$C$16*'Data - P&amp;L'!$C$54</f>
        <v>0</v>
      </c>
      <c r="T497" s="263">
        <f>(T322+T329)*'Data - P&amp;L'!$C$16*'Data - P&amp;L'!$C$54</f>
        <v>0</v>
      </c>
      <c r="U497" s="263">
        <f>(U322+U329)*'Data - P&amp;L'!$C$16*'Data - P&amp;L'!$C$54</f>
        <v>0</v>
      </c>
      <c r="V497" s="263">
        <f>(V322+V329)*'Data - P&amp;L'!$C$16*'Data - P&amp;L'!$C$54</f>
        <v>0</v>
      </c>
      <c r="W497" s="263">
        <f>(W322+W329)*'Data - P&amp;L'!$C$16*'Data - P&amp;L'!$C$54</f>
        <v>0</v>
      </c>
      <c r="X497" s="263">
        <f>(X322+X329)*'Data - P&amp;L'!$C$16*'Data - P&amp;L'!$C$54</f>
        <v>0</v>
      </c>
      <c r="Y497" s="263">
        <f>(Y322+Y329)*'Data - P&amp;L'!$C$16*'Data - P&amp;L'!$C$54</f>
        <v>0</v>
      </c>
      <c r="Z497" s="263">
        <f>(Z322+Z329)*'Data - P&amp;L'!$C$16*'Data - P&amp;L'!$C$54</f>
        <v>0</v>
      </c>
      <c r="AA497" s="263">
        <f>(AA322+AA329)*'Data - P&amp;L'!$C$16*'Data - P&amp;L'!$C$54</f>
        <v>0</v>
      </c>
      <c r="AB497" s="263">
        <f>(AB322+AB329)*'Data - P&amp;L'!$C$16*'Data - P&amp;L'!$C$54</f>
        <v>0</v>
      </c>
      <c r="AC497" s="263">
        <f>(AC322+AC329)*'Data - P&amp;L'!$C$16*'Data - P&amp;L'!$C$54</f>
        <v>0</v>
      </c>
      <c r="AD497" s="263">
        <f>(AD322+AD329)*'Data - P&amp;L'!$C$16*'Data - P&amp;L'!$C$54</f>
        <v>0</v>
      </c>
      <c r="AE497" s="263">
        <f>(AE322+AE329)*'Data - P&amp;L'!$C$16*'Data - P&amp;L'!$C$54</f>
        <v>0</v>
      </c>
      <c r="AF497" s="263">
        <f>(AF322+AF329)*'Data - P&amp;L'!$C$16*'Data - P&amp;L'!$C$54</f>
        <v>0</v>
      </c>
      <c r="AG497" s="93">
        <f t="shared" si="143"/>
        <v>0</v>
      </c>
    </row>
    <row r="498" outlineLevel="1">
      <c r="A498" s="147" t="s">
        <v>436</v>
      </c>
      <c r="B498" s="263">
        <f>(B334+B347)*'Data - P&amp;L'!$C$6*'Data - P&amp;L'!$C$54</f>
        <v>0</v>
      </c>
      <c r="C498" s="263">
        <f>(C334+C347)*'Data - P&amp;L'!$C$6*'Data - P&amp;L'!$C$54</f>
        <v>0</v>
      </c>
      <c r="D498" s="263">
        <f>(D334+D347)*'Data - P&amp;L'!$C$6*'Data - P&amp;L'!$C$54</f>
        <v>0</v>
      </c>
      <c r="E498" s="263">
        <f>(E334+E347)*'Data - P&amp;L'!$C$6*'Data - P&amp;L'!$C$54</f>
        <v>0</v>
      </c>
      <c r="F498" s="263">
        <f>(F334+F347)*'Data - P&amp;L'!$C$6*'Data - P&amp;L'!$C$54</f>
        <v>0</v>
      </c>
      <c r="G498" s="263">
        <f>(G334+G347)*'Data - P&amp;L'!$C$6*'Data - P&amp;L'!$C$54</f>
        <v>0</v>
      </c>
      <c r="H498" s="263">
        <f>(H334+H347)*'Data - P&amp;L'!$C$6*'Data - P&amp;L'!$C$54</f>
        <v>5.49</v>
      </c>
      <c r="I498" s="263">
        <f>(I334+I347)*'Data - P&amp;L'!$C$6*'Data - P&amp;L'!$C$54</f>
        <v>0</v>
      </c>
      <c r="J498" s="263">
        <f>(J334+J347)*'Data - P&amp;L'!$C$6*'Data - P&amp;L'!$C$54</f>
        <v>0</v>
      </c>
      <c r="K498" s="263">
        <f>(K334+K347)*'Data - P&amp;L'!$C$6*'Data - P&amp;L'!$C$54</f>
        <v>0</v>
      </c>
      <c r="L498" s="263">
        <f>(L334+L347)*'Data - P&amp;L'!$C$6*'Data - P&amp;L'!$C$54</f>
        <v>0</v>
      </c>
      <c r="M498" s="263">
        <f>(M334+M347)*'Data - P&amp;L'!$C$6*'Data - P&amp;L'!$C$54</f>
        <v>0</v>
      </c>
      <c r="N498" s="263">
        <f>(N334+N347)*'Data - P&amp;L'!$C$6*'Data - P&amp;L'!$C$54</f>
        <v>0</v>
      </c>
      <c r="O498" s="263">
        <f>(O334+O347)*'Data - P&amp;L'!$C$6*'Data - P&amp;L'!$C$54</f>
        <v>1.3725</v>
      </c>
      <c r="P498" s="263">
        <f>(P334+P347)*'Data - P&amp;L'!$C$6*'Data - P&amp;L'!$C$54</f>
        <v>1.3725</v>
      </c>
      <c r="Q498" s="263">
        <f>(Q334+Q347)*'Data - P&amp;L'!$C$6*'Data - P&amp;L'!$C$54</f>
        <v>1.3725</v>
      </c>
      <c r="R498" s="263">
        <f>(R334+R347)*'Data - P&amp;L'!$C$6*'Data - P&amp;L'!$C$54</f>
        <v>0</v>
      </c>
      <c r="S498" s="263">
        <f>(S334+S347)*'Data - P&amp;L'!$C$6*'Data - P&amp;L'!$C$54</f>
        <v>0</v>
      </c>
      <c r="T498" s="263">
        <f>(T334+T347)*'Data - P&amp;L'!$C$6*'Data - P&amp;L'!$C$54</f>
        <v>0</v>
      </c>
      <c r="U498" s="263">
        <f>(U334+U347)*'Data - P&amp;L'!$C$6*'Data - P&amp;L'!$C$54</f>
        <v>0</v>
      </c>
      <c r="V498" s="263">
        <f>(V334+V347)*'Data - P&amp;L'!$C$6*'Data - P&amp;L'!$C$54</f>
        <v>1.3725</v>
      </c>
      <c r="W498" s="263">
        <f>(W334+W347)*'Data - P&amp;L'!$C$6*'Data - P&amp;L'!$C$54</f>
        <v>0</v>
      </c>
      <c r="X498" s="263">
        <f>(X334+X347)*'Data - P&amp;L'!$C$6*'Data - P&amp;L'!$C$54</f>
        <v>5.49</v>
      </c>
      <c r="Y498" s="263">
        <f>(Y334+Y347)*'Data - P&amp;L'!$C$6*'Data - P&amp;L'!$C$54</f>
        <v>0</v>
      </c>
      <c r="Z498" s="263">
        <f>(Z334+Z347)*'Data - P&amp;L'!$C$6*'Data - P&amp;L'!$C$54</f>
        <v>0</v>
      </c>
      <c r="AA498" s="263">
        <f>(AA334+AA347)*'Data - P&amp;L'!$C$6*'Data - P&amp;L'!$C$54</f>
        <v>0</v>
      </c>
      <c r="AB498" s="263">
        <f>(AB334+AB347)*'Data - P&amp;L'!$C$6*'Data - P&amp;L'!$C$54</f>
        <v>0</v>
      </c>
      <c r="AC498" s="263">
        <f>(AC334+AC347)*'Data - P&amp;L'!$C$6*'Data - P&amp;L'!$C$54</f>
        <v>1.3725</v>
      </c>
      <c r="AD498" s="263">
        <f>(AD334+AD347)*'Data - P&amp;L'!$C$6*'Data - P&amp;L'!$C$54</f>
        <v>1.3725</v>
      </c>
      <c r="AE498" s="263">
        <f>(AE334+AE347)*'Data - P&amp;L'!$C$6*'Data - P&amp;L'!$C$54</f>
        <v>0</v>
      </c>
      <c r="AF498" s="263">
        <f>(AF334+AF347)*'Data - P&amp;L'!$C$6*'Data - P&amp;L'!$C$54</f>
        <v>0</v>
      </c>
      <c r="AG498" s="93">
        <f t="shared" si="143"/>
        <v>19.215</v>
      </c>
    </row>
    <row r="499" outlineLevel="1">
      <c r="A499" s="147" t="s">
        <v>437</v>
      </c>
      <c r="B499" s="263">
        <f>(B335+B348)*'Data - P&amp;L'!$C$8*'Data - P&amp;L'!$C$54</f>
        <v>0</v>
      </c>
      <c r="C499" s="263">
        <f>(C335+C348)*'Data - P&amp;L'!$C$8*'Data - P&amp;L'!$C$54</f>
        <v>0</v>
      </c>
      <c r="D499" s="263">
        <f>(D335+D348)*'Data - P&amp;L'!$C$8*'Data - P&amp;L'!$C$54</f>
        <v>0</v>
      </c>
      <c r="E499" s="263">
        <f>(E335+E348)*'Data - P&amp;L'!$C$8*'Data - P&amp;L'!$C$54</f>
        <v>0</v>
      </c>
      <c r="F499" s="263">
        <f>(F335+F348)*'Data - P&amp;L'!$C$8*'Data - P&amp;L'!$C$54</f>
        <v>0</v>
      </c>
      <c r="G499" s="263">
        <f>(G335+G348)*'Data - P&amp;L'!$C$8*'Data - P&amp;L'!$C$54</f>
        <v>0</v>
      </c>
      <c r="H499" s="263">
        <f>(H335+H348)*'Data - P&amp;L'!$C$8*'Data - P&amp;L'!$C$54</f>
        <v>0.2975</v>
      </c>
      <c r="I499" s="263">
        <f>(I335+I347)*'Data - P&amp;L'!$C$8*'Data - P&amp;L'!$C$54</f>
        <v>0</v>
      </c>
      <c r="J499" s="263">
        <f>(J335+J348)*'Data - P&amp;L'!$C$8*'Data - P&amp;L'!$C$54</f>
        <v>0</v>
      </c>
      <c r="K499" s="263">
        <f>(K335+K348)*'Data - P&amp;L'!$C$8*'Data - P&amp;L'!$C$54</f>
        <v>0</v>
      </c>
      <c r="L499" s="263">
        <f>(L335+L348)*'Data - P&amp;L'!$C$8*'Data - P&amp;L'!$C$54</f>
        <v>0</v>
      </c>
      <c r="M499" s="263">
        <f>(M335+M348)*'Data - P&amp;L'!$C$8*'Data - P&amp;L'!$C$54</f>
        <v>0</v>
      </c>
      <c r="N499" s="263">
        <f>(N335+N348)*'Data - P&amp;L'!$C$8*'Data - P&amp;L'!$C$54</f>
        <v>0</v>
      </c>
      <c r="O499" s="263">
        <f>(O335+O348)*'Data - P&amp;L'!$C$8*'Data - P&amp;L'!$C$54</f>
        <v>0</v>
      </c>
      <c r="P499" s="263">
        <f>(P335+P348)*'Data - P&amp;L'!$C$8*'Data - P&amp;L'!$C$54</f>
        <v>0</v>
      </c>
      <c r="Q499" s="263">
        <f>(Q335+Q348)*'Data - P&amp;L'!$C$8*'Data - P&amp;L'!$C$54</f>
        <v>0</v>
      </c>
      <c r="R499" s="263">
        <f>(R335+R348)*'Data - P&amp;L'!$C$8*'Data - P&amp;L'!$C$54</f>
        <v>0</v>
      </c>
      <c r="S499" s="263">
        <f>(S335+S348)*'Data - P&amp;L'!$C$8*'Data - P&amp;L'!$C$54</f>
        <v>0</v>
      </c>
      <c r="T499" s="263">
        <f>(T335+T348)*'Data - P&amp;L'!$C$8*'Data - P&amp;L'!$C$54</f>
        <v>0</v>
      </c>
      <c r="U499" s="263">
        <f>(U335+U348)*'Data - P&amp;L'!$C$8*'Data - P&amp;L'!$C$54</f>
        <v>0</v>
      </c>
      <c r="V499" s="263">
        <f>(V335+V348)*'Data - P&amp;L'!$C$8*'Data - P&amp;L'!$C$54</f>
        <v>0</v>
      </c>
      <c r="W499" s="263">
        <f>(W335+W348)*'Data - P&amp;L'!$C$8*'Data - P&amp;L'!$C$54</f>
        <v>0</v>
      </c>
      <c r="X499" s="263">
        <f>(X335+X348)*'Data - P&amp;L'!$C$8*'Data - P&amp;L'!$C$54</f>
        <v>0</v>
      </c>
      <c r="Y499" s="263">
        <f>(Y335+Y348)*'Data - P&amp;L'!$C$8*'Data - P&amp;L'!$C$54</f>
        <v>0</v>
      </c>
      <c r="Z499" s="263">
        <f>(Z335+Z348)*'Data - P&amp;L'!$C$8*'Data - P&amp;L'!$C$54</f>
        <v>0</v>
      </c>
      <c r="AA499" s="263">
        <f>(AA335+AA348)*'Data - P&amp;L'!$C$8*'Data - P&amp;L'!$C$54</f>
        <v>0</v>
      </c>
      <c r="AB499" s="263">
        <f>(AB335+AB348)*'Data - P&amp;L'!$C$8*'Data - P&amp;L'!$C$54</f>
        <v>0</v>
      </c>
      <c r="AC499" s="263">
        <f>(AC335+AC348)*'Data - P&amp;L'!$C$8*'Data - P&amp;L'!$C$54</f>
        <v>0.2975</v>
      </c>
      <c r="AD499" s="263">
        <f>(AD335+AD348)*'Data - P&amp;L'!$C$8*'Data - P&amp;L'!$C$54</f>
        <v>0.2975</v>
      </c>
      <c r="AE499" s="263">
        <f>(AE335+AE348)*'Data - P&amp;L'!$C$8*'Data - P&amp;L'!$C$54</f>
        <v>0</v>
      </c>
      <c r="AF499" s="263">
        <f>(AF335+AF348)*'Data - P&amp;L'!$C$8*'Data - P&amp;L'!$C$54</f>
        <v>0</v>
      </c>
      <c r="AG499" s="93">
        <f t="shared" si="143"/>
        <v>0.8925</v>
      </c>
    </row>
    <row r="500" outlineLevel="1">
      <c r="A500" s="147" t="s">
        <v>425</v>
      </c>
      <c r="B500" s="263">
        <f>(B336+B337+B349+B350)*'Data - P&amp;L'!$C$9*'Data - P&amp;L'!$C$54</f>
        <v>0</v>
      </c>
      <c r="C500" s="263">
        <f>(C336+C337+C349+C350)*'Data - P&amp;L'!$C$9*'Data - P&amp;L'!$C$54</f>
        <v>0</v>
      </c>
      <c r="D500" s="263">
        <f>(D336+D337+D349+D350)*'Data - P&amp;L'!$C$9*'Data - P&amp;L'!$C$54</f>
        <v>0</v>
      </c>
      <c r="E500" s="263">
        <f>(E336+E337+E349+E350)*'Data - P&amp;L'!$C$9*'Data - P&amp;L'!$C$54</f>
        <v>0</v>
      </c>
      <c r="F500" s="263">
        <f>(F336+F337+F349+F350)*'Data - P&amp;L'!$C$9*'Data - P&amp;L'!$C$54</f>
        <v>0</v>
      </c>
      <c r="G500" s="263">
        <f>(G336+G337+G349+G350)*'Data - P&amp;L'!$C$9*'Data - P&amp;L'!$C$54</f>
        <v>0</v>
      </c>
      <c r="H500" s="263">
        <f>(H336+H337+H349+H350)*'Data - P&amp;L'!$C$9*'Data - P&amp;L'!$C$54</f>
        <v>1.665</v>
      </c>
      <c r="I500" s="263">
        <f>(I336+I337+I349+I350)*'Data - P&amp;L'!$C$9*'Data - P&amp;L'!$C$54</f>
        <v>0</v>
      </c>
      <c r="J500" s="263">
        <f>(J336+J337+J349+J350)*'Data - P&amp;L'!$C$9*'Data - P&amp;L'!$C$54</f>
        <v>0</v>
      </c>
      <c r="K500" s="263">
        <f>(K336+K337+K349+K350)*'Data - P&amp;L'!$C$9*'Data - P&amp;L'!$C$54</f>
        <v>0</v>
      </c>
      <c r="L500" s="263">
        <f>(L336+L337+L349+L350)*'Data - P&amp;L'!$C$9*'Data - P&amp;L'!$C$54</f>
        <v>0</v>
      </c>
      <c r="M500" s="263">
        <f>(M336+M337+M349+M350)*'Data - P&amp;L'!$C$9*'Data - P&amp;L'!$C$54</f>
        <v>0</v>
      </c>
      <c r="N500" s="263">
        <f>(N336+N337+N349+N350)*'Data - P&amp;L'!$C$9*'Data - P&amp;L'!$C$54</f>
        <v>0</v>
      </c>
      <c r="O500" s="263">
        <f>(O336+O337+O349+O350)*'Data - P&amp;L'!$C$9*'Data - P&amp;L'!$C$54</f>
        <v>0</v>
      </c>
      <c r="P500" s="263">
        <f>(P336+P337+P349+P350)*'Data - P&amp;L'!$C$9*'Data - P&amp;L'!$C$54</f>
        <v>0</v>
      </c>
      <c r="Q500" s="263">
        <f>(Q336+Q337+Q349+Q350)*'Data - P&amp;L'!$C$9*'Data - P&amp;L'!$C$54</f>
        <v>0</v>
      </c>
      <c r="R500" s="263">
        <f>(R336+R337+R349+R350)*'Data - P&amp;L'!$C$9*'Data - P&amp;L'!$C$54</f>
        <v>0</v>
      </c>
      <c r="S500" s="263">
        <f>(S336+S337+S349+S350)*'Data - P&amp;L'!$C$9*'Data - P&amp;L'!$C$54</f>
        <v>0</v>
      </c>
      <c r="T500" s="263">
        <f>(T336+T337+T349+T350)*'Data - P&amp;L'!$C$9*'Data - P&amp;L'!$C$54</f>
        <v>0</v>
      </c>
      <c r="U500" s="263">
        <f>(U336+U337+U349+U350)*'Data - P&amp;L'!$C$9*'Data - P&amp;L'!$C$54</f>
        <v>0</v>
      </c>
      <c r="V500" s="263">
        <f>(V336+V337+V349+V350)*'Data - P&amp;L'!$C$9*'Data - P&amp;L'!$C$54</f>
        <v>0</v>
      </c>
      <c r="W500" s="263">
        <f>(W336+W337+W349+W350)*'Data - P&amp;L'!$C$9*'Data - P&amp;L'!$C$54</f>
        <v>0</v>
      </c>
      <c r="X500" s="263">
        <f>(X336+X337+X349+X350)*'Data - P&amp;L'!$C$9*'Data - P&amp;L'!$C$54</f>
        <v>1.665</v>
      </c>
      <c r="Y500" s="263">
        <f>(Y336+Y337+Y349+Y350)*'Data - P&amp;L'!$C$9*'Data - P&amp;L'!$C$54</f>
        <v>0</v>
      </c>
      <c r="Z500" s="263">
        <f>(Z336+Z337+Z349+Z350)*'Data - P&amp;L'!$C$9*'Data - P&amp;L'!$C$54</f>
        <v>0</v>
      </c>
      <c r="AA500" s="263">
        <f>(AA336+AA337+AA349+AA350)*'Data - P&amp;L'!$C$9*'Data - P&amp;L'!$C$54</f>
        <v>0</v>
      </c>
      <c r="AB500" s="263">
        <f>(AB336+AB337+AB349+AB350)*'Data - P&amp;L'!$C$9*'Data - P&amp;L'!$C$54</f>
        <v>0</v>
      </c>
      <c r="AC500" s="263">
        <f>(AC336+AC337+AC349+AC350)*'Data - P&amp;L'!$C$9*'Data - P&amp;L'!$C$54</f>
        <v>1.665</v>
      </c>
      <c r="AD500" s="263">
        <f>(AD336+AD337+AD349+AD350)*'Data - P&amp;L'!$C$9*'Data - P&amp;L'!$C$54</f>
        <v>1.665</v>
      </c>
      <c r="AE500" s="263">
        <f>(AE336+AE337+AE349+AE350)*'Data - P&amp;L'!$C$9*'Data - P&amp;L'!$C$54</f>
        <v>0</v>
      </c>
      <c r="AF500" s="263">
        <f>(AF336+AF337+AF349+AF350)*'Data - P&amp;L'!$C$9*'Data - P&amp;L'!$C$54</f>
        <v>0</v>
      </c>
      <c r="AG500" s="93">
        <f t="shared" si="143"/>
        <v>6.66</v>
      </c>
    </row>
    <row r="501" outlineLevel="1">
      <c r="A501" s="147" t="s">
        <v>426</v>
      </c>
      <c r="B501" s="263">
        <f>(B338+B339+B351+B352)*'Data - P&amp;L'!$C$5*'Data - P&amp;L'!$C$54</f>
        <v>0</v>
      </c>
      <c r="C501" s="263">
        <f>(C338+C339+C351+C352)*'Data - P&amp;L'!$C$5*'Data - P&amp;L'!$C$54</f>
        <v>0</v>
      </c>
      <c r="D501" s="263">
        <f>(D338+D339+D351+D352)*'Data - P&amp;L'!$C$5*'Data - P&amp;L'!$C$54</f>
        <v>0</v>
      </c>
      <c r="E501" s="263">
        <f>(E338+E339+E351+E352)*'Data - P&amp;L'!$C$5*'Data - P&amp;L'!$C$54</f>
        <v>0</v>
      </c>
      <c r="F501" s="263">
        <f>(F338+F339+F351+F352)*'Data - P&amp;L'!$C$5*'Data - P&amp;L'!$C$54</f>
        <v>0</v>
      </c>
      <c r="G501" s="263">
        <f>(G338+G339+G351+G352)*'Data - P&amp;L'!$C$5*'Data - P&amp;L'!$C$54</f>
        <v>0</v>
      </c>
      <c r="H501" s="263">
        <f>(H338+H339+H351+H352)*'Data - P&amp;L'!$C$5*'Data - P&amp;L'!$C$54</f>
        <v>0</v>
      </c>
      <c r="I501" s="263">
        <f>(I338+I339+I351+I352)*'Data - P&amp;L'!$C$5*'Data - P&amp;L'!$C$54</f>
        <v>3.36</v>
      </c>
      <c r="J501" s="263">
        <f>(J338+J339+J351+J352)*'Data - P&amp;L'!$C$5*'Data - P&amp;L'!$C$54</f>
        <v>0</v>
      </c>
      <c r="K501" s="263">
        <f>(K338+K339+K351+K352)*'Data - P&amp;L'!$C$5*'Data - P&amp;L'!$C$54</f>
        <v>0</v>
      </c>
      <c r="L501" s="263">
        <f>(L338+L339+L351+L352)*'Data - P&amp;L'!$C$5*'Data - P&amp;L'!$C$54</f>
        <v>0</v>
      </c>
      <c r="M501" s="263">
        <f>(M338+M339+M351+M352)*'Data - P&amp;L'!$C$5*'Data - P&amp;L'!$C$54</f>
        <v>0</v>
      </c>
      <c r="N501" s="263">
        <f>(N338+N339+N351+N352)*'Data - P&amp;L'!$C$5*'Data - P&amp;L'!$C$54</f>
        <v>0</v>
      </c>
      <c r="O501" s="263">
        <f>(O338+O339+O351+O352)*'Data - P&amp;L'!$C$5*'Data - P&amp;L'!$C$54</f>
        <v>3.36</v>
      </c>
      <c r="P501" s="263">
        <f>(P338+P339+P351+P352)*'Data - P&amp;L'!$C$5*'Data - P&amp;L'!$C$54</f>
        <v>0</v>
      </c>
      <c r="Q501" s="263">
        <f>(Q338+Q339+Q351+Q352)*'Data - P&amp;L'!$C$5*'Data - P&amp;L'!$C$54</f>
        <v>6.72</v>
      </c>
      <c r="R501" s="263">
        <f>(R338+R339+R351+R352)*'Data - P&amp;L'!$C$5*'Data - P&amp;L'!$C$54</f>
        <v>0</v>
      </c>
      <c r="S501" s="263">
        <f>(S338+S339+S351+S352)*'Data - P&amp;L'!$C$5*'Data - P&amp;L'!$C$54</f>
        <v>0</v>
      </c>
      <c r="T501" s="263">
        <f>(T338+T339+T351+T352)*'Data - P&amp;L'!$C$5*'Data - P&amp;L'!$C$54</f>
        <v>0</v>
      </c>
      <c r="U501" s="263">
        <f>(U338+U339+U351+U352)*'Data - P&amp;L'!$C$5*'Data - P&amp;L'!$C$54</f>
        <v>0</v>
      </c>
      <c r="V501" s="263">
        <f>(V338+V339+V351+V352)*'Data - P&amp;L'!$C$5*'Data - P&amp;L'!$C$54</f>
        <v>10.08</v>
      </c>
      <c r="W501" s="263">
        <f>(W338+W339+W351+W352)*'Data - P&amp;L'!$C$5*'Data - P&amp;L'!$C$54</f>
        <v>0</v>
      </c>
      <c r="X501" s="263">
        <f>(X338+X339+X351+X352)*'Data - P&amp;L'!$C$5*'Data - P&amp;L'!$C$54</f>
        <v>0</v>
      </c>
      <c r="Y501" s="263">
        <f>(Y338+Y339+Y351+Y352)*'Data - P&amp;L'!$C$5*'Data - P&amp;L'!$C$54</f>
        <v>0</v>
      </c>
      <c r="Z501" s="263">
        <f>(Z338+Z339+Z351+Z352)*'Data - P&amp;L'!$C$5*'Data - P&amp;L'!$C$54</f>
        <v>0</v>
      </c>
      <c r="AA501" s="263">
        <f>(AA338+AA339+AA351+AA352)*'Data - P&amp;L'!$C$5*'Data - P&amp;L'!$C$54</f>
        <v>0</v>
      </c>
      <c r="AB501" s="263">
        <f>(AB338+AB339+AB351+AB352)*'Data - P&amp;L'!$C$5*'Data - P&amp;L'!$C$54</f>
        <v>0</v>
      </c>
      <c r="AC501" s="263">
        <f>(AC338+AC339+AC351+AC352)*'Data - P&amp;L'!$C$5*'Data - P&amp;L'!$C$54</f>
        <v>0</v>
      </c>
      <c r="AD501" s="263">
        <f>(AD338+AD339+AD351+AD352)*'Data - P&amp;L'!$C$5*'Data - P&amp;L'!$C$54</f>
        <v>3.36</v>
      </c>
      <c r="AE501" s="263">
        <f>(AE338+AE339+AE351+AE352)*'Data - P&amp;L'!$C$5*'Data - P&amp;L'!$C$54</f>
        <v>0</v>
      </c>
      <c r="AF501" s="263">
        <f>(AF338+AF339+AF351+AF352)*'Data - P&amp;L'!$C$5*'Data - P&amp;L'!$C$54</f>
        <v>0</v>
      </c>
      <c r="AG501" s="93">
        <f t="shared" si="143"/>
        <v>26.88</v>
      </c>
    </row>
    <row r="502" outlineLevel="1">
      <c r="A502" s="147" t="s">
        <v>427</v>
      </c>
      <c r="B502" s="263">
        <f>(B340+B341+B353+B354)*'Data - P&amp;L'!$C$10*'Data - P&amp;L'!$C$54</f>
        <v>0</v>
      </c>
      <c r="C502" s="263">
        <f>(C340+C341+C353+C354)*'Data - P&amp;L'!$C$10*'Data - P&amp;L'!$C$54</f>
        <v>0</v>
      </c>
      <c r="D502" s="263">
        <f>(D340+D341+D353+D354)*'Data - P&amp;L'!$C$10*'Data - P&amp;L'!$C$54</f>
        <v>0</v>
      </c>
      <c r="E502" s="263">
        <f>(E340+E341+E353+E354)*'Data - P&amp;L'!$C$10*'Data - P&amp;L'!$C$54</f>
        <v>0</v>
      </c>
      <c r="F502" s="263">
        <f>(F340+F341+F353+F354)*'Data - P&amp;L'!$C$10*'Data - P&amp;L'!$C$54</f>
        <v>0</v>
      </c>
      <c r="G502" s="263">
        <f>(G340+G341+G353+G354)*'Data - P&amp;L'!$C$10*'Data - P&amp;L'!$C$54</f>
        <v>0</v>
      </c>
      <c r="H502" s="263">
        <f>(H340+H341+H353+H354)*'Data - P&amp;L'!$C$10*'Data - P&amp;L'!$C$54</f>
        <v>4.5</v>
      </c>
      <c r="I502" s="263">
        <f>(I340+I341+I353+I354)*'Data - P&amp;L'!$C$10*'Data - P&amp;L'!$C$54</f>
        <v>0</v>
      </c>
      <c r="J502" s="263">
        <f>(J340+J341+J353+J354)*'Data - P&amp;L'!$C$10*'Data - P&amp;L'!$C$54</f>
        <v>0</v>
      </c>
      <c r="K502" s="263">
        <f>(K340+K341+K353+K354)*'Data - P&amp;L'!$C$10*'Data - P&amp;L'!$C$54</f>
        <v>0</v>
      </c>
      <c r="L502" s="263">
        <f>(L340+L341+L353+L354)*'Data - P&amp;L'!$C$10*'Data - P&amp;L'!$C$54</f>
        <v>0</v>
      </c>
      <c r="M502" s="263">
        <f>(M340+M341+M353+M354)*'Data - P&amp;L'!$C$10*'Data - P&amp;L'!$C$54</f>
        <v>0</v>
      </c>
      <c r="N502" s="263">
        <f>(N340+N341+N353+N354)*'Data - P&amp;L'!$C$10*'Data - P&amp;L'!$C$54</f>
        <v>0</v>
      </c>
      <c r="O502" s="263">
        <f>(O340+O341+O353+O354)*'Data - P&amp;L'!$C$10*'Data - P&amp;L'!$C$54</f>
        <v>0</v>
      </c>
      <c r="P502" s="263">
        <f>(P340+P341+P353+P354)*'Data - P&amp;L'!$C$10*'Data - P&amp;L'!$C$54</f>
        <v>1.5</v>
      </c>
      <c r="Q502" s="263">
        <f>(Q340+Q341+Q353+Q354)*'Data - P&amp;L'!$C$10*'Data - P&amp;L'!$C$54</f>
        <v>1.5</v>
      </c>
      <c r="R502" s="263">
        <f>(R340+R341+R353+R354)*'Data - P&amp;L'!$C$10*'Data - P&amp;L'!$C$54</f>
        <v>0</v>
      </c>
      <c r="S502" s="263">
        <f>(S340+S341+S353+S354)*'Data - P&amp;L'!$C$10*'Data - P&amp;L'!$C$54</f>
        <v>0</v>
      </c>
      <c r="T502" s="263">
        <f>(T340+T341+T353+T354)*'Data - P&amp;L'!$C$10*'Data - P&amp;L'!$C$54</f>
        <v>0</v>
      </c>
      <c r="U502" s="263">
        <f>(U340+U341+U353+U354)*'Data - P&amp;L'!$C$10*'Data - P&amp;L'!$C$54</f>
        <v>0</v>
      </c>
      <c r="V502" s="263">
        <f>(V340+V341+V353+V354)*'Data - P&amp;L'!$C$10*'Data - P&amp;L'!$C$54</f>
        <v>0</v>
      </c>
      <c r="W502" s="263">
        <f>(W340+W341+W353+W354)*'Data - P&amp;L'!$C$10*'Data - P&amp;L'!$C$54</f>
        <v>0</v>
      </c>
      <c r="X502" s="263">
        <f>(X340+X341+X353+X354)*'Data - P&amp;L'!$C$10*'Data - P&amp;L'!$C$54</f>
        <v>7.5</v>
      </c>
      <c r="Y502" s="263">
        <f>(Y340+Y341+Y353+Y354)*'Data - P&amp;L'!$C$10*'Data - P&amp;L'!$C$54</f>
        <v>0</v>
      </c>
      <c r="Z502" s="263">
        <f>(Z340+Z341+Z353+Z354)*'Data - P&amp;L'!$C$10*'Data - P&amp;L'!$C$54</f>
        <v>0</v>
      </c>
      <c r="AA502" s="263">
        <f>(AA340+AA341+AA353+AA354)*'Data - P&amp;L'!$C$10*'Data - P&amp;L'!$C$54</f>
        <v>0</v>
      </c>
      <c r="AB502" s="263">
        <f>(AB340+AB341+AB353+AB354)*'Data - P&amp;L'!$C$10*'Data - P&amp;L'!$C$54</f>
        <v>0</v>
      </c>
      <c r="AC502" s="263">
        <f>(AC340+AC341+AC353+AC354)*'Data - P&amp;L'!$C$10*'Data - P&amp;L'!$C$54</f>
        <v>1.5</v>
      </c>
      <c r="AD502" s="263">
        <f>(AD340+AD341+AD353+AD354)*'Data - P&amp;L'!$C$10*'Data - P&amp;L'!$C$54</f>
        <v>3</v>
      </c>
      <c r="AE502" s="263">
        <f>(AE340+AE341+AE353+AE354)*'Data - P&amp;L'!$C$10*'Data - P&amp;L'!$C$54</f>
        <v>0</v>
      </c>
      <c r="AF502" s="263">
        <f>(AF340+AF341+AF353+AF354)*'Data - P&amp;L'!$C$10*'Data - P&amp;L'!$C$54</f>
        <v>0</v>
      </c>
      <c r="AG502" s="93">
        <f t="shared" si="143"/>
        <v>19.5</v>
      </c>
    </row>
    <row r="503" outlineLevel="1">
      <c r="A503" s="147" t="s">
        <v>400</v>
      </c>
      <c r="B503" s="263">
        <f>(B342+B355)*'Data - P&amp;L'!$C$17*'Data - P&amp;L'!$C$54</f>
        <v>0</v>
      </c>
      <c r="C503" s="263">
        <f>(C342+C355)*'Data - P&amp;L'!$C$17*'Data - P&amp;L'!$C$54</f>
        <v>0</v>
      </c>
      <c r="D503" s="263">
        <f>(D342+D355)*'Data - P&amp;L'!$C$17*'Data - P&amp;L'!$C$54</f>
        <v>0</v>
      </c>
      <c r="E503" s="263">
        <f>(E342+E355)*'Data - P&amp;L'!$C$17*'Data - P&amp;L'!$C$54</f>
        <v>0</v>
      </c>
      <c r="F503" s="263">
        <f>(F342+F355)*'Data - P&amp;L'!$C$17*'Data - P&amp;L'!$C$54</f>
        <v>0</v>
      </c>
      <c r="G503" s="263">
        <f>(G342+G355)*'Data - P&amp;L'!$C$17*'Data - P&amp;L'!$C$54</f>
        <v>0</v>
      </c>
      <c r="H503" s="263">
        <f>(H342+H355)*'Data - P&amp;L'!$C$17*'Data - P&amp;L'!$C$54</f>
        <v>0</v>
      </c>
      <c r="I503" s="263">
        <f>(I342+I355)*'Data - P&amp;L'!$C$17*'Data - P&amp;L'!$C$54</f>
        <v>0</v>
      </c>
      <c r="J503" s="263">
        <f>(J342+J355)*'Data - P&amp;L'!$C$17*'Data - P&amp;L'!$C$54</f>
        <v>0</v>
      </c>
      <c r="K503" s="263">
        <f>(K342+K355)*'Data - P&amp;L'!$C$17*'Data - P&amp;L'!$C$54</f>
        <v>0</v>
      </c>
      <c r="L503" s="263">
        <f>(L342+L355)*'Data - P&amp;L'!$C$17*'Data - P&amp;L'!$C$54</f>
        <v>0</v>
      </c>
      <c r="M503" s="263">
        <f>(M342+M355)*'Data - P&amp;L'!$C$17*'Data - P&amp;L'!$C$54</f>
        <v>0</v>
      </c>
      <c r="N503" s="263">
        <f>(N342+N355)*'Data - P&amp;L'!$C$17*'Data - P&amp;L'!$C$54</f>
        <v>0</v>
      </c>
      <c r="O503" s="263">
        <f>(O342+O355)*'Data - P&amp;L'!$C$17*'Data - P&amp;L'!$C$54</f>
        <v>0</v>
      </c>
      <c r="P503" s="263">
        <f>(P342+P355)*'Data - P&amp;L'!$C$17*'Data - P&amp;L'!$C$54</f>
        <v>0</v>
      </c>
      <c r="Q503" s="263">
        <f>(Q342+Q355)*'Data - P&amp;L'!$C$17*'Data - P&amp;L'!$C$54</f>
        <v>0</v>
      </c>
      <c r="R503" s="263">
        <f>(R342+R355)*'Data - P&amp;L'!$C$17*'Data - P&amp;L'!$C$54</f>
        <v>0</v>
      </c>
      <c r="S503" s="263">
        <f>(S342+S355)*'Data - P&amp;L'!$C$17*'Data - P&amp;L'!$C$54</f>
        <v>0</v>
      </c>
      <c r="T503" s="263">
        <f>(T342+T355)*'Data - P&amp;L'!$C$17*'Data - P&amp;L'!$C$54</f>
        <v>0</v>
      </c>
      <c r="U503" s="263">
        <f>(U342+U355)*'Data - P&amp;L'!$C$17*'Data - P&amp;L'!$C$54</f>
        <v>0</v>
      </c>
      <c r="V503" s="263">
        <f>(V342+V355)*'Data - P&amp;L'!$C$17*'Data - P&amp;L'!$C$54</f>
        <v>0</v>
      </c>
      <c r="W503" s="263">
        <f>(W342+W355)*'Data - P&amp;L'!$C$17*'Data - P&amp;L'!$C$54</f>
        <v>0</v>
      </c>
      <c r="X503" s="263">
        <f>(X342+X355)*'Data - P&amp;L'!$C$17*'Data - P&amp;L'!$C$54</f>
        <v>0</v>
      </c>
      <c r="Y503" s="263">
        <f>(Y342+Y355)*'Data - P&amp;L'!$C$17*'Data - P&amp;L'!$C$54</f>
        <v>0</v>
      </c>
      <c r="Z503" s="263">
        <f>(Z342+Z355)*'Data - P&amp;L'!$C$17*'Data - P&amp;L'!$C$54</f>
        <v>0</v>
      </c>
      <c r="AA503" s="263">
        <f>(AA342+AA355)*'Data - P&amp;L'!$C$17*'Data - P&amp;L'!$C$54</f>
        <v>0</v>
      </c>
      <c r="AB503" s="263">
        <f>(AB342+AB355)*'Data - P&amp;L'!$C$17*'Data - P&amp;L'!$C$54</f>
        <v>0</v>
      </c>
      <c r="AC503" s="263">
        <f>(AC342+AC355)*'Data - P&amp;L'!$C$17*'Data - P&amp;L'!$C$54</f>
        <v>0</v>
      </c>
      <c r="AD503" s="263">
        <f>(AD342+AD355)*'Data - P&amp;L'!$C$17*'Data - P&amp;L'!$C$54</f>
        <v>0</v>
      </c>
      <c r="AE503" s="263">
        <f>(AE342+AE355)*'Data - P&amp;L'!$C$17*'Data - P&amp;L'!$C$54</f>
        <v>0</v>
      </c>
      <c r="AF503" s="263">
        <f>(AF342+AF355)*'Data - P&amp;L'!$C$17*'Data - P&amp;L'!$C$54</f>
        <v>0</v>
      </c>
      <c r="AG503" s="93">
        <f t="shared" si="143"/>
        <v>0</v>
      </c>
    </row>
    <row r="504" outlineLevel="1">
      <c r="A504" s="147" t="s">
        <v>401</v>
      </c>
      <c r="B504" s="263">
        <f>(B343+B356)*'Data - P&amp;L'!$C$18*'Data - P&amp;L'!$C$54</f>
        <v>0</v>
      </c>
      <c r="C504" s="263">
        <f>(C343+C356)*'Data - P&amp;L'!$C$18*'Data - P&amp;L'!$C$54</f>
        <v>0</v>
      </c>
      <c r="D504" s="263">
        <f>(D343+D356)*'Data - P&amp;L'!$C$18*'Data - P&amp;L'!$C$54</f>
        <v>0</v>
      </c>
      <c r="E504" s="263">
        <f>(E343+E356)*'Data - P&amp;L'!$C$18*'Data - P&amp;L'!$C$54</f>
        <v>0</v>
      </c>
      <c r="F504" s="263">
        <f>(F343+F356)*'Data - P&amp;L'!$C$18*'Data - P&amp;L'!$C$54</f>
        <v>0</v>
      </c>
      <c r="G504" s="263">
        <f>(G343+G356)*'Data - P&amp;L'!$C$18*'Data - P&amp;L'!$C$54</f>
        <v>0</v>
      </c>
      <c r="H504" s="263">
        <f>(H343+H356)*'Data - P&amp;L'!$C$18*'Data - P&amp;L'!$C$54</f>
        <v>0</v>
      </c>
      <c r="I504" s="263">
        <f>(I343+I356)*'Data - P&amp;L'!$C$18*'Data - P&amp;L'!$C$54</f>
        <v>0</v>
      </c>
      <c r="J504" s="263">
        <f>(J343+J356)*'Data - P&amp;L'!$C$18*'Data - P&amp;L'!$C$54</f>
        <v>0</v>
      </c>
      <c r="K504" s="263">
        <f>(K343+K356)*'Data - P&amp;L'!$C$18*'Data - P&amp;L'!$C$54</f>
        <v>0</v>
      </c>
      <c r="L504" s="263">
        <f>(L343+L356)*'Data - P&amp;L'!$C$18*'Data - P&amp;L'!$C$54</f>
        <v>0</v>
      </c>
      <c r="M504" s="263">
        <f>(M343+M356)*'Data - P&amp;L'!$C$18*'Data - P&amp;L'!$C$54</f>
        <v>0</v>
      </c>
      <c r="N504" s="263">
        <f>(N343+N356)*'Data - P&amp;L'!$C$18*'Data - P&amp;L'!$C$54</f>
        <v>0</v>
      </c>
      <c r="O504" s="263">
        <f>(O343+O356)*'Data - P&amp;L'!$C$18*'Data - P&amp;L'!$C$54</f>
        <v>0</v>
      </c>
      <c r="P504" s="263">
        <f>(P343+P356)*'Data - P&amp;L'!$C$18*'Data - P&amp;L'!$C$54</f>
        <v>0</v>
      </c>
      <c r="Q504" s="263">
        <f>(Q343+Q356)*'Data - P&amp;L'!$C$18*'Data - P&amp;L'!$C$54</f>
        <v>0</v>
      </c>
      <c r="R504" s="263">
        <f>(R343+R356)*'Data - P&amp;L'!$C$18*'Data - P&amp;L'!$C$54</f>
        <v>0</v>
      </c>
      <c r="S504" s="263">
        <f>(S343+S356)*'Data - P&amp;L'!$C$18*'Data - P&amp;L'!$C$54</f>
        <v>0</v>
      </c>
      <c r="T504" s="263">
        <f>(T343+T356)*'Data - P&amp;L'!$C$18*'Data - P&amp;L'!$C$54</f>
        <v>0</v>
      </c>
      <c r="U504" s="263">
        <f>(U343+U356)*'Data - P&amp;L'!$C$18*'Data - P&amp;L'!$C$54</f>
        <v>0</v>
      </c>
      <c r="V504" s="263">
        <f>(V343+V356)*'Data - P&amp;L'!$C$18*'Data - P&amp;L'!$C$54</f>
        <v>0</v>
      </c>
      <c r="W504" s="263">
        <f>(W343+W356)*'Data - P&amp;L'!$C$18*'Data - P&amp;L'!$C$54</f>
        <v>0</v>
      </c>
      <c r="X504" s="263">
        <f>(X343+X356)*'Data - P&amp;L'!$C$18*'Data - P&amp;L'!$C$54</f>
        <v>0</v>
      </c>
      <c r="Y504" s="263">
        <f>(Y343+Y356)*'Data - P&amp;L'!$C$18*'Data - P&amp;L'!$C$54</f>
        <v>0</v>
      </c>
      <c r="Z504" s="263">
        <f>(Z343+Z356)*'Data - P&amp;L'!$C$18*'Data - P&amp;L'!$C$54</f>
        <v>0</v>
      </c>
      <c r="AA504" s="263">
        <f>(AA343+AA356)*'Data - P&amp;L'!$C$18*'Data - P&amp;L'!$C$54</f>
        <v>0</v>
      </c>
      <c r="AB504" s="263">
        <f>(AB343+AB356)*'Data - P&amp;L'!$C$18*'Data - P&amp;L'!$C$54</f>
        <v>0</v>
      </c>
      <c r="AC504" s="263">
        <f>(AC343+AC356)*'Data - P&amp;L'!$C$18*'Data - P&amp;L'!$C$54</f>
        <v>0</v>
      </c>
      <c r="AD504" s="263">
        <f>(AD343+AD356)*'Data - P&amp;L'!$C$18*'Data - P&amp;L'!$C$54</f>
        <v>0</v>
      </c>
      <c r="AE504" s="263">
        <f>(AE343+AE356)*'Data - P&amp;L'!$C$18*'Data - P&amp;L'!$C$54</f>
        <v>0</v>
      </c>
      <c r="AF504" s="263">
        <f>(AF343+AF356)*'Data - P&amp;L'!$C$18*'Data - P&amp;L'!$C$54</f>
        <v>0</v>
      </c>
      <c r="AG504" s="93">
        <f t="shared" si="143"/>
        <v>0</v>
      </c>
    </row>
    <row r="505" outlineLevel="1">
      <c r="A505" s="279" t="s">
        <v>428</v>
      </c>
      <c r="B505" s="263">
        <f>((B330*'Data - P&amp;L'!$C$38)+(B331*'Data - P&amp;L'!$C$39))*'Data - P&amp;L'!$C$54</f>
        <v>0</v>
      </c>
      <c r="C505" s="263">
        <f>((C330*'Data - P&amp;L'!$C$38)+(C331*'Data - P&amp;L'!$C$39))*'Data - P&amp;L'!$C$54</f>
        <v>0</v>
      </c>
      <c r="D505" s="263">
        <f>((D330*'Data - P&amp;L'!$C$38)+(D331*'Data - P&amp;L'!$C$39))*'Data - P&amp;L'!$C$54</f>
        <v>2.985</v>
      </c>
      <c r="E505" s="263">
        <f>((E330*'Data - P&amp;L'!$C$38)+(E331*'Data - P&amp;L'!$C$39))*'Data - P&amp;L'!$C$54</f>
        <v>0</v>
      </c>
      <c r="F505" s="263">
        <f>((F330*'Data - P&amp;L'!$C$38)+(F331*'Data - P&amp;L'!$C$39))*'Data - P&amp;L'!$C$54</f>
        <v>0</v>
      </c>
      <c r="G505" s="263">
        <f>((G330*'Data - P&amp;L'!$C$38)+(G331*'Data - P&amp;L'!$C$39))*'Data - P&amp;L'!$C$54</f>
        <v>0</v>
      </c>
      <c r="H505" s="263">
        <f>((H330*'Data - P&amp;L'!$C$38)+(H331*'Data - P&amp;L'!$C$39))*'Data - P&amp;L'!$C$54</f>
        <v>20.895</v>
      </c>
      <c r="I505" s="263">
        <f>((I330*'Data - P&amp;L'!$C$38)+(I331*'Data - P&amp;L'!$C$39))*'Data - P&amp;L'!$C$54</f>
        <v>0</v>
      </c>
      <c r="J505" s="263">
        <f>((J330*'Data - P&amp;L'!$C$38)+(J331*'Data - P&amp;L'!$C$39))*'Data - P&amp;L'!$C$54</f>
        <v>0</v>
      </c>
      <c r="K505" s="263">
        <f>((K330*'Data - P&amp;L'!$C$38)+(K331*'Data - P&amp;L'!$C$39))*'Data - P&amp;L'!$C$54</f>
        <v>0</v>
      </c>
      <c r="L505" s="263">
        <f>((L330*'Data - P&amp;L'!$C$38)+(L331*'Data - P&amp;L'!$C$39))*'Data - P&amp;L'!$C$54</f>
        <v>0</v>
      </c>
      <c r="M505" s="263">
        <f>((M330*'Data - P&amp;L'!$C$38)+(M331*'Data - P&amp;L'!$C$39))*'Data - P&amp;L'!$C$54</f>
        <v>0</v>
      </c>
      <c r="N505" s="263">
        <f>((N330*'Data - P&amp;L'!$C$38)+(N331*'Data - P&amp;L'!$C$39))*'Data - P&amp;L'!$C$54</f>
        <v>0</v>
      </c>
      <c r="O505" s="263">
        <f>((O330*'Data - P&amp;L'!$C$38)+(O331*'Data - P&amp;L'!$C$39))*'Data - P&amp;L'!$C$54</f>
        <v>2.985</v>
      </c>
      <c r="P505" s="263">
        <f>((P330*'Data - P&amp;L'!$C$38)+(P331*'Data - P&amp;L'!$C$39))*'Data - P&amp;L'!$C$54</f>
        <v>5.97</v>
      </c>
      <c r="Q505" s="263">
        <f>((Q330*'Data - P&amp;L'!$C$38)+(Q331*'Data - P&amp;L'!$C$39))*'Data - P&amp;L'!$C$54</f>
        <v>8.955</v>
      </c>
      <c r="R505" s="263">
        <f>((R330*'Data - P&amp;L'!$C$38)+(R331*'Data - P&amp;L'!$C$39))*'Data - P&amp;L'!$C$54</f>
        <v>0</v>
      </c>
      <c r="S505" s="263">
        <f>((S330*'Data - P&amp;L'!$C$38)+(S331*'Data - P&amp;L'!$C$39))*'Data - P&amp;L'!$C$54</f>
        <v>2.985</v>
      </c>
      <c r="T505" s="263">
        <f>((T330*'Data - P&amp;L'!$C$38)+(T331*'Data - P&amp;L'!$C$39))*'Data - P&amp;L'!$C$54</f>
        <v>0</v>
      </c>
      <c r="U505" s="263">
        <f>((U330*'Data - P&amp;L'!$C$38)+(U331*'Data - P&amp;L'!$C$39))*'Data - P&amp;L'!$C$54</f>
        <v>2.985</v>
      </c>
      <c r="V505" s="263">
        <f>((V330*'Data - P&amp;L'!$C$38)+(V331*'Data - P&amp;L'!$C$39))*'Data - P&amp;L'!$C$54</f>
        <v>0</v>
      </c>
      <c r="W505" s="263">
        <f>((W330*'Data - P&amp;L'!$C$38)+(W331*'Data - P&amp;L'!$C$39))*'Data - P&amp;L'!$C$54</f>
        <v>2.985</v>
      </c>
      <c r="X505" s="263">
        <f>((X330*'Data - P&amp;L'!$C$38)+(X331*'Data - P&amp;L'!$C$39))*'Data - P&amp;L'!$C$54</f>
        <v>47.76</v>
      </c>
      <c r="Y505" s="263">
        <f>((Y330*'Data - P&amp;L'!$C$38)+(Y331*'Data - P&amp;L'!$C$39))*'Data - P&amp;L'!$C$54</f>
        <v>0</v>
      </c>
      <c r="Z505" s="263">
        <f>((Z330*'Data - P&amp;L'!$C$38)+(Z331*'Data - P&amp;L'!$C$39))*'Data - P&amp;L'!$C$54</f>
        <v>0</v>
      </c>
      <c r="AA505" s="263">
        <f>((AA330*'Data - P&amp;L'!$C$38)+(AA331*'Data - P&amp;L'!$C$39))*'Data - P&amp;L'!$C$54</f>
        <v>2.985</v>
      </c>
      <c r="AB505" s="263">
        <f>((AB330*'Data - P&amp;L'!$C$38)+(AB331*'Data - P&amp;L'!$C$39))*'Data - P&amp;L'!$C$54</f>
        <v>2.985</v>
      </c>
      <c r="AC505" s="263">
        <f>((AC330*'Data - P&amp;L'!$C$38)+(AC331*'Data - P&amp;L'!$C$39))*'Data - P&amp;L'!$C$54</f>
        <v>2.985</v>
      </c>
      <c r="AD505" s="263">
        <f>((AD330*'Data - P&amp;L'!$C$38)+(AD331*'Data - P&amp;L'!$C$39))*'Data - P&amp;L'!$C$54</f>
        <v>5.97</v>
      </c>
      <c r="AE505" s="263">
        <f>((AE330*'Data - P&amp;L'!$C$38)+(AE331*'Data - P&amp;L'!$C$39))*'Data - P&amp;L'!$C$54</f>
        <v>2.985</v>
      </c>
      <c r="AF505" s="263">
        <f>((AF330*'Data - P&amp;L'!$C$38)+(AF331*'Data - P&amp;L'!$C$39))*'Data - P&amp;L'!$C$54</f>
        <v>0</v>
      </c>
      <c r="AG505" s="93">
        <f t="shared" si="143"/>
        <v>116.415</v>
      </c>
    </row>
    <row r="506" outlineLevel="1">
      <c r="A506" s="279" t="s">
        <v>430</v>
      </c>
      <c r="B506" s="263">
        <f>((B344*'Data - P&amp;L'!$D$38)+(B357*'Data - P&amp;L'!$D$39))*'Data - P&amp;L'!$C$54</f>
        <v>0</v>
      </c>
      <c r="C506" s="263">
        <f>((C344*'Data - P&amp;L'!$D$38)+(C357*'Data - P&amp;L'!$D$39))*'Data - P&amp;L'!$C$54</f>
        <v>0</v>
      </c>
      <c r="D506" s="263">
        <f>((D344*'Data - P&amp;L'!$D$38)+(D357*'Data - P&amp;L'!$D$39))*'Data - P&amp;L'!$C$54</f>
        <v>0</v>
      </c>
      <c r="E506" s="263">
        <f>((E344*'Data - P&amp;L'!$D$38)+(E357*'Data - P&amp;L'!$D$39))*'Data - P&amp;L'!$C$54</f>
        <v>0</v>
      </c>
      <c r="F506" s="263">
        <f>((F344*'Data - P&amp;L'!$D$38)+(F357*'Data - P&amp;L'!$D$39))*'Data - P&amp;L'!$C$54</f>
        <v>0</v>
      </c>
      <c r="G506" s="263">
        <f>((G344*'Data - P&amp;L'!$D$38)+(G357*'Data - P&amp;L'!$D$39))*'Data - P&amp;L'!$C$54</f>
        <v>0</v>
      </c>
      <c r="H506" s="263">
        <f>((H344*'Data - P&amp;L'!$D$38)+(H357*'Data - P&amp;L'!$D$39))*'Data - P&amp;L'!$C$54</f>
        <v>3.22875</v>
      </c>
      <c r="I506" s="263">
        <f>((I344*'Data - P&amp;L'!$D$38)+(I357*'Data - P&amp;L'!$D$39))*'Data - P&amp;L'!$C$54</f>
        <v>0.35875</v>
      </c>
      <c r="J506" s="263">
        <f>((J344*'Data - P&amp;L'!$D$38)+(J357*'Data - P&amp;L'!$D$39))*'Data - P&amp;L'!$C$54</f>
        <v>0</v>
      </c>
      <c r="K506" s="263">
        <f>((K344*'Data - P&amp;L'!$D$38)+(K357*'Data - P&amp;L'!$D$39))*'Data - P&amp;L'!$C$54</f>
        <v>0</v>
      </c>
      <c r="L506" s="263">
        <f>((L344*'Data - P&amp;L'!$D$38)+(L357*'Data - P&amp;L'!$D$39))*'Data - P&amp;L'!$C$54</f>
        <v>0</v>
      </c>
      <c r="M506" s="263">
        <f>((M344*'Data - P&amp;L'!$D$38)+(M357*'Data - P&amp;L'!$D$39))*'Data - P&amp;L'!$C$54</f>
        <v>0</v>
      </c>
      <c r="N506" s="263">
        <f>((N344*'Data - P&amp;L'!$D$38)+(N357*'Data - P&amp;L'!$D$39))*'Data - P&amp;L'!$C$54</f>
        <v>0</v>
      </c>
      <c r="O506" s="263">
        <f>((O344*'Data - P&amp;L'!$D$38)+(O357*'Data - P&amp;L'!$D$39))*'Data - P&amp;L'!$C$54</f>
        <v>0.7175</v>
      </c>
      <c r="P506" s="263">
        <f>((P344*'Data - P&amp;L'!$D$38)+(P357*'Data - P&amp;L'!$D$39))*'Data - P&amp;L'!$C$54</f>
        <v>0.7175</v>
      </c>
      <c r="Q506" s="263">
        <f>((Q344*'Data - P&amp;L'!$D$38)+(Q357*'Data - P&amp;L'!$D$39))*'Data - P&amp;L'!$C$54</f>
        <v>1.43625</v>
      </c>
      <c r="R506" s="263">
        <f>((R344*'Data - P&amp;L'!$D$38)+(R357*'Data - P&amp;L'!$D$39))*'Data - P&amp;L'!$C$54</f>
        <v>0</v>
      </c>
      <c r="S506" s="263">
        <f>((S344*'Data - P&amp;L'!$D$38)+(S357*'Data - P&amp;L'!$D$39))*'Data - P&amp;L'!$C$54</f>
        <v>0</v>
      </c>
      <c r="T506" s="263">
        <f>((T344*'Data - P&amp;L'!$D$38)+(T357*'Data - P&amp;L'!$D$39))*'Data - P&amp;L'!$C$54</f>
        <v>0</v>
      </c>
      <c r="U506" s="263">
        <f>((U344*'Data - P&amp;L'!$D$38)+(U357*'Data - P&amp;L'!$D$39))*'Data - P&amp;L'!$C$54</f>
        <v>0</v>
      </c>
      <c r="V506" s="263">
        <f>((V344*'Data - P&amp;L'!$D$38)+(V357*'Data - P&amp;L'!$D$39))*'Data - P&amp;L'!$C$54</f>
        <v>1.435</v>
      </c>
      <c r="W506" s="263">
        <f>((W344*'Data - P&amp;L'!$D$38)+(W357*'Data - P&amp;L'!$D$39))*'Data - P&amp;L'!$C$54</f>
        <v>0</v>
      </c>
      <c r="X506" s="263">
        <f>((X344*'Data - P&amp;L'!$D$38)+(X357*'Data - P&amp;L'!$D$39))*'Data - P&amp;L'!$C$54</f>
        <v>3.5875</v>
      </c>
      <c r="Y506" s="263">
        <f>((Y344*'Data - P&amp;L'!$D$38)+(Y357*'Data - P&amp;L'!$D$39))*'Data - P&amp;L'!$C$54</f>
        <v>0</v>
      </c>
      <c r="Z506" s="263">
        <f>((Z344*'Data - P&amp;L'!$D$38)+(Z357*'Data - P&amp;L'!$D$39))*'Data - P&amp;L'!$C$54</f>
        <v>0</v>
      </c>
      <c r="AA506" s="263">
        <f>((AA344*'Data - P&amp;L'!$D$38)+(AA357*'Data - P&amp;L'!$D$39))*'Data - P&amp;L'!$C$54</f>
        <v>0</v>
      </c>
      <c r="AB506" s="263">
        <f>((AB344*'Data - P&amp;L'!$D$38)+(AB357*'Data - P&amp;L'!$D$39))*'Data - P&amp;L'!$C$54</f>
        <v>0</v>
      </c>
      <c r="AC506" s="263">
        <f>((AC344*'Data - P&amp;L'!$D$38)+(AC357*'Data - P&amp;L'!$D$39))*'Data - P&amp;L'!$C$54</f>
        <v>1.435</v>
      </c>
      <c r="AD506" s="263">
        <f>((AD344*'Data - P&amp;L'!$D$38)+(AD357*'Data - P&amp;L'!$D$39))*'Data - P&amp;L'!$C$54</f>
        <v>2.1525</v>
      </c>
      <c r="AE506" s="263">
        <f>((AE344*'Data - P&amp;L'!$D$38)+(AE357*'Data - P&amp;L'!$D$39))*'Data - P&amp;L'!$C$54</f>
        <v>0</v>
      </c>
      <c r="AF506" s="263">
        <f>((AF344*'Data - P&amp;L'!$D$38)+(AF357*'Data - P&amp;L'!$D$39))*'Data - P&amp;L'!$C$54</f>
        <v>0</v>
      </c>
      <c r="AG506" s="93">
        <f t="shared" si="143"/>
        <v>15.06875</v>
      </c>
    </row>
    <row r="507" outlineLevel="1">
      <c r="A507" s="280" t="s">
        <v>438</v>
      </c>
      <c r="B507" s="263">
        <f>(B359*'Data - P&amp;L'!$R$3)+(B360*'Data - P&amp;L'!$R$4)</f>
        <v>0</v>
      </c>
      <c r="C507" s="263">
        <f>(C359*'Data - P&amp;L'!$R$3)+(C360*'Data - P&amp;L'!$R$4)</f>
        <v>0</v>
      </c>
      <c r="D507" s="263">
        <f>(D359*'Data - P&amp;L'!$R$3)+(D360*'Data - P&amp;L'!$R$4)</f>
        <v>15</v>
      </c>
      <c r="E507" s="263">
        <f>(E359*'Data - P&amp;L'!$R$3)+(E360*'Data - P&amp;L'!$R$4)</f>
        <v>0</v>
      </c>
      <c r="F507" s="263">
        <f>(F359*'Data - P&amp;L'!$R$3)+(F360*'Data - P&amp;L'!$R$4)</f>
        <v>0</v>
      </c>
      <c r="G507" s="263">
        <f>(G359*'Data - P&amp;L'!$R$3)+(G360*'Data - P&amp;L'!$R$4)</f>
        <v>0</v>
      </c>
      <c r="H507" s="263">
        <f>(H359*'Data - P&amp;L'!$R$3)+(H360*'Data - P&amp;L'!$R$4)</f>
        <v>120</v>
      </c>
      <c r="I507" s="263">
        <f>(I359*'Data - P&amp;L'!$R$3)+(I360*'Data - P&amp;L'!$R$4)</f>
        <v>15</v>
      </c>
      <c r="J507" s="263">
        <f>(J359*'Data - P&amp;L'!$R$3)+(J360*'Data - P&amp;L'!$R$4)</f>
        <v>0</v>
      </c>
      <c r="K507" s="263">
        <f>(K359*'Data - P&amp;L'!$R$3)+(K360*'Data - P&amp;L'!$R$4)</f>
        <v>0</v>
      </c>
      <c r="L507" s="263">
        <f>(L359*'Data - P&amp;L'!$R$3)+(L360*'Data - P&amp;L'!$R$4)</f>
        <v>0</v>
      </c>
      <c r="M507" s="263">
        <f>(M359*'Data - P&amp;L'!$R$3)+(M360*'Data - P&amp;L'!$R$4)</f>
        <v>0</v>
      </c>
      <c r="N507" s="263">
        <f>(N359*'Data - P&amp;L'!$R$3)+(N360*'Data - P&amp;L'!$R$4)</f>
        <v>0</v>
      </c>
      <c r="O507" s="263">
        <f>(O359*'Data - P&amp;L'!$R$3)+(O360*'Data - P&amp;L'!$R$4)</f>
        <v>45</v>
      </c>
      <c r="P507" s="263">
        <f>(P359*'Data - P&amp;L'!$R$3)+(P360*'Data - P&amp;L'!$R$4)</f>
        <v>30</v>
      </c>
      <c r="Q507" s="263">
        <f>(Q359*'Data - P&amp;L'!$R$3)+(Q360*'Data - P&amp;L'!$R$4)</f>
        <v>100</v>
      </c>
      <c r="R507" s="263">
        <f>(R359*'Data - P&amp;L'!$R$3)+(R360*'Data - P&amp;L'!$R$4)</f>
        <v>0</v>
      </c>
      <c r="S507" s="263">
        <f>(S359*'Data - P&amp;L'!$R$3)+(S360*'Data - P&amp;L'!$R$4)</f>
        <v>15</v>
      </c>
      <c r="T507" s="263">
        <f>(T359*'Data - P&amp;L'!$R$3)+(T360*'Data - P&amp;L'!$R$4)</f>
        <v>0</v>
      </c>
      <c r="U507" s="263">
        <f>(U359*'Data - P&amp;L'!$R$3)+(U360*'Data - P&amp;L'!$R$4)</f>
        <v>15</v>
      </c>
      <c r="V507" s="263">
        <f>(V359*'Data - P&amp;L'!$R$3)+(V360*'Data - P&amp;L'!$R$4)</f>
        <v>60</v>
      </c>
      <c r="W507" s="263">
        <f>(W359*'Data - P&amp;L'!$R$3)+(W360*'Data - P&amp;L'!$R$4)</f>
        <v>15</v>
      </c>
      <c r="X507" s="263">
        <f>(X359*'Data - P&amp;L'!$R$3)+(X360*'Data - P&amp;L'!$R$4)</f>
        <v>225</v>
      </c>
      <c r="Y507" s="263">
        <f>(Y359*'Data - P&amp;L'!$R$3)+(Y360*'Data - P&amp;L'!$R$4)</f>
        <v>0</v>
      </c>
      <c r="Z507" s="263">
        <f>(Z359*'Data - P&amp;L'!$R$3)+(Z360*'Data - P&amp;L'!$R$4)</f>
        <v>0</v>
      </c>
      <c r="AA507" s="263">
        <f>(AA359*'Data - P&amp;L'!$R$3)+(AA360*'Data - P&amp;L'!$R$4)</f>
        <v>15</v>
      </c>
      <c r="AB507" s="263">
        <f>(AB359*'Data - P&amp;L'!$R$3)+(AB360*'Data - P&amp;L'!$R$4)</f>
        <v>15</v>
      </c>
      <c r="AC507" s="263">
        <f>(AC359*'Data - P&amp;L'!$R$3)+(AC360*'Data - P&amp;L'!$R$4)</f>
        <v>15</v>
      </c>
      <c r="AD507" s="263">
        <f>(AD359*'Data - P&amp;L'!$R$3)+(AD360*'Data - P&amp;L'!$R$4)</f>
        <v>45</v>
      </c>
      <c r="AE507" s="263">
        <f>(AE359*'Data - P&amp;L'!$R$3)+(AE360*'Data - P&amp;L'!$R$4)</f>
        <v>15</v>
      </c>
      <c r="AF507" s="263">
        <f>(AF359*'Data - P&amp;L'!$R$3)+(AF360*'Data - P&amp;L'!$R$4)</f>
        <v>0</v>
      </c>
      <c r="AG507" s="93">
        <f t="shared" si="143"/>
        <v>760</v>
      </c>
    </row>
    <row r="508" outlineLevel="1">
      <c r="A508" s="280" t="s">
        <v>439</v>
      </c>
      <c r="B508" s="263">
        <f t="shared" ref="B508:AF508" si="146">B365+B370</f>
        <v>0</v>
      </c>
      <c r="C508" s="263">
        <f t="shared" si="146"/>
        <v>0</v>
      </c>
      <c r="D508" s="263">
        <f t="shared" si="146"/>
        <v>324.73</v>
      </c>
      <c r="E508" s="263">
        <f t="shared" si="146"/>
        <v>0</v>
      </c>
      <c r="F508" s="263">
        <f t="shared" si="146"/>
        <v>0</v>
      </c>
      <c r="G508" s="263">
        <f t="shared" si="146"/>
        <v>0</v>
      </c>
      <c r="H508" s="263">
        <f t="shared" si="146"/>
        <v>2428.51</v>
      </c>
      <c r="I508" s="263">
        <f t="shared" si="146"/>
        <v>80.38</v>
      </c>
      <c r="J508" s="263">
        <f t="shared" si="146"/>
        <v>0</v>
      </c>
      <c r="K508" s="263">
        <f t="shared" si="146"/>
        <v>0</v>
      </c>
      <c r="L508" s="263">
        <f t="shared" si="146"/>
        <v>0</v>
      </c>
      <c r="M508" s="263">
        <f t="shared" si="146"/>
        <v>0</v>
      </c>
      <c r="N508" s="263">
        <f t="shared" si="146"/>
        <v>0</v>
      </c>
      <c r="O508" s="263">
        <f t="shared" si="146"/>
        <v>443.89</v>
      </c>
      <c r="P508" s="263">
        <f t="shared" si="146"/>
        <v>573.46</v>
      </c>
      <c r="Q508" s="263">
        <f t="shared" si="146"/>
        <v>1033.33</v>
      </c>
      <c r="R508" s="263">
        <f t="shared" si="146"/>
        <v>0</v>
      </c>
      <c r="S508" s="263">
        <f t="shared" si="146"/>
        <v>324</v>
      </c>
      <c r="T508" s="263">
        <f t="shared" si="146"/>
        <v>0</v>
      </c>
      <c r="U508" s="263">
        <f t="shared" si="146"/>
        <v>269.4</v>
      </c>
      <c r="V508" s="263">
        <f t="shared" si="146"/>
        <v>305.28</v>
      </c>
      <c r="W508" s="263">
        <f t="shared" si="146"/>
        <v>309.23</v>
      </c>
      <c r="X508" s="263">
        <f t="shared" si="146"/>
        <v>4859.09</v>
      </c>
      <c r="Y508" s="263">
        <f t="shared" si="146"/>
        <v>0</v>
      </c>
      <c r="Z508" s="263">
        <f t="shared" si="146"/>
        <v>0</v>
      </c>
      <c r="AA508" s="263">
        <f t="shared" si="146"/>
        <v>299.99</v>
      </c>
      <c r="AB508" s="263">
        <f t="shared" si="146"/>
        <v>324.79</v>
      </c>
      <c r="AC508" s="263">
        <f t="shared" si="146"/>
        <v>415</v>
      </c>
      <c r="AD508" s="263">
        <f t="shared" si="146"/>
        <v>883.54</v>
      </c>
      <c r="AE508" s="263">
        <f t="shared" si="146"/>
        <v>275.16</v>
      </c>
      <c r="AF508" s="263">
        <f t="shared" si="146"/>
        <v>0</v>
      </c>
      <c r="AG508" s="93">
        <f t="shared" si="143"/>
        <v>13149.78</v>
      </c>
    </row>
    <row r="509">
      <c r="A509" s="250" t="s">
        <v>440</v>
      </c>
      <c r="B509" s="277">
        <f t="shared" ref="B509:AF509" si="147">sum(B510:B524)-B527</f>
        <v>-731.9375</v>
      </c>
      <c r="C509" s="277">
        <f t="shared" si="147"/>
        <v>-387.5575</v>
      </c>
      <c r="D509" s="277">
        <f t="shared" si="147"/>
        <v>-210</v>
      </c>
      <c r="E509" s="277">
        <f t="shared" si="147"/>
        <v>0</v>
      </c>
      <c r="F509" s="277">
        <f t="shared" si="147"/>
        <v>0</v>
      </c>
      <c r="G509" s="277">
        <f t="shared" si="147"/>
        <v>-285.654</v>
      </c>
      <c r="H509" s="277">
        <f t="shared" si="147"/>
        <v>-270</v>
      </c>
      <c r="I509" s="277">
        <f t="shared" si="147"/>
        <v>-165</v>
      </c>
      <c r="J509" s="277">
        <f t="shared" si="147"/>
        <v>0</v>
      </c>
      <c r="K509" s="277">
        <f t="shared" si="147"/>
        <v>-17.607</v>
      </c>
      <c r="L509" s="277">
        <f t="shared" si="147"/>
        <v>0</v>
      </c>
      <c r="M509" s="277">
        <f t="shared" si="147"/>
        <v>0</v>
      </c>
      <c r="N509" s="277">
        <f t="shared" si="147"/>
        <v>-4.045</v>
      </c>
      <c r="O509" s="277">
        <f t="shared" si="147"/>
        <v>-733.314</v>
      </c>
      <c r="P509" s="277">
        <f t="shared" si="147"/>
        <v>0</v>
      </c>
      <c r="Q509" s="277">
        <f t="shared" si="147"/>
        <v>-225</v>
      </c>
      <c r="R509" s="277">
        <f t="shared" si="147"/>
        <v>-240</v>
      </c>
      <c r="S509" s="277">
        <f t="shared" si="147"/>
        <v>0</v>
      </c>
      <c r="T509" s="277">
        <f t="shared" si="147"/>
        <v>0</v>
      </c>
      <c r="U509" s="277">
        <f t="shared" si="147"/>
        <v>-690.742</v>
      </c>
      <c r="V509" s="277">
        <f t="shared" si="147"/>
        <v>-75</v>
      </c>
      <c r="W509" s="277">
        <f t="shared" si="147"/>
        <v>-225</v>
      </c>
      <c r="X509" s="277">
        <f t="shared" si="147"/>
        <v>-1127.4525</v>
      </c>
      <c r="Y509" s="277">
        <f t="shared" si="147"/>
        <v>-354.161</v>
      </c>
      <c r="Z509" s="277">
        <f t="shared" si="147"/>
        <v>0</v>
      </c>
      <c r="AA509" s="277">
        <f t="shared" si="147"/>
        <v>0</v>
      </c>
      <c r="AB509" s="277">
        <f t="shared" si="147"/>
        <v>-4.045</v>
      </c>
      <c r="AC509" s="277">
        <f t="shared" si="147"/>
        <v>-720</v>
      </c>
      <c r="AD509" s="277">
        <f t="shared" si="147"/>
        <v>-352.565</v>
      </c>
      <c r="AE509" s="277">
        <f t="shared" si="147"/>
        <v>33.858</v>
      </c>
      <c r="AF509" s="277">
        <f t="shared" si="147"/>
        <v>-209.1905</v>
      </c>
      <c r="AG509" s="93">
        <f t="shared" si="143"/>
        <v>-6994.413</v>
      </c>
    </row>
    <row r="510" outlineLevel="1">
      <c r="A510" s="147" t="s">
        <v>421</v>
      </c>
      <c r="B510" s="263">
        <f>B396*'Data - P&amp;L'!$C$3*'Data - P&amp;L'!$C$55</f>
        <v>0</v>
      </c>
      <c r="C510" s="263">
        <f>C396*'Data - P&amp;L'!$C$3*'Data - P&amp;L'!$C$55</f>
        <v>0</v>
      </c>
      <c r="D510" s="263">
        <f>D396*'Data - P&amp;L'!$C$3*'Data - P&amp;L'!$C$55</f>
        <v>0</v>
      </c>
      <c r="E510" s="263">
        <f>E396*'Data - P&amp;L'!$C$3*'Data - P&amp;L'!$C$55</f>
        <v>0</v>
      </c>
      <c r="F510" s="263">
        <f>F396*'Data - P&amp;L'!$C$3*'Data - P&amp;L'!$C$55</f>
        <v>0</v>
      </c>
      <c r="G510" s="263">
        <f>G396*'Data - P&amp;L'!$C$3*'Data - P&amp;L'!$C$55</f>
        <v>8.69</v>
      </c>
      <c r="H510" s="263">
        <f>H396*'Data - P&amp;L'!$C$3*'Data - P&amp;L'!$C$55</f>
        <v>0</v>
      </c>
      <c r="I510" s="263">
        <f>I396*'Data - P&amp;L'!$C$3*'Data - P&amp;L'!$C$55</f>
        <v>0</v>
      </c>
      <c r="J510" s="263">
        <f>J396*'Data - P&amp;L'!$C$3*'Data - P&amp;L'!$C$55</f>
        <v>0</v>
      </c>
      <c r="K510" s="263">
        <f>K396*'Data - P&amp;L'!$C$3*'Data - P&amp;L'!$C$55</f>
        <v>0</v>
      </c>
      <c r="L510" s="263">
        <f>L396*'Data - P&amp;L'!$C$3*'Data - P&amp;L'!$C$55</f>
        <v>0</v>
      </c>
      <c r="M510" s="263">
        <f>M396*'Data - P&amp;L'!$C$3*'Data - P&amp;L'!$C$55</f>
        <v>0</v>
      </c>
      <c r="N510" s="263">
        <f>N396*'Data - P&amp;L'!$C$3*'Data - P&amp;L'!$C$55</f>
        <v>0</v>
      </c>
      <c r="O510" s="263">
        <f>O396*'Data - P&amp;L'!$C$3*'Data - P&amp;L'!$C$55</f>
        <v>0</v>
      </c>
      <c r="P510" s="263">
        <f>P396*'Data - P&amp;L'!$C$3*'Data - P&amp;L'!$C$55</f>
        <v>0</v>
      </c>
      <c r="Q510" s="263">
        <f>Q396*'Data - P&amp;L'!$C$3*'Data - P&amp;L'!$C$55</f>
        <v>0</v>
      </c>
      <c r="R510" s="263">
        <f>R396*'Data - P&amp;L'!$C$3*'Data - P&amp;L'!$C$55</f>
        <v>0</v>
      </c>
      <c r="S510" s="263">
        <f>S396*'Data - P&amp;L'!$C$3*'Data - P&amp;L'!$C$55</f>
        <v>0</v>
      </c>
      <c r="T510" s="263">
        <f>T396*'Data - P&amp;L'!$C$3*'Data - P&amp;L'!$C$55</f>
        <v>0</v>
      </c>
      <c r="U510" s="263">
        <f>U396*'Data - P&amp;L'!$C$3*'Data - P&amp;L'!$C$55</f>
        <v>0</v>
      </c>
      <c r="V510" s="263">
        <f>V396*'Data - P&amp;L'!$C$3*'Data - P&amp;L'!$C$55</f>
        <v>0</v>
      </c>
      <c r="W510" s="263">
        <f>W396*'Data - P&amp;L'!$C$3*'Data - P&amp;L'!$C$55</f>
        <v>0</v>
      </c>
      <c r="X510" s="263">
        <f>X396*'Data - P&amp;L'!$C$3*'Data - P&amp;L'!$C$55</f>
        <v>8.69</v>
      </c>
      <c r="Y510" s="263">
        <f>Y396*'Data - P&amp;L'!$C$3*'Data - P&amp;L'!$C$55</f>
        <v>8.69</v>
      </c>
      <c r="Z510" s="263">
        <f>Z396*'Data - P&amp;L'!$C$3*'Data - P&amp;L'!$C$55</f>
        <v>0</v>
      </c>
      <c r="AA510" s="263">
        <f>AA396*'Data - P&amp;L'!$C$3*'Data - P&amp;L'!$C$55</f>
        <v>0</v>
      </c>
      <c r="AB510" s="263">
        <f>AB396*'Data - P&amp;L'!$C$3*'Data - P&amp;L'!$C$55</f>
        <v>0</v>
      </c>
      <c r="AC510" s="263">
        <f>AC396*'Data - P&amp;L'!$C$3*'Data - P&amp;L'!$C$55</f>
        <v>0</v>
      </c>
      <c r="AD510" s="263">
        <f>AD396*'Data - P&amp;L'!$C$3*'Data - P&amp;L'!$C$55</f>
        <v>0</v>
      </c>
      <c r="AE510" s="263">
        <f>AE396*'Data - P&amp;L'!$C$3*'Data - P&amp;L'!$C$55</f>
        <v>17.38</v>
      </c>
      <c r="AF510" s="263">
        <f>AF396*'Data - P&amp;L'!$C$3*'Data - P&amp;L'!$C$55</f>
        <v>0</v>
      </c>
      <c r="AG510" s="93">
        <f t="shared" si="143"/>
        <v>43.45</v>
      </c>
    </row>
    <row r="511" outlineLevel="1">
      <c r="A511" s="147" t="s">
        <v>422</v>
      </c>
      <c r="B511" s="263">
        <f>B397*'Data - P&amp;L'!$C$4*'Data - P&amp;L'!$C$55</f>
        <v>0</v>
      </c>
      <c r="C511" s="263">
        <f>C397*'Data - P&amp;L'!$C$4*'Data - P&amp;L'!$C$55</f>
        <v>0</v>
      </c>
      <c r="D511" s="263">
        <f>D397*'Data - P&amp;L'!$C$4*'Data - P&amp;L'!$C$55</f>
        <v>0</v>
      </c>
      <c r="E511" s="263">
        <f>E397*'Data - P&amp;L'!$C$4*'Data - P&amp;L'!$C$55</f>
        <v>0</v>
      </c>
      <c r="F511" s="263">
        <f>F397*'Data - P&amp;L'!$C$4*'Data - P&amp;L'!$C$55</f>
        <v>0</v>
      </c>
      <c r="G511" s="263">
        <f>G397*'Data - P&amp;L'!$C$4*'Data - P&amp;L'!$C$55</f>
        <v>0</v>
      </c>
      <c r="H511" s="263">
        <f>H397*'Data - P&amp;L'!$C$4*'Data - P&amp;L'!$C$55</f>
        <v>0</v>
      </c>
      <c r="I511" s="263">
        <f>I397*'Data - P&amp;L'!$C$4*'Data - P&amp;L'!$C$55</f>
        <v>0</v>
      </c>
      <c r="J511" s="263">
        <f>J397*'Data - P&amp;L'!$C$4*'Data - P&amp;L'!$C$55</f>
        <v>0</v>
      </c>
      <c r="K511" s="263">
        <f>K397*'Data - P&amp;L'!$C$4*'Data - P&amp;L'!$C$55</f>
        <v>19.522</v>
      </c>
      <c r="L511" s="263">
        <f>L397*'Data - P&amp;L'!$C$4*'Data - P&amp;L'!$C$55</f>
        <v>0</v>
      </c>
      <c r="M511" s="263">
        <f>M397*'Data - P&amp;L'!$C$4*'Data - P&amp;L'!$C$55</f>
        <v>0</v>
      </c>
      <c r="N511" s="263">
        <f>N397*'Data - P&amp;L'!$C$4*'Data - P&amp;L'!$C$55</f>
        <v>9.761</v>
      </c>
      <c r="O511" s="263">
        <f>O397*'Data - P&amp;L'!$C$4*'Data - P&amp;L'!$C$55</f>
        <v>9.761</v>
      </c>
      <c r="P511" s="263">
        <f>P397*'Data - P&amp;L'!$C$4*'Data - P&amp;L'!$C$55</f>
        <v>0</v>
      </c>
      <c r="Q511" s="263">
        <f>Q397*'Data - P&amp;L'!$C$4*'Data - P&amp;L'!$C$55</f>
        <v>0</v>
      </c>
      <c r="R511" s="263">
        <f>R397*'Data - P&amp;L'!$C$4*'Data - P&amp;L'!$C$55</f>
        <v>0</v>
      </c>
      <c r="S511" s="263">
        <f>S397*'Data - P&amp;L'!$C$4*'Data - P&amp;L'!$C$55</f>
        <v>0</v>
      </c>
      <c r="T511" s="263">
        <f>T397*'Data - P&amp;L'!$C$4*'Data - P&amp;L'!$C$55</f>
        <v>0</v>
      </c>
      <c r="U511" s="263">
        <f>U397*'Data - P&amp;L'!$C$4*'Data - P&amp;L'!$C$55</f>
        <v>9.761</v>
      </c>
      <c r="V511" s="263">
        <f>V397*'Data - P&amp;L'!$C$4*'Data - P&amp;L'!$C$55</f>
        <v>0</v>
      </c>
      <c r="W511" s="263">
        <f>W397*'Data - P&amp;L'!$C$4*'Data - P&amp;L'!$C$55</f>
        <v>0</v>
      </c>
      <c r="X511" s="263">
        <f>X397*'Data - P&amp;L'!$C$4*'Data - P&amp;L'!$C$55</f>
        <v>39.044</v>
      </c>
      <c r="Y511" s="263">
        <f>Y397*'Data - P&amp;L'!$C$4*'Data - P&amp;L'!$C$55</f>
        <v>9.761</v>
      </c>
      <c r="Z511" s="263">
        <f>Z397*'Data - P&amp;L'!$C$4*'Data - P&amp;L'!$C$55</f>
        <v>0</v>
      </c>
      <c r="AA511" s="263">
        <f>AA397*'Data - P&amp;L'!$C$4*'Data - P&amp;L'!$C$55</f>
        <v>0</v>
      </c>
      <c r="AB511" s="263">
        <f>AB397*'Data - P&amp;L'!$C$4*'Data - P&amp;L'!$C$55</f>
        <v>9.761</v>
      </c>
      <c r="AC511" s="263">
        <f>AC397*'Data - P&amp;L'!$C$4*'Data - P&amp;L'!$C$55</f>
        <v>0</v>
      </c>
      <c r="AD511" s="263">
        <f>AD397*'Data - P&amp;L'!$C$4*'Data - P&amp;L'!$C$55</f>
        <v>19.522</v>
      </c>
      <c r="AE511" s="263">
        <f>AE397*'Data - P&amp;L'!$C$4*'Data - P&amp;L'!$C$55</f>
        <v>9.761</v>
      </c>
      <c r="AF511" s="263">
        <f>AF397*'Data - P&amp;L'!$C$4*'Data - P&amp;L'!$C$55</f>
        <v>0</v>
      </c>
      <c r="AG511" s="93">
        <f t="shared" si="143"/>
        <v>136.654</v>
      </c>
    </row>
    <row r="512" outlineLevel="1">
      <c r="A512" s="147" t="s">
        <v>393</v>
      </c>
      <c r="B512" s="263">
        <f>(B379+B390)*'Data - P&amp;L'!$C$15*'Data - P&amp;L'!$C$55</f>
        <v>0</v>
      </c>
      <c r="C512" s="263">
        <f>(C379+C390)*'Data - P&amp;L'!$C$15*'Data - P&amp;L'!$C$55</f>
        <v>0</v>
      </c>
      <c r="D512" s="263">
        <f>(D379+D390)*'Data - P&amp;L'!$C$15*'Data - P&amp;L'!$C$55</f>
        <v>0</v>
      </c>
      <c r="E512" s="263">
        <f>(E379+E390)*'Data - P&amp;L'!$C$15*'Data - P&amp;L'!$C$55</f>
        <v>0</v>
      </c>
      <c r="F512" s="263">
        <f>(F379+F390)*'Data - P&amp;L'!$C$15*'Data - P&amp;L'!$C$55</f>
        <v>0</v>
      </c>
      <c r="G512" s="263">
        <f>(G379+G390)*'Data - P&amp;L'!$C$15*'Data - P&amp;L'!$C$55</f>
        <v>0</v>
      </c>
      <c r="H512" s="263">
        <f>(H379+H390)*'Data - P&amp;L'!$C$15*'Data - P&amp;L'!$C$55</f>
        <v>0</v>
      </c>
      <c r="I512" s="263">
        <f>(I379+I390)*'Data - P&amp;L'!$C$15*'Data - P&amp;L'!$C$55</f>
        <v>0</v>
      </c>
      <c r="J512" s="263">
        <f>(J379+J390)*'Data - P&amp;L'!$C$15*'Data - P&amp;L'!$C$55</f>
        <v>0</v>
      </c>
      <c r="K512" s="263">
        <f>(K379+K390)*'Data - P&amp;L'!$C$15*'Data - P&amp;L'!$C$55</f>
        <v>0</v>
      </c>
      <c r="L512" s="263">
        <f>(L379+L390)*'Data - P&amp;L'!$C$15*'Data - P&amp;L'!$C$55</f>
        <v>0</v>
      </c>
      <c r="M512" s="263">
        <f>(M379+M390)*'Data - P&amp;L'!$C$15*'Data - P&amp;L'!$C$55</f>
        <v>0</v>
      </c>
      <c r="N512" s="263">
        <f>(N379+N390)*'Data - P&amp;L'!$C$15*'Data - P&amp;L'!$C$55</f>
        <v>0</v>
      </c>
      <c r="O512" s="263">
        <f>(O379+O390)*'Data - P&amp;L'!$C$15*'Data - P&amp;L'!$C$55</f>
        <v>0</v>
      </c>
      <c r="P512" s="263">
        <f>(P379+P390)*'Data - P&amp;L'!$C$15*'Data - P&amp;L'!$C$55</f>
        <v>0</v>
      </c>
      <c r="Q512" s="263">
        <f>(Q379+Q390)*'Data - P&amp;L'!$C$15*'Data - P&amp;L'!$C$55</f>
        <v>0</v>
      </c>
      <c r="R512" s="263">
        <f>(R379+R390)*'Data - P&amp;L'!$C$15*'Data - P&amp;L'!$C$55</f>
        <v>0</v>
      </c>
      <c r="S512" s="263">
        <f>(S379+S390)*'Data - P&amp;L'!$C$15*'Data - P&amp;L'!$C$55</f>
        <v>0</v>
      </c>
      <c r="T512" s="263">
        <f>(T379+T390)*'Data - P&amp;L'!$C$15*'Data - P&amp;L'!$C$55</f>
        <v>0</v>
      </c>
      <c r="U512" s="263">
        <f>(U379+U390)*'Data - P&amp;L'!$C$15*'Data - P&amp;L'!$C$55</f>
        <v>0</v>
      </c>
      <c r="V512" s="263">
        <f>(V379+V390)*'Data - P&amp;L'!$C$15*'Data - P&amp;L'!$C$55</f>
        <v>0</v>
      </c>
      <c r="W512" s="263">
        <f>(W379+W390)*'Data - P&amp;L'!$C$15*'Data - P&amp;L'!$C$55</f>
        <v>0</v>
      </c>
      <c r="X512" s="263">
        <f>(X379+X390)*'Data - P&amp;L'!$C$15*'Data - P&amp;L'!$C$55</f>
        <v>0</v>
      </c>
      <c r="Y512" s="263">
        <f>(Y379+Y390)*'Data - P&amp;L'!$C$15*'Data - P&amp;L'!$C$55</f>
        <v>0</v>
      </c>
      <c r="Z512" s="263">
        <f>(Z379+Z390)*'Data - P&amp;L'!$C$15*'Data - P&amp;L'!$C$55</f>
        <v>0</v>
      </c>
      <c r="AA512" s="263">
        <f>(AA379+AA390)*'Data - P&amp;L'!$C$15*'Data - P&amp;L'!$C$55</f>
        <v>0</v>
      </c>
      <c r="AB512" s="263">
        <f>(AB379+AB390)*'Data - P&amp;L'!$C$15*'Data - P&amp;L'!$C$55</f>
        <v>0</v>
      </c>
      <c r="AC512" s="263">
        <f>(AC379+AC390)*'Data - P&amp;L'!$C$15*'Data - P&amp;L'!$C$55</f>
        <v>0</v>
      </c>
      <c r="AD512" s="263">
        <f>(AD379+AD390)*'Data - P&amp;L'!$C$15*'Data - P&amp;L'!$C$55</f>
        <v>0</v>
      </c>
      <c r="AE512" s="263">
        <f>(AE379+AE390)*'Data - P&amp;L'!$C$15*'Data - P&amp;L'!$C$55</f>
        <v>0</v>
      </c>
      <c r="AF512" s="263">
        <f>(AF379+AF390)*'Data - P&amp;L'!$C$15*'Data - P&amp;L'!$C$55</f>
        <v>0</v>
      </c>
      <c r="AG512" s="93">
        <f t="shared" si="143"/>
        <v>0</v>
      </c>
    </row>
    <row r="513" outlineLevel="1">
      <c r="A513" s="147" t="s">
        <v>394</v>
      </c>
      <c r="B513" s="263">
        <f>(B380+B391)*'Data - P&amp;L'!$C$16*'Data - P&amp;L'!$C$55</f>
        <v>0</v>
      </c>
      <c r="C513" s="263">
        <f>(C380+C391)*'Data - P&amp;L'!$C$16*'Data - P&amp;L'!$C$55</f>
        <v>0</v>
      </c>
      <c r="D513" s="263">
        <f>(D380+D391)*'Data - P&amp;L'!$C$16*'Data - P&amp;L'!$C$55</f>
        <v>0</v>
      </c>
      <c r="E513" s="263">
        <f>(E380+E391)*'Data - P&amp;L'!$C$16*'Data - P&amp;L'!$C$55</f>
        <v>0</v>
      </c>
      <c r="F513" s="263">
        <f>(F380+F391)*'Data - P&amp;L'!$C$16*'Data - P&amp;L'!$C$55</f>
        <v>0</v>
      </c>
      <c r="G513" s="263">
        <f>(G380+G391)*'Data - P&amp;L'!$C$16*'Data - P&amp;L'!$C$55</f>
        <v>0</v>
      </c>
      <c r="H513" s="263">
        <f>(H380+H391)*'Data - P&amp;L'!$C$16*'Data - P&amp;L'!$C$55</f>
        <v>0</v>
      </c>
      <c r="I513" s="263">
        <f>(I380+I391)*'Data - P&amp;L'!$C$16*'Data - P&amp;L'!$C$55</f>
        <v>0</v>
      </c>
      <c r="J513" s="263">
        <f>(J380+J391)*'Data - P&amp;L'!$C$16*'Data - P&amp;L'!$C$55</f>
        <v>0</v>
      </c>
      <c r="K513" s="263">
        <f>(K380+K391)*'Data - P&amp;L'!$C$16*'Data - P&amp;L'!$C$55</f>
        <v>0</v>
      </c>
      <c r="L513" s="263">
        <f>(L380+L391)*'Data - P&amp;L'!$C$16*'Data - P&amp;L'!$C$55</f>
        <v>0</v>
      </c>
      <c r="M513" s="263">
        <f>(M380+M391)*'Data - P&amp;L'!$C$16*'Data - P&amp;L'!$C$55</f>
        <v>0</v>
      </c>
      <c r="N513" s="263">
        <f>(N380+N391)*'Data - P&amp;L'!$C$16*'Data - P&amp;L'!$C$55</f>
        <v>0</v>
      </c>
      <c r="O513" s="263">
        <f>(O380+O391)*'Data - P&amp;L'!$C$16*'Data - P&amp;L'!$C$55</f>
        <v>0</v>
      </c>
      <c r="P513" s="263">
        <f>(P380+P391)*'Data - P&amp;L'!$C$16*'Data - P&amp;L'!$C$55</f>
        <v>0</v>
      </c>
      <c r="Q513" s="263">
        <f>(Q380+Q391)*'Data - P&amp;L'!$C$16*'Data - P&amp;L'!$C$55</f>
        <v>0</v>
      </c>
      <c r="R513" s="263">
        <f>(R380+R391)*'Data - P&amp;L'!$C$16*'Data - P&amp;L'!$C$55</f>
        <v>0</v>
      </c>
      <c r="S513" s="263">
        <f>(S380+S391)*'Data - P&amp;L'!$C$16*'Data - P&amp;L'!$C$55</f>
        <v>0</v>
      </c>
      <c r="T513" s="263">
        <f>(T380+T391)*'Data - P&amp;L'!$C$16*'Data - P&amp;L'!$C$55</f>
        <v>0</v>
      </c>
      <c r="U513" s="263">
        <f>(U380+U391)*'Data - P&amp;L'!$C$16*'Data - P&amp;L'!$C$55</f>
        <v>0</v>
      </c>
      <c r="V513" s="263">
        <f>(V380+V391)*'Data - P&amp;L'!$C$16*'Data - P&amp;L'!$C$55</f>
        <v>0</v>
      </c>
      <c r="W513" s="263">
        <f>(W380+W391)*'Data - P&amp;L'!$C$16*'Data - P&amp;L'!$C$55</f>
        <v>0</v>
      </c>
      <c r="X513" s="263">
        <f>(X380+X391)*'Data - P&amp;L'!$C$16*'Data - P&amp;L'!$C$55</f>
        <v>0</v>
      </c>
      <c r="Y513" s="263">
        <f>(Y380+Y391)*'Data - P&amp;L'!$C$16*'Data - P&amp;L'!$C$55</f>
        <v>0</v>
      </c>
      <c r="Z513" s="263">
        <f>(Z380+Z391)*'Data - P&amp;L'!$C$16*'Data - P&amp;L'!$C$55</f>
        <v>0</v>
      </c>
      <c r="AA513" s="263">
        <f>(AA380+AA391)*'Data - P&amp;L'!$C$16*'Data - P&amp;L'!$C$55</f>
        <v>0</v>
      </c>
      <c r="AB513" s="263">
        <f>(AB380+AB391)*'Data - P&amp;L'!$C$16*'Data - P&amp;L'!$C$55</f>
        <v>0</v>
      </c>
      <c r="AC513" s="263">
        <f>(AC380+AC391)*'Data - P&amp;L'!$C$16*'Data - P&amp;L'!$C$55</f>
        <v>0</v>
      </c>
      <c r="AD513" s="263">
        <f>(AD380+AD391)*'Data - P&amp;L'!$C$16*'Data - P&amp;L'!$C$55</f>
        <v>0</v>
      </c>
      <c r="AE513" s="263">
        <f>(AE380+AE391)*'Data - P&amp;L'!$C$16*'Data - P&amp;L'!$C$55</f>
        <v>0</v>
      </c>
      <c r="AF513" s="263">
        <f>(AF380+AF391)*'Data - P&amp;L'!$C$16*'Data - P&amp;L'!$C$55</f>
        <v>0</v>
      </c>
      <c r="AG513" s="93">
        <f t="shared" si="143"/>
        <v>0</v>
      </c>
    </row>
    <row r="514" outlineLevel="1">
      <c r="A514" s="147" t="s">
        <v>423</v>
      </c>
      <c r="B514" s="263">
        <f>(B400+B413)*'Data - P&amp;L'!$C$6*'Data - P&amp;L'!$C$55</f>
        <v>0</v>
      </c>
      <c r="C514" s="263">
        <f>(C400+C413)*'Data - P&amp;L'!$C$6*'Data - P&amp;L'!$C$55</f>
        <v>0.549</v>
      </c>
      <c r="D514" s="263">
        <f>(D400+D413)*'Data - P&amp;L'!$C$6*'Data - P&amp;L'!$C$55</f>
        <v>0</v>
      </c>
      <c r="E514" s="263">
        <f>(E400+E413)*'Data - P&amp;L'!$C$6*'Data - P&amp;L'!$C$55</f>
        <v>0</v>
      </c>
      <c r="F514" s="263">
        <f>(F400+F413)*'Data - P&amp;L'!$C$6*'Data - P&amp;L'!$C$55</f>
        <v>0</v>
      </c>
      <c r="G514" s="263">
        <f>(G400+G413)*'Data - P&amp;L'!$C$6*'Data - P&amp;L'!$C$55</f>
        <v>0</v>
      </c>
      <c r="H514" s="263">
        <f>(H400+H413)*'Data - P&amp;L'!$C$6*'Data - P&amp;L'!$C$55</f>
        <v>0</v>
      </c>
      <c r="I514" s="263">
        <f>(I400+I413)*'Data - P&amp;L'!$C$6*'Data - P&amp;L'!$C$55</f>
        <v>0</v>
      </c>
      <c r="J514" s="263">
        <f>(J400+J413)*'Data - P&amp;L'!$C$6*'Data - P&amp;L'!$C$55</f>
        <v>0</v>
      </c>
      <c r="K514" s="263">
        <f>(K400+K413)*'Data - P&amp;L'!$C$6*'Data - P&amp;L'!$C$55</f>
        <v>0.549</v>
      </c>
      <c r="L514" s="263">
        <f>(L400+L413)*'Data - P&amp;L'!$C$6*'Data - P&amp;L'!$C$55</f>
        <v>0</v>
      </c>
      <c r="M514" s="263">
        <f>(M400+M413)*'Data - P&amp;L'!$C$6*'Data - P&amp;L'!$C$55</f>
        <v>0</v>
      </c>
      <c r="N514" s="263">
        <f>(N400+N413)*'Data - P&amp;L'!$C$6*'Data - P&amp;L'!$C$55</f>
        <v>0</v>
      </c>
      <c r="O514" s="263">
        <f>(O400+O413)*'Data - P&amp;L'!$C$6*'Data - P&amp;L'!$C$55</f>
        <v>0</v>
      </c>
      <c r="P514" s="263">
        <f>(P400+P413)*'Data - P&amp;L'!$C$6*'Data - P&amp;L'!$C$55</f>
        <v>0</v>
      </c>
      <c r="Q514" s="263">
        <f>(Q400+Q413)*'Data - P&amp;L'!$C$6*'Data - P&amp;L'!$C$55</f>
        <v>0</v>
      </c>
      <c r="R514" s="263">
        <f>(R400+R413)*'Data - P&amp;L'!$C$6*'Data - P&amp;L'!$C$55</f>
        <v>0</v>
      </c>
      <c r="S514" s="263">
        <f>(S400+S413)*'Data - P&amp;L'!$C$6*'Data - P&amp;L'!$C$55</f>
        <v>0</v>
      </c>
      <c r="T514" s="263">
        <f>(T400+T413)*'Data - P&amp;L'!$C$6*'Data - P&amp;L'!$C$55</f>
        <v>0</v>
      </c>
      <c r="U514" s="263">
        <f>(U400+U413)*'Data - P&amp;L'!$C$6*'Data - P&amp;L'!$C$55</f>
        <v>0</v>
      </c>
      <c r="V514" s="263">
        <f>(V400+V413)*'Data - P&amp;L'!$C$6*'Data - P&amp;L'!$C$55</f>
        <v>0</v>
      </c>
      <c r="W514" s="263">
        <f>(W400+W413)*'Data - P&amp;L'!$C$6*'Data - P&amp;L'!$C$55</f>
        <v>0</v>
      </c>
      <c r="X514" s="263">
        <f>(X400+X413)*'Data - P&amp;L'!$C$6*'Data - P&amp;L'!$C$55</f>
        <v>0.549</v>
      </c>
      <c r="Y514" s="263">
        <f>(Y400+Y413)*'Data - P&amp;L'!$C$6*'Data - P&amp;L'!$C$55</f>
        <v>0</v>
      </c>
      <c r="Z514" s="263">
        <f>(Z400+Z413)*'Data - P&amp;L'!$C$6*'Data - P&amp;L'!$C$55</f>
        <v>0</v>
      </c>
      <c r="AA514" s="263">
        <f>(AA400+AA413)*'Data - P&amp;L'!$C$6*'Data - P&amp;L'!$C$55</f>
        <v>0</v>
      </c>
      <c r="AB514" s="263">
        <f>(AB400+AB413)*'Data - P&amp;L'!$C$6*'Data - P&amp;L'!$C$55</f>
        <v>0</v>
      </c>
      <c r="AC514" s="263">
        <f>(AC400+AC413)*'Data - P&amp;L'!$C$6*'Data - P&amp;L'!$C$55</f>
        <v>0</v>
      </c>
      <c r="AD514" s="263">
        <f>(AD400+AD413)*'Data - P&amp;L'!$C$6*'Data - P&amp;L'!$C$55</f>
        <v>0</v>
      </c>
      <c r="AE514" s="263">
        <f>(AE400+AE413)*'Data - P&amp;L'!$C$6*'Data - P&amp;L'!$C$55</f>
        <v>1.098</v>
      </c>
      <c r="AF514" s="263">
        <f>(AF400+AF413)*'Data - P&amp;L'!$C$6*'Data - P&amp;L'!$C$55</f>
        <v>0</v>
      </c>
      <c r="AG514" s="93">
        <f t="shared" si="143"/>
        <v>2.745</v>
      </c>
    </row>
    <row r="515" outlineLevel="1">
      <c r="A515" s="147" t="s">
        <v>424</v>
      </c>
      <c r="B515" s="263">
        <f>(B401+B414)*'Data - P&amp;L'!$C$8*'Data - P&amp;L'!$C$55</f>
        <v>0.714</v>
      </c>
      <c r="C515" s="263">
        <f>(C401+C414)*'Data - P&amp;L'!$C$8*'Data - P&amp;L'!$C$55</f>
        <v>0.119</v>
      </c>
      <c r="D515" s="263">
        <f>(D401+D414)*'Data - P&amp;L'!$C$8*'Data - P&amp;L'!$C$55</f>
        <v>0</v>
      </c>
      <c r="E515" s="263">
        <f>(E401+E414)*'Data - P&amp;L'!$C$8*'Data - P&amp;L'!$C$55</f>
        <v>0</v>
      </c>
      <c r="F515" s="263">
        <f>(F401+F414)*'Data - P&amp;L'!$C$8*'Data - P&amp;L'!$C$55</f>
        <v>0</v>
      </c>
      <c r="G515" s="263">
        <f>(G401+G414)*'Data - P&amp;L'!$C$8*'Data - P&amp;L'!$C$55</f>
        <v>0</v>
      </c>
      <c r="H515" s="263">
        <f>(H401+H414)*'Data - P&amp;L'!$C$8*'Data - P&amp;L'!$C$55</f>
        <v>0</v>
      </c>
      <c r="I515" s="263">
        <f>(I401+I414)*'Data - P&amp;L'!$C$8*'Data - P&amp;L'!$C$55</f>
        <v>0</v>
      </c>
      <c r="J515" s="263">
        <f>(J401+J414)*'Data - P&amp;L'!$C$8*'Data - P&amp;L'!$C$55</f>
        <v>0</v>
      </c>
      <c r="K515" s="263">
        <f>(K401+K414)*'Data - P&amp;L'!$C$8*'Data - P&amp;L'!$C$55</f>
        <v>0.119</v>
      </c>
      <c r="L515" s="263">
        <f>(L401+L414)*'Data - P&amp;L'!$C$8*'Data - P&amp;L'!$C$55</f>
        <v>0</v>
      </c>
      <c r="M515" s="263">
        <f>(M401+M414)*'Data - P&amp;L'!$C$8*'Data - P&amp;L'!$C$55</f>
        <v>0</v>
      </c>
      <c r="N515" s="263">
        <f>(N401+N414)*'Data - P&amp;L'!$C$8*'Data - P&amp;L'!$C$55</f>
        <v>0</v>
      </c>
      <c r="O515" s="263">
        <f>(O401+O414)*'Data - P&amp;L'!$C$8*'Data - P&amp;L'!$C$55</f>
        <v>0.238</v>
      </c>
      <c r="P515" s="263">
        <f>(P401+P414)*'Data - P&amp;L'!$C$8*'Data - P&amp;L'!$C$55</f>
        <v>0</v>
      </c>
      <c r="Q515" s="263">
        <f>(Q401+Q414)*'Data - P&amp;L'!$C$8*'Data - P&amp;L'!$C$55</f>
        <v>0</v>
      </c>
      <c r="R515" s="263">
        <f>(R401+R414)*'Data - P&amp;L'!$C$8*'Data - P&amp;L'!$C$55</f>
        <v>0</v>
      </c>
      <c r="S515" s="263">
        <f>(S401+S414)*'Data - P&amp;L'!$C$8*'Data - P&amp;L'!$C$55</f>
        <v>0</v>
      </c>
      <c r="T515" s="263">
        <f>(T401+T414)*'Data - P&amp;L'!$C$8*'Data - P&amp;L'!$C$55</f>
        <v>0</v>
      </c>
      <c r="U515" s="263">
        <f>(U401+U414)*'Data - P&amp;L'!$C$8*'Data - P&amp;L'!$C$55</f>
        <v>0.119</v>
      </c>
      <c r="V515" s="263">
        <f>(V401+V414)*'Data - P&amp;L'!$C$8*'Data - P&amp;L'!$C$55</f>
        <v>0</v>
      </c>
      <c r="W515" s="263">
        <f>(W401+W414)*'Data - P&amp;L'!$C$8*'Data - P&amp;L'!$C$55</f>
        <v>0</v>
      </c>
      <c r="X515" s="263">
        <f>(X401+X414)*'Data - P&amp;L'!$C$8*'Data - P&amp;L'!$C$55</f>
        <v>0.357</v>
      </c>
      <c r="Y515" s="263">
        <f>(Y401+Y414)*'Data - P&amp;L'!$C$8*'Data - P&amp;L'!$C$55</f>
        <v>0</v>
      </c>
      <c r="Z515" s="263">
        <f>(Z401+Z414)*'Data - P&amp;L'!$C$8*'Data - P&amp;L'!$C$55</f>
        <v>0</v>
      </c>
      <c r="AA515" s="263">
        <f>(AA401+AA414)*'Data - P&amp;L'!$C$8*'Data - P&amp;L'!$C$55</f>
        <v>0</v>
      </c>
      <c r="AB515" s="263">
        <f>(AB401+AB414)*'Data - P&amp;L'!$C$8*'Data - P&amp;L'!$C$55</f>
        <v>0</v>
      </c>
      <c r="AC515" s="263">
        <f>(AC401+AC414)*'Data - P&amp;L'!$C$8*'Data - P&amp;L'!$C$55</f>
        <v>0</v>
      </c>
      <c r="AD515" s="263">
        <f>(AD401+AD414)*'Data - P&amp;L'!$C$8*'Data - P&amp;L'!$C$55</f>
        <v>0.238</v>
      </c>
      <c r="AE515" s="263">
        <f>(AE401+AE414)*'Data - P&amp;L'!$C$8*'Data - P&amp;L'!$C$55</f>
        <v>0.119</v>
      </c>
      <c r="AF515" s="263">
        <f>(AF401+AF414)*'Data - P&amp;L'!$C$8*'Data - P&amp;L'!$C$55</f>
        <v>0</v>
      </c>
      <c r="AG515" s="93">
        <f t="shared" si="143"/>
        <v>2.023</v>
      </c>
    </row>
    <row r="516" outlineLevel="1">
      <c r="A516" s="147" t="s">
        <v>425</v>
      </c>
      <c r="B516" s="263">
        <f>(B402+B403+B415+B416)*'Data - P&amp;L'!$C$9*'Data - P&amp;L'!$C$55</f>
        <v>0</v>
      </c>
      <c r="C516" s="263">
        <f>(C402+C403+C415+C416)*'Data - P&amp;L'!$C$9*'Data - P&amp;L'!$C$55</f>
        <v>0</v>
      </c>
      <c r="D516" s="263">
        <f>(D402+D403+D415+D416)*'Data - P&amp;L'!$C$9*'Data - P&amp;L'!$C$55</f>
        <v>0</v>
      </c>
      <c r="E516" s="263">
        <f>(E402+E403+E415+E416)*'Data - P&amp;L'!$C$9*'Data - P&amp;L'!$C$55</f>
        <v>0</v>
      </c>
      <c r="F516" s="263">
        <f>(F402+F403+F415+F416)*'Data - P&amp;L'!$C$9*'Data - P&amp;L'!$C$55</f>
        <v>0</v>
      </c>
      <c r="G516" s="263">
        <f>(G402+G403+G415+G416)*'Data - P&amp;L'!$C$9*'Data - P&amp;L'!$C$55</f>
        <v>0</v>
      </c>
      <c r="H516" s="263">
        <f>(H402+H403+H415+H416)*'Data - P&amp;L'!$C$9*'Data - P&amp;L'!$C$55</f>
        <v>0</v>
      </c>
      <c r="I516" s="263">
        <f>(I402+I403+I415+I416)*'Data - P&amp;L'!$C$9*'Data - P&amp;L'!$C$55</f>
        <v>0</v>
      </c>
      <c r="J516" s="263">
        <f>(J402+J403+J415+J416)*'Data - P&amp;L'!$C$9*'Data - P&amp;L'!$C$55</f>
        <v>0</v>
      </c>
      <c r="K516" s="263">
        <f>(K402+K403+K415+K416)*'Data - P&amp;L'!$C$9*'Data - P&amp;L'!$C$55</f>
        <v>0.666</v>
      </c>
      <c r="L516" s="263">
        <f>(L402+L403+L415+L416)*'Data - P&amp;L'!$C$9*'Data - P&amp;L'!$C$55</f>
        <v>0</v>
      </c>
      <c r="M516" s="263">
        <f>(M402+M403+M415+M416)*'Data - P&amp;L'!$C$9*'Data - P&amp;L'!$C$55</f>
        <v>0</v>
      </c>
      <c r="N516" s="263">
        <f>(N402+N403+N415+N416)*'Data - P&amp;L'!$C$9*'Data - P&amp;L'!$C$55</f>
        <v>0</v>
      </c>
      <c r="O516" s="263">
        <f>(O402+O403+O415+O416)*'Data - P&amp;L'!$C$9*'Data - P&amp;L'!$C$55</f>
        <v>0</v>
      </c>
      <c r="P516" s="263">
        <f>(P402+P403+P415+P416)*'Data - P&amp;L'!$C$9*'Data - P&amp;L'!$C$55</f>
        <v>0</v>
      </c>
      <c r="Q516" s="263">
        <f>(Q402+Q403+Q415+Q416)*'Data - P&amp;L'!$C$9*'Data - P&amp;L'!$C$55</f>
        <v>0</v>
      </c>
      <c r="R516" s="263">
        <f>(R402+R403+R415+R416)*'Data - P&amp;L'!$C$9*'Data - P&amp;L'!$C$55</f>
        <v>0</v>
      </c>
      <c r="S516" s="263">
        <f>(S402+S403+S415+S416)*'Data - P&amp;L'!$C$9*'Data - P&amp;L'!$C$55</f>
        <v>0</v>
      </c>
      <c r="T516" s="263">
        <f>(T402+T403+T415+T416)*'Data - P&amp;L'!$C$9*'Data - P&amp;L'!$C$55</f>
        <v>0</v>
      </c>
      <c r="U516" s="263">
        <f>(U402+U403+U415+U416)*'Data - P&amp;L'!$C$9*'Data - P&amp;L'!$C$55</f>
        <v>0.666</v>
      </c>
      <c r="V516" s="263">
        <f>(V402+V403+V415+V416)*'Data - P&amp;L'!$C$9*'Data - P&amp;L'!$C$55</f>
        <v>0</v>
      </c>
      <c r="W516" s="263">
        <f>(W402+W403+W415+W416)*'Data - P&amp;L'!$C$9*'Data - P&amp;L'!$C$55</f>
        <v>0</v>
      </c>
      <c r="X516" s="263">
        <f>(X402+X403+X415+X416)*'Data - P&amp;L'!$C$9*'Data - P&amp;L'!$C$55</f>
        <v>1.332</v>
      </c>
      <c r="Y516" s="263">
        <f>(Y402+Y403+Y415+Y416)*'Data - P&amp;L'!$C$9*'Data - P&amp;L'!$C$55</f>
        <v>0</v>
      </c>
      <c r="Z516" s="263">
        <f>(Z402+Z403+Z415+Z416)*'Data - P&amp;L'!$C$9*'Data - P&amp;L'!$C$55</f>
        <v>0</v>
      </c>
      <c r="AA516" s="263">
        <f>(AA402+AA403+AA415+AA416)*'Data - P&amp;L'!$C$9*'Data - P&amp;L'!$C$55</f>
        <v>0</v>
      </c>
      <c r="AB516" s="263">
        <f>(AB402+AB403+AB415+AB416)*'Data - P&amp;L'!$C$9*'Data - P&amp;L'!$C$55</f>
        <v>0</v>
      </c>
      <c r="AC516" s="263">
        <f>(AC402+AC403+AC415+AC416)*'Data - P&amp;L'!$C$9*'Data - P&amp;L'!$C$55</f>
        <v>0</v>
      </c>
      <c r="AD516" s="263">
        <f>(AD402+AD403+AD415+AD416)*'Data - P&amp;L'!$C$9*'Data - P&amp;L'!$C$55</f>
        <v>0</v>
      </c>
      <c r="AE516" s="263">
        <f>(AE402+AE403+AE415+AE416)*'Data - P&amp;L'!$C$9*'Data - P&amp;L'!$C$55</f>
        <v>0</v>
      </c>
      <c r="AF516" s="263">
        <f>(AF402+AF403+AF415+AF416)*'Data - P&amp;L'!$C$9*'Data - P&amp;L'!$C$55</f>
        <v>0.666</v>
      </c>
      <c r="AG516" s="93">
        <f t="shared" si="143"/>
        <v>3.33</v>
      </c>
    </row>
    <row r="517" outlineLevel="1">
      <c r="A517" s="147" t="s">
        <v>426</v>
      </c>
      <c r="B517" s="263">
        <f>(B404+B405+B417+B418)*'Data - P&amp;L'!$C$5*'Data - P&amp;L'!$C$55</f>
        <v>1.344</v>
      </c>
      <c r="C517" s="263">
        <f>(C404+C405+C417+C418)*'Data - P&amp;L'!$C$5*'Data - P&amp;L'!$C$55</f>
        <v>1.344</v>
      </c>
      <c r="D517" s="263">
        <f>(D404+D405+D417+D418)*'Data - P&amp;L'!$C$5*'Data - P&amp;L'!$C$55</f>
        <v>0</v>
      </c>
      <c r="E517" s="263">
        <f>(E404+E405+E417+E418)*'Data - P&amp;L'!$C$5*'Data - P&amp;L'!$C$55</f>
        <v>0</v>
      </c>
      <c r="F517" s="263">
        <f>(F404+F405+F417+F418)*'Data - P&amp;L'!$C$5*'Data - P&amp;L'!$C$55</f>
        <v>0</v>
      </c>
      <c r="G517" s="263">
        <f>(G404+G405+G417+G418)*'Data - P&amp;L'!$C$5*'Data - P&amp;L'!$C$55</f>
        <v>2.688</v>
      </c>
      <c r="H517" s="263">
        <f>(H404+H405+H417+H418)*'Data - P&amp;L'!$C$5*'Data - P&amp;L'!$C$55</f>
        <v>0</v>
      </c>
      <c r="I517" s="263">
        <f>(I404+I405+I417+I418)*'Data - P&amp;L'!$C$5*'Data - P&amp;L'!$C$55</f>
        <v>0</v>
      </c>
      <c r="J517" s="263">
        <f>(J404+J405+J417+J418)*'Data - P&amp;L'!$C$5*'Data - P&amp;L'!$C$55</f>
        <v>0</v>
      </c>
      <c r="K517" s="263">
        <f>(K404+K405+K417+K418)*'Data - P&amp;L'!$C$5*'Data - P&amp;L'!$C$55</f>
        <v>2.688</v>
      </c>
      <c r="L517" s="263">
        <f>(L404+L405+L417+L418)*'Data - P&amp;L'!$C$5*'Data - P&amp;L'!$C$55</f>
        <v>0</v>
      </c>
      <c r="M517" s="263">
        <f>(M404+M405+M417+M418)*'Data - P&amp;L'!$C$5*'Data - P&amp;L'!$C$55</f>
        <v>0</v>
      </c>
      <c r="N517" s="263">
        <f>(N404+N405+N417+N418)*'Data - P&amp;L'!$C$5*'Data - P&amp;L'!$C$55</f>
        <v>0</v>
      </c>
      <c r="O517" s="263">
        <f>(O404+O405+O417+O418)*'Data - P&amp;L'!$C$5*'Data - P&amp;L'!$C$55</f>
        <v>4.032</v>
      </c>
      <c r="P517" s="263">
        <f>(P404+P405+P417+P418)*'Data - P&amp;L'!$C$5*'Data - P&amp;L'!$C$55</f>
        <v>0</v>
      </c>
      <c r="Q517" s="263">
        <f>(Q404+Q405+Q417+Q418)*'Data - P&amp;L'!$C$5*'Data - P&amp;L'!$C$55</f>
        <v>0</v>
      </c>
      <c r="R517" s="263">
        <f>(R404+R405+R417+R418)*'Data - P&amp;L'!$C$5*'Data - P&amp;L'!$C$55</f>
        <v>0</v>
      </c>
      <c r="S517" s="263">
        <f>(S404+S405+S417+S418)*'Data - P&amp;L'!$C$5*'Data - P&amp;L'!$C$55</f>
        <v>0</v>
      </c>
      <c r="T517" s="263">
        <f>(T404+T405+T417+T418)*'Data - P&amp;L'!$C$5*'Data - P&amp;L'!$C$55</f>
        <v>0</v>
      </c>
      <c r="U517" s="263">
        <f>(U404+U405+U417+U418)*'Data - P&amp;L'!$C$5*'Data - P&amp;L'!$C$55</f>
        <v>1.344</v>
      </c>
      <c r="V517" s="263">
        <f>(V404+V405+V417+V418)*'Data - P&amp;L'!$C$5*'Data - P&amp;L'!$C$55</f>
        <v>0</v>
      </c>
      <c r="W517" s="263">
        <f>(W404+W405+W417+W418)*'Data - P&amp;L'!$C$5*'Data - P&amp;L'!$C$55</f>
        <v>0</v>
      </c>
      <c r="X517" s="263">
        <f>(X404+X405+X417+X418)*'Data - P&amp;L'!$C$5*'Data - P&amp;L'!$C$55</f>
        <v>0</v>
      </c>
      <c r="Y517" s="263">
        <f>(Y404+Y405+Y417+Y418)*'Data - P&amp;L'!$C$5*'Data - P&amp;L'!$C$55</f>
        <v>0</v>
      </c>
      <c r="Z517" s="263">
        <f>(Z404+Z405+Z417+Z418)*'Data - P&amp;L'!$C$5*'Data - P&amp;L'!$C$55</f>
        <v>0</v>
      </c>
      <c r="AA517" s="263">
        <f>(AA404+AA405+AA417+AA418)*'Data - P&amp;L'!$C$5*'Data - P&amp;L'!$C$55</f>
        <v>0</v>
      </c>
      <c r="AB517" s="263">
        <f>(AB404+AB405+AB417+AB418)*'Data - P&amp;L'!$C$5*'Data - P&amp;L'!$C$55</f>
        <v>0</v>
      </c>
      <c r="AC517" s="263">
        <f>(AC404+AC405+AC417+AC418)*'Data - P&amp;L'!$C$5*'Data - P&amp;L'!$C$55</f>
        <v>0</v>
      </c>
      <c r="AD517" s="263">
        <f>(AD404+AD405+AD417+AD418)*'Data - P&amp;L'!$C$5*'Data - P&amp;L'!$C$55</f>
        <v>0</v>
      </c>
      <c r="AE517" s="263">
        <f>(AE404+AE405+AE417+AE418)*'Data - P&amp;L'!$C$5*'Data - P&amp;L'!$C$55</f>
        <v>1.344</v>
      </c>
      <c r="AF517" s="263">
        <f>(AF404+AF405+AF417+AF418)*'Data - P&amp;L'!$C$5*'Data - P&amp;L'!$C$55</f>
        <v>0</v>
      </c>
      <c r="AG517" s="93">
        <f t="shared" si="143"/>
        <v>14.784</v>
      </c>
    </row>
    <row r="518" outlineLevel="1">
      <c r="A518" s="147" t="s">
        <v>427</v>
      </c>
      <c r="B518" s="263">
        <f>(B406+B407+B419+B420)*'Data - P&amp;L'!$C$10*'Data - P&amp;L'!$C$55</f>
        <v>0</v>
      </c>
      <c r="C518" s="263">
        <f>(C406+C407+C419+C420)*'Data - P&amp;L'!$C$10*'Data - P&amp;L'!$C$55</f>
        <v>0</v>
      </c>
      <c r="D518" s="263">
        <f>(D406+D407+D419+D420)*'Data - P&amp;L'!$C$10*'Data - P&amp;L'!$C$55</f>
        <v>0</v>
      </c>
      <c r="E518" s="263">
        <f>(E406+E407+E419+E420)*'Data - P&amp;L'!$C$10*'Data - P&amp;L'!$C$55</f>
        <v>0</v>
      </c>
      <c r="F518" s="263">
        <f>(F406+F407+F419+F420)*'Data - P&amp;L'!$C$10*'Data - P&amp;L'!$C$55</f>
        <v>0</v>
      </c>
      <c r="G518" s="263">
        <f>(G406+G407+G419+G420)*'Data - P&amp;L'!$C$10*'Data - P&amp;L'!$C$55</f>
        <v>1.2</v>
      </c>
      <c r="H518" s="263">
        <f>(H406+H407+H419+H420)*'Data - P&amp;L'!$C$10*'Data - P&amp;L'!$C$55</f>
        <v>0</v>
      </c>
      <c r="I518" s="263">
        <f>(I406+I407+I419+I420)*'Data - P&amp;L'!$C$10*'Data - P&amp;L'!$C$55</f>
        <v>0</v>
      </c>
      <c r="J518" s="263">
        <f>(J406+J407+J419+J420)*'Data - P&amp;L'!$C$10*'Data - P&amp;L'!$C$55</f>
        <v>0</v>
      </c>
      <c r="K518" s="263">
        <f>(K406+K407+K419+K420)*'Data - P&amp;L'!$C$10*'Data - P&amp;L'!$C$55</f>
        <v>0.6</v>
      </c>
      <c r="L518" s="263">
        <f>(L406+L407+L419+L420)*'Data - P&amp;L'!$C$10*'Data - P&amp;L'!$C$55</f>
        <v>0</v>
      </c>
      <c r="M518" s="263">
        <f>(M406+M407+M419+M420)*'Data - P&amp;L'!$C$10*'Data - P&amp;L'!$C$55</f>
        <v>0</v>
      </c>
      <c r="N518" s="263">
        <f>(N406+N407+N419+N420)*'Data - P&amp;L'!$C$10*'Data - P&amp;L'!$C$55</f>
        <v>0</v>
      </c>
      <c r="O518" s="263">
        <f>(O406+O407+O419+O420)*'Data - P&amp;L'!$C$10*'Data - P&amp;L'!$C$55</f>
        <v>0.6</v>
      </c>
      <c r="P518" s="263">
        <f>(P406+P407+P419+P420)*'Data - P&amp;L'!$C$10*'Data - P&amp;L'!$C$55</f>
        <v>0</v>
      </c>
      <c r="Q518" s="263">
        <f>(Q406+Q407+Q419+Q420)*'Data - P&amp;L'!$C$10*'Data - P&amp;L'!$C$55</f>
        <v>0</v>
      </c>
      <c r="R518" s="263">
        <f>(R406+R407+R419+R420)*'Data - P&amp;L'!$C$10*'Data - P&amp;L'!$C$55</f>
        <v>0</v>
      </c>
      <c r="S518" s="263">
        <f>(S406+S407+S419+S420)*'Data - P&amp;L'!$C$10*'Data - P&amp;L'!$C$55</f>
        <v>0</v>
      </c>
      <c r="T518" s="263">
        <f>(T406+T407+T419+T420)*'Data - P&amp;L'!$C$10*'Data - P&amp;L'!$C$55</f>
        <v>0</v>
      </c>
      <c r="U518" s="263">
        <f>(U406+U407+U419+U420)*'Data - P&amp;L'!$C$10*'Data - P&amp;L'!$C$55</f>
        <v>0.6</v>
      </c>
      <c r="V518" s="263">
        <f>(V406+V407+V419+V420)*'Data - P&amp;L'!$C$10*'Data - P&amp;L'!$C$55</f>
        <v>0</v>
      </c>
      <c r="W518" s="263">
        <f>(W406+W407+W419+W420)*'Data - P&amp;L'!$C$10*'Data - P&amp;L'!$C$55</f>
        <v>0</v>
      </c>
      <c r="X518" s="263">
        <f>(X406+X407+X419+X420)*'Data - P&amp;L'!$C$10*'Data - P&amp;L'!$C$55</f>
        <v>0.6</v>
      </c>
      <c r="Y518" s="263">
        <f>(Y406+Y407+Y419+Y420)*'Data - P&amp;L'!$C$10*'Data - P&amp;L'!$C$55</f>
        <v>0</v>
      </c>
      <c r="Z518" s="263">
        <f>(Z406+Z407+Z419+Z420)*'Data - P&amp;L'!$C$10*'Data - P&amp;L'!$C$55</f>
        <v>0</v>
      </c>
      <c r="AA518" s="263">
        <f>(AA406+AA407+AA419+AA420)*'Data - P&amp;L'!$C$10*'Data - P&amp;L'!$C$55</f>
        <v>0</v>
      </c>
      <c r="AB518" s="263">
        <f>(AB406+AB407+AB419+AB420)*'Data - P&amp;L'!$C$10*'Data - P&amp;L'!$C$55</f>
        <v>0</v>
      </c>
      <c r="AC518" s="263">
        <f>(AC406+AC407+AC419+AC420)*'Data - P&amp;L'!$C$10*'Data - P&amp;L'!$C$55</f>
        <v>0</v>
      </c>
      <c r="AD518" s="263">
        <f>(AD406+AD407+AD419+AD420)*'Data - P&amp;L'!$C$10*'Data - P&amp;L'!$C$55</f>
        <v>0</v>
      </c>
      <c r="AE518" s="263">
        <f>(AE406+AE407+AE419+AE420)*'Data - P&amp;L'!$C$10*'Data - P&amp;L'!$C$55</f>
        <v>0</v>
      </c>
      <c r="AF518" s="263">
        <f>(AF406+AF407+AF419+AF420)*'Data - P&amp;L'!$C$10*'Data - P&amp;L'!$C$55</f>
        <v>0</v>
      </c>
      <c r="AG518" s="93">
        <f t="shared" si="143"/>
        <v>3.6</v>
      </c>
    </row>
    <row r="519" outlineLevel="1">
      <c r="A519" s="147" t="s">
        <v>441</v>
      </c>
      <c r="B519" s="263">
        <f>((B382+B383+B393+B394)*'Data - P&amp;L'!$C$13)*'Data - P&amp;L'!$C$55</f>
        <v>0</v>
      </c>
      <c r="C519" s="263">
        <f>((C382+C383+C393+C394)*'Data - P&amp;L'!$C$13)*'Data - P&amp;L'!$C$55</f>
        <v>0</v>
      </c>
      <c r="D519" s="263">
        <f>((D382+D383+D393+D394)*'Data - P&amp;L'!$C$13)*'Data - P&amp;L'!$C$55</f>
        <v>0</v>
      </c>
      <c r="E519" s="263">
        <f>((E382+E383+E393+E394)*'Data - P&amp;L'!$C$13)*'Data - P&amp;L'!$C$55</f>
        <v>0</v>
      </c>
      <c r="F519" s="263">
        <f>((F382+F383+F393+F394)*'Data - P&amp;L'!$C$13)*'Data - P&amp;L'!$C$55</f>
        <v>0</v>
      </c>
      <c r="G519" s="263">
        <f>((G382+G383+G393+G394)*'Data - P&amp;L'!$C$13)*'Data - P&amp;L'!$C$55</f>
        <v>0</v>
      </c>
      <c r="H519" s="263">
        <f>((H382+H383+H393+H394)*'Data - P&amp;L'!$C$13)*'Data - P&amp;L'!$C$55</f>
        <v>0</v>
      </c>
      <c r="I519" s="263">
        <f>((I382+I383+I393+I394)*'Data - P&amp;L'!$C$13)*'Data - P&amp;L'!$C$55</f>
        <v>0</v>
      </c>
      <c r="J519" s="263">
        <f>((J382+J383+J393+J394)*'Data - P&amp;L'!$C$13)*'Data - P&amp;L'!$C$55</f>
        <v>0</v>
      </c>
      <c r="K519" s="263">
        <f>((K382+K383+K393+K394)*'Data - P&amp;L'!$C$13)*'Data - P&amp;L'!$C$55</f>
        <v>0</v>
      </c>
      <c r="L519" s="263">
        <f>((L382+L383+L393+L394)*'Data - P&amp;L'!$C$13)*'Data - P&amp;L'!$C$55</f>
        <v>0</v>
      </c>
      <c r="M519" s="263">
        <f>((M382+M383+M393+M394)*'Data - P&amp;L'!$C$13)*'Data - P&amp;L'!$C$55</f>
        <v>0</v>
      </c>
      <c r="N519" s="263">
        <f>((N382+N383+N393+N394)*'Data - P&amp;L'!$C$13)*'Data - P&amp;L'!$C$55</f>
        <v>0</v>
      </c>
      <c r="O519" s="263">
        <f>((O382+O383+O393+O394)*'Data - P&amp;L'!$C$13)*'Data - P&amp;L'!$C$55</f>
        <v>0</v>
      </c>
      <c r="P519" s="263">
        <f>((P382+P383+P393+P394)*'Data - P&amp;L'!$C$13)*'Data - P&amp;L'!$C$55</f>
        <v>0</v>
      </c>
      <c r="Q519" s="263">
        <f>((Q382+Q383+Q393+Q394)*'Data - P&amp;L'!$C$13)*'Data - P&amp;L'!$C$55</f>
        <v>0</v>
      </c>
      <c r="R519" s="263">
        <f>((R382+R383+R393+R394)*'Data - P&amp;L'!$C$13)*'Data - P&amp;L'!$C$55</f>
        <v>0</v>
      </c>
      <c r="S519" s="263">
        <f>((S382+S383+S393+S394)*'Data - P&amp;L'!$C$13)*'Data - P&amp;L'!$C$55</f>
        <v>0</v>
      </c>
      <c r="T519" s="263">
        <f>((T382+T383+T393+T394)*'Data - P&amp;L'!$C$13)*'Data - P&amp;L'!$C$55</f>
        <v>0</v>
      </c>
      <c r="U519" s="263">
        <f>((U382+U383+U393+U394)*'Data - P&amp;L'!$C$13)*'Data - P&amp;L'!$C$55</f>
        <v>0</v>
      </c>
      <c r="V519" s="263">
        <f>((V382+V383+V393+V394)*'Data - P&amp;L'!$C$13)*'Data - P&amp;L'!$C$55</f>
        <v>0</v>
      </c>
      <c r="W519" s="263">
        <f>((W382+W383+W393+W394)*'Data - P&amp;L'!$C$13)*'Data - P&amp;L'!$C$55</f>
        <v>0</v>
      </c>
      <c r="X519" s="263">
        <f>((X382+X383+X393+X394)*'Data - P&amp;L'!$C$13)*'Data - P&amp;L'!$C$55</f>
        <v>0</v>
      </c>
      <c r="Y519" s="263">
        <f>((Y382+Y383+Y393+Y394)*'Data - P&amp;L'!$C$13)*'Data - P&amp;L'!$C$55</f>
        <v>0</v>
      </c>
      <c r="Z519" s="263">
        <f>((Z382+Z383+Z393+Z394)*'Data - P&amp;L'!$C$13)*'Data - P&amp;L'!$C$55</f>
        <v>0</v>
      </c>
      <c r="AA519" s="263">
        <f>((AA382+AA383+AA393+AA394)*'Data - P&amp;L'!$C$13)*'Data - P&amp;L'!$C$55</f>
        <v>0</v>
      </c>
      <c r="AB519" s="263">
        <f>((AB382+AB383+AB393+AB394)*'Data - P&amp;L'!$C$13)*'Data - P&amp;L'!$C$55</f>
        <v>0</v>
      </c>
      <c r="AC519" s="263">
        <f>((AC382+AC383+AC393+AC394)*'Data - P&amp;L'!$C$13)*'Data - P&amp;L'!$C$55</f>
        <v>0</v>
      </c>
      <c r="AD519" s="263">
        <f>((AD382+AD383+AD393+AD394)*'Data - P&amp;L'!$C$13)*'Data - P&amp;L'!$C$55</f>
        <v>0</v>
      </c>
      <c r="AE519" s="263">
        <f>((AE382+AE383+AE393+AE394)*'Data - P&amp;L'!$C$13)*'Data - P&amp;L'!$C$55</f>
        <v>0</v>
      </c>
      <c r="AF519" s="263">
        <f>((AF382+AF383+AF393+AF394)*'Data - P&amp;L'!$C$13)*'Data - P&amp;L'!$C$55</f>
        <v>0</v>
      </c>
      <c r="AG519" s="93">
        <f t="shared" si="143"/>
        <v>0</v>
      </c>
    </row>
    <row r="520" outlineLevel="1">
      <c r="A520" s="147" t="s">
        <v>442</v>
      </c>
      <c r="B520" s="263">
        <f>((B384+B395)*'Data - P&amp;L'!$C$14)*'Data - P&amp;L'!$C$55</f>
        <v>0</v>
      </c>
      <c r="C520" s="263">
        <f>((C384+C395)*'Data - P&amp;L'!$C$14)*'Data - P&amp;L'!$C$55</f>
        <v>0</v>
      </c>
      <c r="D520" s="263">
        <f>((D384+D395)*'Data - P&amp;L'!$C$14)*'Data - P&amp;L'!$C$55</f>
        <v>0</v>
      </c>
      <c r="E520" s="263">
        <f>((E384+E395)*'Data - P&amp;L'!$C$14)*'Data - P&amp;L'!$C$55</f>
        <v>0</v>
      </c>
      <c r="F520" s="263">
        <f>((F384+F395)*'Data - P&amp;L'!$C$14)*'Data - P&amp;L'!$C$55</f>
        <v>0</v>
      </c>
      <c r="G520" s="263">
        <f>((G384+G395)*'Data - P&amp;L'!$C$14)*'Data - P&amp;L'!$C$55</f>
        <v>0</v>
      </c>
      <c r="H520" s="263">
        <f>((H384+H395)*'Data - P&amp;L'!$C$14)*'Data - P&amp;L'!$C$55</f>
        <v>0</v>
      </c>
      <c r="I520" s="263">
        <f>((I384+I395)*'Data - P&amp;L'!$C$14)*'Data - P&amp;L'!$C$55</f>
        <v>0</v>
      </c>
      <c r="J520" s="263">
        <f>((J384+J395)*'Data - P&amp;L'!$C$14)*'Data - P&amp;L'!$C$55</f>
        <v>0</v>
      </c>
      <c r="K520" s="263">
        <f>((K384+K395)*'Data - P&amp;L'!$C$14)*'Data - P&amp;L'!$C$55</f>
        <v>0</v>
      </c>
      <c r="L520" s="263">
        <f>((L384+L395)*'Data - P&amp;L'!$C$14)*'Data - P&amp;L'!$C$55</f>
        <v>0</v>
      </c>
      <c r="M520" s="263">
        <f>((M384+M395)*'Data - P&amp;L'!$C$14)*'Data - P&amp;L'!$C$55</f>
        <v>0</v>
      </c>
      <c r="N520" s="263">
        <f>((N384+N395)*'Data - P&amp;L'!$C$14)*'Data - P&amp;L'!$C$55</f>
        <v>0</v>
      </c>
      <c r="O520" s="263">
        <f>((O384+O395)*'Data - P&amp;L'!$C$14)*'Data - P&amp;L'!$C$55</f>
        <v>0</v>
      </c>
      <c r="P520" s="263">
        <f>((P384+P395)*'Data - P&amp;L'!$C$14)*'Data - P&amp;L'!$C$55</f>
        <v>0</v>
      </c>
      <c r="Q520" s="263">
        <f>((Q384+Q395)*'Data - P&amp;L'!$C$14)*'Data - P&amp;L'!$C$55</f>
        <v>0</v>
      </c>
      <c r="R520" s="263">
        <f>((R384+R395)*'Data - P&amp;L'!$C$14)*'Data - P&amp;L'!$C$55</f>
        <v>0</v>
      </c>
      <c r="S520" s="263">
        <f>((S384+S395)*'Data - P&amp;L'!$C$14)*'Data - P&amp;L'!$C$55</f>
        <v>0</v>
      </c>
      <c r="T520" s="263">
        <f>((T384+T395)*'Data - P&amp;L'!$C$14)*'Data - P&amp;L'!$C$55</f>
        <v>0</v>
      </c>
      <c r="U520" s="263">
        <f>((U384+U395)*'Data - P&amp;L'!$C$14)*'Data - P&amp;L'!$C$55</f>
        <v>0</v>
      </c>
      <c r="V520" s="263">
        <f>((V384+V395)*'Data - P&amp;L'!$C$14)*'Data - P&amp;L'!$C$55</f>
        <v>0</v>
      </c>
      <c r="W520" s="263">
        <f>((W384+W395)*'Data - P&amp;L'!$C$14)*'Data - P&amp;L'!$C$55</f>
        <v>0</v>
      </c>
      <c r="X520" s="263">
        <f>((X384+X395)*'Data - P&amp;L'!$C$14)*'Data - P&amp;L'!$C$55</f>
        <v>0</v>
      </c>
      <c r="Y520" s="263">
        <f>((Y384+Y395)*'Data - P&amp;L'!$C$14)*'Data - P&amp;L'!$C$55</f>
        <v>0</v>
      </c>
      <c r="Z520" s="263">
        <f>((Z384+Z395)*'Data - P&amp;L'!$C$14)*'Data - P&amp;L'!$C$55</f>
        <v>0</v>
      </c>
      <c r="AA520" s="263">
        <f>((AA384+AA395)*'Data - P&amp;L'!$C$14)*'Data - P&amp;L'!$C$55</f>
        <v>0</v>
      </c>
      <c r="AB520" s="263">
        <f>((AB384+AB395)*'Data - P&amp;L'!$C$14)*'Data - P&amp;L'!$C$55</f>
        <v>0</v>
      </c>
      <c r="AC520" s="263">
        <f>((AC384+AC395)*'Data - P&amp;L'!$C$14)*'Data - P&amp;L'!$C$55</f>
        <v>0</v>
      </c>
      <c r="AD520" s="263">
        <f>((AD384+AD395)*'Data - P&amp;L'!$C$14)*'Data - P&amp;L'!$C$55</f>
        <v>0</v>
      </c>
      <c r="AE520" s="263">
        <f>((AE384+AE395)*'Data - P&amp;L'!$C$14)*'Data - P&amp;L'!$C$55</f>
        <v>0</v>
      </c>
      <c r="AF520" s="263">
        <f>((AF384+AF395)*'Data - P&amp;L'!$C$14)*'Data - P&amp;L'!$C$55</f>
        <v>0</v>
      </c>
      <c r="AG520" s="93">
        <f t="shared" si="143"/>
        <v>0</v>
      </c>
    </row>
    <row r="521" outlineLevel="1">
      <c r="A521" s="147" t="s">
        <v>400</v>
      </c>
      <c r="B521" s="263">
        <f>(B408+B421)*'Data - P&amp;L'!$C$17*'Data - P&amp;L'!$C$55</f>
        <v>0</v>
      </c>
      <c r="C521" s="263">
        <f>(C408+C421)*'Data - P&amp;L'!$C$17*'Data - P&amp;L'!$C$55</f>
        <v>0</v>
      </c>
      <c r="D521" s="263">
        <f>(D408+D421)*'Data - P&amp;L'!$C$17*'Data - P&amp;L'!$C$55</f>
        <v>0</v>
      </c>
      <c r="E521" s="263">
        <f>(E408+E421)*'Data - P&amp;L'!$C$17*'Data - P&amp;L'!$C$55</f>
        <v>0</v>
      </c>
      <c r="F521" s="263">
        <f>(F408+F421)*'Data - P&amp;L'!$C$17*'Data - P&amp;L'!$C$55</f>
        <v>0</v>
      </c>
      <c r="G521" s="263">
        <f>(G408+G421)*'Data - P&amp;L'!$C$17*'Data - P&amp;L'!$C$55</f>
        <v>0</v>
      </c>
      <c r="H521" s="263">
        <f>(H408+H421)*'Data - P&amp;L'!$C$17*'Data - P&amp;L'!$C$55</f>
        <v>0</v>
      </c>
      <c r="I521" s="263">
        <f>(I408+I421)*'Data - P&amp;L'!$C$17*'Data - P&amp;L'!$C$55</f>
        <v>0</v>
      </c>
      <c r="J521" s="263">
        <f>(J408+J421)*'Data - P&amp;L'!$C$17*'Data - P&amp;L'!$C$55</f>
        <v>0</v>
      </c>
      <c r="K521" s="263">
        <f>(K408+K421)*'Data - P&amp;L'!$C$17*'Data - P&amp;L'!$C$55</f>
        <v>0</v>
      </c>
      <c r="L521" s="263">
        <f>(L408+L421)*'Data - P&amp;L'!$C$17*'Data - P&amp;L'!$C$55</f>
        <v>0</v>
      </c>
      <c r="M521" s="263">
        <f>(M408+M421)*'Data - P&amp;L'!$C$17*'Data - P&amp;L'!$C$55</f>
        <v>0</v>
      </c>
      <c r="N521" s="263">
        <f>(N408+N421)*'Data - P&amp;L'!$C$17*'Data - P&amp;L'!$C$55</f>
        <v>0</v>
      </c>
      <c r="O521" s="263">
        <f>(O408+O421)*'Data - P&amp;L'!$C$17*'Data - P&amp;L'!$C$55</f>
        <v>0</v>
      </c>
      <c r="P521" s="263">
        <f>(P408+P421)*'Data - P&amp;L'!$C$17*'Data - P&amp;L'!$C$55</f>
        <v>0</v>
      </c>
      <c r="Q521" s="263">
        <f>(Q408+Q421)*'Data - P&amp;L'!$C$17*'Data - P&amp;L'!$C$55</f>
        <v>0</v>
      </c>
      <c r="R521" s="263">
        <f>(R408+R421)*'Data - P&amp;L'!$C$17*'Data - P&amp;L'!$C$55</f>
        <v>0</v>
      </c>
      <c r="S521" s="263">
        <f>(S408+S421)*'Data - P&amp;L'!$C$17*'Data - P&amp;L'!$C$55</f>
        <v>0</v>
      </c>
      <c r="T521" s="263">
        <f>(T408+T421)*'Data - P&amp;L'!$C$17*'Data - P&amp;L'!$C$55</f>
        <v>0</v>
      </c>
      <c r="U521" s="263">
        <f>(U408+U421)*'Data - P&amp;L'!$C$17*'Data - P&amp;L'!$C$55</f>
        <v>0</v>
      </c>
      <c r="V521" s="263">
        <f>(V408+V421)*'Data - P&amp;L'!$C$17*'Data - P&amp;L'!$C$55</f>
        <v>0</v>
      </c>
      <c r="W521" s="263">
        <f>(W408+W421)*'Data - P&amp;L'!$C$17*'Data - P&amp;L'!$C$55</f>
        <v>0</v>
      </c>
      <c r="X521" s="263">
        <f>(X408+X421)*'Data - P&amp;L'!$C$17*'Data - P&amp;L'!$C$55</f>
        <v>0</v>
      </c>
      <c r="Y521" s="263">
        <f>(Y408+Y421)*'Data - P&amp;L'!$C$17*'Data - P&amp;L'!$C$55</f>
        <v>0</v>
      </c>
      <c r="Z521" s="263">
        <f>(Z408+Z421)*'Data - P&amp;L'!$C$17*'Data - P&amp;L'!$C$55</f>
        <v>0</v>
      </c>
      <c r="AA521" s="263">
        <f>(AA408+AA421)*'Data - P&amp;L'!$C$17*'Data - P&amp;L'!$C$55</f>
        <v>0</v>
      </c>
      <c r="AB521" s="263">
        <f>(AB408+AB421)*'Data - P&amp;L'!$C$17*'Data - P&amp;L'!$C$55</f>
        <v>0</v>
      </c>
      <c r="AC521" s="263">
        <f>(AC408+AC421)*'Data - P&amp;L'!$C$17*'Data - P&amp;L'!$C$55</f>
        <v>0</v>
      </c>
      <c r="AD521" s="263">
        <f>(AD408+AD421)*'Data - P&amp;L'!$C$17*'Data - P&amp;L'!$C$55</f>
        <v>0</v>
      </c>
      <c r="AE521" s="263">
        <f>(AE408+AE421)*'Data - P&amp;L'!$C$17*'Data - P&amp;L'!$C$55</f>
        <v>0</v>
      </c>
      <c r="AF521" s="263">
        <f>(AF408+AF421)*'Data - P&amp;L'!$C$17*'Data - P&amp;L'!$C$55</f>
        <v>0</v>
      </c>
      <c r="AG521" s="93">
        <f t="shared" si="143"/>
        <v>0</v>
      </c>
    </row>
    <row r="522" outlineLevel="1">
      <c r="A522" s="147" t="s">
        <v>401</v>
      </c>
      <c r="B522" s="263">
        <f>(B409+B422)*'Data - P&amp;L'!$C$18*'Data - P&amp;L'!$C$55</f>
        <v>0</v>
      </c>
      <c r="C522" s="263">
        <f>(C409+C422)*'Data - P&amp;L'!$C$18*'Data - P&amp;L'!$C$55</f>
        <v>0</v>
      </c>
      <c r="D522" s="263">
        <f>(D409+D422)*'Data - P&amp;L'!$C$18*'Data - P&amp;L'!$C$55</f>
        <v>0</v>
      </c>
      <c r="E522" s="263">
        <f>(E409+E422)*'Data - P&amp;L'!$C$18*'Data - P&amp;L'!$C$55</f>
        <v>0</v>
      </c>
      <c r="F522" s="263">
        <f>(F409+F422)*'Data - P&amp;L'!$C$18*'Data - P&amp;L'!$C$55</f>
        <v>0</v>
      </c>
      <c r="G522" s="263">
        <f>(G409+G422)*'Data - P&amp;L'!$C$18*'Data - P&amp;L'!$C$55</f>
        <v>0</v>
      </c>
      <c r="H522" s="263">
        <f>(H409+H422)*'Data - P&amp;L'!$C$18*'Data - P&amp;L'!$C$55</f>
        <v>0</v>
      </c>
      <c r="I522" s="263">
        <f>(I409+I422)*'Data - P&amp;L'!$C$18*'Data - P&amp;L'!$C$55</f>
        <v>0</v>
      </c>
      <c r="J522" s="263">
        <f>(J409+J422)*'Data - P&amp;L'!$C$18*'Data - P&amp;L'!$C$55</f>
        <v>0</v>
      </c>
      <c r="K522" s="263">
        <f>(K409+K422)*'Data - P&amp;L'!$C$18*'Data - P&amp;L'!$C$55</f>
        <v>0</v>
      </c>
      <c r="L522" s="263">
        <f>(L409+L422)*'Data - P&amp;L'!$C$18*'Data - P&amp;L'!$C$55</f>
        <v>0</v>
      </c>
      <c r="M522" s="263">
        <f>(M409+M422)*'Data - P&amp;L'!$C$18*'Data - P&amp;L'!$C$55</f>
        <v>0</v>
      </c>
      <c r="N522" s="263">
        <f>(N409+N422)*'Data - P&amp;L'!$C$18*'Data - P&amp;L'!$C$55</f>
        <v>0</v>
      </c>
      <c r="O522" s="263">
        <f>(O409+O422)*'Data - P&amp;L'!$C$18*'Data - P&amp;L'!$C$55</f>
        <v>0</v>
      </c>
      <c r="P522" s="263">
        <f>(P409+P422)*'Data - P&amp;L'!$C$18*'Data - P&amp;L'!$C$55</f>
        <v>0</v>
      </c>
      <c r="Q522" s="263">
        <f>(Q409+Q422)*'Data - P&amp;L'!$C$18*'Data - P&amp;L'!$C$55</f>
        <v>0</v>
      </c>
      <c r="R522" s="263">
        <f>(R409+R422)*'Data - P&amp;L'!$C$18*'Data - P&amp;L'!$C$55</f>
        <v>0</v>
      </c>
      <c r="S522" s="263">
        <f>(S409+S422)*'Data - P&amp;L'!$C$18*'Data - P&amp;L'!$C$55</f>
        <v>0</v>
      </c>
      <c r="T522" s="263">
        <f>(T409+T422)*'Data - P&amp;L'!$C$18*'Data - P&amp;L'!$C$55</f>
        <v>0</v>
      </c>
      <c r="U522" s="263">
        <f>(U409+U422)*'Data - P&amp;L'!$C$18*'Data - P&amp;L'!$C$55</f>
        <v>0</v>
      </c>
      <c r="V522" s="263">
        <f>(V409+V422)*'Data - P&amp;L'!$C$18*'Data - P&amp;L'!$C$55</f>
        <v>0</v>
      </c>
      <c r="W522" s="263">
        <f>(W409+W422)*'Data - P&amp;L'!$C$18*'Data - P&amp;L'!$C$55</f>
        <v>0</v>
      </c>
      <c r="X522" s="263">
        <f>(X409+X422)*'Data - P&amp;L'!$C$18*'Data - P&amp;L'!$C$55</f>
        <v>0</v>
      </c>
      <c r="Y522" s="263">
        <f>(Y409+Y422)*'Data - P&amp;L'!$C$18*'Data - P&amp;L'!$C$55</f>
        <v>0</v>
      </c>
      <c r="Z522" s="263">
        <f>(Z409+Z422)*'Data - P&amp;L'!$C$18*'Data - P&amp;L'!$C$55</f>
        <v>0</v>
      </c>
      <c r="AA522" s="263">
        <f>(AA409+AA422)*'Data - P&amp;L'!$C$18*'Data - P&amp;L'!$C$55</f>
        <v>0</v>
      </c>
      <c r="AB522" s="263">
        <f>(AB409+AB422)*'Data - P&amp;L'!$C$18*'Data - P&amp;L'!$C$55</f>
        <v>0</v>
      </c>
      <c r="AC522" s="263">
        <f>(AC409+AC422)*'Data - P&amp;L'!$C$18*'Data - P&amp;L'!$C$55</f>
        <v>0</v>
      </c>
      <c r="AD522" s="263">
        <f>(AD409+AD422)*'Data - P&amp;L'!$C$18*'Data - P&amp;L'!$C$55</f>
        <v>0</v>
      </c>
      <c r="AE522" s="263">
        <f>(AE409+AE422)*'Data - P&amp;L'!$C$18*'Data - P&amp;L'!$C$55</f>
        <v>0</v>
      </c>
      <c r="AF522" s="263">
        <f>(AF409+AF422)*'Data - P&amp;L'!$C$18*'Data - P&amp;L'!$C$55</f>
        <v>0</v>
      </c>
      <c r="AG522" s="93">
        <f t="shared" si="143"/>
        <v>0</v>
      </c>
    </row>
    <row r="523" outlineLevel="1">
      <c r="A523" s="279" t="s">
        <v>428</v>
      </c>
      <c r="B523" s="263">
        <f>((B396*'Data - P&amp;L'!$C$38)+(B397*'Data - P&amp;L'!$C$39))*'Data - P&amp;L'!$C$55</f>
        <v>0</v>
      </c>
      <c r="C523" s="263">
        <f>((C396*'Data - P&amp;L'!$C$38)+(C397*'Data - P&amp;L'!$C$39))*'Data - P&amp;L'!$C$55</f>
        <v>0</v>
      </c>
      <c r="D523" s="263">
        <f>((D396*'Data - P&amp;L'!$C$38)+(D397*'Data - P&amp;L'!$C$39))*'Data - P&amp;L'!$C$55</f>
        <v>0</v>
      </c>
      <c r="E523" s="263">
        <f>((E396*'Data - P&amp;L'!$C$38)+(E397*'Data - P&amp;L'!$C$39))*'Data - P&amp;L'!$C$55</f>
        <v>0</v>
      </c>
      <c r="F523" s="263">
        <f>((F396*'Data - P&amp;L'!$C$38)+(F397*'Data - P&amp;L'!$C$39))*'Data - P&amp;L'!$C$55</f>
        <v>0</v>
      </c>
      <c r="G523" s="263">
        <f>((G396*'Data - P&amp;L'!$C$38)+(G397*'Data - P&amp;L'!$C$39))*'Data - P&amp;L'!$C$55</f>
        <v>1.194</v>
      </c>
      <c r="H523" s="263">
        <f>((H396*'Data - P&amp;L'!$C$38)+(H397*'Data - P&amp;L'!$C$39))*'Data - P&amp;L'!$C$55</f>
        <v>0</v>
      </c>
      <c r="I523" s="263">
        <f>((I396*'Data - P&amp;L'!$C$38)+(I397*'Data - P&amp;L'!$C$39))*'Data - P&amp;L'!$C$55</f>
        <v>0</v>
      </c>
      <c r="J523" s="263">
        <f>((J396*'Data - P&amp;L'!$C$38)+(J397*'Data - P&amp;L'!$C$39))*'Data - P&amp;L'!$C$55</f>
        <v>0</v>
      </c>
      <c r="K523" s="263">
        <f>((K396*'Data - P&amp;L'!$C$38)+(K397*'Data - P&amp;L'!$C$39))*'Data - P&amp;L'!$C$55</f>
        <v>2.388</v>
      </c>
      <c r="L523" s="263">
        <f>((L396*'Data - P&amp;L'!$C$38)+(L397*'Data - P&amp;L'!$C$39))*'Data - P&amp;L'!$C$55</f>
        <v>0</v>
      </c>
      <c r="M523" s="263">
        <f>((M396*'Data - P&amp;L'!$C$38)+(M397*'Data - P&amp;L'!$C$39))*'Data - P&amp;L'!$C$55</f>
        <v>0</v>
      </c>
      <c r="N523" s="263">
        <f>((N396*'Data - P&amp;L'!$C$38)+(N397*'Data - P&amp;L'!$C$39))*'Data - P&amp;L'!$C$55</f>
        <v>1.194</v>
      </c>
      <c r="O523" s="263">
        <f>((O396*'Data - P&amp;L'!$C$38)+(O397*'Data - P&amp;L'!$C$39))*'Data - P&amp;L'!$C$55</f>
        <v>1.194</v>
      </c>
      <c r="P523" s="263">
        <f>((P396*'Data - P&amp;L'!$C$38)+(P397*'Data - P&amp;L'!$C$39))*'Data - P&amp;L'!$C$55</f>
        <v>0</v>
      </c>
      <c r="Q523" s="263">
        <f>((Q396*'Data - P&amp;L'!$C$38)+(Q397*'Data - P&amp;L'!$C$39))*'Data - P&amp;L'!$C$55</f>
        <v>0</v>
      </c>
      <c r="R523" s="263">
        <f>((R396*'Data - P&amp;L'!$C$38)+(R397*'Data - P&amp;L'!$C$39))*'Data - P&amp;L'!$C$55</f>
        <v>0</v>
      </c>
      <c r="S523" s="263">
        <f>((S396*'Data - P&amp;L'!$C$38)+(S397*'Data - P&amp;L'!$C$39))*'Data - P&amp;L'!$C$55</f>
        <v>0</v>
      </c>
      <c r="T523" s="263">
        <f>((T396*'Data - P&amp;L'!$C$38)+(T397*'Data - P&amp;L'!$C$39))*'Data - P&amp;L'!$C$55</f>
        <v>0</v>
      </c>
      <c r="U523" s="263">
        <f>((U396*'Data - P&amp;L'!$C$38)+(U397*'Data - P&amp;L'!$C$39))*'Data - P&amp;L'!$C$55</f>
        <v>1.194</v>
      </c>
      <c r="V523" s="263">
        <f>((V396*'Data - P&amp;L'!$C$38)+(V397*'Data - P&amp;L'!$C$39))*'Data - P&amp;L'!$C$55</f>
        <v>0</v>
      </c>
      <c r="W523" s="263">
        <f>((W396*'Data - P&amp;L'!$C$38)+(W397*'Data - P&amp;L'!$C$39))*'Data - P&amp;L'!$C$55</f>
        <v>0</v>
      </c>
      <c r="X523" s="263">
        <f>((X396*'Data - P&amp;L'!$C$38)+(X397*'Data - P&amp;L'!$C$39))*'Data - P&amp;L'!$C$55</f>
        <v>5.97</v>
      </c>
      <c r="Y523" s="263">
        <f>((Y396*'Data - P&amp;L'!$C$38)+(Y397*'Data - P&amp;L'!$C$39))*'Data - P&amp;L'!$C$55</f>
        <v>2.388</v>
      </c>
      <c r="Z523" s="263">
        <f>((Z396*'Data - P&amp;L'!$C$38)+(Z397*'Data - P&amp;L'!$C$39))*'Data - P&amp;L'!$C$55</f>
        <v>0</v>
      </c>
      <c r="AA523" s="263">
        <f>((AA396*'Data - P&amp;L'!$C$38)+(AA397*'Data - P&amp;L'!$C$39))*'Data - P&amp;L'!$C$55</f>
        <v>0</v>
      </c>
      <c r="AB523" s="263">
        <f>((AB396*'Data - P&amp;L'!$C$38)+(AB397*'Data - P&amp;L'!$C$39))*'Data - P&amp;L'!$C$55</f>
        <v>1.194</v>
      </c>
      <c r="AC523" s="263">
        <f>((AC396*'Data - P&amp;L'!$C$38)+(AC397*'Data - P&amp;L'!$C$39))*'Data - P&amp;L'!$C$55</f>
        <v>0</v>
      </c>
      <c r="AD523" s="263">
        <f>((AD396*'Data - P&amp;L'!$C$38)+(AD397*'Data - P&amp;L'!$C$39))*'Data - P&amp;L'!$C$55</f>
        <v>2.388</v>
      </c>
      <c r="AE523" s="263">
        <f>((AE396*'Data - P&amp;L'!$C$38)+(AE397*'Data - P&amp;L'!$C$39))*'Data - P&amp;L'!$C$55</f>
        <v>3.582</v>
      </c>
      <c r="AF523" s="263">
        <f>((AF396*'Data - P&amp;L'!$C$38)+(AF397*'Data - P&amp;L'!$C$39))*'Data - P&amp;L'!$C$55</f>
        <v>0</v>
      </c>
      <c r="AG523" s="93">
        <f t="shared" si="143"/>
        <v>22.686</v>
      </c>
    </row>
    <row r="524" outlineLevel="1">
      <c r="A524" s="279" t="s">
        <v>430</v>
      </c>
      <c r="B524" s="263">
        <f>((B410*'Data - P&amp;L'!$D$38)+(B423*'Data - P&amp;L'!$D$39))*'Data - P&amp;L'!$C$55</f>
        <v>1.0045</v>
      </c>
      <c r="C524" s="263">
        <f>((C410*'Data - P&amp;L'!$D$38)+(C423*'Data - P&amp;L'!$D$39))*'Data - P&amp;L'!$C$55</f>
        <v>0.4305</v>
      </c>
      <c r="D524" s="263">
        <f>((D410*'Data - P&amp;L'!$D$38)+(D423*'Data - P&amp;L'!$D$39))*'Data - P&amp;L'!$C$55</f>
        <v>0</v>
      </c>
      <c r="E524" s="263">
        <f>((E410*'Data - P&amp;L'!$D$38)+(E423*'Data - P&amp;L'!$D$39))*'Data - P&amp;L'!$C$55</f>
        <v>0</v>
      </c>
      <c r="F524" s="263">
        <f>((F410*'Data - P&amp;L'!$D$38)+(F423*'Data - P&amp;L'!$D$39))*'Data - P&amp;L'!$C$55</f>
        <v>0</v>
      </c>
      <c r="G524" s="263">
        <f>((G410*'Data - P&amp;L'!$D$38)+(G423*'Data - P&amp;L'!$D$39))*'Data - P&amp;L'!$C$55</f>
        <v>0.574</v>
      </c>
      <c r="H524" s="263">
        <f>((H410*'Data - P&amp;L'!$D$38)+(H423*'Data - P&amp;L'!$D$39))*'Data - P&amp;L'!$C$55</f>
        <v>0</v>
      </c>
      <c r="I524" s="263">
        <f>((I410*'Data - P&amp;L'!$D$38)+(I423*'Data - P&amp;L'!$D$39))*'Data - P&amp;L'!$C$55</f>
        <v>0</v>
      </c>
      <c r="J524" s="263">
        <f>((J410*'Data - P&amp;L'!$D$38)+(J423*'Data - P&amp;L'!$D$39))*'Data - P&amp;L'!$C$55</f>
        <v>0</v>
      </c>
      <c r="K524" s="263">
        <f>((K410*'Data - P&amp;L'!$D$38)+(K423*'Data - P&amp;L'!$D$39))*'Data - P&amp;L'!$C$55</f>
        <v>0.861</v>
      </c>
      <c r="L524" s="263">
        <f>((L410*'Data - P&amp;L'!$D$38)+(L423*'Data - P&amp;L'!$D$39))*'Data - P&amp;L'!$C$55</f>
        <v>0</v>
      </c>
      <c r="M524" s="263">
        <f>((M410*'Data - P&amp;L'!$D$38)+(M423*'Data - P&amp;L'!$D$39))*'Data - P&amp;L'!$C$55</f>
        <v>0</v>
      </c>
      <c r="N524" s="263">
        <f>((N410*'Data - P&amp;L'!$D$38)+(N423*'Data - P&amp;L'!$D$39))*'Data - P&amp;L'!$C$55</f>
        <v>0</v>
      </c>
      <c r="O524" s="263">
        <f>((O410*'Data - P&amp;L'!$D$38)+(O423*'Data - P&amp;L'!$D$39))*'Data - P&amp;L'!$C$55</f>
        <v>0.861</v>
      </c>
      <c r="P524" s="263">
        <f>((P410*'Data - P&amp;L'!$D$38)+(P423*'Data - P&amp;L'!$D$39))*'Data - P&amp;L'!$C$55</f>
        <v>0</v>
      </c>
      <c r="Q524" s="263">
        <f>((Q410*'Data - P&amp;L'!$D$38)+(Q423*'Data - P&amp;L'!$D$39))*'Data - P&amp;L'!$C$55</f>
        <v>0</v>
      </c>
      <c r="R524" s="263">
        <f>((R410*'Data - P&amp;L'!$D$38)+(R423*'Data - P&amp;L'!$D$39))*'Data - P&amp;L'!$C$55</f>
        <v>0</v>
      </c>
      <c r="S524" s="263">
        <f>((S410*'Data - P&amp;L'!$D$38)+(S423*'Data - P&amp;L'!$D$39))*'Data - P&amp;L'!$C$55</f>
        <v>0</v>
      </c>
      <c r="T524" s="263">
        <f>((T410*'Data - P&amp;L'!$D$38)+(T423*'Data - P&amp;L'!$D$39))*'Data - P&amp;L'!$C$55</f>
        <v>0</v>
      </c>
      <c r="U524" s="263">
        <f>((U410*'Data - P&amp;L'!$D$38)+(U423*'Data - P&amp;L'!$D$39))*'Data - P&amp;L'!$C$55</f>
        <v>0.574</v>
      </c>
      <c r="V524" s="263">
        <f>((V410*'Data - P&amp;L'!$D$38)+(V423*'Data - P&amp;L'!$D$39))*'Data - P&amp;L'!$C$55</f>
        <v>0</v>
      </c>
      <c r="W524" s="263">
        <f>((W410*'Data - P&amp;L'!$D$38)+(W423*'Data - P&amp;L'!$D$39))*'Data - P&amp;L'!$C$55</f>
        <v>0</v>
      </c>
      <c r="X524" s="263">
        <f>((X410*'Data - P&amp;L'!$D$38)+(X423*'Data - P&amp;L'!$D$39))*'Data - P&amp;L'!$C$55</f>
        <v>1.0055</v>
      </c>
      <c r="Y524" s="263">
        <f>((Y410*'Data - P&amp;L'!$D$38)+(Y423*'Data - P&amp;L'!$D$39))*'Data - P&amp;L'!$C$55</f>
        <v>0</v>
      </c>
      <c r="Z524" s="263">
        <f>((Z410*'Data - P&amp;L'!$D$38)+(Z423*'Data - P&amp;L'!$D$39))*'Data - P&amp;L'!$C$55</f>
        <v>0</v>
      </c>
      <c r="AA524" s="263">
        <f>((AA410*'Data - P&amp;L'!$D$38)+(AA423*'Data - P&amp;L'!$D$39))*'Data - P&amp;L'!$C$55</f>
        <v>0</v>
      </c>
      <c r="AB524" s="263">
        <f>((AB410*'Data - P&amp;L'!$D$38)+(AB423*'Data - P&amp;L'!$D$39))*'Data - P&amp;L'!$C$55</f>
        <v>0</v>
      </c>
      <c r="AC524" s="263">
        <f>((AC410*'Data - P&amp;L'!$D$38)+(AC423*'Data - P&amp;L'!$D$39))*'Data - P&amp;L'!$C$55</f>
        <v>0</v>
      </c>
      <c r="AD524" s="263">
        <f>((AD410*'Data - P&amp;L'!$D$38)+(AD423*'Data - P&amp;L'!$D$39))*'Data - P&amp;L'!$C$55</f>
        <v>0.287</v>
      </c>
      <c r="AE524" s="263">
        <f>((AE410*'Data - P&amp;L'!$D$38)+(AE423*'Data - P&amp;L'!$D$39))*'Data - P&amp;L'!$C$55</f>
        <v>0.574</v>
      </c>
      <c r="AF524" s="263">
        <f>((AF410*'Data - P&amp;L'!$D$38)+(AF423*'Data - P&amp;L'!$D$39))*'Data - P&amp;L'!$C$55</f>
        <v>0.1435</v>
      </c>
      <c r="AG524" s="93">
        <f t="shared" si="143"/>
        <v>6.315</v>
      </c>
    </row>
    <row r="525" outlineLevel="1">
      <c r="A525" s="147" t="s">
        <v>443</v>
      </c>
      <c r="B525" s="281"/>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93"/>
    </row>
    <row r="526" outlineLevel="1">
      <c r="A526" s="147" t="s">
        <v>444</v>
      </c>
      <c r="B526" s="281"/>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93"/>
    </row>
    <row r="527" outlineLevel="1">
      <c r="A527" s="147" t="s">
        <v>445</v>
      </c>
      <c r="B527" s="263">
        <f>(B425*'Data - P&amp;L'!$R$3)+('Data - P&amp;L'!$R$4*B426)</f>
        <v>735</v>
      </c>
      <c r="C527" s="263">
        <f>(C425*'Data - P&amp;L'!$R$3)+('Data - P&amp;L'!$R$4*C426)</f>
        <v>390</v>
      </c>
      <c r="D527" s="263">
        <f>(D425*'Data - P&amp;L'!$R$3)+('Data - P&amp;L'!$R$4*D426)</f>
        <v>210</v>
      </c>
      <c r="E527" s="263">
        <f>(E425*'Data - P&amp;L'!$R$3)+('Data - P&amp;L'!$R$4*E426)</f>
        <v>0</v>
      </c>
      <c r="F527" s="263">
        <f>(F425*'Data - P&amp;L'!$R$3)+('Data - P&amp;L'!$R$4*F426)</f>
        <v>0</v>
      </c>
      <c r="G527" s="263">
        <f>(G425*'Data - P&amp;L'!$R$3)+('Data - P&amp;L'!$R$4*G426)</f>
        <v>300</v>
      </c>
      <c r="H527" s="263">
        <f>(H425*'Data - P&amp;L'!$R$3)+('Data - P&amp;L'!$R$4*H426)</f>
        <v>270</v>
      </c>
      <c r="I527" s="263">
        <f>(I425*'Data - P&amp;L'!$R$3)+('Data - P&amp;L'!$R$4*I426)</f>
        <v>165</v>
      </c>
      <c r="J527" s="263">
        <f>(J425*'Data - P&amp;L'!$R$3)+('Data - P&amp;L'!$R$4*J426)</f>
        <v>0</v>
      </c>
      <c r="K527" s="263">
        <f>(K425*'Data - P&amp;L'!$R$3)+('Data - P&amp;L'!$R$4*K426)</f>
        <v>45</v>
      </c>
      <c r="L527" s="263">
        <f>(L425*'Data - P&amp;L'!$R$3)+('Data - P&amp;L'!$R$4*L426)</f>
        <v>0</v>
      </c>
      <c r="M527" s="263">
        <f>(M425*'Data - P&amp;L'!$R$3)+('Data - P&amp;L'!$R$4*M426)</f>
        <v>0</v>
      </c>
      <c r="N527" s="263">
        <f>(N425*'Data - P&amp;L'!$R$3)+('Data - P&amp;L'!$R$4*N426)</f>
        <v>15</v>
      </c>
      <c r="O527" s="263">
        <f>(O425*'Data - P&amp;L'!$R$3)+('Data - P&amp;L'!$R$4*O426)</f>
        <v>750</v>
      </c>
      <c r="P527" s="263">
        <f>(P425*'Data - P&amp;L'!$R$3)+('Data - P&amp;L'!$R$4*P426)</f>
        <v>0</v>
      </c>
      <c r="Q527" s="263">
        <f>(Q425*'Data - P&amp;L'!$R$3)+('Data - P&amp;L'!$R$4*Q426)</f>
        <v>225</v>
      </c>
      <c r="R527" s="263">
        <f>(R425*'Data - P&amp;L'!$R$3)+('Data - P&amp;L'!$R$4*R426)</f>
        <v>240</v>
      </c>
      <c r="S527" s="263">
        <f>(S425*'Data - P&amp;L'!$R$3)+('Data - P&amp;L'!$R$4*S426)</f>
        <v>0</v>
      </c>
      <c r="T527" s="263">
        <f>(T425*'Data - P&amp;L'!$R$3)+('Data - P&amp;L'!$R$4*T426)</f>
        <v>0</v>
      </c>
      <c r="U527" s="263">
        <f>(U425*'Data - P&amp;L'!$R$3)+('Data - P&amp;L'!$R$4*U426)</f>
        <v>705</v>
      </c>
      <c r="V527" s="263">
        <f>(V425*'Data - P&amp;L'!$R$3)+('Data - P&amp;L'!$R$4*V426)</f>
        <v>75</v>
      </c>
      <c r="W527" s="263">
        <f>(W425*'Data - P&amp;L'!$R$3)+('Data - P&amp;L'!$R$4*W426)</f>
        <v>225</v>
      </c>
      <c r="X527" s="263">
        <f>(X425*'Data - P&amp;L'!$R$3)+('Data - P&amp;L'!$R$4*X426)</f>
        <v>1185</v>
      </c>
      <c r="Y527" s="263">
        <f>(Y425*'Data - P&amp;L'!$R$3)+('Data - P&amp;L'!$R$4*Y426)</f>
        <v>375</v>
      </c>
      <c r="Z527" s="263">
        <f>(Z425*'Data - P&amp;L'!$R$3)+('Data - P&amp;L'!$R$4*Z426)</f>
        <v>0</v>
      </c>
      <c r="AA527" s="263">
        <f>(AA425*'Data - P&amp;L'!$R$3)+('Data - P&amp;L'!$R$4*AA426)</f>
        <v>0</v>
      </c>
      <c r="AB527" s="263">
        <f>(AB425*'Data - P&amp;L'!$R$3)+('Data - P&amp;L'!$R$4*AB426)</f>
        <v>15</v>
      </c>
      <c r="AC527" s="263">
        <f>(AC425*'Data - P&amp;L'!$R$3)+('Data - P&amp;L'!$R$4*AC426)</f>
        <v>720</v>
      </c>
      <c r="AD527" s="263">
        <f>(AD425*'Data - P&amp;L'!$R$3)+('Data - P&amp;L'!$R$4*AD426)</f>
        <v>375</v>
      </c>
      <c r="AE527" s="263">
        <f>(AE425*'Data - P&amp;L'!$R$3)+('Data - P&amp;L'!$R$4*AE426)</f>
        <v>0</v>
      </c>
      <c r="AF527" s="263">
        <f>(AF425*'Data - P&amp;L'!$R$3)+('Data - P&amp;L'!$R$4*AF426)</f>
        <v>210</v>
      </c>
      <c r="AG527" s="93">
        <f t="shared" ref="AG527:AG545" si="149">SUM(B527:AF527)</f>
        <v>7230</v>
      </c>
    </row>
    <row r="528" outlineLevel="1">
      <c r="A528" s="250" t="s">
        <v>446</v>
      </c>
      <c r="B528" s="277">
        <f t="shared" ref="B528:AF528" si="148">sum(B529:B545)</f>
        <v>89.3445</v>
      </c>
      <c r="C528" s="277">
        <f t="shared" si="148"/>
        <v>49.5905</v>
      </c>
      <c r="D528" s="277">
        <f t="shared" si="148"/>
        <v>0</v>
      </c>
      <c r="E528" s="277">
        <f t="shared" si="148"/>
        <v>0</v>
      </c>
      <c r="F528" s="277">
        <f t="shared" si="148"/>
        <v>0</v>
      </c>
      <c r="G528" s="277">
        <f t="shared" si="148"/>
        <v>200.758</v>
      </c>
      <c r="H528" s="277">
        <f t="shared" si="148"/>
        <v>0</v>
      </c>
      <c r="I528" s="277">
        <f t="shared" si="148"/>
        <v>0</v>
      </c>
      <c r="J528" s="277">
        <f t="shared" si="148"/>
        <v>0</v>
      </c>
      <c r="K528" s="277">
        <f t="shared" si="148"/>
        <v>371.749</v>
      </c>
      <c r="L528" s="277">
        <f t="shared" si="148"/>
        <v>0</v>
      </c>
      <c r="M528" s="277">
        <f t="shared" si="148"/>
        <v>0</v>
      </c>
      <c r="N528" s="277">
        <f t="shared" si="148"/>
        <v>133.294</v>
      </c>
      <c r="O528" s="277">
        <f t="shared" si="148"/>
        <v>240.935</v>
      </c>
      <c r="P528" s="277">
        <f t="shared" si="148"/>
        <v>0</v>
      </c>
      <c r="Q528" s="277">
        <f t="shared" si="148"/>
        <v>0</v>
      </c>
      <c r="R528" s="277">
        <f t="shared" si="148"/>
        <v>0</v>
      </c>
      <c r="S528" s="277">
        <f t="shared" si="148"/>
        <v>0</v>
      </c>
      <c r="T528" s="277">
        <f t="shared" si="148"/>
        <v>0</v>
      </c>
      <c r="U528" s="277">
        <f t="shared" si="148"/>
        <v>199.878</v>
      </c>
      <c r="V528" s="277">
        <f t="shared" si="148"/>
        <v>0</v>
      </c>
      <c r="W528" s="277">
        <f t="shared" si="148"/>
        <v>0</v>
      </c>
      <c r="X528" s="277">
        <f t="shared" si="148"/>
        <v>745.8655</v>
      </c>
      <c r="Y528" s="277">
        <f t="shared" si="148"/>
        <v>255.878</v>
      </c>
      <c r="Z528" s="277">
        <f t="shared" si="148"/>
        <v>0</v>
      </c>
      <c r="AA528" s="277">
        <f t="shared" si="148"/>
        <v>0</v>
      </c>
      <c r="AB528" s="277">
        <f t="shared" si="148"/>
        <v>133.294</v>
      </c>
      <c r="AC528" s="277">
        <f t="shared" si="148"/>
        <v>0</v>
      </c>
      <c r="AD528" s="277">
        <f t="shared" si="148"/>
        <v>288.615</v>
      </c>
      <c r="AE528" s="277">
        <f t="shared" si="148"/>
        <v>443.366</v>
      </c>
      <c r="AF528" s="277">
        <f t="shared" si="148"/>
        <v>16.4835</v>
      </c>
      <c r="AG528" s="93">
        <f t="shared" si="149"/>
        <v>3169.051</v>
      </c>
    </row>
    <row r="529" outlineLevel="1">
      <c r="A529" s="147" t="s">
        <v>447</v>
      </c>
      <c r="B529" s="263">
        <f>B396*'Data - P&amp;L'!$C$3</f>
        <v>0</v>
      </c>
      <c r="C529" s="263">
        <f>C396*'Data - P&amp;L'!$C$3</f>
        <v>0</v>
      </c>
      <c r="D529" s="263">
        <f>D396*'Data - P&amp;L'!$C$3</f>
        <v>0</v>
      </c>
      <c r="E529" s="263">
        <f>E396*'Data - P&amp;L'!$C$3</f>
        <v>0</v>
      </c>
      <c r="F529" s="263">
        <f>F396*'Data - P&amp;L'!$C$3</f>
        <v>0</v>
      </c>
      <c r="G529" s="263">
        <f>G396*'Data - P&amp;L'!$C$3</f>
        <v>86.9</v>
      </c>
      <c r="H529" s="263">
        <f>H396*'Data - P&amp;L'!$C$3</f>
        <v>0</v>
      </c>
      <c r="I529" s="263">
        <f>I396*'Data - P&amp;L'!$C$3</f>
        <v>0</v>
      </c>
      <c r="J529" s="263">
        <f>J396*'Data - P&amp;L'!$C$3</f>
        <v>0</v>
      </c>
      <c r="K529" s="263">
        <f>K396*'Data - P&amp;L'!$C$3</f>
        <v>0</v>
      </c>
      <c r="L529" s="263">
        <f>L396*'Data - P&amp;L'!$C$3</f>
        <v>0</v>
      </c>
      <c r="M529" s="263">
        <f>M396*'Data - P&amp;L'!$C$3</f>
        <v>0</v>
      </c>
      <c r="N529" s="263">
        <f>N396*'Data - P&amp;L'!$C$3</f>
        <v>0</v>
      </c>
      <c r="O529" s="263">
        <f>O396*'Data - P&amp;L'!$C$3</f>
        <v>0</v>
      </c>
      <c r="P529" s="263">
        <f>P396*'Data - P&amp;L'!$C$3</f>
        <v>0</v>
      </c>
      <c r="Q529" s="263">
        <f>Q396*'Data - P&amp;L'!$C$3</f>
        <v>0</v>
      </c>
      <c r="R529" s="263">
        <f>R396*'Data - P&amp;L'!$C$3</f>
        <v>0</v>
      </c>
      <c r="S529" s="263">
        <f>S396*'Data - P&amp;L'!$C$3</f>
        <v>0</v>
      </c>
      <c r="T529" s="263">
        <f>T396*'Data - P&amp;L'!$C$3</f>
        <v>0</v>
      </c>
      <c r="U529" s="263">
        <f>U396*'Data - P&amp;L'!$C$3</f>
        <v>0</v>
      </c>
      <c r="V529" s="263">
        <f>V396*'Data - P&amp;L'!$C$3</f>
        <v>0</v>
      </c>
      <c r="W529" s="263">
        <f>W396*'Data - P&amp;L'!$C$3</f>
        <v>0</v>
      </c>
      <c r="X529" s="263">
        <f>X396*'Data - P&amp;L'!$C$3</f>
        <v>86.9</v>
      </c>
      <c r="Y529" s="263">
        <f>Y396*'Data - P&amp;L'!$C$3</f>
        <v>86.9</v>
      </c>
      <c r="Z529" s="263">
        <f>Z396*'Data - P&amp;L'!$C$3</f>
        <v>0</v>
      </c>
      <c r="AA529" s="263">
        <f>AA396*'Data - P&amp;L'!$C$3</f>
        <v>0</v>
      </c>
      <c r="AB529" s="263">
        <f>AB396*'Data - P&amp;L'!$C$3</f>
        <v>0</v>
      </c>
      <c r="AC529" s="263">
        <f>AC396*'Data - P&amp;L'!$C$3</f>
        <v>0</v>
      </c>
      <c r="AD529" s="263">
        <f>AD396*'Data - P&amp;L'!$C$3</f>
        <v>0</v>
      </c>
      <c r="AE529" s="263">
        <f>AE396*'Data - P&amp;L'!$C$3</f>
        <v>173.8</v>
      </c>
      <c r="AF529" s="263">
        <f>AF396*'Data - P&amp;L'!$C$3</f>
        <v>0</v>
      </c>
      <c r="AG529" s="93">
        <f t="shared" si="149"/>
        <v>434.5</v>
      </c>
    </row>
    <row r="530" outlineLevel="1">
      <c r="A530" s="147" t="s">
        <v>448</v>
      </c>
      <c r="B530" s="263">
        <f>B397*'Data - P&amp;L'!$C$4</f>
        <v>0</v>
      </c>
      <c r="C530" s="263">
        <f>C397*'Data - P&amp;L'!$C$4</f>
        <v>0</v>
      </c>
      <c r="D530" s="263">
        <f>D397*'Data - P&amp;L'!$C$4</f>
        <v>0</v>
      </c>
      <c r="E530" s="263">
        <f>E397*'Data - P&amp;L'!$C$4</f>
        <v>0</v>
      </c>
      <c r="F530" s="263">
        <f>F397*'Data - P&amp;L'!$C$4</f>
        <v>0</v>
      </c>
      <c r="G530" s="263">
        <f>G397*'Data - P&amp;L'!$C$4</f>
        <v>0</v>
      </c>
      <c r="H530" s="263">
        <f>H397*'Data - P&amp;L'!$C$4</f>
        <v>0</v>
      </c>
      <c r="I530" s="263">
        <f>I397*'Data - P&amp;L'!$C$4</f>
        <v>0</v>
      </c>
      <c r="J530" s="263">
        <f>J397*'Data - P&amp;L'!$C$4</f>
        <v>0</v>
      </c>
      <c r="K530" s="263">
        <f>K397*'Data - P&amp;L'!$C$4</f>
        <v>195.22</v>
      </c>
      <c r="L530" s="263">
        <f>L397*'Data - P&amp;L'!$C$4</f>
        <v>0</v>
      </c>
      <c r="M530" s="263">
        <f>M397*'Data - P&amp;L'!$C$4</f>
        <v>0</v>
      </c>
      <c r="N530" s="263">
        <f>N397*'Data - P&amp;L'!$C$4</f>
        <v>97.61</v>
      </c>
      <c r="O530" s="263">
        <f>O397*'Data - P&amp;L'!$C$4</f>
        <v>97.61</v>
      </c>
      <c r="P530" s="263">
        <f>P397*'Data - P&amp;L'!$C$4</f>
        <v>0</v>
      </c>
      <c r="Q530" s="263">
        <f>Q397*'Data - P&amp;L'!$C$4</f>
        <v>0</v>
      </c>
      <c r="R530" s="263">
        <f>R397*'Data - P&amp;L'!$C$4</f>
        <v>0</v>
      </c>
      <c r="S530" s="263">
        <f>S397*'Data - P&amp;L'!$C$4</f>
        <v>0</v>
      </c>
      <c r="T530" s="263">
        <f>T397*'Data - P&amp;L'!$C$4</f>
        <v>0</v>
      </c>
      <c r="U530" s="263">
        <f>U397*'Data - P&amp;L'!$C$4</f>
        <v>97.61</v>
      </c>
      <c r="V530" s="263">
        <f>V397*'Data - P&amp;L'!$C$4</f>
        <v>0</v>
      </c>
      <c r="W530" s="263">
        <f>W397*'Data - P&amp;L'!$C$4</f>
        <v>0</v>
      </c>
      <c r="X530" s="263">
        <f>X397*'Data - P&amp;L'!$C$4</f>
        <v>390.44</v>
      </c>
      <c r="Y530" s="263">
        <f>Y397*'Data - P&amp;L'!$C$4</f>
        <v>97.61</v>
      </c>
      <c r="Z530" s="263">
        <f>Z397*'Data - P&amp;L'!$C$4</f>
        <v>0</v>
      </c>
      <c r="AA530" s="263">
        <f>AA397*'Data - P&amp;L'!$C$4</f>
        <v>0</v>
      </c>
      <c r="AB530" s="263">
        <f>AB397*'Data - P&amp;L'!$C$4</f>
        <v>97.61</v>
      </c>
      <c r="AC530" s="263">
        <f>AC397*'Data - P&amp;L'!$C$4</f>
        <v>0</v>
      </c>
      <c r="AD530" s="263">
        <f>AD397*'Data - P&amp;L'!$C$4</f>
        <v>195.22</v>
      </c>
      <c r="AE530" s="263">
        <f>AE397*'Data - P&amp;L'!$C$4</f>
        <v>97.61</v>
      </c>
      <c r="AF530" s="263">
        <f>AF397*'Data - P&amp;L'!$C$4</f>
        <v>0</v>
      </c>
      <c r="AG530" s="93">
        <f t="shared" si="149"/>
        <v>1366.54</v>
      </c>
    </row>
    <row r="531" ht="18.0" customHeight="1" outlineLevel="1">
      <c r="A531" s="147" t="s">
        <v>449</v>
      </c>
      <c r="B531" s="263">
        <f>(B379+B390)*'Data - P&amp;L'!$C$15</f>
        <v>0</v>
      </c>
      <c r="C531" s="263">
        <f>(C379+C390)*'Data - P&amp;L'!$C$15</f>
        <v>0</v>
      </c>
      <c r="D531" s="263">
        <f>(D379+D390)*'Data - P&amp;L'!$C$15</f>
        <v>0</v>
      </c>
      <c r="E531" s="263">
        <f>(E379+E390)*'Data - P&amp;L'!$C$15</f>
        <v>0</v>
      </c>
      <c r="F531" s="263">
        <f>(F379+F390)*'Data - P&amp;L'!$C$15</f>
        <v>0</v>
      </c>
      <c r="G531" s="263">
        <f>(G379+G390)*'Data - P&amp;L'!$C$15</f>
        <v>0</v>
      </c>
      <c r="H531" s="263">
        <f>(H379+H390)*'Data - P&amp;L'!$C$15</f>
        <v>0</v>
      </c>
      <c r="I531" s="263">
        <f>(I379+I390)*'Data - P&amp;L'!$C$15</f>
        <v>0</v>
      </c>
      <c r="J531" s="263">
        <f>(J379+J390)*'Data - P&amp;L'!$C$15</f>
        <v>0</v>
      </c>
      <c r="K531" s="263">
        <f>(K379+K390)*'Data - P&amp;L'!$C$15</f>
        <v>0</v>
      </c>
      <c r="L531" s="263">
        <f>(L379+L390)*'Data - P&amp;L'!$C$15</f>
        <v>0</v>
      </c>
      <c r="M531" s="263">
        <f>(M379+M390)*'Data - P&amp;L'!$C$15</f>
        <v>0</v>
      </c>
      <c r="N531" s="263">
        <f>(N379+N390)*'Data - P&amp;L'!$C$15</f>
        <v>0</v>
      </c>
      <c r="O531" s="263">
        <f>(O379+O390)*'Data - P&amp;L'!$C$15</f>
        <v>0</v>
      </c>
      <c r="P531" s="263">
        <f>(P379+P390)*'Data - P&amp;L'!$C$15</f>
        <v>0</v>
      </c>
      <c r="Q531" s="263">
        <f>(Q379+Q390)*'Data - P&amp;L'!$C$15</f>
        <v>0</v>
      </c>
      <c r="R531" s="263">
        <f>(R379+R390)*'Data - P&amp;L'!$C$15</f>
        <v>0</v>
      </c>
      <c r="S531" s="263">
        <f>(S379+S390)*'Data - P&amp;L'!$C$15</f>
        <v>0</v>
      </c>
      <c r="T531" s="263">
        <f>(T379+T390)*'Data - P&amp;L'!$C$15</f>
        <v>0</v>
      </c>
      <c r="U531" s="263">
        <f>(U379+U390)*'Data - P&amp;L'!$C$15</f>
        <v>0</v>
      </c>
      <c r="V531" s="263">
        <f>(V379+V390)*'Data - P&amp;L'!$C$15</f>
        <v>0</v>
      </c>
      <c r="W531" s="263">
        <f>(W379+W390)*'Data - P&amp;L'!$C$15</f>
        <v>0</v>
      </c>
      <c r="X531" s="263">
        <f>(X379+X390)*'Data - P&amp;L'!$C$15</f>
        <v>0</v>
      </c>
      <c r="Y531" s="263">
        <f>(Y379+Y390)*'Data - P&amp;L'!$C$15</f>
        <v>0</v>
      </c>
      <c r="Z531" s="263">
        <f>(Z379+Z390)*'Data - P&amp;L'!$C$15</f>
        <v>0</v>
      </c>
      <c r="AA531" s="263">
        <f>(AA379+AA390)*'Data - P&amp;L'!$C$15</f>
        <v>0</v>
      </c>
      <c r="AB531" s="263">
        <f>(AB379+AB390)*'Data - P&amp;L'!$C$15</f>
        <v>0</v>
      </c>
      <c r="AC531" s="263">
        <f>(AC379+AC390)*'Data - P&amp;L'!$C$15</f>
        <v>0</v>
      </c>
      <c r="AD531" s="263">
        <f>(AD379+AD390)*'Data - P&amp;L'!$C$15</f>
        <v>0</v>
      </c>
      <c r="AE531" s="263">
        <f>(AE379+AE390)*'Data - P&amp;L'!$C$15</f>
        <v>0</v>
      </c>
      <c r="AF531" s="263">
        <f>(AF379+AF390)*'Data - P&amp;L'!$C$15</f>
        <v>0</v>
      </c>
      <c r="AG531" s="93">
        <f t="shared" si="149"/>
        <v>0</v>
      </c>
    </row>
    <row r="532" ht="18.0" customHeight="1" outlineLevel="1">
      <c r="A532" s="147" t="s">
        <v>450</v>
      </c>
      <c r="B532" s="263">
        <f>(B380+B391)*'Data - P&amp;L'!$C$16</f>
        <v>0</v>
      </c>
      <c r="C532" s="263">
        <f>(C380+C391)*'Data - P&amp;L'!$C$16</f>
        <v>0</v>
      </c>
      <c r="D532" s="263">
        <f>(D380+D391)*'Data - P&amp;L'!$C$16</f>
        <v>0</v>
      </c>
      <c r="E532" s="263">
        <f>(E380+E391)*'Data - P&amp;L'!$C$16</f>
        <v>0</v>
      </c>
      <c r="F532" s="263">
        <f>(F380+F391)*'Data - P&amp;L'!$C$16</f>
        <v>0</v>
      </c>
      <c r="G532" s="263">
        <f>(G380+G391)*'Data - P&amp;L'!$C$16</f>
        <v>0</v>
      </c>
      <c r="H532" s="263">
        <f>(H380+H391)*'Data - P&amp;L'!$C$16</f>
        <v>0</v>
      </c>
      <c r="I532" s="263">
        <f>(I380+I391)*'Data - P&amp;L'!$C$16</f>
        <v>0</v>
      </c>
      <c r="J532" s="263">
        <f>(J380+J391)*'Data - P&amp;L'!$C$16</f>
        <v>0</v>
      </c>
      <c r="K532" s="263">
        <f>(K380+K391)*'Data - P&amp;L'!$C$16</f>
        <v>0</v>
      </c>
      <c r="L532" s="263">
        <f>(L380+L391)*'Data - P&amp;L'!$C$16</f>
        <v>0</v>
      </c>
      <c r="M532" s="263">
        <f>(M380+M391)*'Data - P&amp;L'!$C$16</f>
        <v>0</v>
      </c>
      <c r="N532" s="263">
        <f>(N380+N391)*'Data - P&amp;L'!$C$16</f>
        <v>0</v>
      </c>
      <c r="O532" s="263">
        <f>(O380+O391)*'Data - P&amp;L'!$C$16</f>
        <v>0</v>
      </c>
      <c r="P532" s="263">
        <f>(P380+P391)*'Data - P&amp;L'!$C$16</f>
        <v>0</v>
      </c>
      <c r="Q532" s="263">
        <f>(Q380+Q391)*'Data - P&amp;L'!$C$16</f>
        <v>0</v>
      </c>
      <c r="R532" s="263">
        <f>(R380+R391)*'Data - P&amp;L'!$C$16</f>
        <v>0</v>
      </c>
      <c r="S532" s="263">
        <f>(S380+S391)*'Data - P&amp;L'!$C$16</f>
        <v>0</v>
      </c>
      <c r="T532" s="263">
        <f>(T380+T391)*'Data - P&amp;L'!$C$16</f>
        <v>0</v>
      </c>
      <c r="U532" s="263">
        <f>(U380+U391)*'Data - P&amp;L'!$C$16</f>
        <v>0</v>
      </c>
      <c r="V532" s="263">
        <f>(V380+V391)*'Data - P&amp;L'!$C$16</f>
        <v>0</v>
      </c>
      <c r="W532" s="263">
        <f>(W380+W391)*'Data - P&amp;L'!$C$16</f>
        <v>0</v>
      </c>
      <c r="X532" s="263">
        <f>(X380+X391)*'Data - P&amp;L'!$C$16</f>
        <v>0</v>
      </c>
      <c r="Y532" s="263">
        <f>(Y380+Y391)*'Data - P&amp;L'!$C$16</f>
        <v>0</v>
      </c>
      <c r="Z532" s="263">
        <f>(Z380+Z391)*'Data - P&amp;L'!$C$16</f>
        <v>0</v>
      </c>
      <c r="AA532" s="263">
        <f>(AA380+AA391)*'Data - P&amp;L'!$C$16</f>
        <v>0</v>
      </c>
      <c r="AB532" s="263">
        <f>(AB380+AB391)*'Data - P&amp;L'!$C$16</f>
        <v>0</v>
      </c>
      <c r="AC532" s="263">
        <f>(AC380+AC391)*'Data - P&amp;L'!$C$16</f>
        <v>0</v>
      </c>
      <c r="AD532" s="263">
        <f>(AD380+AD391)*'Data - P&amp;L'!$C$16</f>
        <v>0</v>
      </c>
      <c r="AE532" s="263">
        <f>(AE380+AE391)*'Data - P&amp;L'!$C$16</f>
        <v>0</v>
      </c>
      <c r="AF532" s="263">
        <f>(AF380+AF391)*'Data - P&amp;L'!$C$16</f>
        <v>0</v>
      </c>
      <c r="AG532" s="93">
        <f t="shared" si="149"/>
        <v>0</v>
      </c>
    </row>
    <row r="533" outlineLevel="1">
      <c r="A533" s="147" t="s">
        <v>451</v>
      </c>
      <c r="B533" s="263">
        <f>(B400+B413)*'Data - P&amp;L'!$C$6</f>
        <v>0</v>
      </c>
      <c r="C533" s="263">
        <f>(C400+C413)*'Data - P&amp;L'!$C$6</f>
        <v>5.49</v>
      </c>
      <c r="D533" s="263">
        <f>(D400+D413)*'Data - P&amp;L'!$C$6</f>
        <v>0</v>
      </c>
      <c r="E533" s="263">
        <f>(E400+E413)*'Data - P&amp;L'!$C$6</f>
        <v>0</v>
      </c>
      <c r="F533" s="263">
        <f>(F400+F413)*'Data - P&amp;L'!$C$6</f>
        <v>0</v>
      </c>
      <c r="G533" s="263">
        <f>(G400+G413)*'Data - P&amp;L'!$C$6</f>
        <v>0</v>
      </c>
      <c r="H533" s="263">
        <f>(H400+H413)*'Data - P&amp;L'!$C$6</f>
        <v>0</v>
      </c>
      <c r="I533" s="263">
        <f>(I400+I413)*'Data - P&amp;L'!$C$6</f>
        <v>0</v>
      </c>
      <c r="J533" s="263">
        <f>(J400+J413)*'Data - P&amp;L'!$C$6</f>
        <v>0</v>
      </c>
      <c r="K533" s="263">
        <f>(K400+K413)*'Data - P&amp;L'!$C$6</f>
        <v>5.49</v>
      </c>
      <c r="L533" s="263">
        <f>(L400+L413)*'Data - P&amp;L'!$C$6</f>
        <v>0</v>
      </c>
      <c r="M533" s="263">
        <f>(M400+M413)*'Data - P&amp;L'!$C$6</f>
        <v>0</v>
      </c>
      <c r="N533" s="263">
        <f>(N400+N413)*'Data - P&amp;L'!$C$6</f>
        <v>0</v>
      </c>
      <c r="O533" s="263">
        <f>(O400+O413)*'Data - P&amp;L'!$C$6</f>
        <v>0</v>
      </c>
      <c r="P533" s="263">
        <f>(P400+P413)*'Data - P&amp;L'!$C$6</f>
        <v>0</v>
      </c>
      <c r="Q533" s="263">
        <f>(Q400+Q413)*'Data - P&amp;L'!$C$6</f>
        <v>0</v>
      </c>
      <c r="R533" s="263">
        <f>(R400+R413)*'Data - P&amp;L'!$C$6</f>
        <v>0</v>
      </c>
      <c r="S533" s="263">
        <f>(S400+S413)*'Data - P&amp;L'!$C$6</f>
        <v>0</v>
      </c>
      <c r="T533" s="263">
        <f>(T400+T413)*'Data - P&amp;L'!$C$6</f>
        <v>0</v>
      </c>
      <c r="U533" s="263">
        <f>(U400+U413)*'Data - P&amp;L'!$C$6</f>
        <v>0</v>
      </c>
      <c r="V533" s="263">
        <f>(V400+V413)*'Data - P&amp;L'!$C$6</f>
        <v>0</v>
      </c>
      <c r="W533" s="263">
        <f>(W400+W413)*'Data - P&amp;L'!$C$6</f>
        <v>0</v>
      </c>
      <c r="X533" s="263">
        <f>(X400+X413)*'Data - P&amp;L'!$C$6</f>
        <v>5.49</v>
      </c>
      <c r="Y533" s="263">
        <f>(Y400+Y413)*'Data - P&amp;L'!$C$6</f>
        <v>0</v>
      </c>
      <c r="Z533" s="263">
        <f>(Z400+Z413)*'Data - P&amp;L'!$C$6</f>
        <v>0</v>
      </c>
      <c r="AA533" s="263">
        <f>(AA400+AA413)*'Data - P&amp;L'!$C$6</f>
        <v>0</v>
      </c>
      <c r="AB533" s="263">
        <f>(AB400+AB413)*'Data - P&amp;L'!$C$6</f>
        <v>0</v>
      </c>
      <c r="AC533" s="263">
        <f>(AC400+AC413)*'Data - P&amp;L'!$C$6</f>
        <v>0</v>
      </c>
      <c r="AD533" s="263">
        <f>(AD400+AD413)*'Data - P&amp;L'!$C$6</f>
        <v>0</v>
      </c>
      <c r="AE533" s="263">
        <f>(AE400+AE413)*'Data - P&amp;L'!$C$6</f>
        <v>10.98</v>
      </c>
      <c r="AF533" s="263">
        <f>(AF400+AF413)*'Data - P&amp;L'!$C$6</f>
        <v>0</v>
      </c>
      <c r="AG533" s="93">
        <f t="shared" si="149"/>
        <v>27.45</v>
      </c>
    </row>
    <row r="534" outlineLevel="1">
      <c r="A534" s="147" t="s">
        <v>452</v>
      </c>
      <c r="B534" s="263">
        <f>(B401+B414)*'Data - P&amp;L'!$C$8</f>
        <v>7.14</v>
      </c>
      <c r="C534" s="263">
        <f>(C401+C414)*'Data - P&amp;L'!$C$8</f>
        <v>1.19</v>
      </c>
      <c r="D534" s="263">
        <f>(D401+D414)*'Data - P&amp;L'!$C$8</f>
        <v>0</v>
      </c>
      <c r="E534" s="263">
        <f>(E401+E414)*'Data - P&amp;L'!$C$8</f>
        <v>0</v>
      </c>
      <c r="F534" s="263">
        <f>(F401+F414)*'Data - P&amp;L'!$C$8</f>
        <v>0</v>
      </c>
      <c r="G534" s="263">
        <f>(G401+G414)*'Data - P&amp;L'!$C$8</f>
        <v>0</v>
      </c>
      <c r="H534" s="263">
        <f>(H401+H414)*'Data - P&amp;L'!$C$8</f>
        <v>0</v>
      </c>
      <c r="I534" s="263">
        <f>(I401+I414)*'Data - P&amp;L'!$C$8</f>
        <v>0</v>
      </c>
      <c r="J534" s="263">
        <f>(J401+J414)*'Data - P&amp;L'!$C$8</f>
        <v>0</v>
      </c>
      <c r="K534" s="263">
        <f>(K401+K414)*'Data - P&amp;L'!$C$8</f>
        <v>1.19</v>
      </c>
      <c r="L534" s="263">
        <f>(L401+L414)*'Data - P&amp;L'!$C$8</f>
        <v>0</v>
      </c>
      <c r="M534" s="263">
        <f>(M401+M414)*'Data - P&amp;L'!$C$8</f>
        <v>0</v>
      </c>
      <c r="N534" s="263">
        <f>(N401+N414)*'Data - P&amp;L'!$C$8</f>
        <v>0</v>
      </c>
      <c r="O534" s="263">
        <f>(O401+O414)*'Data - P&amp;L'!$C$8</f>
        <v>2.38</v>
      </c>
      <c r="P534" s="263">
        <f>(P401+P414)*'Data - P&amp;L'!$C$8</f>
        <v>0</v>
      </c>
      <c r="Q534" s="263">
        <f>(Q401+Q414)*'Data - P&amp;L'!$C$8</f>
        <v>0</v>
      </c>
      <c r="R534" s="263">
        <f>(R401+R414)*'Data - P&amp;L'!$C$8</f>
        <v>0</v>
      </c>
      <c r="S534" s="263">
        <f>(S401+S414)*'Data - P&amp;L'!$C$8</f>
        <v>0</v>
      </c>
      <c r="T534" s="263">
        <f>(T401+T414)*'Data - P&amp;L'!$C$8</f>
        <v>0</v>
      </c>
      <c r="U534" s="263">
        <f>(U401+U414)*'Data - P&amp;L'!$C$8</f>
        <v>1.19</v>
      </c>
      <c r="V534" s="263">
        <f>(V401+V414)*'Data - P&amp;L'!$C$8</f>
        <v>0</v>
      </c>
      <c r="W534" s="263">
        <f>(W401+W414)*'Data - P&amp;L'!$C$8</f>
        <v>0</v>
      </c>
      <c r="X534" s="263">
        <f>(X401+X414)*'Data - P&amp;L'!$C$8</f>
        <v>3.57</v>
      </c>
      <c r="Y534" s="263">
        <f>(Y401+Y414)*'Data - P&amp;L'!$C$8</f>
        <v>0</v>
      </c>
      <c r="Z534" s="263">
        <f>(Z401+Z414)*'Data - P&amp;L'!$C$8</f>
        <v>0</v>
      </c>
      <c r="AA534" s="263">
        <f>(AA401+AA414)*'Data - P&amp;L'!$C$8</f>
        <v>0</v>
      </c>
      <c r="AB534" s="263">
        <f>(AB401+AB414)*'Data - P&amp;L'!$C$8</f>
        <v>0</v>
      </c>
      <c r="AC534" s="263">
        <f>(AC401+AC414)*'Data - P&amp;L'!$C$8</f>
        <v>0</v>
      </c>
      <c r="AD534" s="263">
        <f>(AD401+AD414)*'Data - P&amp;L'!$C$8</f>
        <v>2.38</v>
      </c>
      <c r="AE534" s="263">
        <f>(AE401+AE414)*'Data - P&amp;L'!$C$8</f>
        <v>1.19</v>
      </c>
      <c r="AF534" s="263">
        <f>(AF401+AF414)*'Data - P&amp;L'!$C$8</f>
        <v>0</v>
      </c>
      <c r="AG534" s="93">
        <f t="shared" si="149"/>
        <v>20.23</v>
      </c>
    </row>
    <row r="535" outlineLevel="1">
      <c r="A535" s="147" t="s">
        <v>453</v>
      </c>
      <c r="B535" s="263">
        <f>(B402+B403+B415+B416)*'Data - P&amp;L'!$C$9</f>
        <v>0</v>
      </c>
      <c r="C535" s="263">
        <f>(C402+C403+C415+C416)*'Data - P&amp;L'!$C$9</f>
        <v>0</v>
      </c>
      <c r="D535" s="263">
        <f>(D402+D403+D415+D416)*'Data - P&amp;L'!$C$9</f>
        <v>0</v>
      </c>
      <c r="E535" s="263">
        <f>(E402+E403+E415+E416)*'Data - P&amp;L'!$C$9</f>
        <v>0</v>
      </c>
      <c r="F535" s="263">
        <f>(F402+F403+F415+F416)*'Data - P&amp;L'!$C$9</f>
        <v>0</v>
      </c>
      <c r="G535" s="263">
        <f>(G402+G403+G415+G416)*'Data - P&amp;L'!$C$9</f>
        <v>0</v>
      </c>
      <c r="H535" s="263">
        <f>(H402+H403+H415+H416)*'Data - P&amp;L'!$C$9</f>
        <v>0</v>
      </c>
      <c r="I535" s="263">
        <f>(I402+I403+I415+I416)*'Data - P&amp;L'!$C$9</f>
        <v>0</v>
      </c>
      <c r="J535" s="263">
        <f>(J402+J403+J415+J416)*'Data - P&amp;L'!$C$9</f>
        <v>0</v>
      </c>
      <c r="K535" s="263">
        <f>(K402+K403+K415+K416)*'Data - P&amp;L'!$C$9</f>
        <v>6.66</v>
      </c>
      <c r="L535" s="263">
        <f>(L402+L403+L415+L416)*'Data - P&amp;L'!$C$9</f>
        <v>0</v>
      </c>
      <c r="M535" s="263">
        <f>(M402+M403+M415+M416)*'Data - P&amp;L'!$C$9</f>
        <v>0</v>
      </c>
      <c r="N535" s="263">
        <f>(N402+N403+N415+N416)*'Data - P&amp;L'!$C$9</f>
        <v>0</v>
      </c>
      <c r="O535" s="263">
        <f>(O402+O403+O415+O416)*'Data - P&amp;L'!$C$9</f>
        <v>0</v>
      </c>
      <c r="P535" s="263">
        <f>(P402+P403+P415+P416)*'Data - P&amp;L'!$C$9</f>
        <v>0</v>
      </c>
      <c r="Q535" s="263">
        <f>(Q402+Q403+Q415+Q416)*'Data - P&amp;L'!$C$9</f>
        <v>0</v>
      </c>
      <c r="R535" s="263">
        <f>(R402+R403+R415+R416)*'Data - P&amp;L'!$C$9</f>
        <v>0</v>
      </c>
      <c r="S535" s="263">
        <f>(S402+S403+S415+S416)*'Data - P&amp;L'!$C$9</f>
        <v>0</v>
      </c>
      <c r="T535" s="263">
        <f>(T402+T403+T415+T416)*'Data - P&amp;L'!$C$9</f>
        <v>0</v>
      </c>
      <c r="U535" s="263">
        <f>(U402+U403+U415+U416)*'Data - P&amp;L'!$C$9</f>
        <v>6.66</v>
      </c>
      <c r="V535" s="263">
        <f>(V402+V403+V415+V416)*'Data - P&amp;L'!$C$9</f>
        <v>0</v>
      </c>
      <c r="W535" s="263">
        <f>(W402+W403+W415+W416)*'Data - P&amp;L'!$C$9</f>
        <v>0</v>
      </c>
      <c r="X535" s="263">
        <f>(X402+X403+X415+X416)*'Data - P&amp;L'!$C$9</f>
        <v>13.32</v>
      </c>
      <c r="Y535" s="263">
        <f>(Y402+Y403+Y415+Y416)*'Data - P&amp;L'!$C$9</f>
        <v>0</v>
      </c>
      <c r="Z535" s="263">
        <f>(Z402+Z403+Z415+Z416)*'Data - P&amp;L'!$C$9</f>
        <v>0</v>
      </c>
      <c r="AA535" s="263">
        <f>(AA402+AA403+AA415+AA416)*'Data - P&amp;L'!$C$9</f>
        <v>0</v>
      </c>
      <c r="AB535" s="263">
        <f>(AB402+AB403+AB415+AB416)*'Data - P&amp;L'!$C$9</f>
        <v>0</v>
      </c>
      <c r="AC535" s="263">
        <f>(AC402+AC403+AC415+AC416)*'Data - P&amp;L'!$C$9</f>
        <v>0</v>
      </c>
      <c r="AD535" s="263">
        <f>(AD402+AD403+AD415+AD416)*'Data - P&amp;L'!$C$9</f>
        <v>0</v>
      </c>
      <c r="AE535" s="263">
        <f>(AE402+AE403+AE415+AE416)*'Data - P&amp;L'!$C$9</f>
        <v>0</v>
      </c>
      <c r="AF535" s="263">
        <f>(AF402+AF403+AF415+AF416)*'Data - P&amp;L'!$C$9</f>
        <v>6.66</v>
      </c>
      <c r="AG535" s="93">
        <f t="shared" si="149"/>
        <v>33.3</v>
      </c>
    </row>
    <row r="536" outlineLevel="1">
      <c r="A536" s="147" t="s">
        <v>454</v>
      </c>
      <c r="B536" s="263">
        <f>(B404+B405+B417+B418)*'Data - P&amp;L'!$C$5</f>
        <v>13.44</v>
      </c>
      <c r="C536" s="263">
        <f>(C404+C405+C417+C418)*'Data - P&amp;L'!$C$5</f>
        <v>13.44</v>
      </c>
      <c r="D536" s="263">
        <f>(D404+D405+D417+D418)*'Data - P&amp;L'!$C$5</f>
        <v>0</v>
      </c>
      <c r="E536" s="263">
        <f>(E404+E405+E417+E418)*'Data - P&amp;L'!$C$5</f>
        <v>0</v>
      </c>
      <c r="F536" s="263">
        <f>(F404+F405+F417+F418)*'Data - P&amp;L'!$C$5</f>
        <v>0</v>
      </c>
      <c r="G536" s="263">
        <f>(G404+G405+G417+G418)*'Data - P&amp;L'!$C$5</f>
        <v>26.88</v>
      </c>
      <c r="H536" s="263">
        <f>(H404+H405+H417+H418)*'Data - P&amp;L'!$C$5</f>
        <v>0</v>
      </c>
      <c r="I536" s="263">
        <f>(I404+I405+I417+I418)*'Data - P&amp;L'!$C$5</f>
        <v>0</v>
      </c>
      <c r="J536" s="263">
        <f>(J404+J405+J417+J418)*'Data - P&amp;L'!$C$5</f>
        <v>0</v>
      </c>
      <c r="K536" s="263">
        <f>(K404+K405+K417+K418)*'Data - P&amp;L'!$C$5</f>
        <v>26.88</v>
      </c>
      <c r="L536" s="263">
        <f>(L404+L405+L417+L418)*'Data - P&amp;L'!$C$5</f>
        <v>0</v>
      </c>
      <c r="M536" s="263">
        <f>(M404+M405+M417+M418)*'Data - P&amp;L'!$C$5</f>
        <v>0</v>
      </c>
      <c r="N536" s="263">
        <f>(N404+N405+N417+N418)*'Data - P&amp;L'!$C$5</f>
        <v>0</v>
      </c>
      <c r="O536" s="263">
        <f>(O404+O405+O417+O418)*'Data - P&amp;L'!$C$5</f>
        <v>40.32</v>
      </c>
      <c r="P536" s="263">
        <f>(P404+P405+P417+P418)*'Data - P&amp;L'!$C$5</f>
        <v>0</v>
      </c>
      <c r="Q536" s="263">
        <f>(Q404+Q405+Q417+Q418)*'Data - P&amp;L'!$C$5</f>
        <v>0</v>
      </c>
      <c r="R536" s="263">
        <f>(R404+R405+R417+R418)*'Data - P&amp;L'!$C$5</f>
        <v>0</v>
      </c>
      <c r="S536" s="263">
        <f>(S404+S405+S417+S418)*'Data - P&amp;L'!$C$5</f>
        <v>0</v>
      </c>
      <c r="T536" s="263">
        <f>(T404+T405+T417+T418)*'Data - P&amp;L'!$C$5</f>
        <v>0</v>
      </c>
      <c r="U536" s="263">
        <f>(U404+U405+U417+U418)*'Data - P&amp;L'!$C$5</f>
        <v>13.44</v>
      </c>
      <c r="V536" s="263">
        <f>(V404+V405+V417+V418)*'Data - P&amp;L'!$C$5</f>
        <v>0</v>
      </c>
      <c r="W536" s="263">
        <f>(W404+W405+W417+W418)*'Data - P&amp;L'!$C$5</f>
        <v>0</v>
      </c>
      <c r="X536" s="263">
        <f>(X404+X405+X417+X418)*'Data - P&amp;L'!$C$5</f>
        <v>0</v>
      </c>
      <c r="Y536" s="263">
        <f>(Y404+Y405+Y417+Y418)*'Data - P&amp;L'!$C$5</f>
        <v>0</v>
      </c>
      <c r="Z536" s="263">
        <f>(Z404+Z405+Z417+Z418)*'Data - P&amp;L'!$C$5</f>
        <v>0</v>
      </c>
      <c r="AA536" s="263">
        <f>(AA404+AA405+AA417+AA418)*'Data - P&amp;L'!$C$5</f>
        <v>0</v>
      </c>
      <c r="AB536" s="263">
        <f>(AB404+AB405+AB417+AB418)*'Data - P&amp;L'!$C$5</f>
        <v>0</v>
      </c>
      <c r="AC536" s="263">
        <f>(AC404+AC405+AC417+AC418)*'Data - P&amp;L'!$C$5</f>
        <v>0</v>
      </c>
      <c r="AD536" s="263">
        <f>(AD404+AD405+AD417+AD418)*'Data - P&amp;L'!$C$5</f>
        <v>0</v>
      </c>
      <c r="AE536" s="263">
        <f>(AE404+AE405+AE417+AE418)*'Data - P&amp;L'!$C$5</f>
        <v>13.44</v>
      </c>
      <c r="AF536" s="263">
        <f>(AF404+AF405+AF417+AF418)*'Data - P&amp;L'!$C$5</f>
        <v>0</v>
      </c>
      <c r="AG536" s="93">
        <f t="shared" si="149"/>
        <v>147.84</v>
      </c>
    </row>
    <row r="537" outlineLevel="1">
      <c r="A537" s="147" t="s">
        <v>455</v>
      </c>
      <c r="B537" s="263">
        <f>(B406+B407+B419+B420)*'Data - P&amp;L'!$C$10</f>
        <v>0</v>
      </c>
      <c r="C537" s="263">
        <f>(C406+C407+C419+C420)*'Data - P&amp;L'!$C$10</f>
        <v>0</v>
      </c>
      <c r="D537" s="263">
        <f>(D406+D407+D419+D420)*'Data - P&amp;L'!$C$10</f>
        <v>0</v>
      </c>
      <c r="E537" s="263">
        <f>(E406+E407+E419+E420)*'Data - P&amp;L'!$C$10</f>
        <v>0</v>
      </c>
      <c r="F537" s="263">
        <f>(F406+F407+F419+F420)*'Data - P&amp;L'!$C$10</f>
        <v>0</v>
      </c>
      <c r="G537" s="263">
        <f>(G406+G407+G419+G420)*'Data - P&amp;L'!$C$10</f>
        <v>12</v>
      </c>
      <c r="H537" s="263">
        <f>(H406+H407+H419+H420)*'Data - P&amp;L'!$C$10</f>
        <v>0</v>
      </c>
      <c r="I537" s="263">
        <f>(I406+I407+I419+I420)*'Data - P&amp;L'!$C$10</f>
        <v>0</v>
      </c>
      <c r="J537" s="263">
        <f>(J406+J407+J419+J420)*'Data - P&amp;L'!$C$10</f>
        <v>0</v>
      </c>
      <c r="K537" s="263">
        <f>(K406+K407+K419+K420)*'Data - P&amp;L'!$C$10</f>
        <v>6</v>
      </c>
      <c r="L537" s="263">
        <f>(L406+L407+L419+L420)*'Data - P&amp;L'!$C$10</f>
        <v>0</v>
      </c>
      <c r="M537" s="263">
        <f>(M406+M407+M419+M420)*'Data - P&amp;L'!$C$10</f>
        <v>0</v>
      </c>
      <c r="N537" s="263">
        <f>(N406+N407+N419+N420)*'Data - P&amp;L'!$C$10</f>
        <v>0</v>
      </c>
      <c r="O537" s="263">
        <f>(O406+O407+O419+O420)*'Data - P&amp;L'!$C$10</f>
        <v>6</v>
      </c>
      <c r="P537" s="263">
        <f>(P406+P407+P419+P420)*'Data - P&amp;L'!$C$10</f>
        <v>0</v>
      </c>
      <c r="Q537" s="263">
        <f>(Q406+Q407+Q419+Q420)*'Data - P&amp;L'!$C$10</f>
        <v>0</v>
      </c>
      <c r="R537" s="263">
        <f>(R406+R407+R419+R420)*'Data - P&amp;L'!$C$10</f>
        <v>0</v>
      </c>
      <c r="S537" s="263">
        <f>(S406+S407+S419+S420)*'Data - P&amp;L'!$C$10</f>
        <v>0</v>
      </c>
      <c r="T537" s="263">
        <f>(T406+T407+T419+T420)*'Data - P&amp;L'!$C$10</f>
        <v>0</v>
      </c>
      <c r="U537" s="263">
        <f>(U406+U407+U419+U420)*'Data - P&amp;L'!$C$10</f>
        <v>6</v>
      </c>
      <c r="V537" s="263">
        <f>(V406+V407+V419+V420)*'Data - P&amp;L'!$C$10</f>
        <v>0</v>
      </c>
      <c r="W537" s="263">
        <f>(W406+W407+W419+W420)*'Data - P&amp;L'!$C$10</f>
        <v>0</v>
      </c>
      <c r="X537" s="263">
        <f>(X406+X407+X419+X420)*'Data - P&amp;L'!$C$10</f>
        <v>6</v>
      </c>
      <c r="Y537" s="263">
        <f>(Y406+Y407+Y419+Y420)*'Data - P&amp;L'!$C$10</f>
        <v>0</v>
      </c>
      <c r="Z537" s="263">
        <f>(Z406+Z407+Z419+Z420)*'Data - P&amp;L'!$C$10</f>
        <v>0</v>
      </c>
      <c r="AA537" s="263">
        <f>(AA406+AA407+AA419+AA420)*'Data - P&amp;L'!$C$10</f>
        <v>0</v>
      </c>
      <c r="AB537" s="263">
        <f>(AB406+AB407+AB419+AB420)*'Data - P&amp;L'!$C$10</f>
        <v>0</v>
      </c>
      <c r="AC537" s="263">
        <f>(AC406+AC407+AC419+AC420)*'Data - P&amp;L'!$C$10</f>
        <v>0</v>
      </c>
      <c r="AD537" s="263">
        <f>(AD406+AD407+AD419+AD420)*'Data - P&amp;L'!$C$10</f>
        <v>0</v>
      </c>
      <c r="AE537" s="263">
        <f>(AE406+AE407+AE419+AE420)*'Data - P&amp;L'!$C$10</f>
        <v>0</v>
      </c>
      <c r="AF537" s="263">
        <f>(AF406+AF407+AF419+AF420)*'Data - P&amp;L'!$C$10</f>
        <v>0</v>
      </c>
      <c r="AG537" s="93">
        <f t="shared" si="149"/>
        <v>36</v>
      </c>
    </row>
    <row r="538" outlineLevel="1">
      <c r="A538" s="147" t="s">
        <v>456</v>
      </c>
      <c r="B538" s="263">
        <v>0.0</v>
      </c>
      <c r="C538" s="263">
        <f>(C382+C383+C393+C394)*'Data - P&amp;L'!$C$13</f>
        <v>0</v>
      </c>
      <c r="D538" s="263">
        <f>(D382+D383+D393+D394)*'Data - P&amp;L'!$C$13</f>
        <v>0</v>
      </c>
      <c r="E538" s="263">
        <f>(E382+E383+E393+E394)*'Data - P&amp;L'!$C$13</f>
        <v>0</v>
      </c>
      <c r="F538" s="263">
        <f>(F382+F383+F393+F394)*'Data - P&amp;L'!$C$13</f>
        <v>0</v>
      </c>
      <c r="G538" s="263">
        <f>(G382+G383+G393+G394)*'Data - P&amp;L'!$C$13</f>
        <v>0</v>
      </c>
      <c r="H538" s="263">
        <f>(H382+H383+H393+H394)*'Data - P&amp;L'!$C$13</f>
        <v>0</v>
      </c>
      <c r="I538" s="263">
        <f>(I382+I383+I393+I394)*'Data - P&amp;L'!$C$13</f>
        <v>0</v>
      </c>
      <c r="J538" s="263">
        <f>(J382+J383+J393+J394)*'Data - P&amp;L'!$C$13</f>
        <v>0</v>
      </c>
      <c r="K538" s="263">
        <f>(K382+K383+K393+K394)*'Data - P&amp;L'!$C$13</f>
        <v>0</v>
      </c>
      <c r="L538" s="263">
        <f>(L382+L383+L393+L394)*'Data - P&amp;L'!$C$13</f>
        <v>0</v>
      </c>
      <c r="M538" s="263">
        <f>(M382+M383+M393+M394)*'Data - P&amp;L'!$C$13</f>
        <v>0</v>
      </c>
      <c r="N538" s="263">
        <f>(N382+N383+N393+N394)*'Data - P&amp;L'!$C$13</f>
        <v>0</v>
      </c>
      <c r="O538" s="263">
        <f>(O382+O383+O393+O394)*'Data - P&amp;L'!$C$13</f>
        <v>0</v>
      </c>
      <c r="P538" s="263">
        <f>(P382+P383+P393+P394)*'Data - P&amp;L'!$C$13</f>
        <v>0</v>
      </c>
      <c r="Q538" s="263">
        <f>(Q382+Q383+Q393+Q394)*'Data - P&amp;L'!$C$13</f>
        <v>0</v>
      </c>
      <c r="R538" s="263">
        <f>(R382+R383+R393+R394)*'Data - P&amp;L'!$C$13</f>
        <v>0</v>
      </c>
      <c r="S538" s="263">
        <f>(S382+S383+S393+S394)*'Data - P&amp;L'!$C$13</f>
        <v>0</v>
      </c>
      <c r="T538" s="263">
        <f>(T382+T383+T393+T394)*'Data - P&amp;L'!$C$13</f>
        <v>0</v>
      </c>
      <c r="U538" s="263">
        <f>(U382+U383+U393+U394)*'Data - P&amp;L'!$C$13</f>
        <v>0</v>
      </c>
      <c r="V538" s="263">
        <f>(V382+V383+V393+V394)*'Data - P&amp;L'!$C$13</f>
        <v>0</v>
      </c>
      <c r="W538" s="263">
        <f>(W382+W383+W393+W394)*'Data - P&amp;L'!$C$13</f>
        <v>0</v>
      </c>
      <c r="X538" s="263">
        <f>(X382+X383+X393+X394)*'Data - P&amp;L'!$C$13</f>
        <v>0</v>
      </c>
      <c r="Y538" s="263">
        <f>(Y382+Y383+Y393+Y394)*'Data - P&amp;L'!$C$13</f>
        <v>0</v>
      </c>
      <c r="Z538" s="263">
        <f>(Z382+Z383+Z393+Z394)*'Data - P&amp;L'!$C$13</f>
        <v>0</v>
      </c>
      <c r="AA538" s="263">
        <f>(AA382+AA383+AA393+AA394)*'Data - P&amp;L'!$C$13</f>
        <v>0</v>
      </c>
      <c r="AB538" s="263">
        <f>(AB382+AB383+AB393+AB394)*'Data - P&amp;L'!$C$13</f>
        <v>0</v>
      </c>
      <c r="AC538" s="263">
        <f>(AC382+AC383+AC393+AC394)*'Data - P&amp;L'!$C$13</f>
        <v>0</v>
      </c>
      <c r="AD538" s="263">
        <f>(AD382+AD383+AD393+AD394)*'Data - P&amp;L'!$C$13</f>
        <v>0</v>
      </c>
      <c r="AE538" s="263">
        <f>(AE382+AE383+AE393+AE394)*'Data - P&amp;L'!$C$13</f>
        <v>0</v>
      </c>
      <c r="AF538" s="263">
        <f>(AF382+AF383+AF393+AF394)*'Data - P&amp;L'!$C$13</f>
        <v>0</v>
      </c>
      <c r="AG538" s="93">
        <f t="shared" si="149"/>
        <v>0</v>
      </c>
    </row>
    <row r="539" outlineLevel="1">
      <c r="A539" s="147" t="s">
        <v>457</v>
      </c>
      <c r="B539" s="263">
        <f>(B384+B395)*'Data - P&amp;L'!$C$14</f>
        <v>0</v>
      </c>
      <c r="C539" s="263">
        <f>(C384+C395)*'Data - P&amp;L'!$C$14</f>
        <v>0</v>
      </c>
      <c r="D539" s="263">
        <f>(D384+D395)*'Data - P&amp;L'!$C$14</f>
        <v>0</v>
      </c>
      <c r="E539" s="263">
        <f>(E384+E395)*'Data - P&amp;L'!$C$14</f>
        <v>0</v>
      </c>
      <c r="F539" s="263">
        <f>(F384+F395)*'Data - P&amp;L'!$C$14</f>
        <v>0</v>
      </c>
      <c r="G539" s="263">
        <f>(G384+G395)*'Data - P&amp;L'!$C$14</f>
        <v>0</v>
      </c>
      <c r="H539" s="263">
        <f>(H384+H395)*'Data - P&amp;L'!$C$14</f>
        <v>0</v>
      </c>
      <c r="I539" s="263">
        <f>(I384+I395)*'Data - P&amp;L'!$C$14</f>
        <v>0</v>
      </c>
      <c r="J539" s="263">
        <f>(J384+J395)*'Data - P&amp;L'!$C$14</f>
        <v>0</v>
      </c>
      <c r="K539" s="263">
        <f>(K384+K395)*'Data - P&amp;L'!$C$14</f>
        <v>0</v>
      </c>
      <c r="L539" s="263">
        <f>(L384+L395)*'Data - P&amp;L'!$C$14</f>
        <v>0</v>
      </c>
      <c r="M539" s="263">
        <f>(M384+M395)*'Data - P&amp;L'!$C$14</f>
        <v>0</v>
      </c>
      <c r="N539" s="263">
        <f>(N384+N395)*'Data - P&amp;L'!$C$14</f>
        <v>0</v>
      </c>
      <c r="O539" s="263">
        <f>(O384+O395)*'Data - P&amp;L'!$C$14</f>
        <v>0</v>
      </c>
      <c r="P539" s="263">
        <f>(P384+P395)*'Data - P&amp;L'!$C$14</f>
        <v>0</v>
      </c>
      <c r="Q539" s="263">
        <f>(Q384+Q395)*'Data - P&amp;L'!$C$14</f>
        <v>0</v>
      </c>
      <c r="R539" s="263">
        <f>(R384+R395)*'Data - P&amp;L'!$C$14</f>
        <v>0</v>
      </c>
      <c r="S539" s="263">
        <f>(S384+S395)*'Data - P&amp;L'!$C$14</f>
        <v>0</v>
      </c>
      <c r="T539" s="263">
        <f>(T384+T395)*'Data - P&amp;L'!$C$14</f>
        <v>0</v>
      </c>
      <c r="U539" s="263">
        <f>(U384+U395)*'Data - P&amp;L'!$C$14</f>
        <v>0</v>
      </c>
      <c r="V539" s="263">
        <f>(V384+V395)*'Data - P&amp;L'!$C$14</f>
        <v>0</v>
      </c>
      <c r="W539" s="263">
        <f>(W384+W395)*'Data - P&amp;L'!$C$14</f>
        <v>0</v>
      </c>
      <c r="X539" s="263">
        <f>(X384+X395)*'Data - P&amp;L'!$C$14</f>
        <v>0</v>
      </c>
      <c r="Y539" s="263">
        <f>(Y384+Y395)*'Data - P&amp;L'!$C$14</f>
        <v>0</v>
      </c>
      <c r="Z539" s="263">
        <f>(Z384+Z395)*'Data - P&amp;L'!$C$14</f>
        <v>0</v>
      </c>
      <c r="AA539" s="263">
        <f>(AA384+AA395)*'Data - P&amp;L'!$C$14</f>
        <v>0</v>
      </c>
      <c r="AB539" s="263">
        <f>(AB384+AB395)*'Data - P&amp;L'!$C$14</f>
        <v>0</v>
      </c>
      <c r="AC539" s="263">
        <f>(AC384+AC395)*'Data - P&amp;L'!$C$14</f>
        <v>0</v>
      </c>
      <c r="AD539" s="263">
        <f>(AD384+AD395)*'Data - P&amp;L'!$C$14</f>
        <v>0</v>
      </c>
      <c r="AE539" s="263">
        <f>(AE384+AE395)*'Data - P&amp;L'!$C$14</f>
        <v>0</v>
      </c>
      <c r="AF539" s="263">
        <f>(AF384+AF395)*'Data - P&amp;L'!$C$14</f>
        <v>0</v>
      </c>
      <c r="AG539" s="93">
        <f t="shared" si="149"/>
        <v>0</v>
      </c>
    </row>
    <row r="540" outlineLevel="1">
      <c r="A540" s="147" t="s">
        <v>458</v>
      </c>
      <c r="B540" s="263">
        <f>(B408+B421)*'Data - P&amp;L'!$C$17</f>
        <v>0</v>
      </c>
      <c r="C540" s="263">
        <f>(C408+C421)*'Data - P&amp;L'!$C$17</f>
        <v>0</v>
      </c>
      <c r="D540" s="263">
        <f>(D408+D421)*'Data - P&amp;L'!$C$17</f>
        <v>0</v>
      </c>
      <c r="E540" s="263">
        <f>(E408+E421)*'Data - P&amp;L'!$C$17</f>
        <v>0</v>
      </c>
      <c r="F540" s="263">
        <f>(F408+F421)*'Data - P&amp;L'!$C$17</f>
        <v>0</v>
      </c>
      <c r="G540" s="263">
        <f>(G408+G421)*'Data - P&amp;L'!$C$17</f>
        <v>0</v>
      </c>
      <c r="H540" s="263">
        <f>(H408+H421)*'Data - P&amp;L'!$C$17</f>
        <v>0</v>
      </c>
      <c r="I540" s="263">
        <f>(I408+I421)*'Data - P&amp;L'!$C$17</f>
        <v>0</v>
      </c>
      <c r="J540" s="263">
        <f>(J408+J421)*'Data - P&amp;L'!$C$17</f>
        <v>0</v>
      </c>
      <c r="K540" s="263">
        <f>(K408+K421)*'Data - P&amp;L'!$C$17</f>
        <v>0</v>
      </c>
      <c r="L540" s="263">
        <f>(L408+L421)*'Data - P&amp;L'!$C$17</f>
        <v>0</v>
      </c>
      <c r="M540" s="263">
        <f>(M408+M421)*'Data - P&amp;L'!$C$17</f>
        <v>0</v>
      </c>
      <c r="N540" s="263">
        <f>(N408+N421)*'Data - P&amp;L'!$C$17</f>
        <v>0</v>
      </c>
      <c r="O540" s="263">
        <f>(O408+O421)*'Data - P&amp;L'!$C$17</f>
        <v>0</v>
      </c>
      <c r="P540" s="263">
        <f>(P408+P421)*'Data - P&amp;L'!$C$17</f>
        <v>0</v>
      </c>
      <c r="Q540" s="263">
        <f>(Q408+Q421)*'Data - P&amp;L'!$C$17</f>
        <v>0</v>
      </c>
      <c r="R540" s="263">
        <f>(R408+R421)*'Data - P&amp;L'!$C$17</f>
        <v>0</v>
      </c>
      <c r="S540" s="263">
        <f>(S408+S421)*'Data - P&amp;L'!$C$17</f>
        <v>0</v>
      </c>
      <c r="T540" s="263">
        <f>(T408+T421)*'Data - P&amp;L'!$C$17</f>
        <v>0</v>
      </c>
      <c r="U540" s="263">
        <f>(U408+U421)*'Data - P&amp;L'!$C$17</f>
        <v>0</v>
      </c>
      <c r="V540" s="263">
        <f>(V408+V421)*'Data - P&amp;L'!$C$17</f>
        <v>0</v>
      </c>
      <c r="W540" s="263">
        <f>(W408+W421)*'Data - P&amp;L'!$C$17</f>
        <v>0</v>
      </c>
      <c r="X540" s="263">
        <f>(X408+X421)*'Data - P&amp;L'!$C$17</f>
        <v>0</v>
      </c>
      <c r="Y540" s="263">
        <f>(Y408+Y421)*'Data - P&amp;L'!$C$17</f>
        <v>0</v>
      </c>
      <c r="Z540" s="263">
        <f>(Z408+Z421)*'Data - P&amp;L'!$C$17</f>
        <v>0</v>
      </c>
      <c r="AA540" s="263">
        <f>(AA408+AA421)*'Data - P&amp;L'!$C$17</f>
        <v>0</v>
      </c>
      <c r="AB540" s="263">
        <f>(AB408+AB421)*'Data - P&amp;L'!$C$17</f>
        <v>0</v>
      </c>
      <c r="AC540" s="263">
        <f>(AC408+AC421)*'Data - P&amp;L'!$C$17</f>
        <v>0</v>
      </c>
      <c r="AD540" s="263">
        <f>(AD408+AD421)*'Data - P&amp;L'!$C$17</f>
        <v>0</v>
      </c>
      <c r="AE540" s="263">
        <f>(AE408+AE421)*'Data - P&amp;L'!$C$17</f>
        <v>0</v>
      </c>
      <c r="AF540" s="263">
        <f>(AF408+AF421)*'Data - P&amp;L'!$C$17</f>
        <v>0</v>
      </c>
      <c r="AG540" s="93">
        <f t="shared" si="149"/>
        <v>0</v>
      </c>
    </row>
    <row r="541" outlineLevel="1">
      <c r="A541" s="147" t="s">
        <v>459</v>
      </c>
      <c r="B541" s="263">
        <f>(B409+B422)*'Data - P&amp;L'!$C$18</f>
        <v>0</v>
      </c>
      <c r="C541" s="263">
        <f>(C409+C422)*'Data - P&amp;L'!$C$18</f>
        <v>0</v>
      </c>
      <c r="D541" s="263">
        <f>(D409+D422)*'Data - P&amp;L'!$C$18</f>
        <v>0</v>
      </c>
      <c r="E541" s="263">
        <f>(E409+E422)*'Data - P&amp;L'!$C$18</f>
        <v>0</v>
      </c>
      <c r="F541" s="263">
        <f>(F409+F422)*'Data - P&amp;L'!$C$18</f>
        <v>0</v>
      </c>
      <c r="G541" s="263">
        <f>(G409+G422)*'Data - P&amp;L'!$C$18</f>
        <v>0</v>
      </c>
      <c r="H541" s="263">
        <f>(H409+H422)*'Data - P&amp;L'!$C$18</f>
        <v>0</v>
      </c>
      <c r="I541" s="263">
        <f>(I409+I422)*'Data - P&amp;L'!$C$18</f>
        <v>0</v>
      </c>
      <c r="J541" s="263">
        <f>(J409+J422)*'Data - P&amp;L'!$C$18</f>
        <v>0</v>
      </c>
      <c r="K541" s="263">
        <f>(K409+K422)*'Data - P&amp;L'!$C$18</f>
        <v>0</v>
      </c>
      <c r="L541" s="263">
        <f>(L409+L422)*'Data - P&amp;L'!$C$18</f>
        <v>0</v>
      </c>
      <c r="M541" s="263">
        <f>(M409+M422)*'Data - P&amp;L'!$C$18</f>
        <v>0</v>
      </c>
      <c r="N541" s="263">
        <f>(N409+N422)*'Data - P&amp;L'!$C$18</f>
        <v>0</v>
      </c>
      <c r="O541" s="263">
        <f>(O409+O422)*'Data - P&amp;L'!$C$18</f>
        <v>0</v>
      </c>
      <c r="P541" s="263">
        <f>(P409+P422)*'Data - P&amp;L'!$C$18</f>
        <v>0</v>
      </c>
      <c r="Q541" s="263">
        <f>(Q409+Q422)*'Data - P&amp;L'!$C$18</f>
        <v>0</v>
      </c>
      <c r="R541" s="263">
        <f>(R409+R422)*'Data - P&amp;L'!$C$18</f>
        <v>0</v>
      </c>
      <c r="S541" s="263">
        <f>(S409+S422)*'Data - P&amp;L'!$C$18</f>
        <v>0</v>
      </c>
      <c r="T541" s="263">
        <f>(T409+T422)*'Data - P&amp;L'!$C$18</f>
        <v>0</v>
      </c>
      <c r="U541" s="263">
        <f>(U409+U422)*'Data - P&amp;L'!$C$18</f>
        <v>0</v>
      </c>
      <c r="V541" s="263">
        <f>(V409+V422)*'Data - P&amp;L'!$C$18</f>
        <v>0</v>
      </c>
      <c r="W541" s="263">
        <f>(W409+W422)*'Data - P&amp;L'!$C$18</f>
        <v>0</v>
      </c>
      <c r="X541" s="263">
        <f>(X409+X422)*'Data - P&amp;L'!$C$18</f>
        <v>0</v>
      </c>
      <c r="Y541" s="263">
        <f>(Y409+Y422)*'Data - P&amp;L'!$C$18</f>
        <v>0</v>
      </c>
      <c r="Z541" s="263">
        <f>(Z409+Z422)*'Data - P&amp;L'!$C$18</f>
        <v>0</v>
      </c>
      <c r="AA541" s="263">
        <f>(AA409+AA422)*'Data - P&amp;L'!$C$18</f>
        <v>0</v>
      </c>
      <c r="AB541" s="263">
        <f>(AB409+AB422)*'Data - P&amp;L'!$C$18</f>
        <v>0</v>
      </c>
      <c r="AC541" s="263">
        <f>(AC409+AC422)*'Data - P&amp;L'!$C$18</f>
        <v>0</v>
      </c>
      <c r="AD541" s="263">
        <f>(AD409+AD422)*'Data - P&amp;L'!$C$18</f>
        <v>0</v>
      </c>
      <c r="AE541" s="263">
        <f>(AE409+AE422)*'Data - P&amp;L'!$C$18</f>
        <v>0</v>
      </c>
      <c r="AF541" s="263">
        <f>(AF409+AF422)*'Data - P&amp;L'!$C$18</f>
        <v>0</v>
      </c>
      <c r="AG541" s="93">
        <f t="shared" si="149"/>
        <v>0</v>
      </c>
    </row>
    <row r="542" outlineLevel="1">
      <c r="A542" s="147" t="s">
        <v>460</v>
      </c>
      <c r="B542" s="263">
        <f>((B396*'Data - P&amp;L'!$C$38)+(B397*'Data - P&amp;L'!$C$39))*'Data - P&amp;L'!$C$55</f>
        <v>0</v>
      </c>
      <c r="C542" s="263">
        <f>((C396*'Data - P&amp;L'!$C$38)+(C397*'Data - P&amp;L'!$C$39))*'Data - P&amp;L'!$C$55</f>
        <v>0</v>
      </c>
      <c r="D542" s="263">
        <f>((D396*'Data - P&amp;L'!$C$38)+(D397*'Data - P&amp;L'!$C$39))*'Data - P&amp;L'!$C$55</f>
        <v>0</v>
      </c>
      <c r="E542" s="263">
        <f>((E396*'Data - P&amp;L'!$C$38)+(E397*'Data - P&amp;L'!$C$39))*'Data - P&amp;L'!$C$55</f>
        <v>0</v>
      </c>
      <c r="F542" s="263">
        <f>((F396*'Data - P&amp;L'!$C$38)+(F397*'Data - P&amp;L'!$C$39))*'Data - P&amp;L'!$C$55</f>
        <v>0</v>
      </c>
      <c r="G542" s="263">
        <f>((G396*'Data - P&amp;L'!$C$38)+(G397*'Data - P&amp;L'!$C$39))*'Data - P&amp;L'!$C$55</f>
        <v>1.194</v>
      </c>
      <c r="H542" s="263">
        <f>((H396*'Data - P&amp;L'!$C$38)+(H397*'Data - P&amp;L'!$C$39))*'Data - P&amp;L'!$C$55</f>
        <v>0</v>
      </c>
      <c r="I542" s="263">
        <f>((I396*'Data - P&amp;L'!$C$38)+(I397*'Data - P&amp;L'!$C$39))*'Data - P&amp;L'!$C$55</f>
        <v>0</v>
      </c>
      <c r="J542" s="263">
        <f>((J396*'Data - P&amp;L'!$C$38)+(J397*'Data - P&amp;L'!$C$39))*'Data - P&amp;L'!$C$55</f>
        <v>0</v>
      </c>
      <c r="K542" s="263">
        <f>((K396*'Data - P&amp;L'!$C$38)+(K397*'Data - P&amp;L'!$C$39))*'Data - P&amp;L'!$C$55</f>
        <v>2.388</v>
      </c>
      <c r="L542" s="263">
        <f>((L396*'Data - P&amp;L'!$C$38)+(L397*'Data - P&amp;L'!$C$39))*'Data - P&amp;L'!$C$55</f>
        <v>0</v>
      </c>
      <c r="M542" s="263">
        <f>((M396*'Data - P&amp;L'!$C$38)+(M397*'Data - P&amp;L'!$C$39))*'Data - P&amp;L'!$C$55</f>
        <v>0</v>
      </c>
      <c r="N542" s="263">
        <f>((N396*'Data - P&amp;L'!$C$38)+(N397*'Data - P&amp;L'!$C$39))*'Data - P&amp;L'!$C$55</f>
        <v>1.194</v>
      </c>
      <c r="O542" s="263">
        <f>((O396*'Data - P&amp;L'!$C$38)+(O397*'Data - P&amp;L'!$C$39))*'Data - P&amp;L'!$C$55</f>
        <v>1.194</v>
      </c>
      <c r="P542" s="263">
        <f>((P396*'Data - P&amp;L'!$C$38)+(P397*'Data - P&amp;L'!$C$39))*'Data - P&amp;L'!$C$55</f>
        <v>0</v>
      </c>
      <c r="Q542" s="263">
        <f>((Q396*'Data - P&amp;L'!$C$38)+(Q397*'Data - P&amp;L'!$C$39))*'Data - P&amp;L'!$C$55</f>
        <v>0</v>
      </c>
      <c r="R542" s="263">
        <f>((R396*'Data - P&amp;L'!$C$38)+(R397*'Data - P&amp;L'!$C$39))*'Data - P&amp;L'!$C$55</f>
        <v>0</v>
      </c>
      <c r="S542" s="263">
        <f>((S396*'Data - P&amp;L'!$C$38)+(S397*'Data - P&amp;L'!$C$39))*'Data - P&amp;L'!$C$55</f>
        <v>0</v>
      </c>
      <c r="T542" s="263">
        <f>((T396*'Data - P&amp;L'!$C$38)+(T397*'Data - P&amp;L'!$C$39))*'Data - P&amp;L'!$C$55</f>
        <v>0</v>
      </c>
      <c r="U542" s="263">
        <f>((U396*'Data - P&amp;L'!$C$38)+(U397*'Data - P&amp;L'!$C$39))*'Data - P&amp;L'!$C$55</f>
        <v>1.194</v>
      </c>
      <c r="V542" s="263">
        <f>((V396*'Data - P&amp;L'!$C$38)+(V397*'Data - P&amp;L'!$C$39))*'Data - P&amp;L'!$C$55</f>
        <v>0</v>
      </c>
      <c r="W542" s="263">
        <f>((W396*'Data - P&amp;L'!$C$38)+(W397*'Data - P&amp;L'!$C$39))*'Data - P&amp;L'!$C$55</f>
        <v>0</v>
      </c>
      <c r="X542" s="263">
        <f>((X396*'Data - P&amp;L'!$C$38)+(X397*'Data - P&amp;L'!$C$39))*'Data - P&amp;L'!$C$55</f>
        <v>5.97</v>
      </c>
      <c r="Y542" s="263">
        <f>((Y396*'Data - P&amp;L'!$C$38)+(Y397*'Data - P&amp;L'!$C$39))*'Data - P&amp;L'!$C$55</f>
        <v>2.388</v>
      </c>
      <c r="Z542" s="263">
        <f>((Z396*'Data - P&amp;L'!$C$38)+(Z397*'Data - P&amp;L'!$C$39))*'Data - P&amp;L'!$C$55</f>
        <v>0</v>
      </c>
      <c r="AA542" s="263">
        <f>((AA396*'Data - P&amp;L'!$C$38)+(AA397*'Data - P&amp;L'!$C$39))*'Data - P&amp;L'!$C$55</f>
        <v>0</v>
      </c>
      <c r="AB542" s="263">
        <f>((AB396*'Data - P&amp;L'!$C$38)+(AB397*'Data - P&amp;L'!$C$39))*'Data - P&amp;L'!$C$55</f>
        <v>1.194</v>
      </c>
      <c r="AC542" s="263">
        <f>((AC396*'Data - P&amp;L'!$C$38)+(AC397*'Data - P&amp;L'!$C$39))*'Data - P&amp;L'!$C$55</f>
        <v>0</v>
      </c>
      <c r="AD542" s="263">
        <f>((AD396*'Data - P&amp;L'!$C$38)+(AD397*'Data - P&amp;L'!$C$39))*'Data - P&amp;L'!$C$55</f>
        <v>2.388</v>
      </c>
      <c r="AE542" s="263">
        <f>((AE396*'Data - P&amp;L'!$C$38)+(AE397*'Data - P&amp;L'!$C$39))*'Data - P&amp;L'!$C$55</f>
        <v>3.582</v>
      </c>
      <c r="AF542" s="263">
        <f>((AF396*'Data - P&amp;L'!$C$38)+(AF397*'Data - P&amp;L'!$C$39))*'Data - P&amp;L'!$C$55</f>
        <v>0</v>
      </c>
      <c r="AG542" s="93">
        <f t="shared" si="149"/>
        <v>22.686</v>
      </c>
    </row>
    <row r="543" outlineLevel="1">
      <c r="A543" s="147" t="s">
        <v>461</v>
      </c>
      <c r="B543" s="263">
        <f>((B375+B376+B377+B378)*'Data - P&amp;L'!$C$34)+((B386+B387+B388+B389)*'Data - P&amp;L'!$C$35)</f>
        <v>0</v>
      </c>
      <c r="C543" s="263">
        <f>((C375+C376+C377+C378)*'Data - P&amp;L'!$C$34)+((C386+C387+C388+C389)*'Data - P&amp;L'!$C$35)</f>
        <v>0</v>
      </c>
      <c r="D543" s="263">
        <f>((D375+D376+D377+D378)*'Data - P&amp;L'!$C$34)+((D386+D387+D388+D389)*'Data - P&amp;L'!$C$35)</f>
        <v>0</v>
      </c>
      <c r="E543" s="263">
        <f>((E375+E376+E377+E378)*'Data - P&amp;L'!$C$34)+((E386+E387+E388+E389)*'Data - P&amp;L'!$C$35)</f>
        <v>0</v>
      </c>
      <c r="F543" s="263">
        <f>((F375+F376+F377+F378)*'Data - P&amp;L'!$C$34)+((F386+F387+F388+F389)*'Data - P&amp;L'!$C$35)</f>
        <v>0</v>
      </c>
      <c r="G543" s="263">
        <f>((G375+G376+G377+G378)*'Data - P&amp;L'!$C$34)+((G386+G387+G388+G389)*'Data - P&amp;L'!$C$35)</f>
        <v>34.49</v>
      </c>
      <c r="H543" s="263">
        <f>((H375+H376+H377+H378)*'Data - P&amp;L'!$C$34)+((H386+H387+H388+H389)*'Data - P&amp;L'!$C$35)</f>
        <v>0</v>
      </c>
      <c r="I543" s="263">
        <f>((I375+I376+I377+I378)*'Data - P&amp;L'!$C$34)+((I386+I387+I388+I389)*'Data - P&amp;L'!$C$35)</f>
        <v>0</v>
      </c>
      <c r="J543" s="263">
        <f>((J375+J376+J377+J378)*'Data - P&amp;L'!$C$34)+((J386+J387+J388+J389)*'Data - P&amp;L'!$C$35)</f>
        <v>0</v>
      </c>
      <c r="K543" s="263">
        <f>((K375+K376+K377+K378)*'Data - P&amp;L'!$C$34)+((K386+K387+K388+K389)*'Data - P&amp;L'!$C$35)</f>
        <v>68.98</v>
      </c>
      <c r="L543" s="263">
        <f>((L375+L376+L377+L378)*'Data - P&amp;L'!$C$34)+((L386+L387+L388+L389)*'Data - P&amp;L'!$C$35)</f>
        <v>0</v>
      </c>
      <c r="M543" s="263">
        <f>((M375+M376+M377+M378)*'Data - P&amp;L'!$C$34)+((M386+M387+M388+M389)*'Data - P&amp;L'!$C$35)</f>
        <v>0</v>
      </c>
      <c r="N543" s="263">
        <f>((N375+N376+N377+N378)*'Data - P&amp;L'!$C$34)+((N386+N387+N388+N389)*'Data - P&amp;L'!$C$35)</f>
        <v>34.49</v>
      </c>
      <c r="O543" s="263">
        <f>((O375+O376+O377+O378)*'Data - P&amp;L'!$C$34)+((O386+O387+O388+O389)*'Data - P&amp;L'!$C$35)</f>
        <v>34.49</v>
      </c>
      <c r="P543" s="263">
        <f>((P375+P376+P377+P378)*'Data - P&amp;L'!$C$34)+((P386+P387+P388+P389)*'Data - P&amp;L'!$C$35)</f>
        <v>0</v>
      </c>
      <c r="Q543" s="263">
        <f>((Q375+Q376+Q377+Q378)*'Data - P&amp;L'!$C$34)+((Q386+Q387+Q388+Q389)*'Data - P&amp;L'!$C$35)</f>
        <v>0</v>
      </c>
      <c r="R543" s="263">
        <f>((R375+R376+R377+R378)*'Data - P&amp;L'!$C$34)+((R386+R387+R388+R389)*'Data - P&amp;L'!$C$35)</f>
        <v>0</v>
      </c>
      <c r="S543" s="263">
        <f>((S375+S376+S377+S378)*'Data - P&amp;L'!$C$34)+((S386+S387+S388+S389)*'Data - P&amp;L'!$C$35)</f>
        <v>0</v>
      </c>
      <c r="T543" s="263">
        <f>((T375+T376+T377+T378)*'Data - P&amp;L'!$C$34)+((T386+T387+T388+T389)*'Data - P&amp;L'!$C$35)</f>
        <v>0</v>
      </c>
      <c r="U543" s="263">
        <f>((U375+U376+U377+U378)*'Data - P&amp;L'!$C$34)+((U386+U387+U388+U389)*'Data - P&amp;L'!$C$35)</f>
        <v>34.49</v>
      </c>
      <c r="V543" s="263">
        <f>((V375+V376+V377+V378)*'Data - P&amp;L'!$C$34)+((V386+V387+V388+V389)*'Data - P&amp;L'!$C$35)</f>
        <v>0</v>
      </c>
      <c r="W543" s="263">
        <f>((W375+W376+W377+W378)*'Data - P&amp;L'!$C$34)+((W386+W387+W388+W389)*'Data - P&amp;L'!$C$35)</f>
        <v>0</v>
      </c>
      <c r="X543" s="263">
        <f>((X375+X376+X377+X378)*'Data - P&amp;L'!$C$34)+((X386+X387+X388+X389)*'Data - P&amp;L'!$C$35)</f>
        <v>172.45</v>
      </c>
      <c r="Y543" s="263">
        <f>((Y375+Y376+Y377+Y378)*'Data - P&amp;L'!$C$34)+((Y386+Y387+Y388+Y389)*'Data - P&amp;L'!$C$35)</f>
        <v>68.98</v>
      </c>
      <c r="Z543" s="263">
        <f>((Z375+Z376+Z377+Z378)*'Data - P&amp;L'!$C$34)+((Z386+Z387+Z388+Z389)*'Data - P&amp;L'!$C$35)</f>
        <v>0</v>
      </c>
      <c r="AA543" s="263">
        <f>((AA375+AA376+AA377+AA378)*'Data - P&amp;L'!$C$34)+((AA386+AA387+AA388+AA389)*'Data - P&amp;L'!$C$35)</f>
        <v>0</v>
      </c>
      <c r="AB543" s="263">
        <f>((AB375+AB376+AB377+AB378)*'Data - P&amp;L'!$C$34)+((AB386+AB387+AB388+AB389)*'Data - P&amp;L'!$C$35)</f>
        <v>34.49</v>
      </c>
      <c r="AC543" s="263">
        <f>((AC375+AC376+AC377+AC378)*'Data - P&amp;L'!$C$34)+((AC386+AC387+AC388+AC389)*'Data - P&amp;L'!$C$35)</f>
        <v>0</v>
      </c>
      <c r="AD543" s="263">
        <f>((AD375+AD376+AD377+AD378)*'Data - P&amp;L'!$C$34)+((AD386+AD387+AD388+AD389)*'Data - P&amp;L'!$C$35)</f>
        <v>68.98</v>
      </c>
      <c r="AE543" s="263">
        <f>((AE375+AE376+AE377+AE378)*'Data - P&amp;L'!$C$34)+((AE386+AE387+AE388+AE389)*'Data - P&amp;L'!$C$35)</f>
        <v>103.47</v>
      </c>
      <c r="AF543" s="263">
        <f>((AF375+AF376+AF377+AF378)*'Data - P&amp;L'!$C$34)+((AF386+AF387+AF388+AF389)*'Data - P&amp;L'!$C$35)</f>
        <v>0</v>
      </c>
      <c r="AG543" s="93">
        <f t="shared" si="149"/>
        <v>655.31</v>
      </c>
    </row>
    <row r="544" outlineLevel="1">
      <c r="A544" s="147" t="s">
        <v>462</v>
      </c>
      <c r="B544" s="263">
        <f>((B410*'Data - P&amp;L'!$D$38)+(B423*'Data - P&amp;L'!$D$39))*'Data - P&amp;L'!$C$55</f>
        <v>1.0045</v>
      </c>
      <c r="C544" s="263">
        <f>((C410*'Data - P&amp;L'!$D$38)+(C423*'Data - P&amp;L'!$D$39))*'Data - P&amp;L'!$C$55</f>
        <v>0.4305</v>
      </c>
      <c r="D544" s="263">
        <f>((D410*'Data - P&amp;L'!$D$38)+(D423*'Data - P&amp;L'!$D$39))*'Data - P&amp;L'!$C$55</f>
        <v>0</v>
      </c>
      <c r="E544" s="263">
        <f>((E410*'Data - P&amp;L'!$D$38)+(E423*'Data - P&amp;L'!$D$39))*'Data - P&amp;L'!$C$55</f>
        <v>0</v>
      </c>
      <c r="F544" s="263">
        <f>((F410*'Data - P&amp;L'!$D$38)+(F423*'Data - P&amp;L'!$D$39))*'Data - P&amp;L'!$C$55</f>
        <v>0</v>
      </c>
      <c r="G544" s="263">
        <f>((G410*'Data - P&amp;L'!$D$38)+(G423*'Data - P&amp;L'!$D$39))*'Data - P&amp;L'!$C$55</f>
        <v>0.574</v>
      </c>
      <c r="H544" s="263">
        <f>((H410*'Data - P&amp;L'!$D$38)+(H423*'Data - P&amp;L'!$D$39))*'Data - P&amp;L'!$C$55</f>
        <v>0</v>
      </c>
      <c r="I544" s="263">
        <f>((I410*'Data - P&amp;L'!$D$38)+(I423*'Data - P&amp;L'!$D$39))*'Data - P&amp;L'!$C$55</f>
        <v>0</v>
      </c>
      <c r="J544" s="263">
        <f>((J410*'Data - P&amp;L'!$D$38)+(J423*'Data - P&amp;L'!$D$39))*'Data - P&amp;L'!$C$55</f>
        <v>0</v>
      </c>
      <c r="K544" s="263">
        <f>((K410*'Data - P&amp;L'!$D$38)+(K423*'Data - P&amp;L'!$D$39))*'Data - P&amp;L'!$C$55</f>
        <v>0.861</v>
      </c>
      <c r="L544" s="263">
        <f>((L410*'Data - P&amp;L'!$D$38)+(L423*'Data - P&amp;L'!$D$39))*'Data - P&amp;L'!$C$55</f>
        <v>0</v>
      </c>
      <c r="M544" s="263">
        <f>((M410*'Data - P&amp;L'!$D$38)+(M423*'Data - P&amp;L'!$D$39))*'Data - P&amp;L'!$C$55</f>
        <v>0</v>
      </c>
      <c r="N544" s="263">
        <f>((N410*'Data - P&amp;L'!$D$38)+(N423*'Data - P&amp;L'!$D$39))*'Data - P&amp;L'!$C$55</f>
        <v>0</v>
      </c>
      <c r="O544" s="263">
        <f>((O410*'Data - P&amp;L'!$D$38)+(O423*'Data - P&amp;L'!$D$39))*'Data - P&amp;L'!$C$55</f>
        <v>0.861</v>
      </c>
      <c r="P544" s="263">
        <f>((P410*'Data - P&amp;L'!$D$38)+(P423*'Data - P&amp;L'!$D$39))*'Data - P&amp;L'!$C$55</f>
        <v>0</v>
      </c>
      <c r="Q544" s="263">
        <f>((Q410*'Data - P&amp;L'!$D$38)+(Q423*'Data - P&amp;L'!$D$39))*'Data - P&amp;L'!$C$55</f>
        <v>0</v>
      </c>
      <c r="R544" s="263">
        <f>((R410*'Data - P&amp;L'!$D$38)+(R423*'Data - P&amp;L'!$D$39))*'Data - P&amp;L'!$C$55</f>
        <v>0</v>
      </c>
      <c r="S544" s="263">
        <f>((S410*'Data - P&amp;L'!$D$38)+(S423*'Data - P&amp;L'!$D$39))*'Data - P&amp;L'!$C$55</f>
        <v>0</v>
      </c>
      <c r="T544" s="263">
        <f>((T410*'Data - P&amp;L'!$D$38)+(T423*'Data - P&amp;L'!$D$39))*'Data - P&amp;L'!$C$55</f>
        <v>0</v>
      </c>
      <c r="U544" s="263">
        <f>((U410*'Data - P&amp;L'!$D$38)+(U423*'Data - P&amp;L'!$D$39))*'Data - P&amp;L'!$C$55</f>
        <v>0.574</v>
      </c>
      <c r="V544" s="263">
        <f>((V410*'Data - P&amp;L'!$D$38)+(V423*'Data - P&amp;L'!$D$39))*'Data - P&amp;L'!$C$55</f>
        <v>0</v>
      </c>
      <c r="W544" s="263">
        <f>((W410*'Data - P&amp;L'!$D$38)+(W423*'Data - P&amp;L'!$D$39))*'Data - P&amp;L'!$C$55</f>
        <v>0</v>
      </c>
      <c r="X544" s="263">
        <f>((X410*'Data - P&amp;L'!$D$38)+(X423*'Data - P&amp;L'!$D$39))*'Data - P&amp;L'!$C$55</f>
        <v>1.0055</v>
      </c>
      <c r="Y544" s="263">
        <f>((Y410*'Data - P&amp;L'!$D$38)+(Y423*'Data - P&amp;L'!$D$39))*'Data - P&amp;L'!$C$55</f>
        <v>0</v>
      </c>
      <c r="Z544" s="263">
        <f>((Z410*'Data - P&amp;L'!$D$38)+(Z423*'Data - P&amp;L'!$D$39))*'Data - P&amp;L'!$C$55</f>
        <v>0</v>
      </c>
      <c r="AA544" s="263">
        <f>((AA410*'Data - P&amp;L'!$D$38)+(AA423*'Data - P&amp;L'!$D$39))*'Data - P&amp;L'!$C$55</f>
        <v>0</v>
      </c>
      <c r="AB544" s="263">
        <f>((AB410*'Data - P&amp;L'!$D$38)+(AB423*'Data - P&amp;L'!$D$39))*'Data - P&amp;L'!$C$55</f>
        <v>0</v>
      </c>
      <c r="AC544" s="263">
        <f>((AC410*'Data - P&amp;L'!$D$38)+(AC423*'Data - P&amp;L'!$D$39))*'Data - P&amp;L'!$C$55</f>
        <v>0</v>
      </c>
      <c r="AD544" s="263">
        <f>((AD410*'Data - P&amp;L'!$D$38)+(AD423*'Data - P&amp;L'!$D$39))*'Data - P&amp;L'!$C$55</f>
        <v>0.287</v>
      </c>
      <c r="AE544" s="263">
        <f>((AE410*'Data - P&amp;L'!$D$38)+(AE423*'Data - P&amp;L'!$D$39))*'Data - P&amp;L'!$C$55</f>
        <v>0.574</v>
      </c>
      <c r="AF544" s="263">
        <f>((AF410*'Data - P&amp;L'!$D$38)+(AF423*'Data - P&amp;L'!$D$39))*'Data - P&amp;L'!$C$55</f>
        <v>0.1435</v>
      </c>
      <c r="AG544" s="93">
        <f t="shared" si="149"/>
        <v>6.315</v>
      </c>
    </row>
    <row r="545" outlineLevel="1">
      <c r="A545" s="147" t="s">
        <v>463</v>
      </c>
      <c r="B545" s="263">
        <f>(B410*'Data - P&amp;L'!$D$34)+('Data - P&amp;L'!$D$35*B423)</f>
        <v>67.76</v>
      </c>
      <c r="C545" s="263">
        <f>(C410*'Data - P&amp;L'!$D$34)+('Data - P&amp;L'!$D$35*C423)</f>
        <v>29.04</v>
      </c>
      <c r="D545" s="263">
        <f>(D410*'Data - P&amp;L'!$D$34)+('Data - P&amp;L'!$D$35*D423)</f>
        <v>0</v>
      </c>
      <c r="E545" s="263">
        <f>(E410*'Data - P&amp;L'!$D$34)+('Data - P&amp;L'!$D$35*E423)</f>
        <v>0</v>
      </c>
      <c r="F545" s="263">
        <f>(F410*'Data - P&amp;L'!$D$34)+('Data - P&amp;L'!$D$35*F423)</f>
        <v>0</v>
      </c>
      <c r="G545" s="263">
        <f>(G410*'Data - P&amp;L'!$D$34)+('Data - P&amp;L'!$D$35*G423)</f>
        <v>38.72</v>
      </c>
      <c r="H545" s="263">
        <f>(H410*'Data - P&amp;L'!$D$34)+('Data - P&amp;L'!$D$35*H423)</f>
        <v>0</v>
      </c>
      <c r="I545" s="263">
        <f>(I410*'Data - P&amp;L'!$D$34)+('Data - P&amp;L'!$D$35*I423)</f>
        <v>0</v>
      </c>
      <c r="J545" s="263">
        <f>(J410*'Data - P&amp;L'!$D$34)+('Data - P&amp;L'!$D$35*J423)</f>
        <v>0</v>
      </c>
      <c r="K545" s="263">
        <f>(K410*'Data - P&amp;L'!$D$34)+('Data - P&amp;L'!$D$35*K423)</f>
        <v>58.08</v>
      </c>
      <c r="L545" s="263">
        <f>(L410*'Data - P&amp;L'!$D$34)+('Data - P&amp;L'!$D$35*L423)</f>
        <v>0</v>
      </c>
      <c r="M545" s="263">
        <f>(M410*'Data - P&amp;L'!$D$34)+('Data - P&amp;L'!$D$35*M423)</f>
        <v>0</v>
      </c>
      <c r="N545" s="263">
        <f>(N410*'Data - P&amp;L'!$D$34)+('Data - P&amp;L'!$D$35*N423)</f>
        <v>0</v>
      </c>
      <c r="O545" s="263">
        <f>(O410*'Data - P&amp;L'!$D$34)+('Data - P&amp;L'!$D$35*O423)</f>
        <v>58.08</v>
      </c>
      <c r="P545" s="263">
        <f>(P410*'Data - P&amp;L'!$D$34)+('Data - P&amp;L'!$D$35*P423)</f>
        <v>0</v>
      </c>
      <c r="Q545" s="263">
        <f>(Q410*'Data - P&amp;L'!$D$34)+('Data - P&amp;L'!$D$35*Q423)</f>
        <v>0</v>
      </c>
      <c r="R545" s="263">
        <f>(R410*'Data - P&amp;L'!$D$34)+('Data - P&amp;L'!$D$35*R423)</f>
        <v>0</v>
      </c>
      <c r="S545" s="263">
        <f>(S410*'Data - P&amp;L'!$D$34)+('Data - P&amp;L'!$D$35*S423)</f>
        <v>0</v>
      </c>
      <c r="T545" s="263">
        <f>(T410*'Data - P&amp;L'!$D$34)+('Data - P&amp;L'!$D$35*T423)</f>
        <v>0</v>
      </c>
      <c r="U545" s="263">
        <f>(U410*'Data - P&amp;L'!$D$34)+('Data - P&amp;L'!$D$35*U423)</f>
        <v>38.72</v>
      </c>
      <c r="V545" s="263">
        <f>(V410*'Data - P&amp;L'!$D$34)+('Data - P&amp;L'!$D$35*V423)</f>
        <v>0</v>
      </c>
      <c r="W545" s="263">
        <f>(W410*'Data - P&amp;L'!$D$34)+('Data - P&amp;L'!$D$35*W423)</f>
        <v>0</v>
      </c>
      <c r="X545" s="263">
        <f>(X410*'Data - P&amp;L'!$D$34)+('Data - P&amp;L'!$D$35*X423)</f>
        <v>60.72</v>
      </c>
      <c r="Y545" s="263">
        <f>(Y410*'Data - P&amp;L'!$D$34)+('Data - P&amp;L'!$D$35*Y423)</f>
        <v>0</v>
      </c>
      <c r="Z545" s="263">
        <f>(Z410*'Data - P&amp;L'!$D$34)+('Data - P&amp;L'!$D$35*Z423)</f>
        <v>0</v>
      </c>
      <c r="AA545" s="263">
        <f>(AA410*'Data - P&amp;L'!$D$34)+('Data - P&amp;L'!$D$35*AA423)</f>
        <v>0</v>
      </c>
      <c r="AB545" s="263">
        <f>(AB410*'Data - P&amp;L'!$D$34)+('Data - P&amp;L'!$D$35*AB423)</f>
        <v>0</v>
      </c>
      <c r="AC545" s="263">
        <f>(AC410*'Data - P&amp;L'!$D$34)+('Data - P&amp;L'!$D$35*AC423)</f>
        <v>0</v>
      </c>
      <c r="AD545" s="263">
        <f>(AD410*'Data - P&amp;L'!$D$34)+('Data - P&amp;L'!$D$35*AD423)</f>
        <v>19.36</v>
      </c>
      <c r="AE545" s="263">
        <f>(AE410*'Data - P&amp;L'!$D$34)+('Data - P&amp;L'!$D$35*AE423)</f>
        <v>38.72</v>
      </c>
      <c r="AF545" s="263">
        <f>(AF410*'Data - P&amp;L'!$D$34)+('Data - P&amp;L'!$D$35*AF423)</f>
        <v>9.68</v>
      </c>
      <c r="AG545" s="93">
        <f t="shared" si="149"/>
        <v>418.88</v>
      </c>
    </row>
    <row r="546" outlineLevel="1">
      <c r="A546" s="147" t="s">
        <v>464</v>
      </c>
      <c r="B546" s="281"/>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93"/>
    </row>
    <row r="547" outlineLevel="1">
      <c r="A547" s="147" t="s">
        <v>465</v>
      </c>
      <c r="B547" s="281"/>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93"/>
    </row>
    <row r="548" outlineLevel="1">
      <c r="A548" s="147" t="s">
        <v>466</v>
      </c>
      <c r="B548" s="281"/>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93"/>
    </row>
    <row r="549" outlineLevel="1">
      <c r="A549" s="147" t="s">
        <v>467</v>
      </c>
      <c r="B549" s="281"/>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93"/>
    </row>
    <row r="550">
      <c r="A550" s="248" t="s">
        <v>383</v>
      </c>
      <c r="B550" s="278"/>
      <c r="C550" s="278"/>
      <c r="D550" s="278"/>
      <c r="E550" s="278"/>
      <c r="F550" s="278"/>
      <c r="G550" s="278"/>
      <c r="H550" s="278"/>
      <c r="I550" s="278"/>
      <c r="J550" s="278"/>
      <c r="K550" s="278"/>
      <c r="L550" s="278"/>
      <c r="M550" s="278"/>
      <c r="N550" s="278"/>
      <c r="O550" s="278"/>
      <c r="P550" s="278"/>
      <c r="Q550" s="278"/>
      <c r="R550" s="278"/>
      <c r="S550" s="278"/>
      <c r="T550" s="278"/>
      <c r="U550" s="278"/>
      <c r="V550" s="278"/>
      <c r="W550" s="278"/>
      <c r="X550" s="278"/>
      <c r="Y550" s="278"/>
      <c r="Z550" s="278"/>
      <c r="AA550" s="278"/>
      <c r="AB550" s="278"/>
      <c r="AC550" s="278"/>
      <c r="AD550" s="278"/>
      <c r="AE550" s="278"/>
      <c r="AF550" s="278"/>
      <c r="AG550" s="252"/>
    </row>
    <row r="551">
      <c r="A551" s="250" t="s">
        <v>468</v>
      </c>
      <c r="B551" s="263">
        <f>(B429*'Data - P&amp;L'!$C$34)+('Data - P&amp;L'!$C$35*B430)</f>
        <v>0</v>
      </c>
      <c r="C551" s="263">
        <f>(C429*'Data - P&amp;L'!$C$34)+('Data - P&amp;L'!$C$35*C430)</f>
        <v>0</v>
      </c>
      <c r="D551" s="263">
        <f>(D429*'Data - P&amp;L'!$C$34)+('Data - P&amp;L'!$C$35*D430)</f>
        <v>0</v>
      </c>
      <c r="E551" s="263">
        <f>(E429*'Data - P&amp;L'!$C$34)+('Data - P&amp;L'!$C$35*E430)</f>
        <v>0</v>
      </c>
      <c r="F551" s="263">
        <f>(F429*'Data - P&amp;L'!$C$34)+('Data - P&amp;L'!$C$35*F430)</f>
        <v>0</v>
      </c>
      <c r="G551" s="263">
        <f>(G429*'Data - P&amp;L'!$C$34)+('Data - P&amp;L'!$C$35*G430)</f>
        <v>0</v>
      </c>
      <c r="H551" s="263">
        <f>(H429*'Data - P&amp;L'!$C$34)+('Data - P&amp;L'!$C$35*H430)</f>
        <v>0</v>
      </c>
      <c r="I551" s="263">
        <f>(I429*'Data - P&amp;L'!$C$34)+('Data - P&amp;L'!$C$35*I430)</f>
        <v>0</v>
      </c>
      <c r="J551" s="263">
        <f>(J429*'Data - P&amp;L'!$C$34)+('Data - P&amp;L'!$C$35*J430)</f>
        <v>0</v>
      </c>
      <c r="K551" s="263">
        <f>(K429*'Data - P&amp;L'!$C$34)+('Data - P&amp;L'!$C$35*K430)</f>
        <v>0</v>
      </c>
      <c r="L551" s="263">
        <f>(L429*'Data - P&amp;L'!$C$34)+('Data - P&amp;L'!$C$35*L430)</f>
        <v>0</v>
      </c>
      <c r="M551" s="263">
        <f>(M429*'Data - P&amp;L'!$C$34)+('Data - P&amp;L'!$C$35*M430)</f>
        <v>0</v>
      </c>
      <c r="N551" s="263">
        <f>(N429*'Data - P&amp;L'!$C$34)+('Data - P&amp;L'!$C$35*N430)</f>
        <v>0</v>
      </c>
      <c r="O551" s="263">
        <f>(O429*'Data - P&amp;L'!$C$34)+('Data - P&amp;L'!$C$35*O430)</f>
        <v>0</v>
      </c>
      <c r="P551" s="263">
        <f>(P429*'Data - P&amp;L'!$C$34)+('Data - P&amp;L'!$C$35*P430)</f>
        <v>0</v>
      </c>
      <c r="Q551" s="263">
        <f>(Q429*'Data - P&amp;L'!$C$34)+('Data - P&amp;L'!$C$35*Q430)</f>
        <v>0</v>
      </c>
      <c r="R551" s="263">
        <f>(R429*'Data - P&amp;L'!$C$34)+('Data - P&amp;L'!$C$35*R430)</f>
        <v>0</v>
      </c>
      <c r="S551" s="263">
        <f>(S429*'Data - P&amp;L'!$C$34)+('Data - P&amp;L'!$C$35*S430)</f>
        <v>0</v>
      </c>
      <c r="T551" s="263">
        <f>(T429*'Data - P&amp;L'!$C$34)+('Data - P&amp;L'!$C$35*T430)</f>
        <v>0</v>
      </c>
      <c r="U551" s="263">
        <f>(U429*'Data - P&amp;L'!$C$34)+('Data - P&amp;L'!$C$35*U430)</f>
        <v>34.49</v>
      </c>
      <c r="V551" s="263">
        <f>(V429*'Data - P&amp;L'!$C$34)+('Data - P&amp;L'!$C$35*V430)</f>
        <v>0</v>
      </c>
      <c r="W551" s="263">
        <f>(W429*'Data - P&amp;L'!$C$34)+('Data - P&amp;L'!$C$35*W430)</f>
        <v>0</v>
      </c>
      <c r="X551" s="263">
        <f>(X429*'Data - P&amp;L'!$C$34)+('Data - P&amp;L'!$C$35*X430)</f>
        <v>49.55</v>
      </c>
      <c r="Y551" s="263">
        <f>(Y429*'Data - P&amp;L'!$C$34)+('Data - P&amp;L'!$C$35*Y430)</f>
        <v>0</v>
      </c>
      <c r="Z551" s="263">
        <f>(Z429*'Data - P&amp;L'!$C$34)+('Data - P&amp;L'!$C$35*Z430)</f>
        <v>0</v>
      </c>
      <c r="AA551" s="263">
        <f>(AA429*'Data - P&amp;L'!$C$34)+('Data - P&amp;L'!$C$35*AA430)</f>
        <v>0</v>
      </c>
      <c r="AB551" s="263">
        <f>(AB429*'Data - P&amp;L'!$C$34)+('Data - P&amp;L'!$C$35*AB430)</f>
        <v>0</v>
      </c>
      <c r="AC551" s="263">
        <f>(AC429*'Data - P&amp;L'!$C$34)+('Data - P&amp;L'!$C$35*AC430)</f>
        <v>0</v>
      </c>
      <c r="AD551" s="263">
        <f>(AD429*'Data - P&amp;L'!$C$34)+('Data - P&amp;L'!$C$35*AD430)</f>
        <v>0</v>
      </c>
      <c r="AE551" s="263">
        <f>(AE429*'Data - P&amp;L'!$C$34)+('Data - P&amp;L'!$C$35*AE430)</f>
        <v>34.49</v>
      </c>
      <c r="AF551" s="263">
        <f>(AF429*'Data - P&amp;L'!$C$34)+('Data - P&amp;L'!$C$35*AF430)</f>
        <v>0</v>
      </c>
      <c r="AG551" s="93">
        <f t="shared" ref="AG551:AG554" si="150">SUM(B551:AF551)</f>
        <v>118.53</v>
      </c>
    </row>
    <row r="552">
      <c r="A552" s="250" t="s">
        <v>386</v>
      </c>
      <c r="B552" s="282">
        <v>0.0</v>
      </c>
      <c r="C552" s="282">
        <v>0.0</v>
      </c>
      <c r="D552" s="282">
        <v>0.0</v>
      </c>
      <c r="E552" s="282">
        <v>0.0</v>
      </c>
      <c r="F552" s="282">
        <v>0.0</v>
      </c>
      <c r="G552" s="282">
        <v>0.0</v>
      </c>
      <c r="H552" s="282">
        <v>0.0</v>
      </c>
      <c r="I552" s="282">
        <v>331.94</v>
      </c>
      <c r="J552" s="282">
        <v>0.0</v>
      </c>
      <c r="K552" s="282">
        <v>0.0</v>
      </c>
      <c r="L552" s="282">
        <v>0.0</v>
      </c>
      <c r="M552" s="282">
        <v>0.0</v>
      </c>
      <c r="N552" s="282">
        <v>0.0</v>
      </c>
      <c r="O552" s="282">
        <v>0.0</v>
      </c>
      <c r="P552" s="282">
        <v>0.0</v>
      </c>
      <c r="Q552" s="282">
        <v>0.0</v>
      </c>
      <c r="R552" s="282">
        <v>0.0</v>
      </c>
      <c r="S552" s="282">
        <v>0.0</v>
      </c>
      <c r="T552" s="282">
        <v>0.0</v>
      </c>
      <c r="U552" s="282">
        <v>0.0</v>
      </c>
      <c r="V552" s="282">
        <v>0.0</v>
      </c>
      <c r="W552" s="282">
        <v>0.0</v>
      </c>
      <c r="X552" s="282">
        <v>0.0</v>
      </c>
      <c r="Y552" s="282">
        <v>0.0</v>
      </c>
      <c r="Z552" s="282">
        <v>0.0</v>
      </c>
      <c r="AA552" s="282">
        <v>0.0</v>
      </c>
      <c r="AB552" s="282">
        <v>0.0</v>
      </c>
      <c r="AC552" s="282">
        <v>0.0</v>
      </c>
      <c r="AD552" s="282">
        <v>0.0</v>
      </c>
      <c r="AE552" s="282">
        <v>59.99</v>
      </c>
      <c r="AF552" s="282">
        <v>0.0</v>
      </c>
      <c r="AG552" s="93">
        <f t="shared" si="150"/>
        <v>391.93</v>
      </c>
    </row>
    <row r="553">
      <c r="A553" s="250" t="s">
        <v>469</v>
      </c>
      <c r="B553" s="263">
        <f t="shared" ref="B553:AF553" si="151">B433*15</f>
        <v>0</v>
      </c>
      <c r="C553" s="263">
        <f t="shared" si="151"/>
        <v>0</v>
      </c>
      <c r="D553" s="263">
        <f t="shared" si="151"/>
        <v>0</v>
      </c>
      <c r="E553" s="263">
        <f t="shared" si="151"/>
        <v>0</v>
      </c>
      <c r="F553" s="263">
        <f t="shared" si="151"/>
        <v>0</v>
      </c>
      <c r="G553" s="263">
        <f t="shared" si="151"/>
        <v>0</v>
      </c>
      <c r="H553" s="263">
        <f t="shared" si="151"/>
        <v>0</v>
      </c>
      <c r="I553" s="263">
        <f t="shared" si="151"/>
        <v>4979.1</v>
      </c>
      <c r="J553" s="263">
        <f t="shared" si="151"/>
        <v>0</v>
      </c>
      <c r="K553" s="263">
        <f t="shared" si="151"/>
        <v>0</v>
      </c>
      <c r="L553" s="263">
        <f t="shared" si="151"/>
        <v>0</v>
      </c>
      <c r="M553" s="263">
        <f t="shared" si="151"/>
        <v>0</v>
      </c>
      <c r="N553" s="263">
        <f t="shared" si="151"/>
        <v>0</v>
      </c>
      <c r="O553" s="263">
        <f t="shared" si="151"/>
        <v>0</v>
      </c>
      <c r="P553" s="263">
        <f t="shared" si="151"/>
        <v>0</v>
      </c>
      <c r="Q553" s="263">
        <f t="shared" si="151"/>
        <v>0</v>
      </c>
      <c r="R553" s="263">
        <f t="shared" si="151"/>
        <v>0</v>
      </c>
      <c r="S553" s="263">
        <f t="shared" si="151"/>
        <v>0</v>
      </c>
      <c r="T553" s="263">
        <f t="shared" si="151"/>
        <v>0</v>
      </c>
      <c r="U553" s="263">
        <f t="shared" si="151"/>
        <v>0</v>
      </c>
      <c r="V553" s="263">
        <f t="shared" si="151"/>
        <v>0</v>
      </c>
      <c r="W553" s="263">
        <f t="shared" si="151"/>
        <v>0</v>
      </c>
      <c r="X553" s="263">
        <f t="shared" si="151"/>
        <v>0</v>
      </c>
      <c r="Y553" s="263">
        <f t="shared" si="151"/>
        <v>0</v>
      </c>
      <c r="Z553" s="263">
        <f t="shared" si="151"/>
        <v>0</v>
      </c>
      <c r="AA553" s="263">
        <f t="shared" si="151"/>
        <v>0</v>
      </c>
      <c r="AB553" s="263">
        <f t="shared" si="151"/>
        <v>0</v>
      </c>
      <c r="AC553" s="263">
        <f t="shared" si="151"/>
        <v>0</v>
      </c>
      <c r="AD553" s="263">
        <f t="shared" si="151"/>
        <v>0</v>
      </c>
      <c r="AE553" s="263">
        <f t="shared" si="151"/>
        <v>899.85</v>
      </c>
      <c r="AF553" s="263">
        <f t="shared" si="151"/>
        <v>0</v>
      </c>
      <c r="AG553" s="93">
        <f t="shared" si="150"/>
        <v>5878.95</v>
      </c>
    </row>
    <row r="554">
      <c r="A554" s="256" t="s">
        <v>470</v>
      </c>
      <c r="B554" s="283">
        <v>51.03</v>
      </c>
      <c r="C554" s="283">
        <v>42.27</v>
      </c>
      <c r="D554" s="283">
        <v>0.0</v>
      </c>
      <c r="E554" s="283">
        <v>0.0</v>
      </c>
      <c r="F554" s="283">
        <v>0.0</v>
      </c>
      <c r="G554" s="283">
        <v>0.0</v>
      </c>
      <c r="H554" s="283">
        <v>0.0</v>
      </c>
      <c r="I554" s="283">
        <v>0.0</v>
      </c>
      <c r="J554" s="283">
        <v>53.07</v>
      </c>
      <c r="K554" s="283">
        <v>41.44</v>
      </c>
      <c r="L554" s="283">
        <v>20.0</v>
      </c>
      <c r="M554" s="283">
        <v>0.0</v>
      </c>
      <c r="N554" s="283">
        <v>17.8</v>
      </c>
      <c r="O554" s="283">
        <v>0.0</v>
      </c>
      <c r="P554" s="283">
        <v>26.7</v>
      </c>
      <c r="Q554" s="283">
        <v>0.0</v>
      </c>
      <c r="R554" s="283">
        <v>0.0</v>
      </c>
      <c r="S554" s="283">
        <v>0.0</v>
      </c>
      <c r="T554" s="283">
        <v>15.61</v>
      </c>
      <c r="U554" s="283">
        <v>20.0</v>
      </c>
      <c r="V554" s="283">
        <v>0.0</v>
      </c>
      <c r="W554" s="283">
        <v>47.49</v>
      </c>
      <c r="X554" s="283">
        <v>28.31</v>
      </c>
      <c r="Y554" s="283">
        <v>0.0</v>
      </c>
      <c r="Z554" s="283">
        <v>0.0</v>
      </c>
      <c r="AA554" s="283">
        <v>26.7</v>
      </c>
      <c r="AB554" s="283">
        <v>0.0</v>
      </c>
      <c r="AC554" s="283">
        <v>0.0</v>
      </c>
      <c r="AD554" s="283">
        <v>0.0</v>
      </c>
      <c r="AE554" s="283">
        <v>0.0</v>
      </c>
      <c r="AF554" s="283">
        <v>0.0</v>
      </c>
      <c r="AG554" s="258">
        <f t="shared" si="150"/>
        <v>390.42</v>
      </c>
    </row>
    <row r="555">
      <c r="A555" s="166"/>
      <c r="AG555" s="265"/>
    </row>
    <row r="556">
      <c r="A556" s="284" t="s">
        <v>471</v>
      </c>
      <c r="B556" s="285">
        <f t="shared" ref="B556:AF556" si="152">B492+B508+B552+B553+B554</f>
        <v>1089.39</v>
      </c>
      <c r="C556" s="285">
        <f t="shared" si="152"/>
        <v>1042.17</v>
      </c>
      <c r="D556" s="285">
        <f t="shared" si="152"/>
        <v>1111.99</v>
      </c>
      <c r="E556" s="285">
        <f t="shared" si="152"/>
        <v>424.07</v>
      </c>
      <c r="F556" s="285">
        <f t="shared" si="152"/>
        <v>0</v>
      </c>
      <c r="G556" s="285">
        <f t="shared" si="152"/>
        <v>536.93</v>
      </c>
      <c r="H556" s="285">
        <f t="shared" si="152"/>
        <v>2428.51</v>
      </c>
      <c r="I556" s="285">
        <f t="shared" si="152"/>
        <v>6515.92</v>
      </c>
      <c r="J556" s="285">
        <f t="shared" si="152"/>
        <v>4370.26</v>
      </c>
      <c r="K556" s="285">
        <f t="shared" si="152"/>
        <v>41.44</v>
      </c>
      <c r="L556" s="285">
        <f t="shared" si="152"/>
        <v>295.81</v>
      </c>
      <c r="M556" s="285">
        <f t="shared" si="152"/>
        <v>604.23</v>
      </c>
      <c r="N556" s="285">
        <f t="shared" si="152"/>
        <v>1774.44</v>
      </c>
      <c r="O556" s="285">
        <f t="shared" si="152"/>
        <v>1426.09</v>
      </c>
      <c r="P556" s="285">
        <f t="shared" si="152"/>
        <v>3018.22</v>
      </c>
      <c r="Q556" s="285">
        <f t="shared" si="152"/>
        <v>1678.77</v>
      </c>
      <c r="R556" s="285">
        <f t="shared" si="152"/>
        <v>331.94</v>
      </c>
      <c r="S556" s="285">
        <f t="shared" si="152"/>
        <v>324</v>
      </c>
      <c r="T556" s="285">
        <f t="shared" si="152"/>
        <v>15.61</v>
      </c>
      <c r="U556" s="285">
        <f t="shared" si="152"/>
        <v>6968.26</v>
      </c>
      <c r="V556" s="285">
        <f t="shared" si="152"/>
        <v>1014.93</v>
      </c>
      <c r="W556" s="285">
        <f t="shared" si="152"/>
        <v>2353.73</v>
      </c>
      <c r="X556" s="285">
        <f t="shared" si="152"/>
        <v>6704.27</v>
      </c>
      <c r="Y556" s="285">
        <f t="shared" si="152"/>
        <v>0</v>
      </c>
      <c r="Z556" s="285">
        <f t="shared" si="152"/>
        <v>1247.14</v>
      </c>
      <c r="AA556" s="285">
        <f t="shared" si="152"/>
        <v>326.69</v>
      </c>
      <c r="AB556" s="285">
        <f t="shared" si="152"/>
        <v>934.6</v>
      </c>
      <c r="AC556" s="285">
        <f t="shared" si="152"/>
        <v>415</v>
      </c>
      <c r="AD556" s="285">
        <f t="shared" si="152"/>
        <v>1154.68</v>
      </c>
      <c r="AE556" s="285">
        <f t="shared" si="152"/>
        <v>1235</v>
      </c>
      <c r="AF556" s="285">
        <f t="shared" si="152"/>
        <v>0</v>
      </c>
      <c r="AG556" s="93">
        <f>SUM(B556:AF556)</f>
        <v>49384.09</v>
      </c>
    </row>
    <row r="557">
      <c r="A557" s="166"/>
      <c r="AG557" s="265"/>
    </row>
    <row r="558">
      <c r="A558" s="223" t="s">
        <v>414</v>
      </c>
      <c r="B558" s="286">
        <f t="shared" ref="B558:AF558" si="153">B476+B493+B509-B528-B551-B552-B553-B554</f>
        <v>-1555.607</v>
      </c>
      <c r="C558" s="286">
        <f t="shared" si="153"/>
        <v>-1134.453</v>
      </c>
      <c r="D558" s="286">
        <f t="shared" si="153"/>
        <v>-1080.2925</v>
      </c>
      <c r="E558" s="286">
        <f t="shared" si="153"/>
        <v>-312.75</v>
      </c>
      <c r="F558" s="286">
        <f t="shared" si="153"/>
        <v>11.115</v>
      </c>
      <c r="G558" s="286">
        <f t="shared" si="153"/>
        <v>-926.132</v>
      </c>
      <c r="H558" s="286">
        <f t="shared" si="153"/>
        <v>-2611.61625</v>
      </c>
      <c r="I558" s="286">
        <f t="shared" si="153"/>
        <v>-6306.91125</v>
      </c>
      <c r="J558" s="286">
        <f t="shared" si="153"/>
        <v>-3028.735</v>
      </c>
      <c r="K558" s="286">
        <f t="shared" si="153"/>
        <v>-430.796</v>
      </c>
      <c r="L558" s="286">
        <f t="shared" si="153"/>
        <v>-207.91</v>
      </c>
      <c r="M558" s="286">
        <f t="shared" si="153"/>
        <v>-419.12</v>
      </c>
      <c r="N558" s="286">
        <f t="shared" si="153"/>
        <v>-1363.799</v>
      </c>
      <c r="O558" s="286">
        <f t="shared" si="153"/>
        <v>-2112.4065</v>
      </c>
      <c r="P558" s="286">
        <f t="shared" si="153"/>
        <v>-2330.6825</v>
      </c>
      <c r="Q558" s="286">
        <f t="shared" si="153"/>
        <v>-1698.72625</v>
      </c>
      <c r="R558" s="286">
        <f t="shared" si="153"/>
        <v>-474.73</v>
      </c>
      <c r="S558" s="286">
        <f t="shared" si="153"/>
        <v>-311.6125</v>
      </c>
      <c r="T558" s="286">
        <f t="shared" si="153"/>
        <v>-15.61</v>
      </c>
      <c r="U558" s="286">
        <f t="shared" si="153"/>
        <v>-5848.8525</v>
      </c>
      <c r="V558" s="286">
        <f t="shared" si="153"/>
        <v>-878.6775</v>
      </c>
      <c r="W558" s="286">
        <f t="shared" si="153"/>
        <v>-1939.1575</v>
      </c>
      <c r="X558" s="286">
        <f t="shared" si="153"/>
        <v>-7843.9905</v>
      </c>
      <c r="Y558" s="286">
        <f t="shared" si="153"/>
        <v>-610.039</v>
      </c>
      <c r="Z558" s="286">
        <f t="shared" si="153"/>
        <v>-779.71</v>
      </c>
      <c r="AA558" s="286">
        <f t="shared" si="153"/>
        <v>-314.3025</v>
      </c>
      <c r="AB558" s="286">
        <f t="shared" si="153"/>
        <v>-874.4415</v>
      </c>
      <c r="AC558" s="286">
        <f t="shared" si="153"/>
        <v>-1116.3425</v>
      </c>
      <c r="AD558" s="286">
        <f t="shared" si="153"/>
        <v>-1686.3375</v>
      </c>
      <c r="AE558" s="286">
        <f t="shared" si="153"/>
        <v>-1666.6105</v>
      </c>
      <c r="AF558" s="286">
        <f t="shared" si="153"/>
        <v>-225.674</v>
      </c>
      <c r="AG558" s="93">
        <f>SUM(B558:AF558)</f>
        <v>-50094.91025</v>
      </c>
    </row>
    <row r="559">
      <c r="A559" s="166"/>
      <c r="AG559" s="265"/>
    </row>
    <row r="560">
      <c r="A560" s="166"/>
      <c r="AG560" s="265"/>
    </row>
    <row r="561">
      <c r="A561" s="98"/>
      <c r="B561" s="83"/>
      <c r="C561" s="83"/>
      <c r="D561" s="83"/>
      <c r="E561" s="83"/>
      <c r="F561" s="83"/>
      <c r="G561" s="83"/>
      <c r="H561" s="83"/>
      <c r="I561" s="83"/>
      <c r="J561" s="83"/>
      <c r="K561" s="83"/>
      <c r="L561" s="83"/>
      <c r="M561" s="83"/>
      <c r="N561" s="83"/>
      <c r="O561" s="83"/>
      <c r="P561" s="83"/>
      <c r="Q561" s="83"/>
      <c r="R561" s="83"/>
      <c r="S561" s="83"/>
      <c r="T561" s="83"/>
      <c r="U561" s="83"/>
      <c r="V561" s="83"/>
      <c r="W561" s="83"/>
      <c r="X561" s="83"/>
      <c r="Y561" s="83"/>
      <c r="Z561" s="83"/>
      <c r="AA561" s="83"/>
      <c r="AB561" s="83"/>
      <c r="AC561" s="83"/>
      <c r="AD561" s="83"/>
      <c r="AE561" s="83"/>
      <c r="AF561" s="83"/>
      <c r="AG561" s="93"/>
    </row>
    <row r="562">
      <c r="A562" s="266" t="s">
        <v>415</v>
      </c>
      <c r="B562" s="287"/>
      <c r="C562" s="288"/>
      <c r="D562" s="288"/>
      <c r="E562" s="288"/>
      <c r="F562" s="288"/>
      <c r="G562" s="288"/>
      <c r="H562" s="288"/>
      <c r="I562" s="288"/>
      <c r="J562" s="288"/>
      <c r="K562" s="288"/>
      <c r="L562" s="288"/>
      <c r="M562" s="288"/>
      <c r="N562" s="288"/>
      <c r="O562" s="288"/>
      <c r="P562" s="288"/>
      <c r="Q562" s="288"/>
      <c r="R562" s="288"/>
      <c r="S562" s="288"/>
      <c r="T562" s="288"/>
      <c r="U562" s="289"/>
      <c r="V562" s="289"/>
      <c r="W562" s="289"/>
      <c r="X562" s="289"/>
      <c r="Y562" s="289"/>
      <c r="Z562" s="289"/>
      <c r="AA562" s="289"/>
      <c r="AB562" s="289"/>
      <c r="AC562" s="289"/>
      <c r="AD562" s="289"/>
      <c r="AE562" s="289"/>
      <c r="AF562" s="289"/>
      <c r="AG562" s="290"/>
    </row>
    <row r="563">
      <c r="A563" s="269">
        <f>A467</f>
        <v>1097741.46</v>
      </c>
      <c r="B563" s="291"/>
      <c r="C563" s="291"/>
      <c r="D563" s="291"/>
      <c r="E563" s="291"/>
      <c r="F563" s="291"/>
      <c r="G563" s="291"/>
      <c r="H563" s="291"/>
      <c r="I563" s="291"/>
      <c r="J563" s="291"/>
      <c r="K563" s="291"/>
      <c r="L563" s="291"/>
      <c r="M563" s="291"/>
      <c r="N563" s="291"/>
      <c r="O563" s="291"/>
      <c r="P563" s="291"/>
      <c r="Q563" s="291"/>
      <c r="R563" s="291"/>
      <c r="S563" s="291"/>
      <c r="T563" s="291"/>
      <c r="U563" s="292"/>
      <c r="V563" s="292"/>
      <c r="W563" s="292"/>
      <c r="X563" s="292"/>
      <c r="Y563" s="292"/>
      <c r="Z563" s="292"/>
      <c r="AA563" s="292"/>
      <c r="AB563" s="292"/>
      <c r="AC563" s="292"/>
      <c r="AD563" s="292"/>
      <c r="AE563" s="292"/>
      <c r="AF563" s="292"/>
      <c r="AG563" s="79"/>
    </row>
    <row r="564">
      <c r="A564" s="284" t="s">
        <v>472</v>
      </c>
      <c r="B564" s="263">
        <f t="shared" ref="B564:AF564" si="154">B468+B558</f>
        <v>21146.14595</v>
      </c>
      <c r="C564" s="263">
        <f t="shared" si="154"/>
        <v>21483.6719</v>
      </c>
      <c r="D564" s="263">
        <f t="shared" si="154"/>
        <v>28465.52956</v>
      </c>
      <c r="E564" s="263">
        <f t="shared" si="154"/>
        <v>16576.32034</v>
      </c>
      <c r="F564" s="263">
        <f t="shared" si="154"/>
        <v>21070.3338</v>
      </c>
      <c r="G564" s="263">
        <f t="shared" si="154"/>
        <v>20245.05634</v>
      </c>
      <c r="H564" s="263">
        <f t="shared" si="154"/>
        <v>13948.91344</v>
      </c>
      <c r="I564" s="263">
        <f t="shared" si="154"/>
        <v>8744.160928</v>
      </c>
      <c r="J564" s="263">
        <f t="shared" si="154"/>
        <v>9706.703973</v>
      </c>
      <c r="K564" s="263">
        <f t="shared" si="154"/>
        <v>8123.956871</v>
      </c>
      <c r="L564" s="263">
        <f t="shared" si="154"/>
        <v>15545.9809</v>
      </c>
      <c r="M564" s="263">
        <f t="shared" si="154"/>
        <v>18013.42947</v>
      </c>
      <c r="N564" s="263">
        <f t="shared" si="154"/>
        <v>6852.537213</v>
      </c>
      <c r="O564" s="263">
        <f t="shared" si="154"/>
        <v>4962.638489</v>
      </c>
      <c r="P564" s="263">
        <f t="shared" si="154"/>
        <v>1664.600723</v>
      </c>
      <c r="Q564" s="263">
        <f t="shared" si="154"/>
        <v>3102.894514</v>
      </c>
      <c r="R564" s="263">
        <f t="shared" si="154"/>
        <v>9039.358277</v>
      </c>
      <c r="S564" s="263">
        <f t="shared" si="154"/>
        <v>9280.805495</v>
      </c>
      <c r="T564" s="263">
        <f t="shared" si="154"/>
        <v>7563.950333</v>
      </c>
      <c r="U564" s="263">
        <f t="shared" si="154"/>
        <v>1685.405911</v>
      </c>
      <c r="V564" s="263">
        <f t="shared" si="154"/>
        <v>8214.524756</v>
      </c>
      <c r="W564" s="263">
        <f t="shared" si="154"/>
        <v>4521.638912</v>
      </c>
      <c r="X564" s="263">
        <f t="shared" si="154"/>
        <v>-3429.179357</v>
      </c>
      <c r="Y564" s="263">
        <f t="shared" si="154"/>
        <v>4296.632375</v>
      </c>
      <c r="Z564" s="263">
        <f t="shared" si="154"/>
        <v>4666.61867</v>
      </c>
      <c r="AA564" s="263">
        <f t="shared" si="154"/>
        <v>7564.500384</v>
      </c>
      <c r="AB564" s="263">
        <f t="shared" si="154"/>
        <v>5766.466453</v>
      </c>
      <c r="AC564" s="263">
        <f t="shared" si="154"/>
        <v>6376.740594</v>
      </c>
      <c r="AD564" s="263">
        <f t="shared" si="154"/>
        <v>4644.303065</v>
      </c>
      <c r="AE564" s="263">
        <f t="shared" si="154"/>
        <v>1169.114081</v>
      </c>
      <c r="AF564" s="263">
        <f t="shared" si="154"/>
        <v>7782.441257</v>
      </c>
      <c r="AG564" s="93">
        <f>SUM(B564:AF564)</f>
        <v>298796.1956</v>
      </c>
    </row>
    <row r="565">
      <c r="A565" s="293">
        <f>SUM(B564:AF564)</f>
        <v>298796.1956</v>
      </c>
      <c r="B565" s="260"/>
      <c r="C565" s="260"/>
      <c r="D565" s="260"/>
      <c r="E565" s="260"/>
      <c r="F565" s="260"/>
      <c r="G565" s="260"/>
      <c r="H565" s="260"/>
      <c r="I565" s="260"/>
      <c r="J565" s="260"/>
      <c r="K565" s="260"/>
      <c r="L565" s="260"/>
      <c r="M565" s="260"/>
      <c r="N565" s="260"/>
      <c r="O565" s="260"/>
      <c r="P565" s="260"/>
      <c r="Q565" s="260"/>
      <c r="R565" s="260"/>
      <c r="S565" s="260"/>
      <c r="T565" s="260"/>
      <c r="U565" s="260"/>
      <c r="V565" s="260"/>
      <c r="W565" s="260"/>
      <c r="X565" s="260"/>
      <c r="Y565" s="260"/>
      <c r="Z565" s="260"/>
      <c r="AA565" s="260"/>
      <c r="AB565" s="260"/>
      <c r="AC565" s="260"/>
      <c r="AD565" s="260"/>
      <c r="AE565" s="260"/>
      <c r="AF565" s="260"/>
      <c r="AG565" s="93"/>
    </row>
    <row r="566">
      <c r="A566" s="284" t="s">
        <v>473</v>
      </c>
      <c r="B566" s="272">
        <f t="shared" ref="B566:AF566" si="155">B564/B52</f>
        <v>0.3366584902</v>
      </c>
      <c r="C566" s="272">
        <f t="shared" si="155"/>
        <v>0.3287227981</v>
      </c>
      <c r="D566" s="272">
        <f t="shared" si="155"/>
        <v>0.3436904552</v>
      </c>
      <c r="E566" s="272">
        <f t="shared" si="155"/>
        <v>0.2831395557</v>
      </c>
      <c r="F566" s="272">
        <f t="shared" si="155"/>
        <v>0.3142775163</v>
      </c>
      <c r="G566" s="272">
        <f t="shared" si="155"/>
        <v>0.2854842197</v>
      </c>
      <c r="H566" s="272">
        <f t="shared" si="155"/>
        <v>0.2353511348</v>
      </c>
      <c r="I566" s="272">
        <f t="shared" si="155"/>
        <v>0.1738807266</v>
      </c>
      <c r="J566" s="272">
        <f t="shared" si="155"/>
        <v>0.2488645761</v>
      </c>
      <c r="K566" s="272">
        <f t="shared" si="155"/>
        <v>0.2526803692</v>
      </c>
      <c r="L566" s="272">
        <f t="shared" si="155"/>
        <v>0.3617830603</v>
      </c>
      <c r="M566" s="272">
        <f t="shared" si="155"/>
        <v>0.4023089942</v>
      </c>
      <c r="N566" s="272">
        <f t="shared" si="155"/>
        <v>0.2510612005</v>
      </c>
      <c r="O566" s="272">
        <f t="shared" si="155"/>
        <v>0.1837846126</v>
      </c>
      <c r="P566" s="272">
        <f t="shared" si="155"/>
        <v>0.07559412264</v>
      </c>
      <c r="Q566" s="272">
        <f t="shared" si="155"/>
        <v>0.1654598219</v>
      </c>
      <c r="R566" s="272">
        <f t="shared" si="155"/>
        <v>0.3373267449</v>
      </c>
      <c r="S566" s="272">
        <f t="shared" si="155"/>
        <v>0.3422168823</v>
      </c>
      <c r="T566" s="272">
        <f t="shared" si="155"/>
        <v>0.3314106221</v>
      </c>
      <c r="U566" s="272">
        <f t="shared" si="155"/>
        <v>0.07017971721</v>
      </c>
      <c r="V566" s="272">
        <f t="shared" si="155"/>
        <v>0.3316306658</v>
      </c>
      <c r="W566" s="272">
        <f t="shared" si="155"/>
        <v>0.2233456266</v>
      </c>
      <c r="X566" s="272">
        <f t="shared" si="155"/>
        <v>-0.1996958631</v>
      </c>
      <c r="Y566" s="272">
        <f t="shared" si="155"/>
        <v>0.2380069506</v>
      </c>
      <c r="Z566" s="272">
        <f t="shared" si="155"/>
        <v>0.2465146608</v>
      </c>
      <c r="AA566" s="272">
        <f t="shared" si="155"/>
        <v>0.3089589045</v>
      </c>
      <c r="AB566" s="272">
        <f t="shared" si="155"/>
        <v>0.2640294453</v>
      </c>
      <c r="AC566" s="272">
        <f t="shared" si="155"/>
        <v>0.2720536038</v>
      </c>
      <c r="AD566" s="272">
        <f t="shared" si="155"/>
        <v>0.2227786933</v>
      </c>
      <c r="AE566" s="272">
        <f t="shared" si="155"/>
        <v>0.08067173061</v>
      </c>
      <c r="AF566" s="272">
        <f t="shared" si="155"/>
        <v>0.3587694499</v>
      </c>
      <c r="AG566" s="93"/>
    </row>
    <row r="567">
      <c r="A567" s="294">
        <f>A565/A467</f>
        <v>0.2721917742</v>
      </c>
      <c r="B567" s="260"/>
      <c r="C567" s="260"/>
      <c r="D567" s="260"/>
      <c r="E567" s="260"/>
      <c r="F567" s="260"/>
      <c r="G567" s="260"/>
      <c r="H567" s="260"/>
      <c r="I567" s="260"/>
      <c r="J567" s="260"/>
      <c r="K567" s="260"/>
      <c r="L567" s="260"/>
      <c r="M567" s="260"/>
      <c r="N567" s="260"/>
      <c r="O567" s="260"/>
      <c r="P567" s="260"/>
      <c r="Q567" s="260"/>
      <c r="R567" s="260"/>
      <c r="S567" s="260"/>
      <c r="T567" s="260"/>
      <c r="U567" s="260"/>
      <c r="V567" s="260"/>
      <c r="W567" s="260"/>
      <c r="X567" s="260"/>
      <c r="Y567" s="260"/>
      <c r="Z567" s="260"/>
      <c r="AA567" s="260"/>
      <c r="AB567" s="260"/>
      <c r="AC567" s="260"/>
      <c r="AD567" s="260"/>
      <c r="AE567" s="260"/>
      <c r="AF567" s="260"/>
      <c r="AG567" s="93"/>
    </row>
    <row r="568">
      <c r="A568" s="274" t="s">
        <v>418</v>
      </c>
      <c r="B568" s="275">
        <f>Summary!B97</f>
        <v>8.011578915</v>
      </c>
      <c r="C568" s="275">
        <f>Summary!C97</f>
        <v>6.905641972</v>
      </c>
      <c r="D568" s="275">
        <f>Summary!D97</f>
        <v>7.921865698</v>
      </c>
      <c r="E568" s="275">
        <f>Summary!E97</f>
        <v>5.081567954</v>
      </c>
      <c r="F568" s="275">
        <f>Summary!F97</f>
        <v>5.525723952</v>
      </c>
      <c r="G568" s="275">
        <f>Summary!G97</f>
        <v>5.39837412</v>
      </c>
      <c r="H568" s="275">
        <f>Summary!H97</f>
        <v>4.777771559</v>
      </c>
      <c r="I568" s="275">
        <f>Summary!I97</f>
        <v>5.229408035</v>
      </c>
      <c r="J568" s="275">
        <f>Summary!J97</f>
        <v>5.60958212</v>
      </c>
      <c r="K568" s="275">
        <f>Summary!K97</f>
        <v>4.268271056</v>
      </c>
      <c r="L568" s="275">
        <f>Summary!L97</f>
        <v>6.446479277</v>
      </c>
      <c r="M568" s="275">
        <f>Summary!M97</f>
        <v>8.729329876</v>
      </c>
      <c r="N568" s="275">
        <f>Summary!N97</f>
        <v>4.642009109</v>
      </c>
      <c r="O568" s="275">
        <f>Summary!O97</f>
        <v>4.012859407</v>
      </c>
      <c r="P568" s="275">
        <f>Summary!P97</f>
        <v>3.059277834</v>
      </c>
      <c r="Q568" s="275">
        <f>Summary!Q97</f>
        <v>4.023062288</v>
      </c>
      <c r="R568" s="275">
        <f>Summary!R97</f>
        <v>6.493126228</v>
      </c>
      <c r="S568" s="275">
        <f>Summary!S97</f>
        <v>6.000291227</v>
      </c>
      <c r="T568" s="275">
        <f>Summary!T97</f>
        <v>5.696087399</v>
      </c>
      <c r="U568" s="275">
        <f>Summary!U97</f>
        <v>5.469031401</v>
      </c>
      <c r="V568" s="275">
        <f>Summary!V97</f>
        <v>6.779545414</v>
      </c>
      <c r="W568" s="275">
        <f>Summary!W97</f>
        <v>4.843750518</v>
      </c>
      <c r="X568" s="275">
        <f>Summary!X97</f>
        <v>3.76243187</v>
      </c>
      <c r="Y568" s="275">
        <f>Summary!Y97</f>
        <v>3.831187357</v>
      </c>
      <c r="Z568" s="275">
        <f>Summary!Z97</f>
        <v>3.687962986</v>
      </c>
      <c r="AA568" s="275">
        <f>Summary!AA97</f>
        <v>5.010315162</v>
      </c>
      <c r="AB568" s="275">
        <f>Summary!AB97</f>
        <v>4.510418512</v>
      </c>
      <c r="AC568" s="275">
        <f>Summary!AC97</f>
        <v>5.06803678</v>
      </c>
      <c r="AD568" s="275">
        <f>Summary!AD97</f>
        <v>4.562662664</v>
      </c>
      <c r="AE568" s="275">
        <f>Summary!AE97</f>
        <v>3.216952573</v>
      </c>
      <c r="AF568" s="275">
        <f>Summary!AF97</f>
        <v>5.840801691</v>
      </c>
      <c r="AG568" s="276"/>
    </row>
    <row r="569">
      <c r="A569" s="98"/>
      <c r="B569" s="260"/>
      <c r="C569" s="260"/>
      <c r="D569" s="260"/>
      <c r="E569" s="260"/>
      <c r="F569" s="260"/>
      <c r="G569" s="260"/>
      <c r="H569" s="260"/>
      <c r="I569" s="260"/>
      <c r="J569" s="260"/>
      <c r="K569" s="260"/>
      <c r="L569" s="260"/>
      <c r="M569" s="260"/>
      <c r="N569" s="260"/>
      <c r="O569" s="260"/>
      <c r="P569" s="260"/>
      <c r="Q569" s="260"/>
      <c r="R569" s="260"/>
      <c r="S569" s="260"/>
      <c r="T569" s="260"/>
      <c r="U569" s="260"/>
      <c r="V569" s="260"/>
      <c r="W569" s="260"/>
      <c r="X569" s="260"/>
      <c r="Y569" s="260"/>
      <c r="Z569" s="260"/>
      <c r="AA569" s="260"/>
      <c r="AB569" s="260"/>
      <c r="AC569" s="260"/>
      <c r="AD569" s="260"/>
      <c r="AE569" s="260"/>
      <c r="AF569" s="260"/>
      <c r="AG569" s="295"/>
    </row>
    <row r="570">
      <c r="A570" s="98"/>
      <c r="B570" s="296"/>
      <c r="C570" s="83"/>
      <c r="D570" s="83"/>
      <c r="E570" s="83"/>
      <c r="F570" s="83"/>
      <c r="G570" s="83"/>
      <c r="H570" s="83"/>
      <c r="I570" s="83"/>
      <c r="J570" s="83"/>
      <c r="K570" s="83"/>
      <c r="L570" s="83"/>
      <c r="M570" s="83"/>
      <c r="N570" s="83"/>
      <c r="O570" s="83"/>
      <c r="P570" s="83"/>
      <c r="Q570" s="83"/>
      <c r="R570" s="83"/>
      <c r="S570" s="83"/>
      <c r="T570" s="83"/>
      <c r="U570" s="83"/>
      <c r="V570" s="83"/>
      <c r="W570" s="83"/>
      <c r="X570" s="83"/>
      <c r="Y570" s="83"/>
      <c r="Z570" s="83"/>
      <c r="AA570" s="83"/>
      <c r="AB570" s="83"/>
      <c r="AC570" s="83"/>
      <c r="AD570" s="83"/>
      <c r="AE570" s="83"/>
      <c r="AF570" s="83"/>
      <c r="AG570" s="79"/>
    </row>
    <row r="571">
      <c r="A571" s="166"/>
      <c r="AG571" s="265"/>
    </row>
    <row r="572">
      <c r="A572" s="86" t="s">
        <v>474</v>
      </c>
      <c r="B572" s="203">
        <f t="shared" ref="B572:AF572" si="156">B468/B42</f>
        <v>101.8015828</v>
      </c>
      <c r="C572" s="203">
        <f t="shared" si="156"/>
        <v>95.83951227</v>
      </c>
      <c r="D572" s="203">
        <f t="shared" si="156"/>
        <v>102.9471152</v>
      </c>
      <c r="E572" s="203">
        <f t="shared" si="156"/>
        <v>80.04298741</v>
      </c>
      <c r="F572" s="203">
        <f t="shared" si="156"/>
        <v>92.771889</v>
      </c>
      <c r="G572" s="203">
        <f t="shared" si="156"/>
        <v>84.01265215</v>
      </c>
      <c r="H572" s="203">
        <f t="shared" si="156"/>
        <v>72.31672355</v>
      </c>
      <c r="I572" s="203">
        <f t="shared" si="156"/>
        <v>84.08420211</v>
      </c>
      <c r="J572" s="203">
        <f t="shared" si="156"/>
        <v>81.11744569</v>
      </c>
      <c r="K572" s="203">
        <f t="shared" si="156"/>
        <v>66.8340068</v>
      </c>
      <c r="L572" s="203">
        <f t="shared" si="156"/>
        <v>92.12801698</v>
      </c>
      <c r="M572" s="203">
        <f t="shared" si="156"/>
        <v>107.7926869</v>
      </c>
      <c r="N572" s="203">
        <f t="shared" si="156"/>
        <v>65.7306897</v>
      </c>
      <c r="O572" s="203">
        <f t="shared" si="156"/>
        <v>60.99176715</v>
      </c>
      <c r="P572" s="203">
        <f t="shared" si="156"/>
        <v>42.05561288</v>
      </c>
      <c r="Q572" s="203">
        <f t="shared" si="156"/>
        <v>53.9507951</v>
      </c>
      <c r="R572" s="203">
        <f t="shared" si="156"/>
        <v>96.10190179</v>
      </c>
      <c r="S572" s="203">
        <f t="shared" si="156"/>
        <v>82.69325858</v>
      </c>
      <c r="T572" s="203">
        <f t="shared" si="156"/>
        <v>79.78484561</v>
      </c>
      <c r="U572" s="203">
        <f t="shared" si="156"/>
        <v>76.88018787</v>
      </c>
      <c r="V572" s="203">
        <f t="shared" si="156"/>
        <v>72.74561804</v>
      </c>
      <c r="W572" s="203">
        <f t="shared" si="156"/>
        <v>58.20537308</v>
      </c>
      <c r="X572" s="203">
        <f t="shared" si="156"/>
        <v>45.98761607</v>
      </c>
      <c r="Y572" s="203">
        <f t="shared" si="156"/>
        <v>48.10462133</v>
      </c>
      <c r="Z572" s="203">
        <f t="shared" si="156"/>
        <v>60.51476301</v>
      </c>
      <c r="AA572" s="203">
        <f t="shared" si="156"/>
        <v>75.75772004</v>
      </c>
      <c r="AB572" s="203">
        <f t="shared" si="156"/>
        <v>73.78786615</v>
      </c>
      <c r="AC572" s="203">
        <f t="shared" si="156"/>
        <v>61.41871389</v>
      </c>
      <c r="AD572" s="203">
        <f t="shared" si="156"/>
        <v>65.94417255</v>
      </c>
      <c r="AE572" s="203">
        <f t="shared" si="156"/>
        <v>43.62653202</v>
      </c>
      <c r="AF572" s="203">
        <f t="shared" si="156"/>
        <v>73.46894731</v>
      </c>
      <c r="AG572" s="79"/>
    </row>
    <row r="573">
      <c r="A573" s="86" t="s">
        <v>475</v>
      </c>
      <c r="B573" s="203">
        <f t="shared" ref="B573:AF573" si="157">B564/B42</f>
        <v>94.82576661</v>
      </c>
      <c r="C573" s="203">
        <f t="shared" si="157"/>
        <v>91.03250803</v>
      </c>
      <c r="D573" s="203">
        <f t="shared" si="157"/>
        <v>99.18302983</v>
      </c>
      <c r="E573" s="203">
        <f t="shared" si="157"/>
        <v>78.56075993</v>
      </c>
      <c r="F573" s="203">
        <f t="shared" si="157"/>
        <v>92.82085376</v>
      </c>
      <c r="G573" s="203">
        <f t="shared" si="157"/>
        <v>80.33752516</v>
      </c>
      <c r="H573" s="203">
        <f t="shared" si="157"/>
        <v>60.91228578</v>
      </c>
      <c r="I573" s="203">
        <f t="shared" si="157"/>
        <v>48.85006105</v>
      </c>
      <c r="J573" s="203">
        <f t="shared" si="157"/>
        <v>61.82613995</v>
      </c>
      <c r="K573" s="203">
        <f t="shared" si="157"/>
        <v>63.46841305</v>
      </c>
      <c r="L573" s="203">
        <f t="shared" si="157"/>
        <v>90.91216902</v>
      </c>
      <c r="M573" s="203">
        <f t="shared" si="157"/>
        <v>105.3416928</v>
      </c>
      <c r="N573" s="203">
        <f t="shared" si="157"/>
        <v>54.8202977</v>
      </c>
      <c r="O573" s="203">
        <f t="shared" si="157"/>
        <v>42.78136628</v>
      </c>
      <c r="P573" s="203">
        <f t="shared" si="157"/>
        <v>17.52211288</v>
      </c>
      <c r="Q573" s="203">
        <f t="shared" si="157"/>
        <v>34.8639833</v>
      </c>
      <c r="R573" s="203">
        <f t="shared" si="157"/>
        <v>91.30664926</v>
      </c>
      <c r="S573" s="203">
        <f t="shared" si="157"/>
        <v>80.00694393</v>
      </c>
      <c r="T573" s="203">
        <f t="shared" si="157"/>
        <v>79.62052982</v>
      </c>
      <c r="U573" s="203">
        <f t="shared" si="157"/>
        <v>17.1980195</v>
      </c>
      <c r="V573" s="203">
        <f t="shared" si="157"/>
        <v>65.71619804</v>
      </c>
      <c r="W573" s="203">
        <f t="shared" si="157"/>
        <v>40.73548569</v>
      </c>
      <c r="X573" s="203">
        <f t="shared" si="157"/>
        <v>-35.72061831</v>
      </c>
      <c r="Y573" s="203">
        <f t="shared" si="157"/>
        <v>42.12384682</v>
      </c>
      <c r="Z573" s="203">
        <f t="shared" si="157"/>
        <v>51.85131856</v>
      </c>
      <c r="AA573" s="203">
        <f t="shared" si="157"/>
        <v>72.73558062</v>
      </c>
      <c r="AB573" s="203">
        <f t="shared" si="157"/>
        <v>64.07184948</v>
      </c>
      <c r="AC573" s="203">
        <f t="shared" si="157"/>
        <v>52.26836553</v>
      </c>
      <c r="AD573" s="203">
        <f t="shared" si="157"/>
        <v>48.37815693</v>
      </c>
      <c r="AE573" s="203">
        <f t="shared" si="157"/>
        <v>17.98637048</v>
      </c>
      <c r="AF573" s="203">
        <f t="shared" si="157"/>
        <v>71.39854364</v>
      </c>
      <c r="AG573" s="93"/>
    </row>
    <row r="574">
      <c r="A574" s="166"/>
      <c r="AG574" s="265"/>
    </row>
    <row r="575">
      <c r="A575" s="86" t="s">
        <v>476</v>
      </c>
      <c r="B575" s="203">
        <f t="shared" ref="B575:AF575" si="158">B468/B59</f>
        <v>142.7783205</v>
      </c>
      <c r="C575" s="203">
        <f t="shared" si="158"/>
        <v>139.6180549</v>
      </c>
      <c r="D575" s="203">
        <f t="shared" si="158"/>
        <v>140.0275927</v>
      </c>
      <c r="E575" s="203">
        <f t="shared" si="158"/>
        <v>114.891635</v>
      </c>
      <c r="F575" s="203">
        <f t="shared" si="158"/>
        <v>134.9949923</v>
      </c>
      <c r="G575" s="203">
        <f t="shared" si="158"/>
        <v>113.8235932</v>
      </c>
      <c r="H575" s="203">
        <f t="shared" si="158"/>
        <v>110.4035313</v>
      </c>
      <c r="I575" s="203">
        <f t="shared" si="158"/>
        <v>120.4085774</v>
      </c>
      <c r="J575" s="203">
        <f t="shared" si="158"/>
        <v>144.7208974</v>
      </c>
      <c r="K575" s="203">
        <f t="shared" si="158"/>
        <v>111.1006866</v>
      </c>
      <c r="L575" s="203">
        <f t="shared" si="158"/>
        <v>185.339893</v>
      </c>
      <c r="M575" s="203">
        <f t="shared" si="158"/>
        <v>222.0789093</v>
      </c>
      <c r="N575" s="203">
        <f t="shared" si="158"/>
        <v>144.1462494</v>
      </c>
      <c r="O575" s="203">
        <f t="shared" si="158"/>
        <v>133.4914149</v>
      </c>
      <c r="P575" s="203">
        <f t="shared" si="158"/>
        <v>81.53639231</v>
      </c>
      <c r="Q575" s="203">
        <f t="shared" si="158"/>
        <v>129.7735342</v>
      </c>
      <c r="R575" s="203">
        <f t="shared" si="158"/>
        <v>166.9138294</v>
      </c>
      <c r="S575" s="203">
        <f t="shared" si="158"/>
        <v>188.0866274</v>
      </c>
      <c r="T575" s="203">
        <f t="shared" si="158"/>
        <v>154.6849047</v>
      </c>
      <c r="U575" s="203">
        <f t="shared" si="158"/>
        <v>129.9010071</v>
      </c>
      <c r="V575" s="203">
        <f t="shared" si="158"/>
        <v>181.8640451</v>
      </c>
      <c r="W575" s="203">
        <f t="shared" si="158"/>
        <v>174.6161192</v>
      </c>
      <c r="X575" s="203">
        <f t="shared" si="158"/>
        <v>142.4132627</v>
      </c>
      <c r="Y575" s="203">
        <f t="shared" si="158"/>
        <v>144.313864</v>
      </c>
      <c r="Z575" s="203">
        <f t="shared" si="158"/>
        <v>194.5117382</v>
      </c>
      <c r="AA575" s="203">
        <f t="shared" si="158"/>
        <v>160.7918956</v>
      </c>
      <c r="AB575" s="203">
        <f t="shared" si="158"/>
        <v>154.4397198</v>
      </c>
      <c r="AC575" s="203">
        <f t="shared" si="158"/>
        <v>159.4272999</v>
      </c>
      <c r="AD575" s="203">
        <f t="shared" si="158"/>
        <v>147.2241992</v>
      </c>
      <c r="AE575" s="203">
        <f t="shared" si="158"/>
        <v>94.52415271</v>
      </c>
      <c r="AF575" s="203">
        <f t="shared" si="158"/>
        <v>174.0894621</v>
      </c>
      <c r="AG575" s="93"/>
    </row>
    <row r="576">
      <c r="A576" s="86" t="s">
        <v>477</v>
      </c>
      <c r="B576" s="203">
        <f t="shared" ref="B576:AF576" si="159">B564/B59</f>
        <v>132.9946286</v>
      </c>
      <c r="C576" s="203">
        <f t="shared" si="159"/>
        <v>132.6152586</v>
      </c>
      <c r="D576" s="203">
        <f t="shared" si="159"/>
        <v>134.907723</v>
      </c>
      <c r="E576" s="203">
        <f t="shared" si="159"/>
        <v>112.764084</v>
      </c>
      <c r="F576" s="203">
        <f t="shared" si="159"/>
        <v>135.0662423</v>
      </c>
      <c r="G576" s="203">
        <f t="shared" si="159"/>
        <v>108.8443889</v>
      </c>
      <c r="H576" s="203">
        <f t="shared" si="159"/>
        <v>92.99275628</v>
      </c>
      <c r="I576" s="203">
        <f t="shared" si="159"/>
        <v>69.95328742</v>
      </c>
      <c r="J576" s="203">
        <f t="shared" si="159"/>
        <v>110.3034542</v>
      </c>
      <c r="K576" s="203">
        <f t="shared" si="159"/>
        <v>105.5059334</v>
      </c>
      <c r="L576" s="203">
        <f t="shared" si="159"/>
        <v>182.893893</v>
      </c>
      <c r="M576" s="203">
        <f t="shared" si="159"/>
        <v>217.0292707</v>
      </c>
      <c r="N576" s="203">
        <f t="shared" si="159"/>
        <v>120.2199511</v>
      </c>
      <c r="O576" s="203">
        <f t="shared" si="159"/>
        <v>93.63468847</v>
      </c>
      <c r="P576" s="203">
        <f t="shared" si="159"/>
        <v>33.97144333</v>
      </c>
      <c r="Q576" s="203">
        <f t="shared" si="159"/>
        <v>83.86201389</v>
      </c>
      <c r="R576" s="203">
        <f t="shared" si="159"/>
        <v>158.5852329</v>
      </c>
      <c r="S576" s="203">
        <f t="shared" si="159"/>
        <v>181.9765783</v>
      </c>
      <c r="T576" s="203">
        <f t="shared" si="159"/>
        <v>154.3663333</v>
      </c>
      <c r="U576" s="203">
        <f t="shared" si="159"/>
        <v>29.05872261</v>
      </c>
      <c r="V576" s="203">
        <f t="shared" si="159"/>
        <v>164.2904951</v>
      </c>
      <c r="W576" s="203">
        <f t="shared" si="159"/>
        <v>122.2064571</v>
      </c>
      <c r="X576" s="203">
        <f t="shared" si="159"/>
        <v>-110.618689</v>
      </c>
      <c r="Y576" s="203">
        <f t="shared" si="159"/>
        <v>126.3715404</v>
      </c>
      <c r="Z576" s="203">
        <f t="shared" si="159"/>
        <v>166.6649525</v>
      </c>
      <c r="AA576" s="203">
        <f t="shared" si="159"/>
        <v>154.3775589</v>
      </c>
      <c r="AB576" s="203">
        <f t="shared" si="159"/>
        <v>134.103871</v>
      </c>
      <c r="AC576" s="203">
        <f t="shared" si="159"/>
        <v>135.6753318</v>
      </c>
      <c r="AD576" s="203">
        <f t="shared" si="159"/>
        <v>108.007048</v>
      </c>
      <c r="AE576" s="203">
        <f t="shared" si="159"/>
        <v>38.97046937</v>
      </c>
      <c r="AF576" s="203">
        <f t="shared" si="159"/>
        <v>169.1835056</v>
      </c>
      <c r="AG576" s="265"/>
    </row>
    <row r="577">
      <c r="A577" s="166"/>
      <c r="AG577" s="265"/>
    </row>
    <row r="578">
      <c r="A578" s="166"/>
      <c r="AG578" s="265"/>
    </row>
    <row r="579">
      <c r="A579" s="297"/>
      <c r="B579" s="291"/>
      <c r="C579" s="291"/>
      <c r="D579" s="291"/>
      <c r="E579" s="291"/>
      <c r="F579" s="291"/>
      <c r="G579" s="291"/>
      <c r="H579" s="291"/>
      <c r="I579" s="291"/>
      <c r="J579" s="291"/>
      <c r="K579" s="291"/>
      <c r="L579" s="291"/>
      <c r="M579" s="291"/>
      <c r="N579" s="291"/>
      <c r="O579" s="291"/>
      <c r="P579" s="291"/>
      <c r="Q579" s="291"/>
      <c r="R579" s="291"/>
      <c r="S579" s="291"/>
      <c r="T579" s="291"/>
      <c r="U579" s="292"/>
      <c r="V579" s="292"/>
      <c r="W579" s="292"/>
      <c r="X579" s="292"/>
      <c r="Y579" s="292"/>
      <c r="Z579" s="292"/>
      <c r="AA579" s="292"/>
      <c r="AB579" s="292"/>
      <c r="AC579" s="292"/>
      <c r="AD579" s="292"/>
      <c r="AE579" s="292"/>
      <c r="AF579" s="292"/>
      <c r="AG579" s="79"/>
    </row>
    <row r="580">
      <c r="A580" s="166"/>
      <c r="AG580" s="265"/>
    </row>
    <row r="581">
      <c r="A581" s="166"/>
      <c r="AG581" s="265"/>
    </row>
    <row r="582">
      <c r="A582" s="166"/>
      <c r="AG582" s="265"/>
    </row>
    <row r="583">
      <c r="A583" s="166"/>
      <c r="AG583" s="265"/>
    </row>
    <row r="584">
      <c r="A584" s="166"/>
      <c r="AG584" s="265"/>
    </row>
    <row r="585">
      <c r="A585" s="166"/>
      <c r="AG585" s="265"/>
    </row>
    <row r="586">
      <c r="A586" s="166"/>
      <c r="AG586" s="265"/>
    </row>
    <row r="587">
      <c r="A587" s="166"/>
      <c r="AG587" s="265"/>
    </row>
    <row r="588">
      <c r="A588" s="166"/>
      <c r="AG588" s="265"/>
    </row>
    <row r="589">
      <c r="A589" s="166"/>
      <c r="AG589" s="265"/>
    </row>
    <row r="590">
      <c r="A590" s="166"/>
      <c r="AG590" s="265"/>
    </row>
    <row r="591">
      <c r="A591" s="166"/>
      <c r="AG591" s="265"/>
    </row>
    <row r="592">
      <c r="A592" s="166"/>
      <c r="AG592" s="265"/>
    </row>
    <row r="593">
      <c r="A593" s="166"/>
      <c r="AG593" s="265"/>
    </row>
    <row r="594">
      <c r="A594" s="166"/>
      <c r="AG594" s="265"/>
    </row>
    <row r="595">
      <c r="A595" s="166"/>
      <c r="AG595" s="265"/>
    </row>
    <row r="596">
      <c r="A596" s="166"/>
      <c r="AG596" s="265"/>
    </row>
    <row r="597">
      <c r="A597" s="166"/>
      <c r="AG597" s="265"/>
    </row>
    <row r="598">
      <c r="A598" s="166"/>
      <c r="AG598" s="265"/>
    </row>
    <row r="599">
      <c r="A599" s="166"/>
      <c r="AG599" s="265"/>
    </row>
    <row r="600">
      <c r="A600" s="166"/>
      <c r="AG600" s="265"/>
    </row>
    <row r="601">
      <c r="A601" s="166"/>
      <c r="AG601" s="265"/>
    </row>
    <row r="602">
      <c r="A602" s="166"/>
      <c r="AG602" s="265"/>
    </row>
    <row r="603">
      <c r="A603" s="166"/>
      <c r="AG603" s="265"/>
    </row>
    <row r="604">
      <c r="A604" s="166"/>
      <c r="AG604" s="265"/>
    </row>
    <row r="605">
      <c r="A605" s="166"/>
      <c r="AG605" s="265"/>
    </row>
    <row r="606">
      <c r="A606" s="166"/>
      <c r="AG606" s="265"/>
    </row>
    <row r="607">
      <c r="A607" s="166"/>
      <c r="AG607" s="265"/>
    </row>
    <row r="608">
      <c r="A608" s="166"/>
      <c r="AG608" s="265"/>
    </row>
    <row r="609">
      <c r="A609" s="166"/>
      <c r="AG609" s="265"/>
    </row>
    <row r="610">
      <c r="A610" s="166"/>
      <c r="AG610" s="265"/>
    </row>
    <row r="611">
      <c r="A611" s="166"/>
      <c r="AG611" s="265"/>
    </row>
    <row r="612">
      <c r="A612" s="166"/>
      <c r="AG612" s="265"/>
    </row>
    <row r="613">
      <c r="A613" s="166"/>
      <c r="AG613" s="265"/>
    </row>
    <row r="614">
      <c r="A614" s="166"/>
      <c r="AG614" s="265"/>
    </row>
    <row r="615">
      <c r="A615" s="166"/>
      <c r="AG615" s="265"/>
    </row>
    <row r="616">
      <c r="A616" s="166"/>
      <c r="AG616" s="265"/>
    </row>
    <row r="617">
      <c r="A617" s="166"/>
      <c r="AG617" s="265"/>
    </row>
    <row r="618">
      <c r="A618" s="166"/>
      <c r="AG618" s="265"/>
    </row>
    <row r="619">
      <c r="A619" s="166"/>
      <c r="AG619" s="265"/>
    </row>
    <row r="620">
      <c r="A620" s="166"/>
      <c r="AG620" s="265"/>
    </row>
    <row r="621">
      <c r="A621" s="166"/>
      <c r="AG621" s="265"/>
    </row>
    <row r="622">
      <c r="A622" s="166"/>
      <c r="AG622" s="265"/>
    </row>
    <row r="623">
      <c r="A623" s="166"/>
      <c r="AG623" s="265"/>
    </row>
    <row r="624">
      <c r="A624" s="166"/>
      <c r="AG624" s="265"/>
    </row>
    <row r="625">
      <c r="A625" s="166"/>
      <c r="AG625" s="265"/>
    </row>
    <row r="626">
      <c r="A626" s="166"/>
      <c r="AG626" s="265"/>
    </row>
    <row r="627">
      <c r="A627" s="166"/>
      <c r="AG627" s="265"/>
    </row>
    <row r="628">
      <c r="A628" s="166"/>
      <c r="AG628" s="265"/>
    </row>
    <row r="629">
      <c r="A629" s="166"/>
      <c r="AG629" s="265"/>
    </row>
    <row r="630">
      <c r="A630" s="166"/>
      <c r="AG630" s="265"/>
    </row>
    <row r="631">
      <c r="A631" s="166"/>
      <c r="AG631" s="265"/>
    </row>
    <row r="632">
      <c r="A632" s="166"/>
      <c r="AG632" s="265"/>
    </row>
    <row r="633">
      <c r="A633" s="166"/>
      <c r="AG633" s="265"/>
    </row>
    <row r="634">
      <c r="A634" s="166"/>
      <c r="AG634" s="265"/>
    </row>
    <row r="635">
      <c r="A635" s="166"/>
      <c r="AG635" s="265"/>
    </row>
    <row r="636">
      <c r="A636" s="166"/>
      <c r="AG636" s="265"/>
    </row>
    <row r="637">
      <c r="A637" s="166"/>
      <c r="AG637" s="265"/>
    </row>
    <row r="638">
      <c r="A638" s="166"/>
      <c r="AG638" s="265"/>
    </row>
    <row r="639">
      <c r="A639" s="166"/>
      <c r="AG639" s="265"/>
    </row>
    <row r="640">
      <c r="A640" s="166"/>
      <c r="AG640" s="265"/>
    </row>
    <row r="641">
      <c r="A641" s="166"/>
      <c r="AG641" s="265"/>
    </row>
    <row r="642">
      <c r="A642" s="166"/>
      <c r="AG642" s="265"/>
    </row>
    <row r="643">
      <c r="A643" s="166"/>
      <c r="AG643" s="265"/>
    </row>
    <row r="644">
      <c r="A644" s="166"/>
      <c r="AG644" s="265"/>
    </row>
    <row r="645">
      <c r="A645" s="166"/>
      <c r="AG645" s="265"/>
    </row>
    <row r="646">
      <c r="A646" s="166"/>
      <c r="AG646" s="265"/>
    </row>
    <row r="647">
      <c r="A647" s="166"/>
      <c r="AG647" s="265"/>
    </row>
    <row r="648">
      <c r="A648" s="166"/>
      <c r="AG648" s="265"/>
    </row>
    <row r="649">
      <c r="A649" s="166"/>
      <c r="AG649" s="265"/>
    </row>
    <row r="650">
      <c r="A650" s="166"/>
      <c r="AG650" s="265"/>
    </row>
    <row r="651">
      <c r="A651" s="166"/>
      <c r="AG651" s="265"/>
    </row>
    <row r="652">
      <c r="A652" s="166"/>
      <c r="AG652" s="265"/>
    </row>
    <row r="653">
      <c r="A653" s="166"/>
      <c r="AG653" s="265"/>
    </row>
    <row r="654">
      <c r="A654" s="166"/>
      <c r="AG654" s="265"/>
    </row>
    <row r="655">
      <c r="A655" s="166"/>
      <c r="AG655" s="265"/>
    </row>
    <row r="656">
      <c r="A656" s="166"/>
      <c r="AG656" s="265"/>
    </row>
    <row r="657">
      <c r="A657" s="166"/>
      <c r="AG657" s="265"/>
    </row>
    <row r="658">
      <c r="A658" s="166"/>
      <c r="AG658" s="265"/>
    </row>
    <row r="659">
      <c r="A659" s="166"/>
      <c r="AG659" s="265"/>
    </row>
    <row r="660">
      <c r="A660" s="166"/>
      <c r="AG660" s="265"/>
    </row>
    <row r="661">
      <c r="A661" s="166"/>
      <c r="AG661" s="265"/>
    </row>
    <row r="662">
      <c r="A662" s="166"/>
      <c r="AG662" s="265"/>
    </row>
    <row r="663">
      <c r="A663" s="166"/>
      <c r="AG663" s="265"/>
    </row>
    <row r="664">
      <c r="A664" s="166"/>
      <c r="AG664" s="265"/>
    </row>
    <row r="665">
      <c r="A665" s="166"/>
      <c r="AG665" s="265"/>
    </row>
    <row r="666">
      <c r="A666" s="166"/>
      <c r="AG666" s="265"/>
    </row>
    <row r="667">
      <c r="A667" s="166"/>
      <c r="AG667" s="265"/>
    </row>
    <row r="668">
      <c r="A668" s="166"/>
      <c r="AG668" s="265"/>
    </row>
    <row r="669">
      <c r="A669" s="166"/>
      <c r="AG669" s="265"/>
    </row>
    <row r="670">
      <c r="A670" s="166"/>
      <c r="AG670" s="265"/>
    </row>
    <row r="671">
      <c r="A671" s="166"/>
      <c r="AG671" s="265"/>
    </row>
    <row r="672">
      <c r="A672" s="166"/>
      <c r="AG672" s="265"/>
    </row>
    <row r="673">
      <c r="A673" s="166"/>
      <c r="AG673" s="265"/>
    </row>
    <row r="674">
      <c r="A674" s="166"/>
      <c r="AG674" s="265"/>
    </row>
    <row r="675">
      <c r="A675" s="166"/>
      <c r="AG675" s="265"/>
    </row>
    <row r="676">
      <c r="A676" s="166"/>
      <c r="AG676" s="265"/>
    </row>
    <row r="677">
      <c r="A677" s="166"/>
      <c r="AG677" s="265"/>
    </row>
    <row r="678">
      <c r="A678" s="166"/>
      <c r="AG678" s="265"/>
    </row>
    <row r="679">
      <c r="A679" s="166"/>
      <c r="AG679" s="265"/>
    </row>
    <row r="680">
      <c r="A680" s="166"/>
      <c r="AG680" s="265"/>
    </row>
    <row r="681">
      <c r="A681" s="166"/>
      <c r="AG681" s="265"/>
    </row>
    <row r="682">
      <c r="A682" s="166"/>
      <c r="AG682" s="265"/>
    </row>
    <row r="683">
      <c r="A683" s="166"/>
      <c r="AG683" s="265"/>
    </row>
    <row r="684">
      <c r="A684" s="166"/>
      <c r="AG684" s="265"/>
    </row>
    <row r="685">
      <c r="A685" s="166"/>
      <c r="AG685" s="265"/>
    </row>
    <row r="686">
      <c r="A686" s="166"/>
      <c r="AG686" s="265"/>
    </row>
    <row r="687">
      <c r="A687" s="166"/>
      <c r="AG687" s="265"/>
    </row>
    <row r="688">
      <c r="A688" s="166"/>
      <c r="AG688" s="265"/>
    </row>
    <row r="689">
      <c r="A689" s="166"/>
      <c r="AG689" s="265"/>
    </row>
    <row r="690">
      <c r="A690" s="166"/>
      <c r="AG690" s="265"/>
    </row>
    <row r="691">
      <c r="A691" s="166"/>
      <c r="AG691" s="265"/>
    </row>
    <row r="692">
      <c r="A692" s="166"/>
      <c r="AG692" s="265"/>
    </row>
    <row r="693">
      <c r="A693" s="166"/>
      <c r="AG693" s="265"/>
    </row>
    <row r="694">
      <c r="A694" s="166"/>
      <c r="AG694" s="265"/>
    </row>
    <row r="695">
      <c r="A695" s="166"/>
      <c r="AG695" s="265"/>
    </row>
    <row r="696">
      <c r="A696" s="166"/>
      <c r="AG696" s="265"/>
    </row>
    <row r="697">
      <c r="A697" s="166"/>
      <c r="AG697" s="265"/>
    </row>
    <row r="698">
      <c r="A698" s="166"/>
      <c r="AG698" s="265"/>
    </row>
    <row r="699">
      <c r="A699" s="166"/>
      <c r="AG699" s="265"/>
    </row>
    <row r="700">
      <c r="A700" s="166"/>
      <c r="AG700" s="265"/>
    </row>
    <row r="701">
      <c r="A701" s="166"/>
      <c r="AG701" s="265"/>
    </row>
    <row r="702">
      <c r="A702" s="166"/>
      <c r="AG702" s="265"/>
    </row>
    <row r="703">
      <c r="A703" s="166"/>
      <c r="AG703" s="265"/>
    </row>
    <row r="704">
      <c r="A704" s="166"/>
      <c r="AG704" s="265"/>
    </row>
    <row r="705">
      <c r="A705" s="166"/>
      <c r="AG705" s="265"/>
    </row>
    <row r="706">
      <c r="A706" s="166"/>
      <c r="AG706" s="265"/>
    </row>
    <row r="707">
      <c r="A707" s="166"/>
      <c r="AG707" s="265"/>
    </row>
    <row r="708">
      <c r="A708" s="166"/>
      <c r="AG708" s="265"/>
    </row>
    <row r="709">
      <c r="A709" s="166"/>
      <c r="AG709" s="265"/>
    </row>
    <row r="710">
      <c r="A710" s="166"/>
      <c r="AG710" s="265"/>
    </row>
    <row r="711">
      <c r="A711" s="166"/>
      <c r="AG711" s="265"/>
    </row>
    <row r="712">
      <c r="A712" s="166"/>
      <c r="AG712" s="265"/>
    </row>
    <row r="713">
      <c r="A713" s="166"/>
      <c r="AG713" s="265"/>
    </row>
    <row r="714">
      <c r="A714" s="166"/>
      <c r="AG714" s="265"/>
    </row>
    <row r="715">
      <c r="A715" s="166"/>
      <c r="AG715" s="265"/>
    </row>
    <row r="716">
      <c r="A716" s="166"/>
      <c r="AG716" s="265"/>
    </row>
    <row r="717">
      <c r="A717" s="166"/>
      <c r="AG717" s="265"/>
    </row>
    <row r="718">
      <c r="A718" s="166"/>
      <c r="AG718" s="265"/>
    </row>
    <row r="719">
      <c r="A719" s="166"/>
      <c r="AG719" s="265"/>
    </row>
    <row r="720">
      <c r="A720" s="166"/>
      <c r="AG720" s="265"/>
    </row>
    <row r="721">
      <c r="A721" s="166"/>
      <c r="AG721" s="265"/>
    </row>
    <row r="722">
      <c r="A722" s="166"/>
      <c r="AG722" s="265"/>
    </row>
    <row r="723">
      <c r="A723" s="166"/>
      <c r="AG723" s="265"/>
    </row>
    <row r="724">
      <c r="A724" s="166"/>
      <c r="AG724" s="265"/>
    </row>
    <row r="725">
      <c r="A725" s="166"/>
      <c r="AG725" s="265"/>
    </row>
    <row r="726">
      <c r="A726" s="166"/>
      <c r="AG726" s="265"/>
    </row>
    <row r="727">
      <c r="A727" s="166"/>
      <c r="AG727" s="265"/>
    </row>
    <row r="728">
      <c r="A728" s="166"/>
      <c r="AG728" s="265"/>
    </row>
    <row r="729">
      <c r="A729" s="166"/>
      <c r="AG729" s="265"/>
    </row>
    <row r="730">
      <c r="A730" s="166"/>
      <c r="AG730" s="265"/>
    </row>
    <row r="731">
      <c r="A731" s="166"/>
      <c r="AG731" s="265"/>
    </row>
    <row r="732">
      <c r="A732" s="166"/>
      <c r="AG732" s="265"/>
    </row>
    <row r="733">
      <c r="A733" s="166"/>
      <c r="AG733" s="265"/>
    </row>
    <row r="734">
      <c r="A734" s="166"/>
      <c r="AG734" s="265"/>
    </row>
    <row r="735">
      <c r="A735" s="166"/>
      <c r="AG735" s="265"/>
    </row>
    <row r="736">
      <c r="A736" s="166"/>
      <c r="AG736" s="265"/>
    </row>
    <row r="737">
      <c r="A737" s="166"/>
      <c r="AG737" s="265"/>
    </row>
    <row r="738">
      <c r="A738" s="166"/>
      <c r="AG738" s="265"/>
    </row>
    <row r="739">
      <c r="A739" s="166"/>
      <c r="AG739" s="265"/>
    </row>
    <row r="740">
      <c r="A740" s="166"/>
      <c r="AG740" s="265"/>
    </row>
    <row r="741">
      <c r="A741" s="166"/>
      <c r="AG741" s="265"/>
    </row>
    <row r="742">
      <c r="A742" s="166"/>
      <c r="AG742" s="265"/>
    </row>
    <row r="743">
      <c r="A743" s="166"/>
      <c r="AG743" s="265"/>
    </row>
    <row r="744">
      <c r="A744" s="166"/>
      <c r="AG744" s="265"/>
    </row>
    <row r="745">
      <c r="A745" s="166"/>
      <c r="AG745" s="265"/>
    </row>
    <row r="746">
      <c r="A746" s="166"/>
      <c r="AG746" s="265"/>
    </row>
    <row r="747">
      <c r="A747" s="166"/>
      <c r="AG747" s="265"/>
    </row>
    <row r="748">
      <c r="A748" s="166"/>
      <c r="AG748" s="265"/>
    </row>
    <row r="749">
      <c r="A749" s="166"/>
      <c r="AG749" s="265"/>
    </row>
    <row r="750">
      <c r="A750" s="166"/>
      <c r="AG750" s="265"/>
    </row>
    <row r="751">
      <c r="A751" s="166"/>
      <c r="AG751" s="265"/>
    </row>
    <row r="752">
      <c r="A752" s="166"/>
      <c r="AG752" s="265"/>
    </row>
    <row r="753">
      <c r="A753" s="166"/>
      <c r="AG753" s="265"/>
    </row>
    <row r="754">
      <c r="A754" s="166"/>
      <c r="AG754" s="265"/>
    </row>
    <row r="755">
      <c r="A755" s="166"/>
      <c r="AG755" s="265"/>
    </row>
    <row r="756">
      <c r="A756" s="166"/>
      <c r="AG756" s="265"/>
    </row>
    <row r="757">
      <c r="A757" s="166"/>
      <c r="AG757" s="265"/>
    </row>
    <row r="758">
      <c r="A758" s="166"/>
      <c r="AG758" s="265"/>
    </row>
    <row r="759">
      <c r="A759" s="166"/>
      <c r="AG759" s="265"/>
    </row>
    <row r="760">
      <c r="A760" s="166"/>
      <c r="AG760" s="265"/>
    </row>
    <row r="761">
      <c r="A761" s="166"/>
      <c r="AG761" s="265"/>
    </row>
    <row r="762">
      <c r="A762" s="166"/>
      <c r="AG762" s="265"/>
    </row>
    <row r="763">
      <c r="A763" s="166"/>
      <c r="AG763" s="265"/>
    </row>
    <row r="764">
      <c r="A764" s="166"/>
      <c r="AG764" s="265"/>
    </row>
    <row r="765">
      <c r="A765" s="166"/>
      <c r="AG765" s="265"/>
    </row>
    <row r="766">
      <c r="A766" s="166"/>
      <c r="AG766" s="265"/>
    </row>
    <row r="767">
      <c r="A767" s="166"/>
      <c r="AG767" s="265"/>
    </row>
    <row r="768">
      <c r="A768" s="166"/>
      <c r="AG768" s="265"/>
    </row>
    <row r="769">
      <c r="A769" s="166"/>
      <c r="AG769" s="265"/>
    </row>
    <row r="770">
      <c r="A770" s="166"/>
      <c r="AG770" s="265"/>
    </row>
    <row r="771">
      <c r="A771" s="166"/>
      <c r="AG771" s="265"/>
    </row>
    <row r="772">
      <c r="A772" s="166"/>
      <c r="AG772" s="265"/>
    </row>
    <row r="773">
      <c r="A773" s="166"/>
      <c r="AG773" s="265"/>
    </row>
    <row r="774">
      <c r="A774" s="166"/>
      <c r="AG774" s="265"/>
    </row>
    <row r="775">
      <c r="A775" s="166"/>
      <c r="AG775" s="265"/>
    </row>
    <row r="776">
      <c r="A776" s="166"/>
      <c r="AG776" s="265"/>
    </row>
    <row r="777">
      <c r="A777" s="166"/>
      <c r="AG777" s="265"/>
    </row>
    <row r="778">
      <c r="A778" s="166"/>
      <c r="AG778" s="265"/>
    </row>
    <row r="779">
      <c r="A779" s="166"/>
      <c r="AG779" s="265"/>
    </row>
    <row r="780">
      <c r="A780" s="166"/>
      <c r="AG780" s="265"/>
    </row>
    <row r="781">
      <c r="A781" s="166"/>
      <c r="AG781" s="265"/>
    </row>
    <row r="782">
      <c r="A782" s="166"/>
      <c r="AG782" s="265"/>
    </row>
    <row r="783">
      <c r="A783" s="166"/>
      <c r="AG783" s="265"/>
    </row>
    <row r="784">
      <c r="A784" s="166"/>
      <c r="AG784" s="265"/>
    </row>
    <row r="785">
      <c r="A785" s="166"/>
      <c r="AG785" s="265"/>
    </row>
    <row r="786">
      <c r="A786" s="166"/>
      <c r="AG786" s="265"/>
    </row>
    <row r="787">
      <c r="A787" s="166"/>
      <c r="AG787" s="265"/>
    </row>
    <row r="788">
      <c r="A788" s="166"/>
      <c r="AG788" s="265"/>
    </row>
    <row r="789">
      <c r="A789" s="166"/>
      <c r="AG789" s="265"/>
    </row>
    <row r="790">
      <c r="A790" s="166"/>
      <c r="AG790" s="265"/>
    </row>
    <row r="791">
      <c r="A791" s="166"/>
      <c r="AG791" s="265"/>
    </row>
    <row r="792">
      <c r="A792" s="166"/>
      <c r="AG792" s="265"/>
    </row>
    <row r="793">
      <c r="A793" s="166"/>
      <c r="AG793" s="265"/>
    </row>
    <row r="794">
      <c r="A794" s="166"/>
      <c r="AG794" s="265"/>
    </row>
    <row r="795">
      <c r="A795" s="166"/>
      <c r="AG795" s="265"/>
    </row>
    <row r="796">
      <c r="A796" s="166"/>
      <c r="AG796" s="265"/>
    </row>
    <row r="797">
      <c r="A797" s="166"/>
      <c r="AG797" s="265"/>
    </row>
    <row r="798">
      <c r="A798" s="166"/>
      <c r="AG798" s="265"/>
    </row>
    <row r="799">
      <c r="A799" s="166"/>
      <c r="AG799" s="265"/>
    </row>
    <row r="800">
      <c r="A800" s="166"/>
      <c r="AG800" s="265"/>
    </row>
    <row r="801">
      <c r="A801" s="166"/>
      <c r="AG801" s="265"/>
    </row>
    <row r="802">
      <c r="A802" s="166"/>
      <c r="AG802" s="265"/>
    </row>
    <row r="803">
      <c r="A803" s="166"/>
      <c r="AG803" s="265"/>
    </row>
    <row r="804">
      <c r="A804" s="166"/>
      <c r="AG804" s="265"/>
    </row>
    <row r="805">
      <c r="A805" s="166"/>
      <c r="AG805" s="265"/>
    </row>
    <row r="806">
      <c r="A806" s="166"/>
      <c r="AG806" s="265"/>
    </row>
    <row r="807">
      <c r="A807" s="166"/>
      <c r="AG807" s="265"/>
    </row>
    <row r="808">
      <c r="A808" s="166"/>
      <c r="AG808" s="265"/>
    </row>
    <row r="809">
      <c r="A809" s="166"/>
      <c r="AG809" s="265"/>
    </row>
    <row r="810">
      <c r="A810" s="166"/>
      <c r="AG810" s="265"/>
    </row>
    <row r="811">
      <c r="A811" s="166"/>
      <c r="AG811" s="265"/>
    </row>
    <row r="812">
      <c r="A812" s="166"/>
      <c r="AG812" s="265"/>
    </row>
    <row r="813">
      <c r="A813" s="166"/>
      <c r="AG813" s="265"/>
    </row>
    <row r="814">
      <c r="A814" s="166"/>
      <c r="AG814" s="265"/>
    </row>
    <row r="815">
      <c r="A815" s="166"/>
      <c r="AG815" s="265"/>
    </row>
    <row r="816">
      <c r="A816" s="166"/>
      <c r="AG816" s="265"/>
    </row>
    <row r="817">
      <c r="A817" s="166"/>
      <c r="AG817" s="265"/>
    </row>
    <row r="818">
      <c r="A818" s="166"/>
      <c r="AG818" s="265"/>
    </row>
    <row r="819">
      <c r="A819" s="166"/>
      <c r="AG819" s="265"/>
    </row>
    <row r="820">
      <c r="A820" s="166"/>
      <c r="AG820" s="265"/>
    </row>
    <row r="821">
      <c r="A821" s="166"/>
      <c r="AG821" s="265"/>
    </row>
    <row r="822">
      <c r="A822" s="166"/>
      <c r="AG822" s="265"/>
    </row>
    <row r="823">
      <c r="A823" s="166"/>
      <c r="AG823" s="265"/>
    </row>
    <row r="824">
      <c r="A824" s="166"/>
      <c r="AG824" s="265"/>
    </row>
    <row r="825">
      <c r="A825" s="166"/>
      <c r="AG825" s="265"/>
    </row>
    <row r="826">
      <c r="A826" s="166"/>
      <c r="AG826" s="265"/>
    </row>
    <row r="827">
      <c r="A827" s="166"/>
      <c r="AG827" s="265"/>
    </row>
    <row r="828">
      <c r="A828" s="166"/>
      <c r="AG828" s="265"/>
    </row>
    <row r="829">
      <c r="A829" s="166"/>
      <c r="AG829" s="265"/>
    </row>
    <row r="830">
      <c r="A830" s="166"/>
      <c r="AG830" s="265"/>
    </row>
    <row r="831">
      <c r="A831" s="166"/>
      <c r="AG831" s="265"/>
    </row>
    <row r="832">
      <c r="A832" s="166"/>
      <c r="AG832" s="265"/>
    </row>
    <row r="833">
      <c r="A833" s="166"/>
      <c r="AG833" s="265"/>
    </row>
    <row r="834">
      <c r="A834" s="166"/>
      <c r="AG834" s="265"/>
    </row>
    <row r="835">
      <c r="A835" s="166"/>
      <c r="AG835" s="265"/>
    </row>
    <row r="836">
      <c r="A836" s="166"/>
      <c r="AG836" s="265"/>
    </row>
    <row r="837">
      <c r="A837" s="166"/>
      <c r="AG837" s="265"/>
    </row>
    <row r="838">
      <c r="A838" s="166"/>
      <c r="AG838" s="265"/>
    </row>
    <row r="839">
      <c r="A839" s="166"/>
      <c r="AG839" s="265"/>
    </row>
    <row r="840">
      <c r="A840" s="166"/>
      <c r="AG840" s="265"/>
    </row>
    <row r="841">
      <c r="A841" s="166"/>
      <c r="AG841" s="265"/>
    </row>
    <row r="842">
      <c r="A842" s="166"/>
      <c r="AG842" s="265"/>
    </row>
    <row r="843">
      <c r="A843" s="166"/>
      <c r="AG843" s="265"/>
    </row>
    <row r="844">
      <c r="A844" s="166"/>
      <c r="AG844" s="265"/>
    </row>
    <row r="845">
      <c r="A845" s="166"/>
      <c r="AG845" s="265"/>
    </row>
    <row r="846">
      <c r="A846" s="166"/>
      <c r="AG846" s="265"/>
    </row>
    <row r="847">
      <c r="A847" s="166"/>
      <c r="AG847" s="265"/>
    </row>
    <row r="848">
      <c r="A848" s="166"/>
      <c r="AG848" s="265"/>
    </row>
    <row r="849">
      <c r="A849" s="166"/>
      <c r="AG849" s="265"/>
    </row>
    <row r="850">
      <c r="A850" s="166"/>
      <c r="AG850" s="265"/>
    </row>
    <row r="851">
      <c r="A851" s="166"/>
      <c r="AG851" s="265"/>
    </row>
    <row r="852">
      <c r="A852" s="166"/>
      <c r="AG852" s="265"/>
    </row>
    <row r="853">
      <c r="A853" s="166"/>
      <c r="AG853" s="265"/>
    </row>
    <row r="854">
      <c r="A854" s="166"/>
      <c r="AG854" s="265"/>
    </row>
    <row r="855">
      <c r="A855" s="166"/>
      <c r="AG855" s="265"/>
    </row>
    <row r="856">
      <c r="A856" s="166"/>
      <c r="AG856" s="265"/>
    </row>
    <row r="857">
      <c r="A857" s="166"/>
      <c r="AG857" s="265"/>
    </row>
    <row r="858">
      <c r="A858" s="166"/>
      <c r="AG858" s="265"/>
    </row>
    <row r="859">
      <c r="A859" s="166"/>
      <c r="AG859" s="265"/>
    </row>
    <row r="860">
      <c r="A860" s="166"/>
      <c r="AG860" s="265"/>
    </row>
    <row r="861">
      <c r="A861" s="166"/>
      <c r="AG861" s="265"/>
    </row>
    <row r="862">
      <c r="A862" s="166"/>
      <c r="AG862" s="265"/>
    </row>
    <row r="863">
      <c r="A863" s="166"/>
      <c r="AG863" s="265"/>
    </row>
    <row r="864">
      <c r="A864" s="166"/>
      <c r="AG864" s="265"/>
    </row>
    <row r="865">
      <c r="A865" s="166"/>
      <c r="AG865" s="265"/>
    </row>
    <row r="866">
      <c r="A866" s="166"/>
      <c r="AG866" s="265"/>
    </row>
    <row r="867">
      <c r="A867" s="166"/>
      <c r="AG867" s="265"/>
    </row>
    <row r="868">
      <c r="A868" s="166"/>
      <c r="AG868" s="265"/>
    </row>
    <row r="869">
      <c r="A869" s="166"/>
      <c r="AG869" s="265"/>
    </row>
    <row r="870">
      <c r="A870" s="166"/>
      <c r="AG870" s="265"/>
    </row>
    <row r="871">
      <c r="A871" s="166"/>
      <c r="AG871" s="265"/>
    </row>
    <row r="872">
      <c r="A872" s="166"/>
      <c r="AG872" s="265"/>
    </row>
    <row r="873">
      <c r="A873" s="166"/>
      <c r="AG873" s="265"/>
    </row>
    <row r="874">
      <c r="A874" s="166"/>
      <c r="AG874" s="265"/>
    </row>
    <row r="875">
      <c r="A875" s="166"/>
      <c r="AG875" s="265"/>
    </row>
    <row r="876">
      <c r="A876" s="166"/>
      <c r="AG876" s="265"/>
    </row>
    <row r="877">
      <c r="A877" s="166"/>
      <c r="AG877" s="265"/>
    </row>
    <row r="878">
      <c r="A878" s="166"/>
      <c r="AG878" s="265"/>
    </row>
    <row r="879">
      <c r="A879" s="166"/>
      <c r="AG879" s="265"/>
    </row>
    <row r="880">
      <c r="A880" s="166"/>
      <c r="AG880" s="265"/>
    </row>
    <row r="881">
      <c r="A881" s="166"/>
      <c r="AG881" s="265"/>
    </row>
    <row r="882">
      <c r="A882" s="166"/>
      <c r="AG882" s="265"/>
    </row>
    <row r="883">
      <c r="A883" s="166"/>
      <c r="AG883" s="265"/>
    </row>
    <row r="884">
      <c r="A884" s="166"/>
      <c r="AG884" s="265"/>
    </row>
    <row r="885">
      <c r="A885" s="166"/>
      <c r="AG885" s="265"/>
    </row>
    <row r="886">
      <c r="A886" s="166"/>
      <c r="AG886" s="265"/>
    </row>
    <row r="887">
      <c r="A887" s="166"/>
      <c r="AG887" s="265"/>
    </row>
    <row r="888">
      <c r="A888" s="166"/>
      <c r="AG888" s="265"/>
    </row>
    <row r="889">
      <c r="A889" s="166"/>
      <c r="AG889" s="265"/>
    </row>
    <row r="890">
      <c r="A890" s="166"/>
      <c r="AG890" s="265"/>
    </row>
    <row r="891">
      <c r="A891" s="166"/>
      <c r="AG891" s="265"/>
    </row>
    <row r="892">
      <c r="A892" s="166"/>
      <c r="AG892" s="265"/>
    </row>
    <row r="893">
      <c r="A893" s="166"/>
      <c r="AG893" s="265"/>
    </row>
    <row r="894">
      <c r="A894" s="166"/>
      <c r="AG894" s="265"/>
    </row>
    <row r="895">
      <c r="A895" s="166"/>
      <c r="AG895" s="265"/>
    </row>
    <row r="896">
      <c r="A896" s="166"/>
      <c r="AG896" s="265"/>
    </row>
    <row r="897">
      <c r="A897" s="166"/>
      <c r="AG897" s="265"/>
    </row>
    <row r="898">
      <c r="A898" s="166"/>
      <c r="AG898" s="265"/>
    </row>
    <row r="899">
      <c r="A899" s="166"/>
      <c r="AG899" s="265"/>
    </row>
    <row r="900">
      <c r="A900" s="166"/>
      <c r="AG900" s="265"/>
    </row>
    <row r="901">
      <c r="A901" s="166"/>
      <c r="AG901" s="265"/>
    </row>
    <row r="902">
      <c r="A902" s="166"/>
      <c r="AG902" s="265"/>
    </row>
    <row r="903">
      <c r="A903" s="166"/>
      <c r="AG903" s="265"/>
    </row>
    <row r="904">
      <c r="A904" s="166"/>
      <c r="AG904" s="265"/>
    </row>
    <row r="905">
      <c r="A905" s="166"/>
      <c r="AG905" s="265"/>
    </row>
    <row r="906">
      <c r="A906" s="166"/>
      <c r="AG906" s="265"/>
    </row>
    <row r="907">
      <c r="A907" s="166"/>
      <c r="AG907" s="265"/>
    </row>
    <row r="908">
      <c r="A908" s="166"/>
      <c r="AG908" s="265"/>
    </row>
    <row r="909">
      <c r="A909" s="166"/>
      <c r="AG909" s="265"/>
    </row>
    <row r="910">
      <c r="A910" s="166"/>
      <c r="AG910" s="265"/>
    </row>
    <row r="911">
      <c r="A911" s="166"/>
      <c r="AG911" s="265"/>
    </row>
    <row r="912">
      <c r="A912" s="166"/>
      <c r="AG912" s="265"/>
    </row>
    <row r="913">
      <c r="A913" s="166"/>
      <c r="AG913" s="265"/>
    </row>
    <row r="914">
      <c r="A914" s="166"/>
      <c r="AG914" s="265"/>
    </row>
    <row r="915">
      <c r="A915" s="166"/>
      <c r="AG915" s="265"/>
    </row>
    <row r="916">
      <c r="A916" s="166"/>
      <c r="AG916" s="265"/>
    </row>
    <row r="917">
      <c r="A917" s="166"/>
      <c r="AG917" s="265"/>
    </row>
    <row r="918">
      <c r="A918" s="166"/>
      <c r="AG918" s="265"/>
    </row>
    <row r="919">
      <c r="A919" s="166"/>
      <c r="AG919" s="265"/>
    </row>
    <row r="920">
      <c r="A920" s="166"/>
      <c r="AG920" s="265"/>
    </row>
    <row r="921">
      <c r="A921" s="166"/>
      <c r="AG921" s="265"/>
    </row>
    <row r="922">
      <c r="A922" s="166"/>
      <c r="AG922" s="265"/>
    </row>
    <row r="923">
      <c r="A923" s="166"/>
      <c r="AG923" s="265"/>
    </row>
    <row r="924">
      <c r="A924" s="166"/>
      <c r="AG924" s="265"/>
    </row>
    <row r="925">
      <c r="A925" s="166"/>
      <c r="AG925" s="265"/>
    </row>
    <row r="926">
      <c r="A926" s="166"/>
      <c r="AG926" s="265"/>
    </row>
    <row r="927">
      <c r="A927" s="166"/>
      <c r="AG927" s="265"/>
    </row>
    <row r="928">
      <c r="A928" s="166"/>
      <c r="AG928" s="265"/>
    </row>
    <row r="929">
      <c r="A929" s="166"/>
      <c r="AG929" s="265"/>
    </row>
    <row r="930">
      <c r="A930" s="166"/>
      <c r="AG930" s="265"/>
    </row>
    <row r="931">
      <c r="A931" s="166"/>
      <c r="AG931" s="265"/>
    </row>
    <row r="932">
      <c r="A932" s="166"/>
      <c r="AG932" s="265"/>
    </row>
    <row r="933">
      <c r="A933" s="166"/>
      <c r="AG933" s="265"/>
    </row>
    <row r="934">
      <c r="A934" s="166"/>
      <c r="AG934" s="265"/>
    </row>
    <row r="935">
      <c r="A935" s="166"/>
      <c r="AG935" s="265"/>
    </row>
    <row r="936">
      <c r="A936" s="166"/>
      <c r="AG936" s="265"/>
    </row>
    <row r="937">
      <c r="A937" s="166"/>
      <c r="AG937" s="265"/>
    </row>
    <row r="938">
      <c r="A938" s="166"/>
      <c r="AG938" s="265"/>
    </row>
    <row r="939">
      <c r="A939" s="166"/>
      <c r="AG939" s="265"/>
    </row>
    <row r="940">
      <c r="A940" s="166"/>
      <c r="AG940" s="265"/>
    </row>
    <row r="941">
      <c r="A941" s="166"/>
      <c r="AG941" s="265"/>
    </row>
    <row r="942">
      <c r="A942" s="166"/>
      <c r="AG942" s="265"/>
    </row>
    <row r="943">
      <c r="A943" s="166"/>
      <c r="AG943" s="265"/>
    </row>
    <row r="944">
      <c r="A944" s="166"/>
      <c r="AG944" s="265"/>
    </row>
    <row r="945">
      <c r="A945" s="166"/>
      <c r="AG945" s="265"/>
    </row>
    <row r="946">
      <c r="A946" s="166"/>
      <c r="AG946" s="265"/>
    </row>
    <row r="947">
      <c r="A947" s="166"/>
      <c r="AG947" s="265"/>
    </row>
    <row r="948">
      <c r="A948" s="166"/>
      <c r="AG948" s="265"/>
    </row>
    <row r="949">
      <c r="A949" s="166"/>
      <c r="AG949" s="265"/>
    </row>
    <row r="950">
      <c r="A950" s="166"/>
      <c r="AG950" s="265"/>
    </row>
    <row r="951">
      <c r="A951" s="166"/>
      <c r="AG951" s="265"/>
    </row>
    <row r="952">
      <c r="A952" s="166"/>
      <c r="AG952" s="265"/>
    </row>
    <row r="953">
      <c r="A953" s="166"/>
      <c r="AG953" s="265"/>
    </row>
    <row r="954">
      <c r="A954" s="166"/>
      <c r="AG954" s="265"/>
    </row>
    <row r="955">
      <c r="A955" s="166"/>
      <c r="AG955" s="265"/>
    </row>
    <row r="956">
      <c r="A956" s="166"/>
      <c r="AG956" s="265"/>
    </row>
    <row r="957">
      <c r="A957" s="166"/>
      <c r="AG957" s="265"/>
    </row>
    <row r="958">
      <c r="A958" s="166"/>
      <c r="AG958" s="265"/>
    </row>
    <row r="959">
      <c r="A959" s="166"/>
      <c r="AG959" s="265"/>
    </row>
    <row r="960">
      <c r="A960" s="166"/>
      <c r="AG960" s="265"/>
    </row>
    <row r="961">
      <c r="A961" s="166"/>
      <c r="AG961" s="265"/>
    </row>
    <row r="962">
      <c r="A962" s="166"/>
      <c r="AG962" s="265"/>
    </row>
    <row r="963">
      <c r="A963" s="166"/>
      <c r="AG963" s="265"/>
    </row>
    <row r="964">
      <c r="A964" s="166"/>
      <c r="AG964" s="265"/>
    </row>
    <row r="965">
      <c r="A965" s="166"/>
      <c r="AG965" s="265"/>
    </row>
    <row r="966">
      <c r="A966" s="166"/>
      <c r="AG966" s="265"/>
    </row>
    <row r="967">
      <c r="A967" s="166"/>
      <c r="AG967" s="265"/>
    </row>
    <row r="968">
      <c r="A968" s="166"/>
      <c r="AG968" s="265"/>
    </row>
    <row r="969">
      <c r="A969" s="166"/>
      <c r="AG969" s="265"/>
    </row>
    <row r="970">
      <c r="A970" s="166"/>
      <c r="AG970" s="265"/>
    </row>
    <row r="971">
      <c r="A971" s="166"/>
      <c r="AG971" s="265"/>
    </row>
    <row r="972">
      <c r="A972" s="166"/>
      <c r="AG972" s="265"/>
    </row>
    <row r="973">
      <c r="A973" s="166"/>
      <c r="AG973" s="265"/>
    </row>
    <row r="974">
      <c r="A974" s="166"/>
      <c r="AG974" s="265"/>
    </row>
    <row r="975">
      <c r="A975" s="166"/>
      <c r="AG975" s="265"/>
    </row>
    <row r="976">
      <c r="A976" s="166"/>
      <c r="AG976" s="265"/>
    </row>
    <row r="977">
      <c r="A977" s="166"/>
      <c r="AG977" s="265"/>
    </row>
    <row r="978">
      <c r="A978" s="166"/>
      <c r="AG978" s="265"/>
    </row>
    <row r="979">
      <c r="A979" s="166"/>
      <c r="AG979" s="265"/>
    </row>
    <row r="980">
      <c r="A980" s="166"/>
      <c r="AG980" s="265"/>
    </row>
    <row r="981">
      <c r="A981" s="166"/>
      <c r="AG981" s="265"/>
    </row>
    <row r="982">
      <c r="A982" s="166"/>
      <c r="AG982" s="265"/>
    </row>
    <row r="983">
      <c r="A983" s="166"/>
      <c r="AG983" s="265"/>
    </row>
    <row r="984">
      <c r="A984" s="166"/>
      <c r="AG984" s="265"/>
    </row>
    <row r="985">
      <c r="A985" s="166"/>
      <c r="AG985" s="265"/>
    </row>
    <row r="986">
      <c r="A986" s="166"/>
      <c r="AG986" s="265"/>
    </row>
    <row r="987">
      <c r="A987" s="166"/>
      <c r="AG987" s="265"/>
    </row>
    <row r="988">
      <c r="A988" s="166"/>
      <c r="AG988" s="265"/>
    </row>
    <row r="989">
      <c r="A989" s="166"/>
      <c r="AG989" s="265"/>
    </row>
    <row r="990">
      <c r="A990" s="166"/>
      <c r="AG990" s="265"/>
    </row>
    <row r="991">
      <c r="A991" s="166"/>
      <c r="AG991" s="265"/>
    </row>
    <row r="992">
      <c r="A992" s="166"/>
      <c r="AG992" s="265"/>
    </row>
    <row r="993">
      <c r="A993" s="166"/>
      <c r="AG993" s="265"/>
    </row>
    <row r="994">
      <c r="A994" s="166"/>
      <c r="AG994" s="265"/>
    </row>
    <row r="995">
      <c r="A995" s="166"/>
      <c r="AG995" s="265"/>
    </row>
    <row r="996">
      <c r="A996" s="166"/>
      <c r="AG996" s="265"/>
    </row>
    <row r="997">
      <c r="A997" s="166"/>
      <c r="AG997" s="265"/>
    </row>
    <row r="998">
      <c r="A998" s="166"/>
      <c r="AG998" s="265"/>
    </row>
    <row r="999">
      <c r="A999" s="166"/>
      <c r="AG999" s="265"/>
    </row>
    <row r="1000">
      <c r="A1000" s="166"/>
      <c r="AG1000" s="265"/>
    </row>
    <row r="1001">
      <c r="A1001" s="166"/>
      <c r="AG1001" s="265"/>
    </row>
    <row r="1002">
      <c r="A1002" s="166"/>
      <c r="AG1002" s="265"/>
    </row>
    <row r="1003">
      <c r="A1003" s="166"/>
      <c r="AG1003" s="265"/>
    </row>
    <row r="1004">
      <c r="A1004" s="166"/>
      <c r="AG1004" s="265"/>
    </row>
    <row r="1005">
      <c r="A1005" s="166"/>
      <c r="AG1005" s="265"/>
    </row>
    <row r="1006">
      <c r="A1006" s="166"/>
      <c r="AG1006" s="265"/>
    </row>
    <row r="1007">
      <c r="A1007" s="166"/>
      <c r="AG1007" s="265"/>
    </row>
    <row r="1008">
      <c r="A1008" s="166"/>
      <c r="AG1008" s="265"/>
    </row>
    <row r="1009">
      <c r="A1009" s="166"/>
      <c r="AG1009" s="265"/>
    </row>
    <row r="1010">
      <c r="A1010" s="166"/>
      <c r="AG1010" s="265"/>
    </row>
    <row r="1011">
      <c r="A1011" s="166"/>
      <c r="AG1011" s="265"/>
    </row>
    <row r="1012">
      <c r="A1012" s="166"/>
      <c r="AG1012" s="265"/>
    </row>
    <row r="1013">
      <c r="A1013" s="166"/>
      <c r="AG1013" s="265"/>
    </row>
    <row r="1014">
      <c r="A1014" s="166"/>
      <c r="AG1014" s="265"/>
    </row>
    <row r="1015">
      <c r="A1015" s="166"/>
      <c r="AG1015" s="265"/>
    </row>
    <row r="1016">
      <c r="A1016" s="166"/>
      <c r="AG1016" s="265"/>
    </row>
    <row r="1017">
      <c r="A1017" s="166"/>
      <c r="AG1017" s="265"/>
    </row>
    <row r="1018">
      <c r="A1018" s="166"/>
      <c r="AG1018" s="265"/>
    </row>
    <row r="1019">
      <c r="A1019" s="166"/>
      <c r="AG1019" s="265"/>
    </row>
    <row r="1020">
      <c r="A1020" s="166"/>
      <c r="AG1020" s="265"/>
    </row>
    <row r="1021">
      <c r="A1021" s="166"/>
      <c r="AG1021" s="265"/>
    </row>
    <row r="1022">
      <c r="A1022" s="166"/>
      <c r="AG1022" s="265"/>
    </row>
    <row r="1023">
      <c r="A1023" s="166"/>
      <c r="AG1023" s="265"/>
    </row>
    <row r="1024">
      <c r="A1024" s="166"/>
      <c r="AG1024" s="265"/>
    </row>
    <row r="1025">
      <c r="A1025" s="166"/>
      <c r="AG1025" s="265"/>
    </row>
    <row r="1026">
      <c r="A1026" s="166"/>
      <c r="AG1026" s="265"/>
    </row>
    <row r="1027">
      <c r="A1027" s="166"/>
      <c r="AG1027" s="265"/>
    </row>
    <row r="1028">
      <c r="A1028" s="166"/>
      <c r="AG1028" s="265"/>
    </row>
    <row r="1029">
      <c r="A1029" s="166"/>
      <c r="AG1029" s="265"/>
    </row>
    <row r="1030">
      <c r="A1030" s="166"/>
      <c r="AG1030" s="265"/>
    </row>
    <row r="1031">
      <c r="A1031" s="166"/>
      <c r="AG1031" s="265"/>
    </row>
    <row r="1032">
      <c r="A1032" s="166"/>
      <c r="AG1032" s="265"/>
    </row>
    <row r="1033">
      <c r="A1033" s="166"/>
      <c r="AG1033" s="265"/>
    </row>
    <row r="1034">
      <c r="A1034" s="166"/>
      <c r="AG1034" s="265"/>
    </row>
    <row r="1035">
      <c r="A1035" s="166"/>
      <c r="AG1035" s="265"/>
    </row>
    <row r="1036">
      <c r="A1036" s="166"/>
      <c r="AG1036" s="265"/>
    </row>
    <row r="1037">
      <c r="A1037" s="166"/>
      <c r="AG1037" s="265"/>
    </row>
    <row r="1038">
      <c r="A1038" s="166"/>
      <c r="AG1038" s="265"/>
    </row>
    <row r="1039">
      <c r="A1039" s="166"/>
      <c r="AG1039" s="265"/>
    </row>
    <row r="1040">
      <c r="A1040" s="166"/>
      <c r="AG1040" s="265"/>
    </row>
    <row r="1041">
      <c r="A1041" s="166"/>
      <c r="AG1041" s="265"/>
    </row>
    <row r="1042">
      <c r="A1042" s="166"/>
      <c r="AG1042" s="265"/>
    </row>
    <row r="1043">
      <c r="A1043" s="166"/>
      <c r="AG1043" s="265"/>
    </row>
    <row r="1044">
      <c r="A1044" s="166"/>
      <c r="AG1044" s="265"/>
    </row>
    <row r="1045">
      <c r="A1045" s="166"/>
      <c r="AG1045" s="265"/>
    </row>
    <row r="1046">
      <c r="A1046" s="166"/>
      <c r="AG1046" s="265"/>
    </row>
    <row r="1047">
      <c r="A1047" s="166"/>
      <c r="AG1047" s="265"/>
    </row>
    <row r="1048">
      <c r="A1048" s="166"/>
      <c r="AG1048" s="265"/>
    </row>
    <row r="1049">
      <c r="A1049" s="166"/>
      <c r="AG1049" s="265"/>
    </row>
    <row r="1050">
      <c r="A1050" s="166"/>
      <c r="AG1050" s="265"/>
    </row>
    <row r="1051">
      <c r="A1051" s="166"/>
      <c r="AG1051" s="265"/>
    </row>
    <row r="1052">
      <c r="A1052" s="166"/>
      <c r="AG1052" s="265"/>
    </row>
    <row r="1053">
      <c r="A1053" s="166"/>
      <c r="AG1053" s="265"/>
    </row>
    <row r="1054">
      <c r="A1054" s="166"/>
      <c r="AG1054" s="265"/>
    </row>
    <row r="1055">
      <c r="A1055" s="166"/>
      <c r="AG1055" s="265"/>
    </row>
    <row r="1056">
      <c r="A1056" s="166"/>
      <c r="AG1056" s="265"/>
    </row>
    <row r="1057">
      <c r="A1057" s="166"/>
      <c r="AG1057" s="265"/>
    </row>
    <row r="1058">
      <c r="A1058" s="166"/>
      <c r="AG1058" s="265"/>
    </row>
    <row r="1059">
      <c r="A1059" s="166"/>
      <c r="AG1059" s="265"/>
    </row>
    <row r="1060">
      <c r="A1060" s="166"/>
      <c r="AG1060" s="265"/>
    </row>
    <row r="1061">
      <c r="A1061" s="166"/>
      <c r="AG1061" s="265"/>
    </row>
    <row r="1062">
      <c r="A1062" s="166"/>
      <c r="AG1062" s="265"/>
    </row>
    <row r="1063">
      <c r="A1063" s="166"/>
      <c r="AG1063" s="265"/>
    </row>
    <row r="1064">
      <c r="A1064" s="166"/>
      <c r="AG1064" s="265"/>
    </row>
    <row r="1065">
      <c r="A1065" s="166"/>
      <c r="AG1065" s="265"/>
    </row>
    <row r="1066">
      <c r="A1066" s="166"/>
      <c r="AG1066" s="265"/>
    </row>
    <row r="1067">
      <c r="A1067" s="166"/>
      <c r="AG1067" s="265"/>
    </row>
    <row r="1068">
      <c r="A1068" s="166"/>
      <c r="AG1068" s="265"/>
    </row>
    <row r="1069">
      <c r="A1069" s="166"/>
      <c r="AG1069" s="265"/>
    </row>
    <row r="1070">
      <c r="A1070" s="166"/>
      <c r="AG1070" s="265"/>
    </row>
    <row r="1071">
      <c r="A1071" s="166"/>
      <c r="AG1071" s="265"/>
    </row>
    <row r="1072">
      <c r="A1072" s="166"/>
      <c r="AG1072" s="265"/>
    </row>
    <row r="1073">
      <c r="A1073" s="166"/>
      <c r="AG1073" s="265"/>
    </row>
    <row r="1074">
      <c r="A1074" s="166"/>
      <c r="AG1074" s="265"/>
    </row>
    <row r="1075">
      <c r="A1075" s="166"/>
      <c r="AG1075" s="265"/>
    </row>
    <row r="1076">
      <c r="A1076" s="166"/>
      <c r="AG1076" s="265"/>
    </row>
    <row r="1077">
      <c r="A1077" s="166"/>
      <c r="AG1077" s="265"/>
    </row>
    <row r="1078">
      <c r="A1078" s="166"/>
      <c r="AG1078" s="265"/>
    </row>
    <row r="1079">
      <c r="A1079" s="166"/>
      <c r="AG1079" s="265"/>
    </row>
    <row r="1080">
      <c r="A1080" s="166"/>
      <c r="AG1080" s="265"/>
    </row>
    <row r="1081">
      <c r="A1081" s="166"/>
      <c r="AG1081" s="265"/>
    </row>
    <row r="1082">
      <c r="A1082" s="166"/>
      <c r="AG1082" s="265"/>
    </row>
    <row r="1083">
      <c r="A1083" s="166"/>
      <c r="AG1083" s="265"/>
    </row>
    <row r="1084">
      <c r="A1084" s="166"/>
      <c r="AG1084" s="265"/>
    </row>
    <row r="1085">
      <c r="A1085" s="166"/>
      <c r="AG1085" s="265"/>
    </row>
    <row r="1086">
      <c r="A1086" s="166"/>
      <c r="AG1086" s="265"/>
    </row>
    <row r="1087">
      <c r="A1087" s="166"/>
      <c r="AG1087" s="265"/>
    </row>
    <row r="1088">
      <c r="A1088" s="166"/>
      <c r="AG1088" s="265"/>
    </row>
    <row r="1089">
      <c r="A1089" s="166"/>
      <c r="AG1089" s="265"/>
    </row>
    <row r="1090">
      <c r="A1090" s="166"/>
      <c r="AG1090" s="265"/>
    </row>
    <row r="1091">
      <c r="A1091" s="166"/>
      <c r="AG1091" s="265"/>
    </row>
    <row r="1092">
      <c r="A1092" s="166"/>
      <c r="AG1092" s="265"/>
    </row>
    <row r="1093">
      <c r="A1093" s="166"/>
      <c r="AG1093" s="265"/>
    </row>
    <row r="1094">
      <c r="A1094" s="166"/>
      <c r="AG1094" s="265"/>
    </row>
    <row r="1095">
      <c r="A1095" s="166"/>
      <c r="AG1095" s="265"/>
    </row>
    <row r="1096">
      <c r="A1096" s="166"/>
      <c r="AG1096" s="265"/>
    </row>
    <row r="1097">
      <c r="A1097" s="166"/>
      <c r="AG1097" s="265"/>
    </row>
    <row r="1098">
      <c r="A1098" s="166"/>
      <c r="AG1098" s="265"/>
    </row>
    <row r="1099">
      <c r="A1099" s="166"/>
      <c r="AG1099" s="265"/>
    </row>
    <row r="1100">
      <c r="A1100" s="166"/>
      <c r="AG1100" s="265"/>
    </row>
    <row r="1101">
      <c r="A1101" s="166"/>
      <c r="AG1101" s="265"/>
    </row>
    <row r="1102">
      <c r="A1102" s="166"/>
      <c r="AG1102" s="265"/>
    </row>
    <row r="1103">
      <c r="A1103" s="166"/>
      <c r="AG1103" s="265"/>
    </row>
    <row r="1104">
      <c r="A1104" s="166"/>
      <c r="AG1104" s="265"/>
    </row>
    <row r="1105">
      <c r="A1105" s="166"/>
      <c r="AG1105" s="265"/>
    </row>
    <row r="1106">
      <c r="A1106" s="166"/>
      <c r="AG1106" s="265"/>
    </row>
    <row r="1107">
      <c r="A1107" s="166"/>
      <c r="AG1107" s="265"/>
    </row>
    <row r="1108">
      <c r="A1108" s="166"/>
      <c r="AG1108" s="265"/>
    </row>
    <row r="1109">
      <c r="A1109" s="166"/>
      <c r="AG1109" s="265"/>
    </row>
    <row r="1110">
      <c r="A1110" s="166"/>
      <c r="AG1110" s="265"/>
    </row>
    <row r="1111">
      <c r="A1111" s="166"/>
      <c r="AG1111" s="265"/>
    </row>
    <row r="1112">
      <c r="A1112" s="166"/>
      <c r="AG1112" s="265"/>
    </row>
    <row r="1113">
      <c r="A1113" s="166"/>
      <c r="AG1113" s="265"/>
    </row>
    <row r="1114">
      <c r="A1114" s="166"/>
      <c r="AG1114" s="265"/>
    </row>
    <row r="1115">
      <c r="A1115" s="166"/>
      <c r="AG1115" s="265"/>
    </row>
    <row r="1116">
      <c r="A1116" s="166"/>
      <c r="AG1116" s="265"/>
    </row>
    <row r="1117">
      <c r="A1117" s="166"/>
      <c r="AG1117" s="265"/>
    </row>
    <row r="1118">
      <c r="A1118" s="166"/>
      <c r="AG1118" s="265"/>
    </row>
    <row r="1119">
      <c r="A1119" s="166"/>
      <c r="AG1119" s="265"/>
    </row>
    <row r="1120">
      <c r="A1120" s="166"/>
      <c r="AG1120" s="265"/>
    </row>
    <row r="1121">
      <c r="A1121" s="166"/>
      <c r="AG1121" s="265"/>
    </row>
    <row r="1122">
      <c r="A1122" s="166"/>
      <c r="AG1122" s="265"/>
    </row>
    <row r="1123">
      <c r="A1123" s="166"/>
      <c r="AG1123" s="265"/>
    </row>
    <row r="1124">
      <c r="A1124" s="166"/>
      <c r="AG1124" s="265"/>
    </row>
    <row r="1125">
      <c r="A1125" s="166"/>
      <c r="AG1125" s="265"/>
    </row>
    <row r="1126">
      <c r="A1126" s="166"/>
      <c r="AG1126" s="265"/>
    </row>
  </sheetData>
  <conditionalFormatting sqref="B436:AF436">
    <cfRule type="colorScale" priority="1">
      <colorScale>
        <cfvo type="min"/>
        <cfvo type="max"/>
        <color rgb="FFFFFFFF"/>
        <color rgb="FFE67C73"/>
      </colorScale>
    </cfRule>
  </conditionalFormatting>
  <conditionalFormatting sqref="B472:AF472 B568:AF568">
    <cfRule type="colorScale" priority="2">
      <colorScale>
        <cfvo type="min"/>
        <cfvo type="max"/>
        <color rgb="FFFFFFFF"/>
        <color rgb="FF57BB8A"/>
      </colorScale>
    </cfRule>
  </conditionalFormatting>
  <conditionalFormatting sqref="B566:AF566">
    <cfRule type="cellIs" dxfId="0" priority="3" operator="greaterThan">
      <formula>0</formula>
    </cfRule>
  </conditionalFormatting>
  <conditionalFormatting sqref="B566:AF566">
    <cfRule type="cellIs" dxfId="1" priority="4" operator="lessThan">
      <formula>0</formula>
    </cfRule>
  </conditionalFormatting>
  <conditionalFormatting sqref="B564:AF564">
    <cfRule type="cellIs" dxfId="0" priority="5" operator="greaterThan">
      <formula>0</formula>
    </cfRule>
  </conditionalFormatting>
  <conditionalFormatting sqref="B564:AF564">
    <cfRule type="cellIs" dxfId="1" priority="6" operator="lessThan">
      <formula>0</formula>
    </cfRule>
  </conditionalFormatting>
  <conditionalFormatting sqref="B468:AF468">
    <cfRule type="cellIs" dxfId="0" priority="7" operator="greaterThan">
      <formula>0</formula>
    </cfRule>
  </conditionalFormatting>
  <conditionalFormatting sqref="B468:AF468">
    <cfRule type="cellIs" dxfId="1" priority="8" operator="lessThan">
      <formula>0</formula>
    </cfRule>
  </conditionalFormatting>
  <conditionalFormatting sqref="B470:AF470">
    <cfRule type="cellIs" dxfId="0" priority="9" operator="greaterThan">
      <formula>0</formula>
    </cfRule>
  </conditionalFormatting>
  <conditionalFormatting sqref="B470:AF470">
    <cfRule type="cellIs" dxfId="1" priority="10" operator="lessThan">
      <formula>0</formula>
    </cfRule>
  </conditionalFormatting>
  <conditionalFormatting sqref="B556:AF556">
    <cfRule type="colorScale" priority="11">
      <colorScale>
        <cfvo type="min"/>
        <cfvo type="max"/>
        <color rgb="FFFFFFFF"/>
        <color rgb="FFE67C73"/>
      </colorScale>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32" width="16.13"/>
    <col customWidth="1" min="33" max="33" width="16.25"/>
  </cols>
  <sheetData>
    <row r="1">
      <c r="A1" s="77" t="s">
        <v>104</v>
      </c>
      <c r="B1" s="78">
        <v>45413.0</v>
      </c>
      <c r="C1" s="78">
        <v>45414.0</v>
      </c>
      <c r="D1" s="78">
        <v>45415.0</v>
      </c>
      <c r="E1" s="78">
        <v>45416.0</v>
      </c>
      <c r="F1" s="78">
        <v>45417.0</v>
      </c>
      <c r="G1" s="78">
        <v>45418.0</v>
      </c>
      <c r="H1" s="78">
        <v>45419.0</v>
      </c>
      <c r="I1" s="78">
        <v>45420.0</v>
      </c>
      <c r="J1" s="78">
        <v>45421.0</v>
      </c>
      <c r="K1" s="78">
        <v>45422.0</v>
      </c>
      <c r="L1" s="78">
        <v>45423.0</v>
      </c>
      <c r="M1" s="78">
        <v>45424.0</v>
      </c>
      <c r="N1" s="78">
        <v>45425.0</v>
      </c>
      <c r="O1" s="78">
        <v>45426.0</v>
      </c>
      <c r="P1" s="78">
        <v>45427.0</v>
      </c>
      <c r="Q1" s="78">
        <v>45428.0</v>
      </c>
      <c r="R1" s="78">
        <v>45429.0</v>
      </c>
      <c r="S1" s="78">
        <v>45430.0</v>
      </c>
      <c r="T1" s="78">
        <v>45431.0</v>
      </c>
      <c r="U1" s="78">
        <v>45432.0</v>
      </c>
      <c r="V1" s="78">
        <v>45433.0</v>
      </c>
      <c r="W1" s="78">
        <v>45434.0</v>
      </c>
      <c r="X1" s="78">
        <v>45435.0</v>
      </c>
      <c r="Y1" s="78">
        <v>45436.0</v>
      </c>
      <c r="Z1" s="78">
        <v>45437.0</v>
      </c>
      <c r="AA1" s="78">
        <v>45438.0</v>
      </c>
      <c r="AB1" s="78">
        <v>45439.0</v>
      </c>
      <c r="AC1" s="78">
        <v>45440.0</v>
      </c>
      <c r="AD1" s="78">
        <v>45441.0</v>
      </c>
      <c r="AE1" s="78">
        <v>45442.0</v>
      </c>
      <c r="AF1" s="78">
        <v>45443.0</v>
      </c>
      <c r="AG1" s="298"/>
    </row>
    <row r="2">
      <c r="A2" s="80" t="s">
        <v>105</v>
      </c>
      <c r="B2" s="81" t="s">
        <v>0</v>
      </c>
      <c r="C2" s="81" t="s">
        <v>1</v>
      </c>
      <c r="D2" s="81" t="s">
        <v>2</v>
      </c>
      <c r="E2" s="81" t="s">
        <v>3</v>
      </c>
      <c r="F2" s="81" t="s">
        <v>4</v>
      </c>
      <c r="G2" s="81" t="s">
        <v>5</v>
      </c>
      <c r="H2" s="81" t="s">
        <v>6</v>
      </c>
      <c r="I2" s="81" t="s">
        <v>0</v>
      </c>
      <c r="J2" s="81" t="s">
        <v>1</v>
      </c>
      <c r="K2" s="81" t="s">
        <v>2</v>
      </c>
      <c r="L2" s="81" t="s">
        <v>3</v>
      </c>
      <c r="M2" s="81" t="s">
        <v>4</v>
      </c>
      <c r="N2" s="81" t="s">
        <v>5</v>
      </c>
      <c r="O2" s="81" t="s">
        <v>6</v>
      </c>
      <c r="P2" s="81" t="s">
        <v>0</v>
      </c>
      <c r="Q2" s="81" t="s">
        <v>1</v>
      </c>
      <c r="R2" s="81" t="s">
        <v>2</v>
      </c>
      <c r="S2" s="81" t="s">
        <v>3</v>
      </c>
      <c r="T2" s="81" t="s">
        <v>4</v>
      </c>
      <c r="U2" s="81" t="s">
        <v>5</v>
      </c>
      <c r="V2" s="81" t="s">
        <v>6</v>
      </c>
      <c r="W2" s="81" t="s">
        <v>0</v>
      </c>
      <c r="X2" s="81" t="s">
        <v>1</v>
      </c>
      <c r="Y2" s="81" t="s">
        <v>2</v>
      </c>
      <c r="Z2" s="81" t="s">
        <v>3</v>
      </c>
      <c r="AA2" s="81" t="s">
        <v>4</v>
      </c>
      <c r="AB2" s="81" t="s">
        <v>5</v>
      </c>
      <c r="AC2" s="81" t="s">
        <v>6</v>
      </c>
      <c r="AD2" s="81" t="s">
        <v>0</v>
      </c>
      <c r="AE2" s="81" t="s">
        <v>1</v>
      </c>
      <c r="AF2" s="81" t="s">
        <v>2</v>
      </c>
      <c r="AG2" s="298"/>
    </row>
    <row r="3">
      <c r="A3" s="82" t="s">
        <v>106</v>
      </c>
      <c r="B3" s="83"/>
      <c r="C3" s="83"/>
      <c r="D3" s="83"/>
      <c r="E3" s="83"/>
      <c r="F3" s="83"/>
      <c r="G3" s="83"/>
      <c r="H3" s="83"/>
      <c r="I3" s="83"/>
      <c r="J3" s="83"/>
      <c r="K3" s="83"/>
      <c r="L3" s="83"/>
      <c r="M3" s="83"/>
      <c r="N3" s="83"/>
      <c r="O3" s="83"/>
      <c r="P3" s="83"/>
      <c r="Q3" s="83"/>
      <c r="R3" s="83"/>
      <c r="S3" s="83"/>
      <c r="T3" s="83"/>
      <c r="U3" s="83"/>
      <c r="V3" s="83"/>
      <c r="W3" s="83"/>
      <c r="X3" s="83"/>
      <c r="Y3" s="83"/>
      <c r="Z3" s="83"/>
      <c r="AA3" s="83"/>
      <c r="AB3" s="84"/>
      <c r="AC3" s="83"/>
      <c r="AD3" s="83"/>
      <c r="AE3" s="83"/>
      <c r="AF3" s="83"/>
      <c r="AG3" s="298"/>
    </row>
    <row r="4">
      <c r="A4" s="85" t="s">
        <v>96</v>
      </c>
      <c r="B4" s="83"/>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298"/>
    </row>
    <row r="5">
      <c r="A5" s="114" t="s">
        <v>478</v>
      </c>
      <c r="B5" s="299">
        <f>Summary!B58</f>
        <v>89</v>
      </c>
      <c r="C5" s="299">
        <f>Summary!C58</f>
        <v>107</v>
      </c>
      <c r="D5" s="299">
        <f>Summary!D58</f>
        <v>167</v>
      </c>
      <c r="E5" s="300">
        <f>Summary!E58</f>
        <v>252</v>
      </c>
      <c r="F5" s="300">
        <f>Summary!F58</f>
        <v>312</v>
      </c>
      <c r="G5" s="300">
        <f>Summary!G58</f>
        <v>405</v>
      </c>
      <c r="H5" s="300">
        <f>Summary!H58</f>
        <v>418</v>
      </c>
      <c r="I5" s="300">
        <f>Summary!I58</f>
        <v>390</v>
      </c>
      <c r="J5" s="300">
        <f>Summary!J58</f>
        <v>287</v>
      </c>
      <c r="K5" s="300">
        <f>Summary!K58</f>
        <v>257</v>
      </c>
      <c r="L5" s="300">
        <f>Summary!L58</f>
        <v>252</v>
      </c>
      <c r="M5" s="300">
        <f>Summary!M58</f>
        <v>274</v>
      </c>
      <c r="N5" s="300">
        <f>Summary!N58</f>
        <v>138</v>
      </c>
      <c r="O5" s="300">
        <f>Summary!O58</f>
        <v>143</v>
      </c>
      <c r="P5" s="300">
        <f>Summary!P58</f>
        <v>122</v>
      </c>
      <c r="Q5" s="300">
        <f>Summary!Q58</f>
        <v>80</v>
      </c>
      <c r="R5" s="300">
        <f>Summary!R58</f>
        <v>106</v>
      </c>
      <c r="S5" s="300">
        <f>Summary!S58</f>
        <v>122</v>
      </c>
      <c r="T5" s="300">
        <f>Summary!T58</f>
        <v>139</v>
      </c>
      <c r="U5" s="300">
        <f>Summary!U58</f>
        <v>110</v>
      </c>
      <c r="V5" s="300">
        <f>Summary!V58</f>
        <v>110</v>
      </c>
      <c r="W5" s="300">
        <f>Summary!W58</f>
        <v>110</v>
      </c>
      <c r="X5" s="300">
        <f>Summary!X58</f>
        <v>94</v>
      </c>
      <c r="Y5" s="301">
        <f>Summary!Y58</f>
        <v>96</v>
      </c>
      <c r="Z5" s="301">
        <f>Summary!Z58</f>
        <v>105</v>
      </c>
      <c r="AA5" s="301">
        <f>Summary!AA58</f>
        <v>102</v>
      </c>
      <c r="AB5" s="300">
        <f>Summary!AB58</f>
        <v>128</v>
      </c>
      <c r="AC5" s="300">
        <f>Summary!AC58</f>
        <v>81</v>
      </c>
      <c r="AD5" s="300">
        <f>Summary!AD58</f>
        <v>82</v>
      </c>
      <c r="AE5" s="300">
        <f>Summary!AE58</f>
        <v>76</v>
      </c>
      <c r="AF5" s="300">
        <f>Summary!AF58</f>
        <v>90</v>
      </c>
      <c r="AG5" s="302"/>
    </row>
    <row r="6">
      <c r="A6" s="105" t="s">
        <v>115</v>
      </c>
      <c r="B6" s="106">
        <f t="shared" ref="B6:AF6" si="1">SUM(B5)</f>
        <v>89</v>
      </c>
      <c r="C6" s="106">
        <f t="shared" si="1"/>
        <v>107</v>
      </c>
      <c r="D6" s="106">
        <f t="shared" si="1"/>
        <v>167</v>
      </c>
      <c r="E6" s="106">
        <f t="shared" si="1"/>
        <v>252</v>
      </c>
      <c r="F6" s="106">
        <f t="shared" si="1"/>
        <v>312</v>
      </c>
      <c r="G6" s="106">
        <f t="shared" si="1"/>
        <v>405</v>
      </c>
      <c r="H6" s="106">
        <f t="shared" si="1"/>
        <v>418</v>
      </c>
      <c r="I6" s="106">
        <f t="shared" si="1"/>
        <v>390</v>
      </c>
      <c r="J6" s="106">
        <f t="shared" si="1"/>
        <v>287</v>
      </c>
      <c r="K6" s="106">
        <f t="shared" si="1"/>
        <v>257</v>
      </c>
      <c r="L6" s="106">
        <f t="shared" si="1"/>
        <v>252</v>
      </c>
      <c r="M6" s="106">
        <f t="shared" si="1"/>
        <v>274</v>
      </c>
      <c r="N6" s="106">
        <f t="shared" si="1"/>
        <v>138</v>
      </c>
      <c r="O6" s="106">
        <f t="shared" si="1"/>
        <v>143</v>
      </c>
      <c r="P6" s="106">
        <f t="shared" si="1"/>
        <v>122</v>
      </c>
      <c r="Q6" s="106">
        <f t="shared" si="1"/>
        <v>80</v>
      </c>
      <c r="R6" s="106">
        <f t="shared" si="1"/>
        <v>106</v>
      </c>
      <c r="S6" s="106">
        <f t="shared" si="1"/>
        <v>122</v>
      </c>
      <c r="T6" s="106">
        <f t="shared" si="1"/>
        <v>139</v>
      </c>
      <c r="U6" s="106">
        <f t="shared" si="1"/>
        <v>110</v>
      </c>
      <c r="V6" s="106">
        <f t="shared" si="1"/>
        <v>110</v>
      </c>
      <c r="W6" s="106">
        <f t="shared" si="1"/>
        <v>110</v>
      </c>
      <c r="X6" s="106">
        <f t="shared" si="1"/>
        <v>94</v>
      </c>
      <c r="Y6" s="106">
        <f t="shared" si="1"/>
        <v>96</v>
      </c>
      <c r="Z6" s="106">
        <f t="shared" si="1"/>
        <v>105</v>
      </c>
      <c r="AA6" s="106">
        <f t="shared" si="1"/>
        <v>102</v>
      </c>
      <c r="AB6" s="106">
        <f t="shared" si="1"/>
        <v>128</v>
      </c>
      <c r="AC6" s="106">
        <f t="shared" si="1"/>
        <v>81</v>
      </c>
      <c r="AD6" s="106">
        <f t="shared" si="1"/>
        <v>82</v>
      </c>
      <c r="AE6" s="106">
        <f t="shared" si="1"/>
        <v>76</v>
      </c>
      <c r="AF6" s="106">
        <f t="shared" si="1"/>
        <v>90</v>
      </c>
      <c r="AG6" s="303">
        <f>SUM(B6:AF6)</f>
        <v>5244</v>
      </c>
    </row>
    <row r="7">
      <c r="A7" s="98"/>
      <c r="B7" s="83"/>
      <c r="C7" s="83"/>
      <c r="D7" s="83"/>
      <c r="E7" s="83"/>
      <c r="F7" s="83"/>
      <c r="G7" s="83"/>
      <c r="H7" s="83"/>
      <c r="I7" s="83"/>
      <c r="J7" s="83"/>
      <c r="K7" s="83"/>
      <c r="L7" s="83"/>
      <c r="M7" s="83"/>
      <c r="N7" s="83"/>
      <c r="O7" s="83"/>
      <c r="P7" s="83"/>
      <c r="Q7" s="83"/>
      <c r="R7" s="83"/>
      <c r="S7" s="83"/>
      <c r="T7" s="83"/>
      <c r="U7" s="83"/>
      <c r="V7" s="83"/>
      <c r="W7" s="83"/>
      <c r="X7" s="83"/>
      <c r="Y7" s="83"/>
      <c r="Z7" s="83"/>
      <c r="AA7" s="83"/>
      <c r="AB7" s="83"/>
      <c r="AC7" s="83"/>
      <c r="AD7" s="83"/>
      <c r="AE7" s="83"/>
      <c r="AF7" s="83"/>
      <c r="AG7" s="304"/>
    </row>
    <row r="8">
      <c r="A8" s="108" t="s">
        <v>89</v>
      </c>
      <c r="B8" s="83"/>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304"/>
    </row>
    <row r="9">
      <c r="A9" s="114" t="s">
        <v>478</v>
      </c>
      <c r="B9" s="305">
        <f>Summary!B16</f>
        <v>11611.55</v>
      </c>
      <c r="C9" s="305">
        <f>Summary!C16</f>
        <v>12638.02</v>
      </c>
      <c r="D9" s="305">
        <f>Summary!D16</f>
        <v>28708.19</v>
      </c>
      <c r="E9" s="306">
        <f>Summary!E16</f>
        <v>53237.58</v>
      </c>
      <c r="F9" s="306">
        <f>Summary!F16</f>
        <v>57707.56</v>
      </c>
      <c r="G9" s="306">
        <f>Summary!G16</f>
        <v>83145.42</v>
      </c>
      <c r="H9" s="306">
        <f>Summary!H16</f>
        <v>86587.82</v>
      </c>
      <c r="I9" s="306">
        <f>Summary!I16</f>
        <v>84034.12</v>
      </c>
      <c r="J9" s="306">
        <f>Summary!J16</f>
        <v>68911.96</v>
      </c>
      <c r="K9" s="306">
        <f>Summary!K16</f>
        <v>60652.75</v>
      </c>
      <c r="L9" s="306">
        <f>Summary!L16</f>
        <v>45367.27</v>
      </c>
      <c r="M9" s="306">
        <f>Summary!M16</f>
        <v>45033.54</v>
      </c>
      <c r="N9" s="306">
        <f>Summary!N16</f>
        <v>25515.93</v>
      </c>
      <c r="O9" s="306">
        <f>Summary!O16</f>
        <v>23681.23</v>
      </c>
      <c r="P9" s="306">
        <f>Summary!P16</f>
        <v>24509.6</v>
      </c>
      <c r="Q9" s="306">
        <f>Summary!Q16</f>
        <v>18459.22</v>
      </c>
      <c r="R9" s="306">
        <f>Summary!R16</f>
        <v>14731.06</v>
      </c>
      <c r="S9" s="306">
        <f>Summary!S16</f>
        <v>21416.86</v>
      </c>
      <c r="T9" s="306">
        <f>Summary!T16</f>
        <v>19822.97</v>
      </c>
      <c r="U9" s="306">
        <f>Summary!U16</f>
        <v>25368.52</v>
      </c>
      <c r="V9" s="306">
        <f>Summary!V16</f>
        <v>16838.34</v>
      </c>
      <c r="W9" s="306">
        <f>Summary!W16</f>
        <v>27824.62</v>
      </c>
      <c r="X9" s="306">
        <f>Summary!X16</f>
        <v>14773.94</v>
      </c>
      <c r="Y9" s="306">
        <f>Summary!Y16</f>
        <v>19219.34</v>
      </c>
      <c r="Z9" s="306">
        <f>Summary!Z16</f>
        <v>18955.58</v>
      </c>
      <c r="AA9" s="306">
        <f>Summary!AA16</f>
        <v>17504.03</v>
      </c>
      <c r="AB9" s="306">
        <f>Summary!AB16</f>
        <v>20753.58</v>
      </c>
      <c r="AC9" s="306">
        <f>Summary!AC16</f>
        <v>16414.13</v>
      </c>
      <c r="AD9" s="306">
        <f>Summary!AD16</f>
        <v>15703.48</v>
      </c>
      <c r="AE9" s="306">
        <f>Summary!AE16</f>
        <v>14168.37</v>
      </c>
      <c r="AF9" s="306">
        <f>Summary!AF16</f>
        <v>16639.95</v>
      </c>
      <c r="AG9" s="302"/>
    </row>
    <row r="10">
      <c r="A10" s="105" t="s">
        <v>115</v>
      </c>
      <c r="B10" s="119">
        <f t="shared" ref="B10:AF10" si="2">SUM(B9)</f>
        <v>11611.55</v>
      </c>
      <c r="C10" s="119">
        <f t="shared" si="2"/>
        <v>12638.02</v>
      </c>
      <c r="D10" s="119">
        <f t="shared" si="2"/>
        <v>28708.19</v>
      </c>
      <c r="E10" s="119">
        <f t="shared" si="2"/>
        <v>53237.58</v>
      </c>
      <c r="F10" s="119">
        <f t="shared" si="2"/>
        <v>57707.56</v>
      </c>
      <c r="G10" s="119">
        <f t="shared" si="2"/>
        <v>83145.42</v>
      </c>
      <c r="H10" s="119">
        <f t="shared" si="2"/>
        <v>86587.82</v>
      </c>
      <c r="I10" s="119">
        <f t="shared" si="2"/>
        <v>84034.12</v>
      </c>
      <c r="J10" s="119">
        <f t="shared" si="2"/>
        <v>68911.96</v>
      </c>
      <c r="K10" s="119">
        <f t="shared" si="2"/>
        <v>60652.75</v>
      </c>
      <c r="L10" s="119">
        <f t="shared" si="2"/>
        <v>45367.27</v>
      </c>
      <c r="M10" s="119">
        <f t="shared" si="2"/>
        <v>45033.54</v>
      </c>
      <c r="N10" s="119">
        <f t="shared" si="2"/>
        <v>25515.93</v>
      </c>
      <c r="O10" s="119">
        <f t="shared" si="2"/>
        <v>23681.23</v>
      </c>
      <c r="P10" s="119">
        <f t="shared" si="2"/>
        <v>24509.6</v>
      </c>
      <c r="Q10" s="119">
        <f t="shared" si="2"/>
        <v>18459.22</v>
      </c>
      <c r="R10" s="119">
        <f t="shared" si="2"/>
        <v>14731.06</v>
      </c>
      <c r="S10" s="119">
        <f t="shared" si="2"/>
        <v>21416.86</v>
      </c>
      <c r="T10" s="119">
        <f t="shared" si="2"/>
        <v>19822.97</v>
      </c>
      <c r="U10" s="119">
        <f t="shared" si="2"/>
        <v>25368.52</v>
      </c>
      <c r="V10" s="119">
        <f t="shared" si="2"/>
        <v>16838.34</v>
      </c>
      <c r="W10" s="119">
        <f t="shared" si="2"/>
        <v>27824.62</v>
      </c>
      <c r="X10" s="119">
        <f t="shared" si="2"/>
        <v>14773.94</v>
      </c>
      <c r="Y10" s="119">
        <f t="shared" si="2"/>
        <v>19219.34</v>
      </c>
      <c r="Z10" s="119">
        <f t="shared" si="2"/>
        <v>18955.58</v>
      </c>
      <c r="AA10" s="119">
        <f t="shared" si="2"/>
        <v>17504.03</v>
      </c>
      <c r="AB10" s="119">
        <f t="shared" si="2"/>
        <v>20753.58</v>
      </c>
      <c r="AC10" s="119">
        <f t="shared" si="2"/>
        <v>16414.13</v>
      </c>
      <c r="AD10" s="119">
        <f t="shared" si="2"/>
        <v>15703.48</v>
      </c>
      <c r="AE10" s="119">
        <f t="shared" si="2"/>
        <v>14168.37</v>
      </c>
      <c r="AF10" s="119">
        <f t="shared" si="2"/>
        <v>16639.95</v>
      </c>
      <c r="AG10" s="303">
        <f>SUM(B10:AF10)</f>
        <v>1009936.53</v>
      </c>
    </row>
    <row r="11">
      <c r="A11" s="98"/>
      <c r="B11" s="83"/>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304"/>
    </row>
    <row r="12">
      <c r="A12" s="121" t="s">
        <v>116</v>
      </c>
      <c r="B12" s="83"/>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304"/>
    </row>
    <row r="13">
      <c r="A13" s="86" t="s">
        <v>61</v>
      </c>
      <c r="B13" s="260">
        <f>Summary!B81</f>
        <v>1768.51</v>
      </c>
      <c r="C13" s="260">
        <f>Summary!C81</f>
        <v>1734.2</v>
      </c>
      <c r="D13" s="260">
        <f>Summary!D81</f>
        <v>2894.47</v>
      </c>
      <c r="E13" s="203">
        <f>Summary!E81</f>
        <v>3285.56</v>
      </c>
      <c r="F13" s="203">
        <f>Summary!F81</f>
        <v>3568.14</v>
      </c>
      <c r="G13" s="203">
        <f>Summary!G81</f>
        <v>3972.97</v>
      </c>
      <c r="H13" s="203">
        <f>Summary!H81</f>
        <v>3776.29</v>
      </c>
      <c r="I13" s="203">
        <f>Summary!I81</f>
        <v>3738.21</v>
      </c>
      <c r="J13" s="203">
        <f>Summary!J81</f>
        <v>1997.23</v>
      </c>
      <c r="K13" s="203">
        <f>Summary!K81</f>
        <v>1606.06</v>
      </c>
      <c r="L13" s="203">
        <f>Summary!L81</f>
        <v>1549.22</v>
      </c>
      <c r="M13" s="203">
        <f>Summary!M81</f>
        <v>1667.76</v>
      </c>
      <c r="N13" s="203">
        <f>Summary!N81</f>
        <v>2365.31</v>
      </c>
      <c r="O13" s="203">
        <f>Summary!O81</f>
        <v>2170.16</v>
      </c>
      <c r="P13" s="203">
        <f>Summary!P81</f>
        <v>2114.39</v>
      </c>
      <c r="Q13" s="203">
        <f>Summary!Q81</f>
        <v>2150.83</v>
      </c>
      <c r="R13" s="203">
        <f>Summary!R81</f>
        <v>1933.38</v>
      </c>
      <c r="S13" s="203">
        <f>Summary!S81</f>
        <v>2123.65</v>
      </c>
      <c r="T13" s="203">
        <f>Summary!T81</f>
        <v>2412.85</v>
      </c>
      <c r="U13" s="203">
        <f>Summary!U81</f>
        <v>2021.29</v>
      </c>
      <c r="V13" s="203">
        <f>Summary!V81</f>
        <v>2066.88</v>
      </c>
      <c r="W13" s="203">
        <f>Summary!W81</f>
        <v>2024.14</v>
      </c>
      <c r="X13" s="203">
        <f>Summary!X81</f>
        <v>2066.31</v>
      </c>
      <c r="Y13" s="203">
        <f>Summary!Y81</f>
        <v>2614.46</v>
      </c>
      <c r="Z13" s="203">
        <f>Summary!Z81</f>
        <v>3160.64</v>
      </c>
      <c r="AA13" s="203">
        <f>Summary!AA81</f>
        <v>2327.51</v>
      </c>
      <c r="AB13" s="203">
        <f>Summary!AB81</f>
        <v>2490.07</v>
      </c>
      <c r="AC13" s="203">
        <f>Summary!AC81</f>
        <v>1956.37</v>
      </c>
      <c r="AD13" s="203">
        <f>Summary!AD81</f>
        <v>2410.94</v>
      </c>
      <c r="AE13" s="203">
        <f>Summary!AE81</f>
        <v>2066.06</v>
      </c>
      <c r="AF13" s="203">
        <f>Summary!AF81</f>
        <v>2168.52</v>
      </c>
      <c r="AG13" s="303">
        <f>SUM(B13:AF13)</f>
        <v>74202.38</v>
      </c>
    </row>
    <row r="14">
      <c r="A14" s="114" t="s">
        <v>479</v>
      </c>
      <c r="B14" s="261">
        <f>B9*'Data - P&amp;L'!$C$48</f>
        <v>1741.7325</v>
      </c>
      <c r="C14" s="261">
        <f>C9*'Data - P&amp;L'!$C$48</f>
        <v>1895.703</v>
      </c>
      <c r="D14" s="261">
        <f>D9*'Data - P&amp;L'!$C$48</f>
        <v>4306.2285</v>
      </c>
      <c r="E14" s="261">
        <f>E9*'Data - P&amp;L'!$C$48</f>
        <v>7985.637</v>
      </c>
      <c r="F14" s="261">
        <f>F9*'Data - P&amp;L'!$C$48</f>
        <v>8656.134</v>
      </c>
      <c r="G14" s="261">
        <f>G9*'Data - P&amp;L'!$C$48</f>
        <v>12471.813</v>
      </c>
      <c r="H14" s="261">
        <f>H9*'Data - P&amp;L'!$C$48</f>
        <v>12988.173</v>
      </c>
      <c r="I14" s="261">
        <f>I9*'Data - P&amp;L'!$C$48</f>
        <v>12605.118</v>
      </c>
      <c r="J14" s="261">
        <f>J9*'Data - P&amp;L'!$C$48</f>
        <v>10336.794</v>
      </c>
      <c r="K14" s="261">
        <f>K9*'Data - P&amp;L'!$C$48</f>
        <v>9097.9125</v>
      </c>
      <c r="L14" s="261">
        <f>L9*'Data - P&amp;L'!$C$48</f>
        <v>6805.0905</v>
      </c>
      <c r="M14" s="261">
        <f>M9*'Data - P&amp;L'!$C$48</f>
        <v>6755.031</v>
      </c>
      <c r="N14" s="261">
        <f>N9*'Data - P&amp;L'!$C$48</f>
        <v>3827.3895</v>
      </c>
      <c r="O14" s="261">
        <f>O9*'Data - P&amp;L'!$C$48</f>
        <v>3552.1845</v>
      </c>
      <c r="P14" s="261">
        <f>P9*'Data - P&amp;L'!$C$48</f>
        <v>3676.44</v>
      </c>
      <c r="Q14" s="261">
        <f>Q9*'Data - P&amp;L'!$C$48</f>
        <v>2768.883</v>
      </c>
      <c r="R14" s="261">
        <f>R9*'Data - P&amp;L'!$C$48</f>
        <v>2209.659</v>
      </c>
      <c r="S14" s="261">
        <f>S9*'Data - P&amp;L'!$C$48</f>
        <v>3212.529</v>
      </c>
      <c r="T14" s="261">
        <f>T9*'Data - P&amp;L'!$C$48</f>
        <v>2973.4455</v>
      </c>
      <c r="U14" s="261">
        <f>U9*'Data - P&amp;L'!$C$48</f>
        <v>3805.278</v>
      </c>
      <c r="V14" s="261">
        <f>V9*'Data - P&amp;L'!$C$48</f>
        <v>2525.751</v>
      </c>
      <c r="W14" s="261">
        <f>W9*'Data - P&amp;L'!$C$48</f>
        <v>4173.693</v>
      </c>
      <c r="X14" s="261">
        <f>X9*'Data - P&amp;L'!$C$48</f>
        <v>2216.091</v>
      </c>
      <c r="Y14" s="261">
        <f>Y9*'Data - P&amp;L'!$C$48</f>
        <v>2882.901</v>
      </c>
      <c r="Z14" s="261">
        <f>Z9*'Data - P&amp;L'!$C$48</f>
        <v>2843.337</v>
      </c>
      <c r="AA14" s="261">
        <f>AA9*'Data - P&amp;L'!$C$48</f>
        <v>2625.6045</v>
      </c>
      <c r="AB14" s="261">
        <f>AB9*'Data - P&amp;L'!$C$48</f>
        <v>3113.037</v>
      </c>
      <c r="AC14" s="261">
        <f>AC9*'Data - P&amp;L'!$C$48</f>
        <v>2462.1195</v>
      </c>
      <c r="AD14" s="261">
        <f>AD9*'Data - P&amp;L'!$C$48</f>
        <v>2355.522</v>
      </c>
      <c r="AE14" s="261">
        <f>AE9*'Data - P&amp;L'!$C$48</f>
        <v>2125.2555</v>
      </c>
      <c r="AF14" s="261">
        <f>AF9*'Data - P&amp;L'!$C$48</f>
        <v>2495.9925</v>
      </c>
      <c r="AG14" s="302"/>
    </row>
    <row r="15">
      <c r="A15" s="105" t="s">
        <v>115</v>
      </c>
      <c r="B15" s="119">
        <f t="shared" ref="B15:AF15" si="3">SUM(B13:B14)</f>
        <v>3510.2425</v>
      </c>
      <c r="C15" s="119">
        <f t="shared" si="3"/>
        <v>3629.903</v>
      </c>
      <c r="D15" s="119">
        <f t="shared" si="3"/>
        <v>7200.6985</v>
      </c>
      <c r="E15" s="119">
        <f t="shared" si="3"/>
        <v>11271.197</v>
      </c>
      <c r="F15" s="119">
        <f t="shared" si="3"/>
        <v>12224.274</v>
      </c>
      <c r="G15" s="119">
        <f t="shared" si="3"/>
        <v>16444.783</v>
      </c>
      <c r="H15" s="119">
        <f t="shared" si="3"/>
        <v>16764.463</v>
      </c>
      <c r="I15" s="119">
        <f t="shared" si="3"/>
        <v>16343.328</v>
      </c>
      <c r="J15" s="119">
        <f t="shared" si="3"/>
        <v>12334.024</v>
      </c>
      <c r="K15" s="119">
        <f t="shared" si="3"/>
        <v>10703.9725</v>
      </c>
      <c r="L15" s="119">
        <f t="shared" si="3"/>
        <v>8354.3105</v>
      </c>
      <c r="M15" s="119">
        <f t="shared" si="3"/>
        <v>8422.791</v>
      </c>
      <c r="N15" s="119">
        <f t="shared" si="3"/>
        <v>6192.6995</v>
      </c>
      <c r="O15" s="119">
        <f t="shared" si="3"/>
        <v>5722.3445</v>
      </c>
      <c r="P15" s="119">
        <f t="shared" si="3"/>
        <v>5790.83</v>
      </c>
      <c r="Q15" s="119">
        <f t="shared" si="3"/>
        <v>4919.713</v>
      </c>
      <c r="R15" s="119">
        <f t="shared" si="3"/>
        <v>4143.039</v>
      </c>
      <c r="S15" s="119">
        <f t="shared" si="3"/>
        <v>5336.179</v>
      </c>
      <c r="T15" s="119">
        <f t="shared" si="3"/>
        <v>5386.2955</v>
      </c>
      <c r="U15" s="119">
        <f t="shared" si="3"/>
        <v>5826.568</v>
      </c>
      <c r="V15" s="119">
        <f t="shared" si="3"/>
        <v>4592.631</v>
      </c>
      <c r="W15" s="119">
        <f t="shared" si="3"/>
        <v>6197.833</v>
      </c>
      <c r="X15" s="119">
        <f t="shared" si="3"/>
        <v>4282.401</v>
      </c>
      <c r="Y15" s="119">
        <f t="shared" si="3"/>
        <v>5497.361</v>
      </c>
      <c r="Z15" s="119">
        <f t="shared" si="3"/>
        <v>6003.977</v>
      </c>
      <c r="AA15" s="119">
        <f t="shared" si="3"/>
        <v>4953.1145</v>
      </c>
      <c r="AB15" s="119">
        <f t="shared" si="3"/>
        <v>5603.107</v>
      </c>
      <c r="AC15" s="119">
        <f t="shared" si="3"/>
        <v>4418.4895</v>
      </c>
      <c r="AD15" s="125">
        <f t="shared" si="3"/>
        <v>4766.462</v>
      </c>
      <c r="AE15" s="125">
        <f t="shared" si="3"/>
        <v>4191.3155</v>
      </c>
      <c r="AF15" s="125">
        <f t="shared" si="3"/>
        <v>4664.5125</v>
      </c>
      <c r="AG15" s="303">
        <f>SUM(B15:AF15)</f>
        <v>225692.8595</v>
      </c>
    </row>
    <row r="16">
      <c r="A16" s="98"/>
      <c r="B16" s="83"/>
      <c r="C16" s="83"/>
      <c r="D16" s="83"/>
      <c r="E16" s="83"/>
      <c r="F16" s="83"/>
      <c r="G16" s="83"/>
      <c r="H16" s="83"/>
      <c r="I16" s="83"/>
      <c r="J16" s="83"/>
      <c r="K16" s="83"/>
      <c r="L16" s="83"/>
      <c r="M16" s="83"/>
      <c r="N16" s="83"/>
      <c r="O16" s="83"/>
      <c r="P16" s="83"/>
      <c r="Q16" s="83"/>
      <c r="R16" s="83"/>
      <c r="S16" s="83"/>
      <c r="T16" s="83"/>
      <c r="U16" s="83"/>
      <c r="V16" s="83"/>
      <c r="W16" s="83"/>
      <c r="X16" s="83"/>
      <c r="Y16" s="83"/>
      <c r="Z16" s="83"/>
      <c r="AA16" s="83"/>
      <c r="AB16" s="83"/>
      <c r="AC16" s="83"/>
      <c r="AD16" s="83"/>
      <c r="AE16" s="83"/>
      <c r="AF16" s="83"/>
      <c r="AG16" s="304"/>
    </row>
    <row r="17">
      <c r="A17" s="129"/>
      <c r="B17" s="130"/>
      <c r="C17" s="130"/>
      <c r="D17" s="130"/>
      <c r="E17" s="130"/>
      <c r="F17" s="130"/>
      <c r="G17" s="130"/>
      <c r="H17" s="130"/>
      <c r="I17" s="130"/>
      <c r="J17" s="130"/>
      <c r="K17" s="130"/>
      <c r="L17" s="130"/>
      <c r="M17" s="130"/>
      <c r="N17" s="130"/>
      <c r="O17" s="130"/>
      <c r="P17" s="130"/>
      <c r="Q17" s="130"/>
      <c r="R17" s="130"/>
      <c r="S17" s="130"/>
      <c r="T17" s="130"/>
      <c r="U17" s="130"/>
      <c r="V17" s="130"/>
      <c r="W17" s="130"/>
      <c r="X17" s="130"/>
      <c r="Y17" s="130"/>
      <c r="Z17" s="130"/>
      <c r="AA17" s="130"/>
      <c r="AB17" s="130"/>
      <c r="AC17" s="130"/>
      <c r="AD17" s="130"/>
      <c r="AE17" s="130"/>
      <c r="AF17" s="130"/>
      <c r="AG17" s="298"/>
    </row>
    <row r="18">
      <c r="A18" s="98"/>
      <c r="B18" s="83"/>
      <c r="C18" s="83"/>
      <c r="D18" s="83"/>
      <c r="E18" s="83"/>
      <c r="F18" s="83"/>
      <c r="G18" s="83"/>
      <c r="H18" s="83"/>
      <c r="I18" s="83"/>
      <c r="J18" s="83"/>
      <c r="K18" s="83"/>
      <c r="L18" s="83"/>
      <c r="M18" s="83"/>
      <c r="N18" s="83"/>
      <c r="O18" s="83"/>
      <c r="P18" s="83"/>
      <c r="Q18" s="83"/>
      <c r="R18" s="83"/>
      <c r="S18" s="83"/>
      <c r="T18" s="83"/>
      <c r="U18" s="83"/>
      <c r="V18" s="83"/>
      <c r="W18" s="83"/>
      <c r="X18" s="83"/>
      <c r="Y18" s="83"/>
      <c r="Z18" s="83"/>
      <c r="AA18" s="83"/>
      <c r="AB18" s="83"/>
      <c r="AC18" s="83"/>
      <c r="AD18" s="83"/>
      <c r="AE18" s="83"/>
      <c r="AF18" s="83"/>
      <c r="AG18" s="307"/>
    </row>
    <row r="19">
      <c r="A19" s="145" t="s">
        <v>48</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6"/>
      <c r="AB19" s="146"/>
      <c r="AC19" s="146"/>
      <c r="AD19" s="146"/>
      <c r="AE19" s="146"/>
      <c r="AF19" s="146"/>
      <c r="AG19" s="308"/>
    </row>
    <row r="20">
      <c r="A20" s="147" t="s">
        <v>480</v>
      </c>
      <c r="B20" s="148">
        <f>Summary!B17</f>
        <v>9618.56</v>
      </c>
      <c r="C20" s="148">
        <f>Summary!C17</f>
        <v>10274.56</v>
      </c>
      <c r="D20" s="148">
        <f>Summary!D17</f>
        <v>25155.12</v>
      </c>
      <c r="E20" s="148">
        <f>Summary!E17</f>
        <v>47228.56</v>
      </c>
      <c r="F20" s="148">
        <f>Summary!F17</f>
        <v>50218.24</v>
      </c>
      <c r="G20" s="148">
        <f>Summary!G17</f>
        <v>73785.16</v>
      </c>
      <c r="H20" s="148">
        <f>Summary!H17</f>
        <v>77132.98</v>
      </c>
      <c r="I20" s="148">
        <f>Summary!I17</f>
        <v>74457.21</v>
      </c>
      <c r="J20" s="148">
        <f>Summary!J17</f>
        <v>61433.73</v>
      </c>
      <c r="K20" s="148">
        <f>Summary!K17</f>
        <v>53643.85</v>
      </c>
      <c r="L20" s="148">
        <f>Summary!L17</f>
        <v>39657.59</v>
      </c>
      <c r="M20" s="148">
        <f>Summary!M17</f>
        <v>37515.27</v>
      </c>
      <c r="N20" s="148">
        <f>Summary!N17</f>
        <v>21183.88</v>
      </c>
      <c r="O20" s="148">
        <f>Summary!O17</f>
        <v>19788.56</v>
      </c>
      <c r="P20" s="148">
        <f>Summary!P17</f>
        <v>21033.8</v>
      </c>
      <c r="Q20" s="148">
        <f>Summary!Q17</f>
        <v>16125.92</v>
      </c>
      <c r="R20" s="148">
        <f>Summary!R17</f>
        <v>12135.56</v>
      </c>
      <c r="S20" s="148">
        <f>Summary!S17</f>
        <v>18055.56</v>
      </c>
      <c r="T20" s="148">
        <f>Summary!T17</f>
        <v>16504</v>
      </c>
      <c r="U20" s="148">
        <f>Summary!U17</f>
        <v>21703.56</v>
      </c>
      <c r="V20" s="148">
        <f>Summary!V17</f>
        <v>14052</v>
      </c>
      <c r="W20" s="148">
        <f>Summary!W17</f>
        <v>23911.68</v>
      </c>
      <c r="X20" s="148">
        <f>Summary!X17</f>
        <v>12614.56</v>
      </c>
      <c r="Y20" s="148">
        <f>Summary!Y17</f>
        <v>16384</v>
      </c>
      <c r="Z20" s="148">
        <f>Summary!Z17</f>
        <v>16499.12</v>
      </c>
      <c r="AA20" s="148">
        <f>Summary!AA17</f>
        <v>14949</v>
      </c>
      <c r="AB20" s="148">
        <f>Summary!AB17</f>
        <v>17102</v>
      </c>
      <c r="AC20" s="148">
        <f>Summary!AC17</f>
        <v>14112</v>
      </c>
      <c r="AD20" s="148">
        <f>Summary!AD17</f>
        <v>13691.56</v>
      </c>
      <c r="AE20" s="148">
        <f>Summary!AE17</f>
        <v>12136.56</v>
      </c>
      <c r="AF20" s="148">
        <f>Summary!AF17</f>
        <v>13990.56</v>
      </c>
      <c r="AG20" s="309">
        <f t="shared" ref="AG20:AG25" si="4">SUM(B20:AF20)</f>
        <v>876094.71</v>
      </c>
    </row>
    <row r="21">
      <c r="A21" s="147" t="s">
        <v>481</v>
      </c>
      <c r="B21" s="148">
        <f>Summary!B18</f>
        <v>1236</v>
      </c>
      <c r="C21" s="148">
        <f>Summary!C18</f>
        <v>1548</v>
      </c>
      <c r="D21" s="148">
        <f>Summary!D18</f>
        <v>1605</v>
      </c>
      <c r="E21" s="148">
        <f>Summary!E18</f>
        <v>2462.12</v>
      </c>
      <c r="F21" s="148">
        <f>Summary!F18</f>
        <v>3699</v>
      </c>
      <c r="G21" s="148">
        <f>Summary!G18</f>
        <v>3759.8</v>
      </c>
      <c r="H21" s="148">
        <f>Summary!H18</f>
        <v>3591.12</v>
      </c>
      <c r="I21" s="148">
        <f>Summary!I18</f>
        <v>3883.8</v>
      </c>
      <c r="J21" s="148">
        <f>Summary!J18</f>
        <v>2962.68</v>
      </c>
      <c r="K21" s="148">
        <f>Summary!K18</f>
        <v>2918.12</v>
      </c>
      <c r="L21" s="148">
        <f>Summary!L18</f>
        <v>2617.8</v>
      </c>
      <c r="M21" s="148">
        <f>Summary!M18</f>
        <v>4459.24</v>
      </c>
      <c r="N21" s="148">
        <f>Summary!N18</f>
        <v>2670</v>
      </c>
      <c r="O21" s="148">
        <f>Summary!O18</f>
        <v>2361</v>
      </c>
      <c r="P21" s="148">
        <f>Summary!P18</f>
        <v>1809.68</v>
      </c>
      <c r="Q21" s="148">
        <f>Summary!Q18</f>
        <v>1090.56</v>
      </c>
      <c r="R21" s="148">
        <f>Summary!R18</f>
        <v>1582.56</v>
      </c>
      <c r="S21" s="148">
        <f>Summary!S18</f>
        <v>1930.56</v>
      </c>
      <c r="T21" s="148">
        <f>Summary!T18</f>
        <v>1920.8</v>
      </c>
      <c r="U21" s="148">
        <f>Summary!U18</f>
        <v>1907</v>
      </c>
      <c r="V21" s="148">
        <f>Summary!V18</f>
        <v>1692</v>
      </c>
      <c r="W21" s="148">
        <f>Summary!W18</f>
        <v>2046</v>
      </c>
      <c r="X21" s="148">
        <f>Summary!X18</f>
        <v>1169</v>
      </c>
      <c r="Y21" s="148">
        <f>Summary!Y18</f>
        <v>1561.12</v>
      </c>
      <c r="Z21" s="148">
        <f>Summary!Z18</f>
        <v>1130</v>
      </c>
      <c r="AA21" s="148">
        <f>Summary!AA18</f>
        <v>1416.56</v>
      </c>
      <c r="AB21" s="148">
        <f>Summary!AB18</f>
        <v>2272</v>
      </c>
      <c r="AC21" s="148">
        <f>Summary!AC18</f>
        <v>1131</v>
      </c>
      <c r="AD21" s="148">
        <f>Summary!AD18</f>
        <v>977</v>
      </c>
      <c r="AE21" s="148">
        <f>Summary!AE18</f>
        <v>1080.56</v>
      </c>
      <c r="AF21" s="148">
        <f>Summary!AF18</f>
        <v>1577.12</v>
      </c>
      <c r="AG21" s="309">
        <f t="shared" si="4"/>
        <v>66067.2</v>
      </c>
    </row>
    <row r="22">
      <c r="A22" s="147" t="s">
        <v>482</v>
      </c>
      <c r="B22" s="148">
        <f>Summary!B19</f>
        <v>756.74</v>
      </c>
      <c r="C22" s="148">
        <f>Summary!C19</f>
        <v>783.21</v>
      </c>
      <c r="D22" s="148">
        <f>Summary!D19</f>
        <v>1874.14</v>
      </c>
      <c r="E22" s="148">
        <f>Summary!E19</f>
        <v>3497.26</v>
      </c>
      <c r="F22" s="148">
        <f>Summary!F19</f>
        <v>3680.15</v>
      </c>
      <c r="G22" s="148">
        <f>Summary!G19</f>
        <v>5467.42</v>
      </c>
      <c r="H22" s="148">
        <f>Summary!H19</f>
        <v>5713.12</v>
      </c>
      <c r="I22" s="148">
        <f>Summary!I19</f>
        <v>5574.84</v>
      </c>
      <c r="J22" s="148">
        <f>Summary!J19</f>
        <v>4396.93</v>
      </c>
      <c r="K22" s="148">
        <f>Summary!K19</f>
        <v>3959.1</v>
      </c>
      <c r="L22" s="148">
        <f>Summary!L19</f>
        <v>3000.76</v>
      </c>
      <c r="M22" s="148">
        <f>Summary!M19</f>
        <v>3010.8</v>
      </c>
      <c r="N22" s="148">
        <f>Summary!N19</f>
        <v>1620.14</v>
      </c>
      <c r="O22" s="148">
        <f>Summary!O19</f>
        <v>1495.27</v>
      </c>
      <c r="P22" s="148">
        <f>Summary!P19</f>
        <v>1626.63</v>
      </c>
      <c r="Q22" s="148">
        <f>Summary!Q19</f>
        <v>1224.77</v>
      </c>
      <c r="R22" s="148">
        <f>Summary!R19</f>
        <v>991.21</v>
      </c>
      <c r="S22" s="148">
        <f>Summary!S19</f>
        <v>1408.55</v>
      </c>
      <c r="T22" s="148">
        <f>Summary!T19</f>
        <v>1342.92</v>
      </c>
      <c r="U22" s="148">
        <f>Summary!U19</f>
        <v>1718.23</v>
      </c>
      <c r="V22" s="148">
        <f>Summary!V19</f>
        <v>1066.4</v>
      </c>
      <c r="W22" s="148">
        <f>Summary!W19</f>
        <v>1811.17</v>
      </c>
      <c r="X22" s="148">
        <f>Summary!X19</f>
        <v>968.47</v>
      </c>
      <c r="Y22" s="148">
        <f>Summary!Y19</f>
        <v>1257.75</v>
      </c>
      <c r="Z22" s="148">
        <f>Summary!Z19</f>
        <v>1289.02</v>
      </c>
      <c r="AA22" s="148">
        <f>Summary!AA19</f>
        <v>1129.24</v>
      </c>
      <c r="AB22" s="148">
        <f>Summary!AB19</f>
        <v>1354.93</v>
      </c>
      <c r="AC22" s="148">
        <f>Summary!AC19</f>
        <v>1150.36</v>
      </c>
      <c r="AD22" s="148">
        <f>Summary!AD19</f>
        <v>1012.01</v>
      </c>
      <c r="AE22" s="148">
        <f>Summary!AE19</f>
        <v>950.75</v>
      </c>
      <c r="AF22" s="148">
        <f>Summary!AF19</f>
        <v>1067.87</v>
      </c>
      <c r="AG22" s="309">
        <f t="shared" si="4"/>
        <v>66200.16</v>
      </c>
    </row>
    <row r="23">
      <c r="A23" s="147" t="s">
        <v>483</v>
      </c>
      <c r="B23" s="148">
        <f>Summary!B20</f>
        <v>0.08</v>
      </c>
      <c r="C23" s="148">
        <f>Summary!C20</f>
        <v>18.61</v>
      </c>
      <c r="D23" s="148">
        <f>Summary!D20</f>
        <v>46.65</v>
      </c>
      <c r="E23" s="148">
        <f>Summary!E20</f>
        <v>0.24</v>
      </c>
      <c r="F23" s="148">
        <f>Summary!F20</f>
        <v>61.1</v>
      </c>
      <c r="G23" s="148">
        <f>Summary!G20</f>
        <v>69.15</v>
      </c>
      <c r="H23" s="148">
        <f>Summary!H20</f>
        <v>69.43</v>
      </c>
      <c r="I23" s="148">
        <f>Summary!I20</f>
        <v>35.75</v>
      </c>
      <c r="J23" s="148">
        <f>Summary!J20</f>
        <v>41.93</v>
      </c>
      <c r="K23" s="148">
        <f>Summary!K20</f>
        <v>55.5</v>
      </c>
      <c r="L23" s="148">
        <f>Summary!L20</f>
        <v>44.68</v>
      </c>
      <c r="M23" s="148">
        <f>Summary!M20</f>
        <v>42.89</v>
      </c>
      <c r="N23" s="148">
        <f>Summary!N20</f>
        <v>19.62</v>
      </c>
      <c r="O23" s="148">
        <f>Summary!O20</f>
        <v>22.76</v>
      </c>
      <c r="P23" s="148">
        <f>Summary!P20</f>
        <v>20.17</v>
      </c>
      <c r="Q23" s="148">
        <f>Summary!Q20</f>
        <v>7.63</v>
      </c>
      <c r="R23" s="148">
        <f>Summary!R20</f>
        <v>7.92</v>
      </c>
      <c r="S23" s="148">
        <f>Summary!S20</f>
        <v>12.87</v>
      </c>
      <c r="T23" s="148">
        <f>Summary!T20</f>
        <v>36.44</v>
      </c>
      <c r="U23" s="148">
        <f>Summary!U20</f>
        <v>26.09</v>
      </c>
      <c r="V23" s="148">
        <f>Summary!V20</f>
        <v>6.99</v>
      </c>
      <c r="W23" s="148">
        <f>Summary!W20</f>
        <v>37.8</v>
      </c>
      <c r="X23" s="148">
        <f>Summary!X20</f>
        <v>8.27</v>
      </c>
      <c r="Y23" s="148">
        <f>Summary!Y20</f>
        <v>7.15</v>
      </c>
      <c r="Z23" s="148">
        <f>Summary!Z20</f>
        <v>28.12</v>
      </c>
      <c r="AA23" s="148">
        <f>Summary!AA20</f>
        <v>0.08</v>
      </c>
      <c r="AB23" s="148">
        <f>Summary!AB20</f>
        <v>11.18</v>
      </c>
      <c r="AC23" s="148">
        <f>Summary!AC20</f>
        <v>11.79</v>
      </c>
      <c r="AD23" s="148">
        <f>Summary!AD20</f>
        <v>15.26</v>
      </c>
      <c r="AE23" s="148">
        <f>Summary!AE20</f>
        <v>0.16</v>
      </c>
      <c r="AF23" s="148">
        <f>Summary!AF20</f>
        <v>3.89</v>
      </c>
      <c r="AG23" s="309">
        <f t="shared" si="4"/>
        <v>770.2</v>
      </c>
    </row>
    <row r="24">
      <c r="A24" s="147" t="s">
        <v>484</v>
      </c>
      <c r="B24" s="148">
        <f>Summary!B21</f>
        <v>0.17</v>
      </c>
      <c r="C24" s="148">
        <f>Summary!C21</f>
        <v>13.64</v>
      </c>
      <c r="D24" s="148">
        <f>Summary!D21</f>
        <v>27.28</v>
      </c>
      <c r="E24" s="148">
        <f>Summary!E21</f>
        <v>49.4</v>
      </c>
      <c r="F24" s="148">
        <f>Summary!F21</f>
        <v>49.07</v>
      </c>
      <c r="G24" s="148">
        <f>Summary!G21</f>
        <v>63.89</v>
      </c>
      <c r="H24" s="148">
        <f>Summary!H21</f>
        <v>81.17</v>
      </c>
      <c r="I24" s="148">
        <f>Summary!I21</f>
        <v>82.52</v>
      </c>
      <c r="J24" s="148">
        <f>Summary!J21</f>
        <v>76.69</v>
      </c>
      <c r="K24" s="148">
        <f>Summary!K21</f>
        <v>76.18</v>
      </c>
      <c r="L24" s="148">
        <f>Summary!L21</f>
        <v>46.44</v>
      </c>
      <c r="M24" s="148">
        <f>Summary!M21</f>
        <v>5.34</v>
      </c>
      <c r="N24" s="148">
        <f>Summary!N21</f>
        <v>22.29</v>
      </c>
      <c r="O24" s="148">
        <f>Summary!O21</f>
        <v>13.64</v>
      </c>
      <c r="P24" s="148">
        <f>Summary!P21</f>
        <v>19.32</v>
      </c>
      <c r="Q24" s="148">
        <f>Summary!Q21</f>
        <v>10.34</v>
      </c>
      <c r="R24" s="148">
        <f>Summary!R21</f>
        <v>13.81</v>
      </c>
      <c r="S24" s="148">
        <f>Summary!S21</f>
        <v>9.32</v>
      </c>
      <c r="T24" s="148">
        <f>Summary!T21</f>
        <v>18.81</v>
      </c>
      <c r="U24" s="148">
        <f>Summary!U21</f>
        <v>13.64</v>
      </c>
      <c r="V24" s="148">
        <f>Summary!V21</f>
        <v>20.95</v>
      </c>
      <c r="W24" s="148">
        <f>Summary!W21</f>
        <v>17.97</v>
      </c>
      <c r="X24" s="148">
        <f>Summary!X21</f>
        <v>13.64</v>
      </c>
      <c r="Y24" s="148">
        <f>Summary!Y21</f>
        <v>9.32</v>
      </c>
      <c r="Z24" s="148">
        <f>Summary!Z21</f>
        <v>9.32</v>
      </c>
      <c r="AA24" s="148">
        <f>Summary!AA21</f>
        <v>9.15</v>
      </c>
      <c r="AB24" s="148">
        <f>Summary!AB21</f>
        <v>13.47</v>
      </c>
      <c r="AC24" s="148">
        <f>Summary!AC21</f>
        <v>8.98</v>
      </c>
      <c r="AD24" s="148">
        <f>Summary!AD21</f>
        <v>7.65</v>
      </c>
      <c r="AE24" s="148">
        <f>Summary!AE21</f>
        <v>0.34</v>
      </c>
      <c r="AF24" s="148">
        <f>Summary!AF21</f>
        <v>0.51</v>
      </c>
      <c r="AG24" s="309">
        <f t="shared" si="4"/>
        <v>804.26</v>
      </c>
    </row>
    <row r="25">
      <c r="A25" s="310" t="s">
        <v>485</v>
      </c>
      <c r="B25" s="311">
        <f t="shared" ref="B25:AF25" si="5">SUM(B20:B24)</f>
        <v>11611.55</v>
      </c>
      <c r="C25" s="311">
        <f t="shared" si="5"/>
        <v>12638.02</v>
      </c>
      <c r="D25" s="311">
        <f t="shared" si="5"/>
        <v>28708.19</v>
      </c>
      <c r="E25" s="311">
        <f t="shared" si="5"/>
        <v>53237.58</v>
      </c>
      <c r="F25" s="311">
        <f t="shared" si="5"/>
        <v>57707.56</v>
      </c>
      <c r="G25" s="311">
        <f t="shared" si="5"/>
        <v>83145.42</v>
      </c>
      <c r="H25" s="311">
        <f t="shared" si="5"/>
        <v>86587.82</v>
      </c>
      <c r="I25" s="311">
        <f t="shared" si="5"/>
        <v>84034.12</v>
      </c>
      <c r="J25" s="311">
        <f t="shared" si="5"/>
        <v>68911.96</v>
      </c>
      <c r="K25" s="311">
        <f t="shared" si="5"/>
        <v>60652.75</v>
      </c>
      <c r="L25" s="311">
        <f t="shared" si="5"/>
        <v>45367.27</v>
      </c>
      <c r="M25" s="311">
        <f t="shared" si="5"/>
        <v>45033.54</v>
      </c>
      <c r="N25" s="311">
        <f t="shared" si="5"/>
        <v>25515.93</v>
      </c>
      <c r="O25" s="311">
        <f t="shared" si="5"/>
        <v>23681.23</v>
      </c>
      <c r="P25" s="311">
        <f t="shared" si="5"/>
        <v>24509.6</v>
      </c>
      <c r="Q25" s="311">
        <f t="shared" si="5"/>
        <v>18459.22</v>
      </c>
      <c r="R25" s="311">
        <f t="shared" si="5"/>
        <v>14731.06</v>
      </c>
      <c r="S25" s="311">
        <f t="shared" si="5"/>
        <v>21416.86</v>
      </c>
      <c r="T25" s="311">
        <f t="shared" si="5"/>
        <v>19822.97</v>
      </c>
      <c r="U25" s="311">
        <f t="shared" si="5"/>
        <v>25368.52</v>
      </c>
      <c r="V25" s="311">
        <f t="shared" si="5"/>
        <v>16838.34</v>
      </c>
      <c r="W25" s="311">
        <f t="shared" si="5"/>
        <v>27824.62</v>
      </c>
      <c r="X25" s="311">
        <f t="shared" si="5"/>
        <v>14773.94</v>
      </c>
      <c r="Y25" s="311">
        <f t="shared" si="5"/>
        <v>19219.34</v>
      </c>
      <c r="Z25" s="311">
        <f t="shared" si="5"/>
        <v>18955.58</v>
      </c>
      <c r="AA25" s="311">
        <f t="shared" si="5"/>
        <v>17504.03</v>
      </c>
      <c r="AB25" s="311">
        <f t="shared" si="5"/>
        <v>20753.58</v>
      </c>
      <c r="AC25" s="311">
        <f t="shared" si="5"/>
        <v>16414.13</v>
      </c>
      <c r="AD25" s="311">
        <f t="shared" si="5"/>
        <v>15703.48</v>
      </c>
      <c r="AE25" s="311">
        <f t="shared" si="5"/>
        <v>14168.37</v>
      </c>
      <c r="AF25" s="311">
        <f t="shared" si="5"/>
        <v>16639.95</v>
      </c>
      <c r="AG25" s="309">
        <f t="shared" si="4"/>
        <v>1009936.53</v>
      </c>
    </row>
    <row r="26">
      <c r="A26" s="98"/>
      <c r="B26" s="83"/>
      <c r="C26" s="83"/>
      <c r="D26" s="83"/>
      <c r="E26" s="83"/>
      <c r="F26" s="83"/>
      <c r="G26" s="83"/>
      <c r="H26" s="83"/>
      <c r="I26" s="83"/>
      <c r="J26" s="83"/>
      <c r="K26" s="83"/>
      <c r="L26" s="83"/>
      <c r="M26" s="83"/>
      <c r="N26" s="83"/>
      <c r="O26" s="83"/>
      <c r="P26" s="83"/>
      <c r="Q26" s="83"/>
      <c r="R26" s="83"/>
      <c r="S26" s="83"/>
      <c r="T26" s="83"/>
      <c r="U26" s="83"/>
      <c r="V26" s="83"/>
      <c r="W26" s="83"/>
      <c r="X26" s="83"/>
      <c r="Y26" s="83"/>
      <c r="Z26" s="83"/>
      <c r="AA26" s="83"/>
      <c r="AB26" s="83"/>
      <c r="AC26" s="83"/>
      <c r="AD26" s="83"/>
      <c r="AE26" s="83"/>
      <c r="AF26" s="83"/>
      <c r="AG26" s="312"/>
    </row>
    <row r="27">
      <c r="A27" s="145" t="s">
        <v>122</v>
      </c>
      <c r="B27" s="151"/>
      <c r="C27" s="146"/>
      <c r="D27" s="146"/>
      <c r="E27" s="146"/>
      <c r="F27" s="146"/>
      <c r="G27" s="146"/>
      <c r="H27" s="146"/>
      <c r="I27" s="146"/>
      <c r="J27" s="146"/>
      <c r="K27" s="146"/>
      <c r="L27" s="146"/>
      <c r="M27" s="146"/>
      <c r="N27" s="146"/>
      <c r="O27" s="146"/>
      <c r="P27" s="146"/>
      <c r="Q27" s="146"/>
      <c r="R27" s="146"/>
      <c r="S27" s="146"/>
      <c r="T27" s="146"/>
      <c r="U27" s="146"/>
      <c r="V27" s="146"/>
      <c r="W27" s="146"/>
      <c r="X27" s="146"/>
      <c r="Y27" s="146"/>
      <c r="Z27" s="146"/>
      <c r="AA27" s="146"/>
      <c r="AB27" s="146"/>
      <c r="AC27" s="146"/>
      <c r="AD27" s="146"/>
      <c r="AE27" s="146"/>
      <c r="AF27" s="146"/>
      <c r="AG27" s="313"/>
    </row>
    <row r="28">
      <c r="A28" s="153" t="s">
        <v>486</v>
      </c>
      <c r="B28" s="155">
        <v>34.0</v>
      </c>
      <c r="C28" s="155">
        <v>43.0</v>
      </c>
      <c r="D28" s="155">
        <v>79.0</v>
      </c>
      <c r="E28" s="155">
        <v>55.0</v>
      </c>
      <c r="F28" s="155">
        <v>20.0</v>
      </c>
      <c r="G28" s="155">
        <v>20.0</v>
      </c>
      <c r="H28" s="155">
        <v>14.0</v>
      </c>
      <c r="I28" s="155">
        <v>14.0</v>
      </c>
      <c r="J28" s="155">
        <v>17.0</v>
      </c>
      <c r="K28" s="155">
        <v>14.0</v>
      </c>
      <c r="L28" s="155">
        <v>7.0</v>
      </c>
      <c r="M28" s="155">
        <v>10.0</v>
      </c>
      <c r="N28" s="155">
        <v>9.0</v>
      </c>
      <c r="O28" s="155">
        <v>14.0</v>
      </c>
      <c r="P28" s="155">
        <v>18.0</v>
      </c>
      <c r="Q28" s="155">
        <v>15.0</v>
      </c>
      <c r="R28" s="155">
        <v>7.0</v>
      </c>
      <c r="S28" s="155">
        <v>8.0</v>
      </c>
      <c r="T28" s="155">
        <v>4.0</v>
      </c>
      <c r="U28" s="155">
        <v>7.0</v>
      </c>
      <c r="V28" s="155">
        <v>5.0</v>
      </c>
      <c r="W28" s="155">
        <v>5.0</v>
      </c>
      <c r="X28" s="155">
        <v>4.0</v>
      </c>
      <c r="Y28" s="155">
        <v>6.0</v>
      </c>
      <c r="Z28" s="155">
        <v>4.0</v>
      </c>
      <c r="AA28" s="155">
        <v>5.0</v>
      </c>
      <c r="AB28" s="314">
        <v>4.0</v>
      </c>
      <c r="AC28" s="155">
        <v>4.0</v>
      </c>
      <c r="AD28" s="314">
        <v>1.0</v>
      </c>
      <c r="AE28" s="314">
        <v>2.0</v>
      </c>
      <c r="AF28" s="314">
        <v>1.0</v>
      </c>
      <c r="AG28" s="312">
        <f t="shared" ref="AG28:AG32" si="6">SUM(B28:AF28)</f>
        <v>450</v>
      </c>
    </row>
    <row r="29">
      <c r="A29" s="153" t="s">
        <v>487</v>
      </c>
      <c r="B29" s="155">
        <v>0.0</v>
      </c>
      <c r="C29" s="155">
        <v>0.0</v>
      </c>
      <c r="D29" s="155">
        <v>0.0</v>
      </c>
      <c r="E29" s="155">
        <v>0.0</v>
      </c>
      <c r="F29" s="155">
        <v>0.0</v>
      </c>
      <c r="G29" s="155">
        <v>0.0</v>
      </c>
      <c r="H29" s="155">
        <v>0.0</v>
      </c>
      <c r="I29" s="155">
        <v>0.0</v>
      </c>
      <c r="J29" s="155">
        <v>0.0</v>
      </c>
      <c r="K29" s="155">
        <v>0.0</v>
      </c>
      <c r="L29" s="155">
        <v>0.0</v>
      </c>
      <c r="M29" s="155">
        <v>0.0</v>
      </c>
      <c r="N29" s="155">
        <v>0.0</v>
      </c>
      <c r="O29" s="155">
        <v>0.0</v>
      </c>
      <c r="P29" s="155">
        <v>0.0</v>
      </c>
      <c r="Q29" s="155">
        <v>0.0</v>
      </c>
      <c r="R29" s="155">
        <v>0.0</v>
      </c>
      <c r="S29" s="155">
        <v>0.0</v>
      </c>
      <c r="T29" s="155">
        <v>0.0</v>
      </c>
      <c r="U29" s="155">
        <v>0.0</v>
      </c>
      <c r="V29" s="155">
        <v>0.0</v>
      </c>
      <c r="W29" s="155">
        <v>0.0</v>
      </c>
      <c r="X29" s="155">
        <v>0.0</v>
      </c>
      <c r="Y29" s="155">
        <v>0.0</v>
      </c>
      <c r="Z29" s="155">
        <v>0.0</v>
      </c>
      <c r="AA29" s="155">
        <v>0.0</v>
      </c>
      <c r="AB29" s="314">
        <v>0.0</v>
      </c>
      <c r="AC29" s="155">
        <v>0.0</v>
      </c>
      <c r="AD29" s="314">
        <v>0.0</v>
      </c>
      <c r="AE29" s="314">
        <v>0.0</v>
      </c>
      <c r="AF29" s="314">
        <v>0.0</v>
      </c>
      <c r="AG29" s="312">
        <f t="shared" si="6"/>
        <v>0</v>
      </c>
    </row>
    <row r="30">
      <c r="A30" s="153" t="s">
        <v>488</v>
      </c>
      <c r="B30" s="155">
        <v>5.0</v>
      </c>
      <c r="C30" s="155">
        <v>0.0</v>
      </c>
      <c r="D30" s="155">
        <v>21.0</v>
      </c>
      <c r="E30" s="155">
        <v>114.0</v>
      </c>
      <c r="F30" s="155">
        <v>152.0</v>
      </c>
      <c r="G30" s="155">
        <v>251.0</v>
      </c>
      <c r="H30" s="155">
        <v>273.0</v>
      </c>
      <c r="I30" s="155">
        <v>263.0</v>
      </c>
      <c r="J30" s="155">
        <v>212.0</v>
      </c>
      <c r="K30" s="155">
        <v>186.0</v>
      </c>
      <c r="L30" s="155">
        <v>140.0</v>
      </c>
      <c r="M30" s="155">
        <v>130.0</v>
      </c>
      <c r="N30" s="141">
        <v>66.0</v>
      </c>
      <c r="O30" s="155">
        <v>55.0</v>
      </c>
      <c r="P30" s="155">
        <v>56.0</v>
      </c>
      <c r="Q30" s="155">
        <v>42.0</v>
      </c>
      <c r="R30" s="141">
        <v>35.0</v>
      </c>
      <c r="S30" s="141">
        <v>54.0</v>
      </c>
      <c r="T30" s="155">
        <v>52.0</v>
      </c>
      <c r="U30" s="155">
        <v>67.0</v>
      </c>
      <c r="V30" s="155">
        <v>43.0</v>
      </c>
      <c r="W30" s="155">
        <v>76.0</v>
      </c>
      <c r="X30" s="155">
        <v>39.0</v>
      </c>
      <c r="Y30" s="155">
        <v>50.0</v>
      </c>
      <c r="Z30" s="155">
        <v>52.0</v>
      </c>
      <c r="AA30" s="155">
        <v>46.0</v>
      </c>
      <c r="AB30" s="155">
        <v>54.0</v>
      </c>
      <c r="AC30" s="155">
        <v>44.0</v>
      </c>
      <c r="AD30" s="155">
        <v>45.0</v>
      </c>
      <c r="AE30" s="155">
        <v>39.0</v>
      </c>
      <c r="AF30" s="155">
        <v>46.0</v>
      </c>
      <c r="AG30" s="312">
        <f t="shared" si="6"/>
        <v>2708</v>
      </c>
    </row>
    <row r="31">
      <c r="A31" s="153" t="s">
        <v>489</v>
      </c>
      <c r="B31" s="155">
        <v>0.0</v>
      </c>
      <c r="C31" s="155">
        <v>0.0</v>
      </c>
      <c r="D31" s="155">
        <v>0.0</v>
      </c>
      <c r="E31" s="155">
        <v>0.0</v>
      </c>
      <c r="F31" s="155">
        <v>0.0</v>
      </c>
      <c r="G31" s="155">
        <v>0.0</v>
      </c>
      <c r="H31" s="155">
        <v>0.0</v>
      </c>
      <c r="I31" s="141">
        <v>0.0</v>
      </c>
      <c r="J31" s="141">
        <v>0.0</v>
      </c>
      <c r="K31" s="141">
        <v>0.0</v>
      </c>
      <c r="L31" s="141">
        <v>0.0</v>
      </c>
      <c r="M31" s="141">
        <v>0.0</v>
      </c>
      <c r="N31" s="154">
        <v>0.0</v>
      </c>
      <c r="O31" s="140">
        <v>0.0</v>
      </c>
      <c r="P31" s="141">
        <v>0.0</v>
      </c>
      <c r="Q31" s="141">
        <v>0.0</v>
      </c>
      <c r="R31" s="141">
        <v>0.0</v>
      </c>
      <c r="S31" s="141">
        <v>0.0</v>
      </c>
      <c r="T31" s="84">
        <v>0.0</v>
      </c>
      <c r="U31" s="84">
        <v>0.0</v>
      </c>
      <c r="V31" s="84">
        <v>0.0</v>
      </c>
      <c r="W31" s="84">
        <v>0.0</v>
      </c>
      <c r="X31" s="84">
        <v>0.0</v>
      </c>
      <c r="Y31" s="84">
        <v>0.0</v>
      </c>
      <c r="Z31" s="164">
        <v>0.0</v>
      </c>
      <c r="AA31" s="84">
        <v>0.0</v>
      </c>
      <c r="AB31" s="84">
        <v>0.0</v>
      </c>
      <c r="AC31" s="84">
        <v>0.0</v>
      </c>
      <c r="AD31" s="84">
        <v>0.0</v>
      </c>
      <c r="AE31" s="84">
        <v>0.0</v>
      </c>
      <c r="AF31" s="84">
        <v>0.0</v>
      </c>
      <c r="AG31" s="312">
        <f t="shared" si="6"/>
        <v>0</v>
      </c>
    </row>
    <row r="32">
      <c r="A32" s="158" t="s">
        <v>127</v>
      </c>
      <c r="B32" s="315">
        <f t="shared" ref="B32:AF32" si="7">SUM(B28:B31)</f>
        <v>39</v>
      </c>
      <c r="C32" s="315">
        <f t="shared" si="7"/>
        <v>43</v>
      </c>
      <c r="D32" s="315">
        <f t="shared" si="7"/>
        <v>100</v>
      </c>
      <c r="E32" s="315">
        <f t="shared" si="7"/>
        <v>169</v>
      </c>
      <c r="F32" s="315">
        <f t="shared" si="7"/>
        <v>172</v>
      </c>
      <c r="G32" s="315">
        <f t="shared" si="7"/>
        <v>271</v>
      </c>
      <c r="H32" s="315">
        <f t="shared" si="7"/>
        <v>287</v>
      </c>
      <c r="I32" s="315">
        <f t="shared" si="7"/>
        <v>277</v>
      </c>
      <c r="J32" s="315">
        <f t="shared" si="7"/>
        <v>229</v>
      </c>
      <c r="K32" s="315">
        <f t="shared" si="7"/>
        <v>200</v>
      </c>
      <c r="L32" s="315">
        <f t="shared" si="7"/>
        <v>147</v>
      </c>
      <c r="M32" s="315">
        <f t="shared" si="7"/>
        <v>140</v>
      </c>
      <c r="N32" s="315">
        <f t="shared" si="7"/>
        <v>75</v>
      </c>
      <c r="O32" s="315">
        <f t="shared" si="7"/>
        <v>69</v>
      </c>
      <c r="P32" s="315">
        <f t="shared" si="7"/>
        <v>74</v>
      </c>
      <c r="Q32" s="315">
        <f t="shared" si="7"/>
        <v>57</v>
      </c>
      <c r="R32" s="315">
        <f t="shared" si="7"/>
        <v>42</v>
      </c>
      <c r="S32" s="315">
        <f t="shared" si="7"/>
        <v>62</v>
      </c>
      <c r="T32" s="315">
        <f t="shared" si="7"/>
        <v>56</v>
      </c>
      <c r="U32" s="315">
        <f t="shared" si="7"/>
        <v>74</v>
      </c>
      <c r="V32" s="315">
        <f t="shared" si="7"/>
        <v>48</v>
      </c>
      <c r="W32" s="315">
        <f t="shared" si="7"/>
        <v>81</v>
      </c>
      <c r="X32" s="315">
        <f t="shared" si="7"/>
        <v>43</v>
      </c>
      <c r="Y32" s="315">
        <f t="shared" si="7"/>
        <v>56</v>
      </c>
      <c r="Z32" s="315">
        <f t="shared" si="7"/>
        <v>56</v>
      </c>
      <c r="AA32" s="315">
        <f t="shared" si="7"/>
        <v>51</v>
      </c>
      <c r="AB32" s="315">
        <f t="shared" si="7"/>
        <v>58</v>
      </c>
      <c r="AC32" s="315">
        <f t="shared" si="7"/>
        <v>48</v>
      </c>
      <c r="AD32" s="315">
        <f t="shared" si="7"/>
        <v>46</v>
      </c>
      <c r="AE32" s="315">
        <f t="shared" si="7"/>
        <v>41</v>
      </c>
      <c r="AF32" s="315">
        <f t="shared" si="7"/>
        <v>47</v>
      </c>
      <c r="AG32" s="312">
        <f t="shared" si="6"/>
        <v>3158</v>
      </c>
    </row>
    <row r="33">
      <c r="A33" s="98"/>
      <c r="B33" s="162"/>
      <c r="C33" s="162"/>
      <c r="D33" s="162"/>
      <c r="E33" s="162"/>
      <c r="F33" s="162"/>
      <c r="G33" s="162"/>
      <c r="H33" s="162"/>
      <c r="I33" s="162"/>
      <c r="J33" s="83"/>
      <c r="K33" s="83"/>
      <c r="L33" s="83"/>
      <c r="M33" s="83"/>
      <c r="N33" s="83"/>
      <c r="O33" s="83"/>
      <c r="P33" s="83"/>
      <c r="Q33" s="83"/>
      <c r="R33" s="83"/>
      <c r="S33" s="83"/>
      <c r="T33" s="83"/>
      <c r="U33" s="83"/>
      <c r="V33" s="83"/>
      <c r="W33" s="83"/>
      <c r="X33" s="83"/>
      <c r="Y33" s="83"/>
      <c r="Z33" s="83"/>
      <c r="AA33" s="83"/>
      <c r="AB33" s="83"/>
      <c r="AC33" s="83"/>
      <c r="AD33" s="83"/>
      <c r="AE33" s="83"/>
      <c r="AF33" s="83"/>
      <c r="AG33" s="312"/>
    </row>
    <row r="34">
      <c r="A34" s="153" t="s">
        <v>131</v>
      </c>
      <c r="B34" s="155">
        <v>15.0</v>
      </c>
      <c r="C34" s="155">
        <v>15.0</v>
      </c>
      <c r="D34" s="155">
        <v>10.0</v>
      </c>
      <c r="E34" s="155">
        <v>24.0</v>
      </c>
      <c r="F34" s="155">
        <v>27.0</v>
      </c>
      <c r="G34" s="155">
        <v>31.0</v>
      </c>
      <c r="H34" s="155">
        <v>34.0</v>
      </c>
      <c r="I34" s="155">
        <v>39.0</v>
      </c>
      <c r="J34" s="155">
        <v>23.0</v>
      </c>
      <c r="K34" s="155">
        <v>19.0</v>
      </c>
      <c r="L34" s="155">
        <v>24.0</v>
      </c>
      <c r="M34" s="141">
        <v>53.0</v>
      </c>
      <c r="N34" s="141">
        <v>25.0</v>
      </c>
      <c r="O34" s="141">
        <v>23.0</v>
      </c>
      <c r="P34" s="141">
        <v>13.0</v>
      </c>
      <c r="Q34" s="141">
        <v>13.0</v>
      </c>
      <c r="R34" s="141">
        <v>14.0</v>
      </c>
      <c r="S34" s="141">
        <v>13.0</v>
      </c>
      <c r="T34" s="141">
        <v>15.0</v>
      </c>
      <c r="U34" s="141">
        <v>20.0</v>
      </c>
      <c r="V34" s="141">
        <v>15.0</v>
      </c>
      <c r="W34" s="141">
        <v>9.0</v>
      </c>
      <c r="X34" s="141">
        <v>13.0</v>
      </c>
      <c r="Y34" s="141">
        <v>13.0</v>
      </c>
      <c r="Z34" s="141">
        <v>12.0</v>
      </c>
      <c r="AA34" s="141">
        <v>14.0</v>
      </c>
      <c r="AB34" s="141">
        <v>21.0</v>
      </c>
      <c r="AC34" s="141">
        <v>9.0</v>
      </c>
      <c r="AD34" s="141">
        <v>5.0</v>
      </c>
      <c r="AE34" s="141">
        <v>13.0</v>
      </c>
      <c r="AF34" s="141">
        <v>12.0</v>
      </c>
      <c r="AG34" s="312">
        <f t="shared" ref="AG34:AG42" si="8">SUM(B34:AF34)</f>
        <v>586</v>
      </c>
    </row>
    <row r="35">
      <c r="A35" s="153" t="s">
        <v>132</v>
      </c>
      <c r="B35" s="155">
        <v>8.0</v>
      </c>
      <c r="C35" s="155">
        <v>5.0</v>
      </c>
      <c r="D35" s="155">
        <v>10.0</v>
      </c>
      <c r="E35" s="155">
        <v>4.0</v>
      </c>
      <c r="F35" s="155">
        <v>10.0</v>
      </c>
      <c r="G35" s="155">
        <v>10.0</v>
      </c>
      <c r="H35" s="155">
        <v>16.0</v>
      </c>
      <c r="I35" s="155">
        <v>17.0</v>
      </c>
      <c r="J35" s="155">
        <v>9.0</v>
      </c>
      <c r="K35" s="155">
        <v>11.0</v>
      </c>
      <c r="L35" s="155">
        <v>15.0</v>
      </c>
      <c r="M35" s="155">
        <v>15.0</v>
      </c>
      <c r="N35" s="155">
        <v>7.0</v>
      </c>
      <c r="O35" s="155">
        <v>8.0</v>
      </c>
      <c r="P35" s="155">
        <v>6.0</v>
      </c>
      <c r="Q35" s="155">
        <v>6.0</v>
      </c>
      <c r="R35" s="155">
        <v>7.0</v>
      </c>
      <c r="S35" s="155">
        <v>14.0</v>
      </c>
      <c r="T35" s="155">
        <v>9.0</v>
      </c>
      <c r="U35" s="141">
        <v>4.0</v>
      </c>
      <c r="V35" s="141">
        <v>9.0</v>
      </c>
      <c r="W35" s="141">
        <v>3.0</v>
      </c>
      <c r="X35" s="141">
        <v>8.0</v>
      </c>
      <c r="Y35" s="141">
        <v>10.0</v>
      </c>
      <c r="Z35" s="141">
        <v>9.0</v>
      </c>
      <c r="AA35" s="141">
        <v>9.0</v>
      </c>
      <c r="AB35" s="141">
        <v>13.0</v>
      </c>
      <c r="AC35" s="141">
        <v>10.0</v>
      </c>
      <c r="AD35" s="141">
        <v>6.0</v>
      </c>
      <c r="AE35" s="141">
        <v>5.0</v>
      </c>
      <c r="AF35" s="141">
        <v>15.0</v>
      </c>
      <c r="AG35" s="312">
        <f t="shared" si="8"/>
        <v>288</v>
      </c>
    </row>
    <row r="36">
      <c r="A36" s="153" t="s">
        <v>490</v>
      </c>
      <c r="B36" s="155">
        <v>4.0</v>
      </c>
      <c r="C36" s="155">
        <v>9.0</v>
      </c>
      <c r="D36" s="155">
        <v>11.0</v>
      </c>
      <c r="E36" s="155">
        <v>10.0</v>
      </c>
      <c r="F36" s="155">
        <v>29.0</v>
      </c>
      <c r="G36" s="155">
        <v>16.0</v>
      </c>
      <c r="H36" s="155">
        <v>16.0</v>
      </c>
      <c r="I36" s="155">
        <v>18.0</v>
      </c>
      <c r="J36" s="155">
        <v>16.0</v>
      </c>
      <c r="K36" s="155">
        <v>22.0</v>
      </c>
      <c r="L36" s="155">
        <v>17.0</v>
      </c>
      <c r="M36" s="155">
        <v>24.0</v>
      </c>
      <c r="N36" s="155">
        <v>13.0</v>
      </c>
      <c r="O36" s="155">
        <v>15.0</v>
      </c>
      <c r="P36" s="155">
        <v>5.0</v>
      </c>
      <c r="Q36" s="155">
        <v>8.0</v>
      </c>
      <c r="R36" s="155">
        <v>6.0</v>
      </c>
      <c r="S36" s="155">
        <v>13.0</v>
      </c>
      <c r="T36" s="155">
        <v>8.0</v>
      </c>
      <c r="U36" s="155">
        <v>12.0</v>
      </c>
      <c r="V36" s="155">
        <v>10.0</v>
      </c>
      <c r="W36" s="155">
        <v>22.0</v>
      </c>
      <c r="X36" s="155">
        <v>6.0</v>
      </c>
      <c r="Y36" s="155">
        <v>10.0</v>
      </c>
      <c r="Z36" s="155">
        <v>6.0</v>
      </c>
      <c r="AA36" s="155">
        <v>3.0</v>
      </c>
      <c r="AB36" s="155">
        <v>14.0</v>
      </c>
      <c r="AC36" s="155">
        <v>10.0</v>
      </c>
      <c r="AD36" s="155">
        <v>8.0</v>
      </c>
      <c r="AE36" s="155">
        <v>6.0</v>
      </c>
      <c r="AF36" s="155">
        <v>5.0</v>
      </c>
      <c r="AG36" s="312">
        <f t="shared" si="8"/>
        <v>372</v>
      </c>
    </row>
    <row r="37">
      <c r="A37" s="153" t="s">
        <v>491</v>
      </c>
      <c r="B37" s="155">
        <v>0.0</v>
      </c>
      <c r="C37" s="155">
        <v>0.0</v>
      </c>
      <c r="D37" s="155">
        <v>0.0</v>
      </c>
      <c r="E37" s="155">
        <v>0.0</v>
      </c>
      <c r="F37" s="155">
        <v>0.0</v>
      </c>
      <c r="G37" s="155">
        <v>0.0</v>
      </c>
      <c r="H37" s="155">
        <v>0.0</v>
      </c>
      <c r="I37" s="155">
        <v>0.0</v>
      </c>
      <c r="J37" s="155">
        <v>0.0</v>
      </c>
      <c r="K37" s="155">
        <v>0.0</v>
      </c>
      <c r="L37" s="155">
        <v>0.0</v>
      </c>
      <c r="M37" s="155">
        <v>0.0</v>
      </c>
      <c r="N37" s="155">
        <v>0.0</v>
      </c>
      <c r="O37" s="155">
        <v>0.0</v>
      </c>
      <c r="P37" s="155">
        <v>0.0</v>
      </c>
      <c r="Q37" s="155">
        <v>0.0</v>
      </c>
      <c r="R37" s="155">
        <v>0.0</v>
      </c>
      <c r="S37" s="155">
        <v>0.0</v>
      </c>
      <c r="T37" s="155">
        <v>0.0</v>
      </c>
      <c r="U37" s="155">
        <v>0.0</v>
      </c>
      <c r="V37" s="155">
        <v>0.0</v>
      </c>
      <c r="W37" s="155">
        <v>0.0</v>
      </c>
      <c r="X37" s="155">
        <v>0.0</v>
      </c>
      <c r="Y37" s="155">
        <v>0.0</v>
      </c>
      <c r="Z37" s="155">
        <v>0.0</v>
      </c>
      <c r="AA37" s="155">
        <v>0.0</v>
      </c>
      <c r="AB37" s="155">
        <v>0.0</v>
      </c>
      <c r="AC37" s="155">
        <v>0.0</v>
      </c>
      <c r="AD37" s="155">
        <v>0.0</v>
      </c>
      <c r="AE37" s="155">
        <v>0.0</v>
      </c>
      <c r="AF37" s="155">
        <v>0.0</v>
      </c>
      <c r="AG37" s="312">
        <f t="shared" si="8"/>
        <v>0</v>
      </c>
    </row>
    <row r="38">
      <c r="A38" s="153" t="s">
        <v>492</v>
      </c>
      <c r="B38" s="155">
        <v>0.0</v>
      </c>
      <c r="C38" s="155">
        <v>0.0</v>
      </c>
      <c r="D38" s="155">
        <v>0.0</v>
      </c>
      <c r="E38" s="155">
        <v>0.0</v>
      </c>
      <c r="F38" s="155">
        <v>0.0</v>
      </c>
      <c r="G38" s="155">
        <v>0.0</v>
      </c>
      <c r="H38" s="155">
        <v>0.0</v>
      </c>
      <c r="I38" s="155">
        <v>0.0</v>
      </c>
      <c r="J38" s="155">
        <v>0.0</v>
      </c>
      <c r="K38" s="155">
        <v>0.0</v>
      </c>
      <c r="L38" s="155">
        <v>0.0</v>
      </c>
      <c r="M38" s="155">
        <v>0.0</v>
      </c>
      <c r="N38" s="155">
        <v>0.0</v>
      </c>
      <c r="O38" s="155">
        <v>0.0</v>
      </c>
      <c r="P38" s="155">
        <v>0.0</v>
      </c>
      <c r="Q38" s="155">
        <v>0.0</v>
      </c>
      <c r="R38" s="155">
        <v>0.0</v>
      </c>
      <c r="S38" s="155">
        <v>0.0</v>
      </c>
      <c r="T38" s="155">
        <v>0.0</v>
      </c>
      <c r="U38" s="155">
        <v>0.0</v>
      </c>
      <c r="V38" s="155">
        <v>0.0</v>
      </c>
      <c r="W38" s="155">
        <v>0.0</v>
      </c>
      <c r="X38" s="155">
        <v>0.0</v>
      </c>
      <c r="Y38" s="155">
        <v>0.0</v>
      </c>
      <c r="Z38" s="155">
        <v>0.0</v>
      </c>
      <c r="AA38" s="155">
        <v>0.0</v>
      </c>
      <c r="AB38" s="155">
        <v>0.0</v>
      </c>
      <c r="AC38" s="155">
        <v>0.0</v>
      </c>
      <c r="AD38" s="155">
        <v>0.0</v>
      </c>
      <c r="AE38" s="155">
        <v>0.0</v>
      </c>
      <c r="AF38" s="155">
        <v>0.0</v>
      </c>
      <c r="AG38" s="312">
        <f t="shared" si="8"/>
        <v>0</v>
      </c>
    </row>
    <row r="39">
      <c r="A39" s="153" t="s">
        <v>493</v>
      </c>
      <c r="B39" s="155">
        <v>0.0</v>
      </c>
      <c r="C39" s="155">
        <v>0.0</v>
      </c>
      <c r="D39" s="155">
        <v>0.0</v>
      </c>
      <c r="E39" s="155">
        <v>0.0</v>
      </c>
      <c r="F39" s="155">
        <v>0.0</v>
      </c>
      <c r="G39" s="155">
        <v>0.0</v>
      </c>
      <c r="H39" s="155">
        <v>0.0</v>
      </c>
      <c r="I39" s="155">
        <v>0.0</v>
      </c>
      <c r="J39" s="155">
        <v>0.0</v>
      </c>
      <c r="K39" s="155">
        <v>0.0</v>
      </c>
      <c r="L39" s="155">
        <v>0.0</v>
      </c>
      <c r="M39" s="155">
        <v>0.0</v>
      </c>
      <c r="N39" s="155">
        <v>0.0</v>
      </c>
      <c r="O39" s="155">
        <v>0.0</v>
      </c>
      <c r="P39" s="155">
        <v>0.0</v>
      </c>
      <c r="Q39" s="155">
        <v>0.0</v>
      </c>
      <c r="R39" s="155">
        <v>0.0</v>
      </c>
      <c r="S39" s="155">
        <v>0.0</v>
      </c>
      <c r="T39" s="155">
        <v>0.0</v>
      </c>
      <c r="U39" s="155">
        <v>0.0</v>
      </c>
      <c r="V39" s="155">
        <v>0.0</v>
      </c>
      <c r="W39" s="155">
        <v>0.0</v>
      </c>
      <c r="X39" s="155">
        <v>0.0</v>
      </c>
      <c r="Y39" s="155">
        <v>0.0</v>
      </c>
      <c r="Z39" s="155">
        <v>0.0</v>
      </c>
      <c r="AA39" s="155">
        <v>0.0</v>
      </c>
      <c r="AB39" s="155">
        <v>0.0</v>
      </c>
      <c r="AC39" s="155">
        <v>0.0</v>
      </c>
      <c r="AD39" s="155">
        <v>0.0</v>
      </c>
      <c r="AE39" s="155">
        <v>0.0</v>
      </c>
      <c r="AF39" s="155">
        <v>0.0</v>
      </c>
      <c r="AG39" s="312">
        <f t="shared" si="8"/>
        <v>0</v>
      </c>
    </row>
    <row r="40">
      <c r="A40" s="153" t="s">
        <v>494</v>
      </c>
      <c r="B40" s="155">
        <v>17.0</v>
      </c>
      <c r="C40" s="155">
        <v>23.0</v>
      </c>
      <c r="D40" s="155">
        <v>24.0</v>
      </c>
      <c r="E40" s="155">
        <v>45.0</v>
      </c>
      <c r="F40" s="155">
        <v>55.0</v>
      </c>
      <c r="G40" s="155">
        <v>71.0</v>
      </c>
      <c r="H40" s="155">
        <v>58.0</v>
      </c>
      <c r="I40" s="155">
        <v>60.0</v>
      </c>
      <c r="J40" s="155">
        <v>52.0</v>
      </c>
      <c r="K40" s="155">
        <v>45.0</v>
      </c>
      <c r="L40" s="155">
        <v>34.0</v>
      </c>
      <c r="M40" s="155">
        <v>59.0</v>
      </c>
      <c r="N40" s="155">
        <v>45.0</v>
      </c>
      <c r="O40" s="155">
        <v>33.0</v>
      </c>
      <c r="P40" s="155">
        <v>39.0</v>
      </c>
      <c r="Q40" s="155">
        <v>10.0</v>
      </c>
      <c r="R40" s="155">
        <v>28.0</v>
      </c>
      <c r="S40" s="155">
        <v>27.0</v>
      </c>
      <c r="T40" s="155">
        <v>35.0</v>
      </c>
      <c r="U40" s="155">
        <v>27.0</v>
      </c>
      <c r="V40" s="155">
        <v>24.0</v>
      </c>
      <c r="W40" s="155">
        <v>30.0</v>
      </c>
      <c r="X40" s="155">
        <v>14.0</v>
      </c>
      <c r="Y40" s="155">
        <v>21.0</v>
      </c>
      <c r="Z40" s="155">
        <v>13.0</v>
      </c>
      <c r="AA40" s="155">
        <v>25.0</v>
      </c>
      <c r="AB40" s="155">
        <v>30.0</v>
      </c>
      <c r="AC40" s="165">
        <v>10.0</v>
      </c>
      <c r="AD40" s="165">
        <v>14.0</v>
      </c>
      <c r="AE40" s="165">
        <v>13.0</v>
      </c>
      <c r="AF40" s="165">
        <v>26.0</v>
      </c>
      <c r="AG40" s="312">
        <f t="shared" si="8"/>
        <v>1007</v>
      </c>
    </row>
    <row r="41">
      <c r="A41" s="153" t="s">
        <v>495</v>
      </c>
      <c r="B41" s="155">
        <v>0.0</v>
      </c>
      <c r="C41" s="155">
        <v>0.0</v>
      </c>
      <c r="D41" s="155">
        <v>0.0</v>
      </c>
      <c r="E41" s="155">
        <v>0.0</v>
      </c>
      <c r="F41" s="155">
        <v>0.0</v>
      </c>
      <c r="G41" s="155">
        <v>0.0</v>
      </c>
      <c r="H41" s="155">
        <v>0.0</v>
      </c>
      <c r="I41" s="155">
        <v>0.0</v>
      </c>
      <c r="J41" s="155">
        <v>0.0</v>
      </c>
      <c r="K41" s="155">
        <v>0.0</v>
      </c>
      <c r="L41" s="155">
        <v>0.0</v>
      </c>
      <c r="M41" s="155">
        <v>0.0</v>
      </c>
      <c r="N41" s="155">
        <v>0.0</v>
      </c>
      <c r="O41" s="155">
        <v>0.0</v>
      </c>
      <c r="P41" s="155">
        <v>0.0</v>
      </c>
      <c r="Q41" s="155">
        <v>0.0</v>
      </c>
      <c r="R41" s="155">
        <v>0.0</v>
      </c>
      <c r="S41" s="155">
        <v>0.0</v>
      </c>
      <c r="T41" s="155">
        <v>0.0</v>
      </c>
      <c r="U41" s="155">
        <v>0.0</v>
      </c>
      <c r="V41" s="155">
        <v>0.0</v>
      </c>
      <c r="W41" s="155">
        <v>0.0</v>
      </c>
      <c r="X41" s="155">
        <v>0.0</v>
      </c>
      <c r="Y41" s="155">
        <v>0.0</v>
      </c>
      <c r="Z41" s="155">
        <v>0.0</v>
      </c>
      <c r="AA41" s="155">
        <v>0.0</v>
      </c>
      <c r="AB41" s="155">
        <v>0.0</v>
      </c>
      <c r="AC41" s="165">
        <v>0.0</v>
      </c>
      <c r="AD41" s="165">
        <v>0.0</v>
      </c>
      <c r="AE41" s="165">
        <v>0.0</v>
      </c>
      <c r="AF41" s="165">
        <v>0.0</v>
      </c>
      <c r="AG41" s="312">
        <f t="shared" si="8"/>
        <v>0</v>
      </c>
    </row>
    <row r="42">
      <c r="A42" s="158" t="s">
        <v>141</v>
      </c>
      <c r="B42" s="315">
        <f t="shared" ref="B42:AF42" si="9">SUM(B34:B41)</f>
        <v>44</v>
      </c>
      <c r="C42" s="315">
        <f t="shared" si="9"/>
        <v>52</v>
      </c>
      <c r="D42" s="315">
        <f t="shared" si="9"/>
        <v>55</v>
      </c>
      <c r="E42" s="315">
        <f t="shared" si="9"/>
        <v>83</v>
      </c>
      <c r="F42" s="315">
        <f t="shared" si="9"/>
        <v>121</v>
      </c>
      <c r="G42" s="315">
        <f t="shared" si="9"/>
        <v>128</v>
      </c>
      <c r="H42" s="315">
        <f t="shared" si="9"/>
        <v>124</v>
      </c>
      <c r="I42" s="315">
        <f t="shared" si="9"/>
        <v>134</v>
      </c>
      <c r="J42" s="315">
        <f t="shared" si="9"/>
        <v>100</v>
      </c>
      <c r="K42" s="315">
        <f t="shared" si="9"/>
        <v>97</v>
      </c>
      <c r="L42" s="315">
        <f t="shared" si="9"/>
        <v>90</v>
      </c>
      <c r="M42" s="315">
        <f t="shared" si="9"/>
        <v>151</v>
      </c>
      <c r="N42" s="315">
        <f t="shared" si="9"/>
        <v>90</v>
      </c>
      <c r="O42" s="315">
        <f t="shared" si="9"/>
        <v>79</v>
      </c>
      <c r="P42" s="315">
        <f t="shared" si="9"/>
        <v>63</v>
      </c>
      <c r="Q42" s="315">
        <f t="shared" si="9"/>
        <v>37</v>
      </c>
      <c r="R42" s="315">
        <f t="shared" si="9"/>
        <v>55</v>
      </c>
      <c r="S42" s="315">
        <f t="shared" si="9"/>
        <v>67</v>
      </c>
      <c r="T42" s="315">
        <f t="shared" si="9"/>
        <v>67</v>
      </c>
      <c r="U42" s="315">
        <f t="shared" si="9"/>
        <v>63</v>
      </c>
      <c r="V42" s="315">
        <f t="shared" si="9"/>
        <v>58</v>
      </c>
      <c r="W42" s="315">
        <f t="shared" si="9"/>
        <v>64</v>
      </c>
      <c r="X42" s="315">
        <f t="shared" si="9"/>
        <v>41</v>
      </c>
      <c r="Y42" s="315">
        <f t="shared" si="9"/>
        <v>54</v>
      </c>
      <c r="Z42" s="315">
        <f t="shared" si="9"/>
        <v>40</v>
      </c>
      <c r="AA42" s="315">
        <f t="shared" si="9"/>
        <v>51</v>
      </c>
      <c r="AB42" s="315">
        <f t="shared" si="9"/>
        <v>78</v>
      </c>
      <c r="AC42" s="315">
        <f t="shared" si="9"/>
        <v>39</v>
      </c>
      <c r="AD42" s="315">
        <f t="shared" si="9"/>
        <v>33</v>
      </c>
      <c r="AE42" s="315">
        <f t="shared" si="9"/>
        <v>37</v>
      </c>
      <c r="AF42" s="315">
        <f t="shared" si="9"/>
        <v>58</v>
      </c>
      <c r="AG42" s="312">
        <f t="shared" si="8"/>
        <v>2253</v>
      </c>
    </row>
    <row r="43">
      <c r="A43" s="105"/>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c r="AA43" s="172"/>
      <c r="AB43" s="172"/>
      <c r="AC43" s="172"/>
      <c r="AD43" s="172"/>
      <c r="AE43" s="172"/>
      <c r="AF43" s="172"/>
      <c r="AG43" s="316"/>
    </row>
    <row r="44">
      <c r="A44" s="145" t="s">
        <v>89</v>
      </c>
      <c r="B44" s="317"/>
      <c r="C44" s="317"/>
      <c r="D44" s="317"/>
      <c r="E44" s="317"/>
      <c r="F44" s="317"/>
      <c r="G44" s="317"/>
      <c r="H44" s="317"/>
      <c r="I44" s="317"/>
      <c r="J44" s="317"/>
      <c r="K44" s="317"/>
      <c r="L44" s="317"/>
      <c r="M44" s="317"/>
      <c r="N44" s="317"/>
      <c r="O44" s="317"/>
      <c r="P44" s="317"/>
      <c r="Q44" s="317"/>
      <c r="R44" s="317"/>
      <c r="S44" s="317"/>
      <c r="T44" s="317"/>
      <c r="U44" s="317"/>
      <c r="V44" s="317"/>
      <c r="W44" s="317"/>
      <c r="X44" s="317"/>
      <c r="Y44" s="317"/>
      <c r="Z44" s="317"/>
      <c r="AA44" s="317"/>
      <c r="AB44" s="317"/>
      <c r="AC44" s="317"/>
      <c r="AD44" s="317"/>
      <c r="AE44" s="317"/>
      <c r="AF44" s="317"/>
      <c r="AG44" s="313"/>
    </row>
    <row r="45">
      <c r="A45" s="153" t="s">
        <v>496</v>
      </c>
      <c r="B45" s="198">
        <v>8123.56</v>
      </c>
      <c r="C45" s="198">
        <v>10274.56</v>
      </c>
      <c r="D45" s="198">
        <v>18876.12</v>
      </c>
      <c r="E45" s="198">
        <v>13145.0</v>
      </c>
      <c r="F45" s="198">
        <v>4780.0</v>
      </c>
      <c r="G45" s="198">
        <v>4780.0</v>
      </c>
      <c r="H45" s="198">
        <v>3346.0</v>
      </c>
      <c r="I45" s="198">
        <v>3343.56</v>
      </c>
      <c r="J45" s="198">
        <v>4063.0</v>
      </c>
      <c r="K45" s="198">
        <v>3346.0</v>
      </c>
      <c r="L45" s="198">
        <v>1673.0</v>
      </c>
      <c r="M45" s="198">
        <v>2390.0</v>
      </c>
      <c r="N45" s="198">
        <v>2151.0</v>
      </c>
      <c r="O45" s="198">
        <v>3343.56</v>
      </c>
      <c r="P45" s="198">
        <v>4299.56</v>
      </c>
      <c r="Q45" s="198">
        <v>3582.56</v>
      </c>
      <c r="R45" s="198">
        <v>1673.0</v>
      </c>
      <c r="S45" s="198">
        <v>1912.0</v>
      </c>
      <c r="T45" s="198">
        <v>956.0</v>
      </c>
      <c r="U45" s="198">
        <v>1673.0</v>
      </c>
      <c r="V45" s="198">
        <v>1195.0</v>
      </c>
      <c r="W45" s="198">
        <v>1192.56</v>
      </c>
      <c r="X45" s="198">
        <v>956.0</v>
      </c>
      <c r="Y45" s="198">
        <v>1434.0</v>
      </c>
      <c r="Z45" s="198">
        <v>956.0</v>
      </c>
      <c r="AA45" s="198">
        <v>1195.0</v>
      </c>
      <c r="AB45" s="198">
        <v>956.0</v>
      </c>
      <c r="AC45" s="198">
        <v>956.0</v>
      </c>
      <c r="AD45" s="198">
        <v>239.0</v>
      </c>
      <c r="AE45" s="198">
        <v>478.0</v>
      </c>
      <c r="AF45" s="198">
        <v>239.0</v>
      </c>
      <c r="AG45" s="309">
        <f t="shared" ref="AG45:AG49" si="10">SUM(B45:AF45)</f>
        <v>107528.04</v>
      </c>
    </row>
    <row r="46">
      <c r="A46" s="153" t="s">
        <v>497</v>
      </c>
      <c r="B46" s="198">
        <v>0.0</v>
      </c>
      <c r="C46" s="198">
        <v>0.0</v>
      </c>
      <c r="D46" s="198">
        <v>0.0</v>
      </c>
      <c r="E46" s="198">
        <v>0.0</v>
      </c>
      <c r="F46" s="198">
        <v>0.0</v>
      </c>
      <c r="G46" s="198">
        <v>0.0</v>
      </c>
      <c r="H46" s="198">
        <v>0.0</v>
      </c>
      <c r="I46" s="198">
        <v>0.0</v>
      </c>
      <c r="J46" s="198">
        <v>0.0</v>
      </c>
      <c r="K46" s="198">
        <v>0.0</v>
      </c>
      <c r="L46" s="198">
        <v>0.0</v>
      </c>
      <c r="M46" s="198">
        <v>0.0</v>
      </c>
      <c r="N46" s="198">
        <v>0.0</v>
      </c>
      <c r="O46" s="198">
        <v>0.0</v>
      </c>
      <c r="P46" s="198">
        <v>0.0</v>
      </c>
      <c r="Q46" s="198">
        <v>0.0</v>
      </c>
      <c r="R46" s="198">
        <v>0.0</v>
      </c>
      <c r="S46" s="198">
        <v>0.0</v>
      </c>
      <c r="T46" s="198">
        <v>0.0</v>
      </c>
      <c r="U46" s="198">
        <v>0.0</v>
      </c>
      <c r="V46" s="198">
        <v>0.0</v>
      </c>
      <c r="W46" s="198">
        <v>0.0</v>
      </c>
      <c r="X46" s="198">
        <v>0.0</v>
      </c>
      <c r="Y46" s="198">
        <v>0.0</v>
      </c>
      <c r="Z46" s="198">
        <v>0.0</v>
      </c>
      <c r="AA46" s="198">
        <v>0.0</v>
      </c>
      <c r="AB46" s="198">
        <v>0.0</v>
      </c>
      <c r="AC46" s="198">
        <v>0.0</v>
      </c>
      <c r="AD46" s="198">
        <v>0.0</v>
      </c>
      <c r="AE46" s="198">
        <v>0.0</v>
      </c>
      <c r="AF46" s="198">
        <v>0.0</v>
      </c>
      <c r="AG46" s="309">
        <f t="shared" si="10"/>
        <v>0</v>
      </c>
    </row>
    <row r="47">
      <c r="A47" s="153" t="s">
        <v>498</v>
      </c>
      <c r="B47" s="198">
        <v>1495.0</v>
      </c>
      <c r="C47" s="198">
        <v>0.0</v>
      </c>
      <c r="D47" s="198">
        <v>6279.0</v>
      </c>
      <c r="E47" s="198">
        <v>34083.56</v>
      </c>
      <c r="F47" s="198">
        <v>45438.24</v>
      </c>
      <c r="G47" s="198">
        <v>69005.16</v>
      </c>
      <c r="H47" s="198">
        <v>73786.98</v>
      </c>
      <c r="I47" s="198">
        <v>71113.65</v>
      </c>
      <c r="J47" s="198">
        <v>57370.73</v>
      </c>
      <c r="K47" s="198">
        <v>50297.85</v>
      </c>
      <c r="L47" s="198">
        <v>37984.59</v>
      </c>
      <c r="M47" s="198">
        <v>35125.27</v>
      </c>
      <c r="N47" s="198">
        <v>19032.88</v>
      </c>
      <c r="O47" s="198">
        <v>16445.0</v>
      </c>
      <c r="P47" s="198">
        <v>16734.24</v>
      </c>
      <c r="Q47" s="198">
        <v>12543.36</v>
      </c>
      <c r="R47" s="198">
        <v>10462.56</v>
      </c>
      <c r="S47" s="198">
        <v>16143.56</v>
      </c>
      <c r="T47" s="198">
        <v>15548.0</v>
      </c>
      <c r="U47" s="198">
        <v>20030.56</v>
      </c>
      <c r="V47" s="198">
        <v>12857.0</v>
      </c>
      <c r="W47" s="198">
        <v>22719.12</v>
      </c>
      <c r="X47" s="198">
        <v>11658.56</v>
      </c>
      <c r="Y47" s="198">
        <v>14950.0</v>
      </c>
      <c r="Z47" s="198">
        <v>15543.12</v>
      </c>
      <c r="AA47" s="198">
        <v>13754.0</v>
      </c>
      <c r="AB47" s="198">
        <v>16146.0</v>
      </c>
      <c r="AC47" s="198">
        <v>13156.0</v>
      </c>
      <c r="AD47" s="198">
        <v>13452.56</v>
      </c>
      <c r="AE47" s="198">
        <v>11658.56</v>
      </c>
      <c r="AF47" s="198">
        <v>13751.56</v>
      </c>
      <c r="AG47" s="309">
        <f t="shared" si="10"/>
        <v>768566.67</v>
      </c>
    </row>
    <row r="48">
      <c r="A48" s="153" t="s">
        <v>499</v>
      </c>
      <c r="B48" s="198">
        <v>0.0</v>
      </c>
      <c r="C48" s="198">
        <v>0.0</v>
      </c>
      <c r="D48" s="198">
        <v>0.0</v>
      </c>
      <c r="E48" s="198">
        <v>0.0</v>
      </c>
      <c r="F48" s="198">
        <v>0.0</v>
      </c>
      <c r="G48" s="198">
        <v>0.0</v>
      </c>
      <c r="H48" s="198">
        <v>0.0</v>
      </c>
      <c r="I48" s="198">
        <v>0.0</v>
      </c>
      <c r="J48" s="198">
        <v>0.0</v>
      </c>
      <c r="K48" s="198">
        <v>0.0</v>
      </c>
      <c r="L48" s="198">
        <v>0.0</v>
      </c>
      <c r="M48" s="198">
        <v>0.0</v>
      </c>
      <c r="N48" s="198">
        <v>0.0</v>
      </c>
      <c r="O48" s="198">
        <v>0.0</v>
      </c>
      <c r="P48" s="198">
        <v>0.0</v>
      </c>
      <c r="Q48" s="198">
        <v>0.0</v>
      </c>
      <c r="R48" s="198">
        <v>0.0</v>
      </c>
      <c r="S48" s="198">
        <v>0.0</v>
      </c>
      <c r="T48" s="198">
        <v>0.0</v>
      </c>
      <c r="U48" s="198">
        <v>0.0</v>
      </c>
      <c r="V48" s="198">
        <v>0.0</v>
      </c>
      <c r="W48" s="198">
        <v>0.0</v>
      </c>
      <c r="X48" s="198">
        <v>0.0</v>
      </c>
      <c r="Y48" s="198">
        <v>0.0</v>
      </c>
      <c r="Z48" s="198">
        <v>0.0</v>
      </c>
      <c r="AA48" s="198">
        <v>0.0</v>
      </c>
      <c r="AB48" s="198">
        <v>0.0</v>
      </c>
      <c r="AC48" s="198">
        <v>0.0</v>
      </c>
      <c r="AD48" s="198">
        <v>0.0</v>
      </c>
      <c r="AE48" s="198">
        <v>0.0</v>
      </c>
      <c r="AF48" s="198">
        <v>0.0</v>
      </c>
      <c r="AG48" s="309">
        <f t="shared" si="10"/>
        <v>0</v>
      </c>
    </row>
    <row r="49">
      <c r="A49" s="158" t="s">
        <v>127</v>
      </c>
      <c r="B49" s="318">
        <f t="shared" ref="B49:AF49" si="11">SUM(B45:B48)</f>
        <v>9618.56</v>
      </c>
      <c r="C49" s="318">
        <f t="shared" si="11"/>
        <v>10274.56</v>
      </c>
      <c r="D49" s="318">
        <f t="shared" si="11"/>
        <v>25155.12</v>
      </c>
      <c r="E49" s="318">
        <f t="shared" si="11"/>
        <v>47228.56</v>
      </c>
      <c r="F49" s="318">
        <f t="shared" si="11"/>
        <v>50218.24</v>
      </c>
      <c r="G49" s="318">
        <f t="shared" si="11"/>
        <v>73785.16</v>
      </c>
      <c r="H49" s="318">
        <f t="shared" si="11"/>
        <v>77132.98</v>
      </c>
      <c r="I49" s="318">
        <f t="shared" si="11"/>
        <v>74457.21</v>
      </c>
      <c r="J49" s="318">
        <f t="shared" si="11"/>
        <v>61433.73</v>
      </c>
      <c r="K49" s="318">
        <f t="shared" si="11"/>
        <v>53643.85</v>
      </c>
      <c r="L49" s="318">
        <f t="shared" si="11"/>
        <v>39657.59</v>
      </c>
      <c r="M49" s="318">
        <f t="shared" si="11"/>
        <v>37515.27</v>
      </c>
      <c r="N49" s="318">
        <f t="shared" si="11"/>
        <v>21183.88</v>
      </c>
      <c r="O49" s="318">
        <f t="shared" si="11"/>
        <v>19788.56</v>
      </c>
      <c r="P49" s="318">
        <f t="shared" si="11"/>
        <v>21033.8</v>
      </c>
      <c r="Q49" s="318">
        <f t="shared" si="11"/>
        <v>16125.92</v>
      </c>
      <c r="R49" s="318">
        <f t="shared" si="11"/>
        <v>12135.56</v>
      </c>
      <c r="S49" s="318">
        <f t="shared" si="11"/>
        <v>18055.56</v>
      </c>
      <c r="T49" s="318">
        <f t="shared" si="11"/>
        <v>16504</v>
      </c>
      <c r="U49" s="318">
        <f t="shared" si="11"/>
        <v>21703.56</v>
      </c>
      <c r="V49" s="318">
        <f t="shared" si="11"/>
        <v>14052</v>
      </c>
      <c r="W49" s="318">
        <f t="shared" si="11"/>
        <v>23911.68</v>
      </c>
      <c r="X49" s="318">
        <f t="shared" si="11"/>
        <v>12614.56</v>
      </c>
      <c r="Y49" s="318">
        <f t="shared" si="11"/>
        <v>16384</v>
      </c>
      <c r="Z49" s="318">
        <f t="shared" si="11"/>
        <v>16499.12</v>
      </c>
      <c r="AA49" s="318">
        <f t="shared" si="11"/>
        <v>14949</v>
      </c>
      <c r="AB49" s="318">
        <f t="shared" si="11"/>
        <v>17102</v>
      </c>
      <c r="AC49" s="318">
        <f t="shared" si="11"/>
        <v>14112</v>
      </c>
      <c r="AD49" s="318">
        <f t="shared" si="11"/>
        <v>13691.56</v>
      </c>
      <c r="AE49" s="318">
        <f t="shared" si="11"/>
        <v>12136.56</v>
      </c>
      <c r="AF49" s="318">
        <f t="shared" si="11"/>
        <v>13990.56</v>
      </c>
      <c r="AG49" s="309">
        <f t="shared" si="10"/>
        <v>876094.71</v>
      </c>
    </row>
    <row r="50">
      <c r="A50" s="98"/>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c r="AA50" s="172"/>
      <c r="AB50" s="172"/>
      <c r="AC50" s="172"/>
      <c r="AD50" s="172"/>
      <c r="AE50" s="172"/>
      <c r="AF50" s="172"/>
      <c r="AG50" s="316"/>
    </row>
    <row r="51">
      <c r="A51" s="153" t="s">
        <v>131</v>
      </c>
      <c r="B51" s="198">
        <v>435.0</v>
      </c>
      <c r="C51" s="198">
        <v>435.0</v>
      </c>
      <c r="D51" s="198">
        <v>290.0</v>
      </c>
      <c r="E51" s="198">
        <v>696.0</v>
      </c>
      <c r="F51" s="198">
        <v>783.0</v>
      </c>
      <c r="G51" s="198">
        <v>899.0</v>
      </c>
      <c r="H51" s="198">
        <v>983.56</v>
      </c>
      <c r="I51" s="198">
        <v>1126.12</v>
      </c>
      <c r="J51" s="198">
        <v>664.56</v>
      </c>
      <c r="K51" s="198">
        <v>548.56</v>
      </c>
      <c r="L51" s="198">
        <v>693.56</v>
      </c>
      <c r="M51" s="198">
        <v>1534.56</v>
      </c>
      <c r="N51" s="198">
        <v>725.0</v>
      </c>
      <c r="O51" s="198">
        <v>667.0</v>
      </c>
      <c r="P51" s="198">
        <v>377.0</v>
      </c>
      <c r="Q51" s="198">
        <v>377.0</v>
      </c>
      <c r="R51" s="198">
        <v>406.0</v>
      </c>
      <c r="S51" s="198">
        <v>377.0</v>
      </c>
      <c r="T51" s="198">
        <v>430.12</v>
      </c>
      <c r="U51" s="198">
        <v>580.0</v>
      </c>
      <c r="V51" s="198">
        <v>435.0</v>
      </c>
      <c r="W51" s="198">
        <v>261.0</v>
      </c>
      <c r="X51" s="198">
        <v>377.0</v>
      </c>
      <c r="Y51" s="198">
        <v>377.0</v>
      </c>
      <c r="Z51" s="198">
        <v>348.0</v>
      </c>
      <c r="AA51" s="198">
        <v>406.0</v>
      </c>
      <c r="AB51" s="198">
        <v>609.0</v>
      </c>
      <c r="AC51" s="198">
        <v>261.0</v>
      </c>
      <c r="AD51" s="198">
        <v>145.0</v>
      </c>
      <c r="AE51" s="198">
        <v>377.0</v>
      </c>
      <c r="AF51" s="198">
        <v>343.12</v>
      </c>
      <c r="AG51" s="309">
        <f t="shared" ref="AG51:AG59" si="12">SUM(B51:AF51)</f>
        <v>16967.16</v>
      </c>
    </row>
    <row r="52">
      <c r="A52" s="153" t="s">
        <v>132</v>
      </c>
      <c r="B52" s="198">
        <v>152.0</v>
      </c>
      <c r="C52" s="198">
        <v>95.0</v>
      </c>
      <c r="D52" s="198">
        <v>190.0</v>
      </c>
      <c r="E52" s="198">
        <v>76.0</v>
      </c>
      <c r="F52" s="198">
        <v>190.0</v>
      </c>
      <c r="G52" s="198">
        <v>185.12</v>
      </c>
      <c r="H52" s="198">
        <v>304.0</v>
      </c>
      <c r="I52" s="198">
        <v>318.12</v>
      </c>
      <c r="J52" s="198">
        <v>168.56</v>
      </c>
      <c r="K52" s="198">
        <v>209.0</v>
      </c>
      <c r="L52" s="198">
        <v>280.12</v>
      </c>
      <c r="M52" s="198">
        <v>282.56</v>
      </c>
      <c r="N52" s="198">
        <v>133.0</v>
      </c>
      <c r="O52" s="198">
        <v>152.0</v>
      </c>
      <c r="P52" s="198">
        <v>114.0</v>
      </c>
      <c r="Q52" s="198">
        <v>114.0</v>
      </c>
      <c r="R52" s="198">
        <v>133.0</v>
      </c>
      <c r="S52" s="198">
        <v>266.0</v>
      </c>
      <c r="T52" s="198">
        <v>168.56</v>
      </c>
      <c r="U52" s="198">
        <v>76.0</v>
      </c>
      <c r="V52" s="198">
        <v>171.0</v>
      </c>
      <c r="W52" s="198">
        <v>57.0</v>
      </c>
      <c r="X52" s="198">
        <v>152.0</v>
      </c>
      <c r="Y52" s="198">
        <v>187.56</v>
      </c>
      <c r="Z52" s="198">
        <v>171.0</v>
      </c>
      <c r="AA52" s="198">
        <v>171.0</v>
      </c>
      <c r="AB52" s="198">
        <v>247.0</v>
      </c>
      <c r="AC52" s="198">
        <v>190.0</v>
      </c>
      <c r="AD52" s="198">
        <v>114.0</v>
      </c>
      <c r="AE52" s="198">
        <v>92.56</v>
      </c>
      <c r="AF52" s="198">
        <v>285.0</v>
      </c>
      <c r="AG52" s="309">
        <f t="shared" si="12"/>
        <v>5445.16</v>
      </c>
    </row>
    <row r="53">
      <c r="A53" s="153" t="s">
        <v>500</v>
      </c>
      <c r="B53" s="198">
        <v>156.0</v>
      </c>
      <c r="C53" s="198">
        <v>351.0</v>
      </c>
      <c r="D53" s="198">
        <v>429.0</v>
      </c>
      <c r="E53" s="198">
        <v>390.0</v>
      </c>
      <c r="F53" s="198">
        <v>1131.0</v>
      </c>
      <c r="G53" s="198">
        <v>621.56</v>
      </c>
      <c r="H53" s="198">
        <v>621.56</v>
      </c>
      <c r="I53" s="198">
        <v>702.0</v>
      </c>
      <c r="J53" s="198">
        <v>621.56</v>
      </c>
      <c r="K53" s="198">
        <v>855.56</v>
      </c>
      <c r="L53" s="198">
        <v>660.56</v>
      </c>
      <c r="M53" s="198">
        <v>933.56</v>
      </c>
      <c r="N53" s="198">
        <v>507.0</v>
      </c>
      <c r="O53" s="198">
        <v>585.0</v>
      </c>
      <c r="P53" s="198">
        <v>195.0</v>
      </c>
      <c r="Q53" s="198">
        <v>312.0</v>
      </c>
      <c r="R53" s="198">
        <v>234.0</v>
      </c>
      <c r="S53" s="198">
        <v>507.0</v>
      </c>
      <c r="T53" s="198">
        <v>309.56</v>
      </c>
      <c r="U53" s="198">
        <v>468.0</v>
      </c>
      <c r="V53" s="198">
        <v>390.0</v>
      </c>
      <c r="W53" s="198">
        <v>858.0</v>
      </c>
      <c r="X53" s="198">
        <v>234.0</v>
      </c>
      <c r="Y53" s="198">
        <v>390.0</v>
      </c>
      <c r="Z53" s="198">
        <v>234.0</v>
      </c>
      <c r="AA53" s="198">
        <v>114.56</v>
      </c>
      <c r="AB53" s="198">
        <v>546.0</v>
      </c>
      <c r="AC53" s="198">
        <v>390.0</v>
      </c>
      <c r="AD53" s="198">
        <v>312.0</v>
      </c>
      <c r="AE53" s="198">
        <v>234.0</v>
      </c>
      <c r="AF53" s="198">
        <v>195.0</v>
      </c>
      <c r="AG53" s="309">
        <f t="shared" si="12"/>
        <v>14488.48</v>
      </c>
    </row>
    <row r="54">
      <c r="A54" s="153" t="s">
        <v>501</v>
      </c>
      <c r="B54" s="198">
        <v>0.0</v>
      </c>
      <c r="C54" s="198">
        <v>0.0</v>
      </c>
      <c r="D54" s="198">
        <v>0.0</v>
      </c>
      <c r="E54" s="198">
        <v>0.0</v>
      </c>
      <c r="F54" s="198">
        <v>0.0</v>
      </c>
      <c r="G54" s="198">
        <v>0.0</v>
      </c>
      <c r="H54" s="198">
        <v>0.0</v>
      </c>
      <c r="I54" s="198">
        <v>0.0</v>
      </c>
      <c r="J54" s="198">
        <v>0.0</v>
      </c>
      <c r="K54" s="198">
        <v>0.0</v>
      </c>
      <c r="L54" s="198">
        <v>0.0</v>
      </c>
      <c r="M54" s="198">
        <v>0.0</v>
      </c>
      <c r="N54" s="198">
        <v>0.0</v>
      </c>
      <c r="O54" s="198">
        <v>0.0</v>
      </c>
      <c r="P54" s="198">
        <v>0.0</v>
      </c>
      <c r="Q54" s="198">
        <v>0.0</v>
      </c>
      <c r="R54" s="198">
        <v>0.0</v>
      </c>
      <c r="S54" s="198">
        <v>0.0</v>
      </c>
      <c r="T54" s="198">
        <v>0.0</v>
      </c>
      <c r="U54" s="198">
        <v>0.0</v>
      </c>
      <c r="V54" s="198">
        <v>0.0</v>
      </c>
      <c r="W54" s="198">
        <v>0.0</v>
      </c>
      <c r="X54" s="198">
        <v>0.0</v>
      </c>
      <c r="Y54" s="198">
        <v>0.0</v>
      </c>
      <c r="Z54" s="198">
        <v>0.0</v>
      </c>
      <c r="AA54" s="198">
        <v>0.0</v>
      </c>
      <c r="AB54" s="198">
        <v>0.0</v>
      </c>
      <c r="AC54" s="198">
        <v>0.0</v>
      </c>
      <c r="AD54" s="198">
        <v>0.0</v>
      </c>
      <c r="AE54" s="198">
        <v>0.0</v>
      </c>
      <c r="AF54" s="198">
        <v>0.0</v>
      </c>
      <c r="AG54" s="309">
        <f t="shared" si="12"/>
        <v>0</v>
      </c>
    </row>
    <row r="55">
      <c r="A55" s="153" t="s">
        <v>502</v>
      </c>
      <c r="B55" s="198">
        <v>0.0</v>
      </c>
      <c r="C55" s="198">
        <v>0.0</v>
      </c>
      <c r="D55" s="198">
        <v>0.0</v>
      </c>
      <c r="E55" s="198">
        <v>0.0</v>
      </c>
      <c r="F55" s="198">
        <v>0.0</v>
      </c>
      <c r="G55" s="198">
        <v>0.0</v>
      </c>
      <c r="H55" s="198">
        <v>0.0</v>
      </c>
      <c r="I55" s="198">
        <v>0.0</v>
      </c>
      <c r="J55" s="198">
        <v>0.0</v>
      </c>
      <c r="K55" s="198">
        <v>0.0</v>
      </c>
      <c r="L55" s="198">
        <v>0.0</v>
      </c>
      <c r="M55" s="198">
        <v>0.0</v>
      </c>
      <c r="N55" s="198">
        <v>0.0</v>
      </c>
      <c r="O55" s="198">
        <v>0.0</v>
      </c>
      <c r="P55" s="198">
        <v>0.0</v>
      </c>
      <c r="Q55" s="198">
        <v>0.0</v>
      </c>
      <c r="R55" s="198">
        <v>0.0</v>
      </c>
      <c r="S55" s="198">
        <v>0.0</v>
      </c>
      <c r="T55" s="198">
        <v>0.0</v>
      </c>
      <c r="U55" s="198">
        <v>0.0</v>
      </c>
      <c r="V55" s="198">
        <v>0.0</v>
      </c>
      <c r="W55" s="198">
        <v>0.0</v>
      </c>
      <c r="X55" s="198">
        <v>0.0</v>
      </c>
      <c r="Y55" s="198">
        <v>0.0</v>
      </c>
      <c r="Z55" s="198">
        <v>0.0</v>
      </c>
      <c r="AA55" s="198">
        <v>0.0</v>
      </c>
      <c r="AB55" s="198">
        <v>0.0</v>
      </c>
      <c r="AC55" s="198">
        <v>0.0</v>
      </c>
      <c r="AD55" s="198">
        <v>0.0</v>
      </c>
      <c r="AE55" s="198">
        <v>0.0</v>
      </c>
      <c r="AF55" s="198">
        <v>0.0</v>
      </c>
      <c r="AG55" s="309">
        <f t="shared" si="12"/>
        <v>0</v>
      </c>
    </row>
    <row r="56">
      <c r="A56" s="153" t="s">
        <v>503</v>
      </c>
      <c r="B56" s="198">
        <v>0.0</v>
      </c>
      <c r="C56" s="198">
        <v>0.0</v>
      </c>
      <c r="D56" s="198">
        <v>0.0</v>
      </c>
      <c r="E56" s="198">
        <v>0.0</v>
      </c>
      <c r="F56" s="198">
        <v>0.0</v>
      </c>
      <c r="G56" s="198">
        <v>0.0</v>
      </c>
      <c r="H56" s="198">
        <v>0.0</v>
      </c>
      <c r="I56" s="198">
        <v>0.0</v>
      </c>
      <c r="J56" s="198">
        <v>0.0</v>
      </c>
      <c r="K56" s="198">
        <v>0.0</v>
      </c>
      <c r="L56" s="198">
        <v>0.0</v>
      </c>
      <c r="M56" s="198">
        <v>0.0</v>
      </c>
      <c r="N56" s="198">
        <v>0.0</v>
      </c>
      <c r="O56" s="198">
        <v>0.0</v>
      </c>
      <c r="P56" s="198">
        <v>0.0</v>
      </c>
      <c r="Q56" s="198">
        <v>0.0</v>
      </c>
      <c r="R56" s="198">
        <v>0.0</v>
      </c>
      <c r="S56" s="198">
        <v>0.0</v>
      </c>
      <c r="T56" s="198">
        <v>0.0</v>
      </c>
      <c r="U56" s="198">
        <v>0.0</v>
      </c>
      <c r="V56" s="198">
        <v>0.0</v>
      </c>
      <c r="W56" s="198">
        <v>0.0</v>
      </c>
      <c r="X56" s="198">
        <v>0.0</v>
      </c>
      <c r="Y56" s="198">
        <v>0.0</v>
      </c>
      <c r="Z56" s="198">
        <v>0.0</v>
      </c>
      <c r="AA56" s="198">
        <v>0.0</v>
      </c>
      <c r="AB56" s="198">
        <v>0.0</v>
      </c>
      <c r="AC56" s="198">
        <v>0.0</v>
      </c>
      <c r="AD56" s="198">
        <v>0.0</v>
      </c>
      <c r="AE56" s="198">
        <v>0.0</v>
      </c>
      <c r="AF56" s="198">
        <v>0.0</v>
      </c>
      <c r="AG56" s="309">
        <f t="shared" si="12"/>
        <v>0</v>
      </c>
    </row>
    <row r="57">
      <c r="A57" s="153" t="s">
        <v>504</v>
      </c>
      <c r="B57" s="198">
        <v>493.0</v>
      </c>
      <c r="C57" s="198">
        <v>667.0</v>
      </c>
      <c r="D57" s="198">
        <v>696.0</v>
      </c>
      <c r="E57" s="198">
        <v>1300.12</v>
      </c>
      <c r="F57" s="198">
        <v>1595.0</v>
      </c>
      <c r="G57" s="198">
        <v>2054.12</v>
      </c>
      <c r="H57" s="198">
        <v>1682.0</v>
      </c>
      <c r="I57" s="198">
        <v>1737.56</v>
      </c>
      <c r="J57" s="198">
        <v>1508.0</v>
      </c>
      <c r="K57" s="198">
        <v>1305.0</v>
      </c>
      <c r="L57" s="198">
        <v>983.56</v>
      </c>
      <c r="M57" s="198">
        <v>1708.56</v>
      </c>
      <c r="N57" s="198">
        <v>1305.0</v>
      </c>
      <c r="O57" s="198">
        <v>957.0</v>
      </c>
      <c r="P57" s="198">
        <v>1123.68</v>
      </c>
      <c r="Q57" s="198">
        <v>287.56</v>
      </c>
      <c r="R57" s="198">
        <v>809.56</v>
      </c>
      <c r="S57" s="198">
        <v>780.56</v>
      </c>
      <c r="T57" s="198">
        <v>1012.56</v>
      </c>
      <c r="U57" s="198">
        <v>783.0</v>
      </c>
      <c r="V57" s="198">
        <v>696.0</v>
      </c>
      <c r="W57" s="198">
        <v>870.0</v>
      </c>
      <c r="X57" s="198">
        <v>406.0</v>
      </c>
      <c r="Y57" s="198">
        <v>606.56</v>
      </c>
      <c r="Z57" s="198">
        <v>377.0</v>
      </c>
      <c r="AA57" s="198">
        <v>725.0</v>
      </c>
      <c r="AB57" s="198">
        <v>870.0</v>
      </c>
      <c r="AC57" s="198">
        <v>290.0</v>
      </c>
      <c r="AD57" s="198">
        <v>406.0</v>
      </c>
      <c r="AE57" s="198">
        <v>377.0</v>
      </c>
      <c r="AF57" s="198">
        <v>754.0</v>
      </c>
      <c r="AG57" s="309">
        <f t="shared" si="12"/>
        <v>29166.4</v>
      </c>
    </row>
    <row r="58">
      <c r="A58" s="153" t="s">
        <v>505</v>
      </c>
      <c r="B58" s="198">
        <v>0.0</v>
      </c>
      <c r="C58" s="198">
        <v>0.0</v>
      </c>
      <c r="D58" s="198">
        <v>0.0</v>
      </c>
      <c r="E58" s="198">
        <v>0.0</v>
      </c>
      <c r="F58" s="198">
        <v>0.0</v>
      </c>
      <c r="G58" s="198">
        <v>0.0</v>
      </c>
      <c r="H58" s="198">
        <v>0.0</v>
      </c>
      <c r="I58" s="198">
        <v>0.0</v>
      </c>
      <c r="J58" s="198">
        <v>0.0</v>
      </c>
      <c r="K58" s="198">
        <v>0.0</v>
      </c>
      <c r="L58" s="198">
        <v>0.0</v>
      </c>
      <c r="M58" s="198">
        <v>0.0</v>
      </c>
      <c r="N58" s="198">
        <v>0.0</v>
      </c>
      <c r="O58" s="198">
        <v>0.0</v>
      </c>
      <c r="P58" s="198">
        <v>0.0</v>
      </c>
      <c r="Q58" s="198">
        <v>0.0</v>
      </c>
      <c r="R58" s="198">
        <v>0.0</v>
      </c>
      <c r="S58" s="198">
        <v>0.0</v>
      </c>
      <c r="T58" s="198">
        <v>0.0</v>
      </c>
      <c r="U58" s="198">
        <v>0.0</v>
      </c>
      <c r="V58" s="198">
        <v>0.0</v>
      </c>
      <c r="W58" s="198">
        <v>0.0</v>
      </c>
      <c r="X58" s="198">
        <v>0.0</v>
      </c>
      <c r="Y58" s="198">
        <v>0.0</v>
      </c>
      <c r="Z58" s="198">
        <v>0.0</v>
      </c>
      <c r="AA58" s="198">
        <v>0.0</v>
      </c>
      <c r="AB58" s="198">
        <v>0.0</v>
      </c>
      <c r="AC58" s="198">
        <v>0.0</v>
      </c>
      <c r="AD58" s="198">
        <v>0.0</v>
      </c>
      <c r="AE58" s="198">
        <v>0.0</v>
      </c>
      <c r="AF58" s="198">
        <v>0.0</v>
      </c>
      <c r="AG58" s="309">
        <f t="shared" si="12"/>
        <v>0</v>
      </c>
    </row>
    <row r="59">
      <c r="A59" s="158" t="s">
        <v>141</v>
      </c>
      <c r="B59" s="318">
        <f t="shared" ref="B59:AF59" si="13">SUM(B51:B58)</f>
        <v>1236</v>
      </c>
      <c r="C59" s="318">
        <f t="shared" si="13"/>
        <v>1548</v>
      </c>
      <c r="D59" s="318">
        <f t="shared" si="13"/>
        <v>1605</v>
      </c>
      <c r="E59" s="318">
        <f t="shared" si="13"/>
        <v>2462.12</v>
      </c>
      <c r="F59" s="318">
        <f t="shared" si="13"/>
        <v>3699</v>
      </c>
      <c r="G59" s="318">
        <f t="shared" si="13"/>
        <v>3759.8</v>
      </c>
      <c r="H59" s="318">
        <f t="shared" si="13"/>
        <v>3591.12</v>
      </c>
      <c r="I59" s="318">
        <f t="shared" si="13"/>
        <v>3883.8</v>
      </c>
      <c r="J59" s="318">
        <f t="shared" si="13"/>
        <v>2962.68</v>
      </c>
      <c r="K59" s="318">
        <f t="shared" si="13"/>
        <v>2918.12</v>
      </c>
      <c r="L59" s="318">
        <f t="shared" si="13"/>
        <v>2617.8</v>
      </c>
      <c r="M59" s="318">
        <f t="shared" si="13"/>
        <v>4459.24</v>
      </c>
      <c r="N59" s="318">
        <f t="shared" si="13"/>
        <v>2670</v>
      </c>
      <c r="O59" s="318">
        <f t="shared" si="13"/>
        <v>2361</v>
      </c>
      <c r="P59" s="318">
        <f t="shared" si="13"/>
        <v>1809.68</v>
      </c>
      <c r="Q59" s="318">
        <f t="shared" si="13"/>
        <v>1090.56</v>
      </c>
      <c r="R59" s="318">
        <f t="shared" si="13"/>
        <v>1582.56</v>
      </c>
      <c r="S59" s="318">
        <f t="shared" si="13"/>
        <v>1930.56</v>
      </c>
      <c r="T59" s="318">
        <f t="shared" si="13"/>
        <v>1920.8</v>
      </c>
      <c r="U59" s="318">
        <f t="shared" si="13"/>
        <v>1907</v>
      </c>
      <c r="V59" s="318">
        <f t="shared" si="13"/>
        <v>1692</v>
      </c>
      <c r="W59" s="318">
        <f t="shared" si="13"/>
        <v>2046</v>
      </c>
      <c r="X59" s="318">
        <f t="shared" si="13"/>
        <v>1169</v>
      </c>
      <c r="Y59" s="318">
        <f t="shared" si="13"/>
        <v>1561.12</v>
      </c>
      <c r="Z59" s="318">
        <f t="shared" si="13"/>
        <v>1130</v>
      </c>
      <c r="AA59" s="318">
        <f t="shared" si="13"/>
        <v>1416.56</v>
      </c>
      <c r="AB59" s="318">
        <f t="shared" si="13"/>
        <v>2272</v>
      </c>
      <c r="AC59" s="318">
        <f t="shared" si="13"/>
        <v>1131</v>
      </c>
      <c r="AD59" s="318">
        <f t="shared" si="13"/>
        <v>977</v>
      </c>
      <c r="AE59" s="318">
        <f t="shared" si="13"/>
        <v>1080.56</v>
      </c>
      <c r="AF59" s="318">
        <f t="shared" si="13"/>
        <v>1577.12</v>
      </c>
      <c r="AG59" s="309">
        <f t="shared" si="12"/>
        <v>66067.2</v>
      </c>
    </row>
    <row r="60">
      <c r="A60" s="166"/>
      <c r="AG60" s="312"/>
    </row>
    <row r="61" hidden="1" collapsed="1">
      <c r="A61" s="319" t="s">
        <v>506</v>
      </c>
      <c r="B61" s="127"/>
      <c r="C61" s="127"/>
      <c r="D61" s="127"/>
      <c r="E61" s="127"/>
      <c r="F61" s="127"/>
      <c r="G61" s="127"/>
      <c r="H61" s="127"/>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312">
        <f t="shared" ref="AG61:AG123" si="14">SUM(B61:AF61)</f>
        <v>0</v>
      </c>
    </row>
    <row r="62" hidden="1" outlineLevel="1">
      <c r="A62" s="320" t="s">
        <v>507</v>
      </c>
      <c r="B62" s="321"/>
      <c r="C62" s="321"/>
      <c r="D62" s="321"/>
      <c r="E62" s="321"/>
      <c r="F62" s="321"/>
      <c r="G62" s="321"/>
      <c r="H62" s="187"/>
      <c r="I62" s="187"/>
      <c r="J62" s="187"/>
      <c r="K62" s="187"/>
      <c r="L62" s="187"/>
      <c r="M62" s="321"/>
      <c r="N62" s="187"/>
      <c r="O62" s="187"/>
      <c r="P62" s="187"/>
      <c r="Q62" s="187"/>
      <c r="R62" s="321"/>
      <c r="S62" s="321"/>
      <c r="T62" s="187"/>
      <c r="U62" s="187"/>
      <c r="V62" s="187"/>
      <c r="W62" s="187"/>
      <c r="X62" s="187"/>
      <c r="Y62" s="187"/>
      <c r="Z62" s="187"/>
      <c r="AA62" s="187"/>
      <c r="AB62" s="187"/>
      <c r="AC62" s="187"/>
      <c r="AD62" s="187"/>
      <c r="AE62" s="187"/>
      <c r="AF62" s="187"/>
      <c r="AG62" s="303">
        <f t="shared" si="14"/>
        <v>0</v>
      </c>
    </row>
    <row r="63" hidden="1" outlineLevel="1">
      <c r="A63" s="320" t="s">
        <v>508</v>
      </c>
      <c r="B63" s="321"/>
      <c r="C63" s="321"/>
      <c r="D63" s="321"/>
      <c r="E63" s="321"/>
      <c r="F63" s="321"/>
      <c r="G63" s="321"/>
      <c r="H63" s="187"/>
      <c r="I63" s="187"/>
      <c r="J63" s="187"/>
      <c r="K63" s="187"/>
      <c r="L63" s="187"/>
      <c r="M63" s="321"/>
      <c r="N63" s="187"/>
      <c r="O63" s="187"/>
      <c r="P63" s="187"/>
      <c r="Q63" s="187"/>
      <c r="R63" s="321"/>
      <c r="S63" s="321"/>
      <c r="T63" s="187"/>
      <c r="U63" s="187"/>
      <c r="V63" s="187"/>
      <c r="W63" s="187"/>
      <c r="X63" s="187"/>
      <c r="Y63" s="187"/>
      <c r="Z63" s="187"/>
      <c r="AA63" s="187"/>
      <c r="AB63" s="187"/>
      <c r="AC63" s="187"/>
      <c r="AD63" s="187"/>
      <c r="AE63" s="187"/>
      <c r="AF63" s="187"/>
      <c r="AG63" s="303">
        <f t="shared" si="14"/>
        <v>0</v>
      </c>
    </row>
    <row r="64" hidden="1" outlineLevel="1">
      <c r="A64" s="322" t="s">
        <v>509</v>
      </c>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f t="shared" ref="AB64:AD64" si="15">AB31</f>
        <v>0</v>
      </c>
      <c r="AC64" s="187">
        <f t="shared" si="15"/>
        <v>0</v>
      </c>
      <c r="AD64" s="187">
        <f t="shared" si="15"/>
        <v>0</v>
      </c>
      <c r="AE64" s="187"/>
      <c r="AF64" s="187"/>
      <c r="AG64" s="303">
        <f t="shared" si="14"/>
        <v>0</v>
      </c>
    </row>
    <row r="65" hidden="1" outlineLevel="1">
      <c r="A65" s="322" t="s">
        <v>510</v>
      </c>
      <c r="B65" s="321"/>
      <c r="C65" s="321"/>
      <c r="D65" s="321"/>
      <c r="E65" s="321"/>
      <c r="F65" s="321"/>
      <c r="G65" s="321"/>
      <c r="H65" s="187"/>
      <c r="I65" s="187"/>
      <c r="J65" s="187"/>
      <c r="K65" s="187"/>
      <c r="L65" s="187"/>
      <c r="M65" s="321"/>
      <c r="N65" s="187"/>
      <c r="O65" s="187"/>
      <c r="P65" s="187"/>
      <c r="Q65" s="187"/>
      <c r="R65" s="321"/>
      <c r="S65" s="321"/>
      <c r="T65" s="187"/>
      <c r="U65" s="187"/>
      <c r="V65" s="187"/>
      <c r="W65" s="187"/>
      <c r="X65" s="187"/>
      <c r="Y65" s="187"/>
      <c r="Z65" s="187"/>
      <c r="AA65" s="187"/>
      <c r="AB65" s="187"/>
      <c r="AC65" s="187"/>
      <c r="AD65" s="187"/>
      <c r="AE65" s="187"/>
      <c r="AF65" s="187"/>
      <c r="AG65" s="303">
        <f t="shared" si="14"/>
        <v>0</v>
      </c>
    </row>
    <row r="66" hidden="1" outlineLevel="1">
      <c r="A66" s="322" t="s">
        <v>511</v>
      </c>
      <c r="B66" s="321"/>
      <c r="C66" s="321"/>
      <c r="D66" s="321"/>
      <c r="E66" s="321"/>
      <c r="F66" s="321"/>
      <c r="G66" s="321"/>
      <c r="H66" s="187"/>
      <c r="I66" s="187"/>
      <c r="J66" s="187"/>
      <c r="K66" s="187"/>
      <c r="L66" s="187"/>
      <c r="M66" s="321"/>
      <c r="N66" s="187"/>
      <c r="O66" s="187"/>
      <c r="P66" s="187"/>
      <c r="Q66" s="187"/>
      <c r="R66" s="321"/>
      <c r="S66" s="321"/>
      <c r="T66" s="187"/>
      <c r="U66" s="187"/>
      <c r="V66" s="187"/>
      <c r="W66" s="187"/>
      <c r="X66" s="187"/>
      <c r="Y66" s="187"/>
      <c r="Z66" s="187"/>
      <c r="AA66" s="187"/>
      <c r="AB66" s="187"/>
      <c r="AC66" s="187"/>
      <c r="AD66" s="187"/>
      <c r="AE66" s="187"/>
      <c r="AF66" s="187"/>
      <c r="AG66" s="303">
        <f t="shared" si="14"/>
        <v>0</v>
      </c>
    </row>
    <row r="67" hidden="1" outlineLevel="1">
      <c r="A67" s="322" t="s">
        <v>512</v>
      </c>
      <c r="B67" s="321"/>
      <c r="C67" s="321"/>
      <c r="D67" s="321"/>
      <c r="E67" s="321"/>
      <c r="F67" s="321"/>
      <c r="G67" s="321"/>
      <c r="H67" s="187"/>
      <c r="I67" s="187"/>
      <c r="J67" s="187"/>
      <c r="K67" s="187"/>
      <c r="L67" s="187"/>
      <c r="M67" s="321"/>
      <c r="N67" s="187"/>
      <c r="O67" s="187"/>
      <c r="P67" s="187"/>
      <c r="Q67" s="187"/>
      <c r="R67" s="321"/>
      <c r="S67" s="321"/>
      <c r="T67" s="187"/>
      <c r="U67" s="187"/>
      <c r="V67" s="187"/>
      <c r="W67" s="187"/>
      <c r="X67" s="187"/>
      <c r="Y67" s="187"/>
      <c r="Z67" s="187"/>
      <c r="AA67" s="187"/>
      <c r="AB67" s="187"/>
      <c r="AC67" s="187"/>
      <c r="AD67" s="187"/>
      <c r="AE67" s="187"/>
      <c r="AF67" s="187"/>
      <c r="AG67" s="303">
        <f t="shared" si="14"/>
        <v>0</v>
      </c>
    </row>
    <row r="68" hidden="1" outlineLevel="1">
      <c r="A68" s="322" t="s">
        <v>513</v>
      </c>
      <c r="B68" s="323"/>
      <c r="C68" s="323"/>
      <c r="D68" s="97"/>
      <c r="E68" s="324"/>
      <c r="F68" s="97"/>
      <c r="G68" s="97"/>
      <c r="H68" s="97"/>
      <c r="I68" s="97"/>
      <c r="J68" s="97"/>
      <c r="K68" s="97"/>
      <c r="L68" s="97"/>
      <c r="M68" s="97"/>
      <c r="N68" s="97"/>
      <c r="O68" s="97"/>
      <c r="P68" s="97"/>
      <c r="Q68" s="97"/>
      <c r="R68" s="97"/>
      <c r="S68" s="97"/>
      <c r="T68" s="97"/>
      <c r="U68" s="97"/>
      <c r="V68" s="97"/>
      <c r="W68" s="97"/>
      <c r="X68" s="97"/>
      <c r="Y68" s="97"/>
      <c r="Z68" s="97"/>
      <c r="AA68" s="97"/>
      <c r="AB68" s="97"/>
      <c r="AC68" s="97"/>
      <c r="AD68" s="97"/>
      <c r="AE68" s="97"/>
      <c r="AF68" s="97"/>
      <c r="AG68" s="303">
        <f t="shared" si="14"/>
        <v>0</v>
      </c>
    </row>
    <row r="69" hidden="1" outlineLevel="1">
      <c r="A69" s="322" t="s">
        <v>514</v>
      </c>
      <c r="B69" s="325"/>
      <c r="C69" s="97"/>
      <c r="D69" s="323"/>
      <c r="E69" s="324"/>
      <c r="F69" s="97"/>
      <c r="G69" s="97"/>
      <c r="H69" s="97"/>
      <c r="I69" s="97"/>
      <c r="J69" s="97"/>
      <c r="K69" s="97"/>
      <c r="L69" s="97"/>
      <c r="M69" s="97"/>
      <c r="N69" s="97"/>
      <c r="O69" s="97"/>
      <c r="P69" s="97"/>
      <c r="Q69" s="97"/>
      <c r="R69" s="97"/>
      <c r="S69" s="97"/>
      <c r="T69" s="97"/>
      <c r="U69" s="97"/>
      <c r="V69" s="97"/>
      <c r="W69" s="97"/>
      <c r="X69" s="97"/>
      <c r="Y69" s="97"/>
      <c r="Z69" s="97"/>
      <c r="AA69" s="97"/>
      <c r="AB69" s="97"/>
      <c r="AC69" s="97"/>
      <c r="AD69" s="97"/>
      <c r="AE69" s="97"/>
      <c r="AF69" s="97"/>
      <c r="AG69" s="303">
        <f t="shared" si="14"/>
        <v>0</v>
      </c>
    </row>
    <row r="70" hidden="1" outlineLevel="1">
      <c r="A70" s="326" t="s">
        <v>515</v>
      </c>
      <c r="B70" s="327">
        <f>B62+B66+B68</f>
        <v>0</v>
      </c>
      <c r="C70" s="327">
        <f t="shared" ref="C70:AD70" si="16">SUM(C62:C69)</f>
        <v>0</v>
      </c>
      <c r="D70" s="327">
        <f t="shared" si="16"/>
        <v>0</v>
      </c>
      <c r="E70" s="327">
        <f t="shared" si="16"/>
        <v>0</v>
      </c>
      <c r="F70" s="327">
        <f t="shared" si="16"/>
        <v>0</v>
      </c>
      <c r="G70" s="327">
        <f t="shared" si="16"/>
        <v>0</v>
      </c>
      <c r="H70" s="327">
        <f t="shared" si="16"/>
        <v>0</v>
      </c>
      <c r="I70" s="327">
        <f t="shared" si="16"/>
        <v>0</v>
      </c>
      <c r="J70" s="327">
        <f t="shared" si="16"/>
        <v>0</v>
      </c>
      <c r="K70" s="327">
        <f t="shared" si="16"/>
        <v>0</v>
      </c>
      <c r="L70" s="327">
        <f t="shared" si="16"/>
        <v>0</v>
      </c>
      <c r="M70" s="327">
        <f t="shared" si="16"/>
        <v>0</v>
      </c>
      <c r="N70" s="327">
        <f t="shared" si="16"/>
        <v>0</v>
      </c>
      <c r="O70" s="327">
        <f t="shared" si="16"/>
        <v>0</v>
      </c>
      <c r="P70" s="327">
        <f t="shared" si="16"/>
        <v>0</v>
      </c>
      <c r="Q70" s="327">
        <f t="shared" si="16"/>
        <v>0</v>
      </c>
      <c r="R70" s="327">
        <f t="shared" si="16"/>
        <v>0</v>
      </c>
      <c r="S70" s="327">
        <f t="shared" si="16"/>
        <v>0</v>
      </c>
      <c r="T70" s="327">
        <f t="shared" si="16"/>
        <v>0</v>
      </c>
      <c r="U70" s="327">
        <f t="shared" si="16"/>
        <v>0</v>
      </c>
      <c r="V70" s="327">
        <f t="shared" si="16"/>
        <v>0</v>
      </c>
      <c r="W70" s="327">
        <f t="shared" si="16"/>
        <v>0</v>
      </c>
      <c r="X70" s="327">
        <f t="shared" si="16"/>
        <v>0</v>
      </c>
      <c r="Y70" s="327">
        <f t="shared" si="16"/>
        <v>0</v>
      </c>
      <c r="Z70" s="327">
        <f t="shared" si="16"/>
        <v>0</v>
      </c>
      <c r="AA70" s="327">
        <f t="shared" si="16"/>
        <v>0</v>
      </c>
      <c r="AB70" s="327">
        <f t="shared" si="16"/>
        <v>0</v>
      </c>
      <c r="AC70" s="327">
        <f t="shared" si="16"/>
        <v>0</v>
      </c>
      <c r="AD70" s="327">
        <f t="shared" si="16"/>
        <v>0</v>
      </c>
      <c r="AE70" s="327"/>
      <c r="AF70" s="327"/>
      <c r="AG70" s="303">
        <f t="shared" si="14"/>
        <v>0</v>
      </c>
    </row>
    <row r="71" hidden="1" outlineLevel="1">
      <c r="A71" s="326" t="s">
        <v>516</v>
      </c>
      <c r="B71" s="327">
        <f t="shared" ref="B71:AD71" si="17">B64+B67+B69</f>
        <v>0</v>
      </c>
      <c r="C71" s="327">
        <f t="shared" si="17"/>
        <v>0</v>
      </c>
      <c r="D71" s="327">
        <f t="shared" si="17"/>
        <v>0</v>
      </c>
      <c r="E71" s="327">
        <f t="shared" si="17"/>
        <v>0</v>
      </c>
      <c r="F71" s="327">
        <f t="shared" si="17"/>
        <v>0</v>
      </c>
      <c r="G71" s="327">
        <f t="shared" si="17"/>
        <v>0</v>
      </c>
      <c r="H71" s="327">
        <f t="shared" si="17"/>
        <v>0</v>
      </c>
      <c r="I71" s="327">
        <f t="shared" si="17"/>
        <v>0</v>
      </c>
      <c r="J71" s="327">
        <f t="shared" si="17"/>
        <v>0</v>
      </c>
      <c r="K71" s="327">
        <f t="shared" si="17"/>
        <v>0</v>
      </c>
      <c r="L71" s="327">
        <f t="shared" si="17"/>
        <v>0</v>
      </c>
      <c r="M71" s="327">
        <f t="shared" si="17"/>
        <v>0</v>
      </c>
      <c r="N71" s="327">
        <f t="shared" si="17"/>
        <v>0</v>
      </c>
      <c r="O71" s="327">
        <f t="shared" si="17"/>
        <v>0</v>
      </c>
      <c r="P71" s="327">
        <f t="shared" si="17"/>
        <v>0</v>
      </c>
      <c r="Q71" s="327">
        <f t="shared" si="17"/>
        <v>0</v>
      </c>
      <c r="R71" s="327">
        <f t="shared" si="17"/>
        <v>0</v>
      </c>
      <c r="S71" s="327">
        <f t="shared" si="17"/>
        <v>0</v>
      </c>
      <c r="T71" s="327">
        <f t="shared" si="17"/>
        <v>0</v>
      </c>
      <c r="U71" s="327">
        <f t="shared" si="17"/>
        <v>0</v>
      </c>
      <c r="V71" s="327">
        <f t="shared" si="17"/>
        <v>0</v>
      </c>
      <c r="W71" s="327">
        <f t="shared" si="17"/>
        <v>0</v>
      </c>
      <c r="X71" s="327">
        <f t="shared" si="17"/>
        <v>0</v>
      </c>
      <c r="Y71" s="327">
        <f t="shared" si="17"/>
        <v>0</v>
      </c>
      <c r="Z71" s="327">
        <f t="shared" si="17"/>
        <v>0</v>
      </c>
      <c r="AA71" s="327">
        <f t="shared" si="17"/>
        <v>0</v>
      </c>
      <c r="AB71" s="327">
        <f t="shared" si="17"/>
        <v>0</v>
      </c>
      <c r="AC71" s="327">
        <f t="shared" si="17"/>
        <v>0</v>
      </c>
      <c r="AD71" s="327">
        <f t="shared" si="17"/>
        <v>0</v>
      </c>
      <c r="AE71" s="327"/>
      <c r="AF71" s="327"/>
      <c r="AG71" s="303">
        <f t="shared" si="14"/>
        <v>0</v>
      </c>
    </row>
    <row r="72" ht="21.0" hidden="1" customHeight="1" outlineLevel="1">
      <c r="A72" s="328"/>
      <c r="B72" s="127"/>
      <c r="C72" s="127"/>
      <c r="D72" s="127"/>
      <c r="E72" s="127"/>
      <c r="F72" s="127"/>
      <c r="G72" s="127"/>
      <c r="H72" s="127"/>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303">
        <f t="shared" si="14"/>
        <v>0</v>
      </c>
    </row>
    <row r="73" hidden="1" outlineLevel="1">
      <c r="A73" s="320" t="s">
        <v>517</v>
      </c>
      <c r="B73" s="321"/>
      <c r="C73" s="321"/>
      <c r="D73" s="321"/>
      <c r="E73" s="321"/>
      <c r="F73" s="321"/>
      <c r="G73" s="321"/>
      <c r="H73" s="187"/>
      <c r="I73" s="187"/>
      <c r="J73" s="187"/>
      <c r="K73" s="187"/>
      <c r="L73" s="187"/>
      <c r="M73" s="321"/>
      <c r="N73" s="187"/>
      <c r="O73" s="187"/>
      <c r="P73" s="187"/>
      <c r="Q73" s="187"/>
      <c r="R73" s="321"/>
      <c r="S73" s="321"/>
      <c r="T73" s="187"/>
      <c r="U73" s="92"/>
      <c r="V73" s="92"/>
      <c r="W73" s="187"/>
      <c r="X73" s="187"/>
      <c r="Y73" s="187"/>
      <c r="Z73" s="187"/>
      <c r="AA73" s="187"/>
      <c r="AB73" s="187"/>
      <c r="AC73" s="187"/>
      <c r="AD73" s="187"/>
      <c r="AE73" s="187"/>
      <c r="AF73" s="187"/>
      <c r="AG73" s="303">
        <f t="shared" si="14"/>
        <v>0</v>
      </c>
    </row>
    <row r="74" hidden="1" outlineLevel="1">
      <c r="A74" s="320" t="s">
        <v>518</v>
      </c>
      <c r="B74" s="321"/>
      <c r="C74" s="321"/>
      <c r="D74" s="321"/>
      <c r="E74" s="321"/>
      <c r="F74" s="321"/>
      <c r="G74" s="321"/>
      <c r="H74" s="187"/>
      <c r="I74" s="187"/>
      <c r="J74" s="187"/>
      <c r="K74" s="187"/>
      <c r="L74" s="187"/>
      <c r="M74" s="321"/>
      <c r="N74" s="187"/>
      <c r="O74" s="187"/>
      <c r="P74" s="187"/>
      <c r="Q74" s="187"/>
      <c r="R74" s="321"/>
      <c r="S74" s="321"/>
      <c r="T74" s="187"/>
      <c r="U74" s="187"/>
      <c r="V74" s="92"/>
      <c r="W74" s="92"/>
      <c r="X74" s="92"/>
      <c r="Y74" s="187"/>
      <c r="Z74" s="187"/>
      <c r="AA74" s="187"/>
      <c r="AB74" s="187"/>
      <c r="AC74" s="187"/>
      <c r="AD74" s="187"/>
      <c r="AE74" s="187"/>
      <c r="AF74" s="187"/>
      <c r="AG74" s="303">
        <f t="shared" si="14"/>
        <v>0</v>
      </c>
    </row>
    <row r="75" hidden="1" outlineLevel="1">
      <c r="A75" s="322" t="s">
        <v>519</v>
      </c>
      <c r="B75" s="321"/>
      <c r="C75" s="321"/>
      <c r="D75" s="321"/>
      <c r="E75" s="321"/>
      <c r="F75" s="321"/>
      <c r="G75" s="321"/>
      <c r="H75" s="187"/>
      <c r="I75" s="187"/>
      <c r="J75" s="187"/>
      <c r="K75" s="187"/>
      <c r="L75" s="187"/>
      <c r="M75" s="321"/>
      <c r="N75" s="187"/>
      <c r="O75" s="187"/>
      <c r="P75" s="187"/>
      <c r="Q75" s="187"/>
      <c r="R75" s="321"/>
      <c r="S75" s="321"/>
      <c r="T75" s="187"/>
      <c r="U75" s="92"/>
      <c r="V75" s="92"/>
      <c r="W75" s="187"/>
      <c r="X75" s="187"/>
      <c r="Y75" s="187"/>
      <c r="Z75" s="187"/>
      <c r="AA75" s="187"/>
      <c r="AB75" s="187"/>
      <c r="AC75" s="187"/>
      <c r="AD75" s="187"/>
      <c r="AE75" s="187"/>
      <c r="AF75" s="187"/>
      <c r="AG75" s="303">
        <f t="shared" si="14"/>
        <v>0</v>
      </c>
    </row>
    <row r="76" hidden="1" outlineLevel="1">
      <c r="A76" s="320" t="s">
        <v>520</v>
      </c>
      <c r="B76" s="321"/>
      <c r="C76" s="321"/>
      <c r="D76" s="321"/>
      <c r="E76" s="321"/>
      <c r="F76" s="321"/>
      <c r="G76" s="321"/>
      <c r="H76" s="187"/>
      <c r="I76" s="187"/>
      <c r="J76" s="187"/>
      <c r="K76" s="187"/>
      <c r="L76" s="187"/>
      <c r="M76" s="321"/>
      <c r="N76" s="187"/>
      <c r="O76" s="187"/>
      <c r="P76" s="187"/>
      <c r="Q76" s="187"/>
      <c r="R76" s="321"/>
      <c r="S76" s="321"/>
      <c r="T76" s="187"/>
      <c r="U76" s="96"/>
      <c r="V76" s="96"/>
      <c r="W76" s="187"/>
      <c r="X76" s="92"/>
      <c r="Y76" s="187"/>
      <c r="Z76" s="187"/>
      <c r="AA76" s="187"/>
      <c r="AB76" s="187"/>
      <c r="AC76" s="187"/>
      <c r="AD76" s="187"/>
      <c r="AE76" s="187"/>
      <c r="AF76" s="187"/>
      <c r="AG76" s="303">
        <f t="shared" si="14"/>
        <v>0</v>
      </c>
    </row>
    <row r="77" hidden="1" outlineLevel="1">
      <c r="A77" s="320" t="s">
        <v>521</v>
      </c>
      <c r="B77" s="321"/>
      <c r="C77" s="321"/>
      <c r="D77" s="321"/>
      <c r="E77" s="321"/>
      <c r="F77" s="321"/>
      <c r="G77" s="321"/>
      <c r="H77" s="187"/>
      <c r="I77" s="187"/>
      <c r="J77" s="187"/>
      <c r="K77" s="187"/>
      <c r="L77" s="187"/>
      <c r="M77" s="321"/>
      <c r="N77" s="187"/>
      <c r="O77" s="187"/>
      <c r="P77" s="187"/>
      <c r="Q77" s="187"/>
      <c r="R77" s="321"/>
      <c r="S77" s="321"/>
      <c r="T77" s="187"/>
      <c r="U77" s="96"/>
      <c r="V77" s="96"/>
      <c r="W77" s="187"/>
      <c r="X77" s="187"/>
      <c r="Y77" s="187"/>
      <c r="Z77" s="187"/>
      <c r="AA77" s="187"/>
      <c r="AB77" s="187"/>
      <c r="AC77" s="187"/>
      <c r="AD77" s="187"/>
      <c r="AE77" s="187"/>
      <c r="AF77" s="187"/>
      <c r="AG77" s="303">
        <f t="shared" si="14"/>
        <v>0</v>
      </c>
    </row>
    <row r="78" hidden="1" outlineLevel="1">
      <c r="A78" s="329" t="s">
        <v>522</v>
      </c>
      <c r="B78" s="327">
        <f t="shared" ref="B78:AD78" si="18">SUM(B73:B77)</f>
        <v>0</v>
      </c>
      <c r="C78" s="327">
        <f t="shared" si="18"/>
        <v>0</v>
      </c>
      <c r="D78" s="327">
        <f t="shared" si="18"/>
        <v>0</v>
      </c>
      <c r="E78" s="327">
        <f t="shared" si="18"/>
        <v>0</v>
      </c>
      <c r="F78" s="327">
        <f t="shared" si="18"/>
        <v>0</v>
      </c>
      <c r="G78" s="327">
        <f t="shared" si="18"/>
        <v>0</v>
      </c>
      <c r="H78" s="327">
        <f t="shared" si="18"/>
        <v>0</v>
      </c>
      <c r="I78" s="327">
        <f t="shared" si="18"/>
        <v>0</v>
      </c>
      <c r="J78" s="327">
        <f t="shared" si="18"/>
        <v>0</v>
      </c>
      <c r="K78" s="327">
        <f t="shared" si="18"/>
        <v>0</v>
      </c>
      <c r="L78" s="327">
        <f t="shared" si="18"/>
        <v>0</v>
      </c>
      <c r="M78" s="327">
        <f t="shared" si="18"/>
        <v>0</v>
      </c>
      <c r="N78" s="327">
        <f t="shared" si="18"/>
        <v>0</v>
      </c>
      <c r="O78" s="327">
        <f t="shared" si="18"/>
        <v>0</v>
      </c>
      <c r="P78" s="327">
        <f t="shared" si="18"/>
        <v>0</v>
      </c>
      <c r="Q78" s="327">
        <f t="shared" si="18"/>
        <v>0</v>
      </c>
      <c r="R78" s="327">
        <f t="shared" si="18"/>
        <v>0</v>
      </c>
      <c r="S78" s="327">
        <f t="shared" si="18"/>
        <v>0</v>
      </c>
      <c r="T78" s="327">
        <f t="shared" si="18"/>
        <v>0</v>
      </c>
      <c r="U78" s="327">
        <f t="shared" si="18"/>
        <v>0</v>
      </c>
      <c r="V78" s="327">
        <f t="shared" si="18"/>
        <v>0</v>
      </c>
      <c r="W78" s="327">
        <f t="shared" si="18"/>
        <v>0</v>
      </c>
      <c r="X78" s="327">
        <f t="shared" si="18"/>
        <v>0</v>
      </c>
      <c r="Y78" s="327">
        <f t="shared" si="18"/>
        <v>0</v>
      </c>
      <c r="Z78" s="327">
        <f t="shared" si="18"/>
        <v>0</v>
      </c>
      <c r="AA78" s="327">
        <f t="shared" si="18"/>
        <v>0</v>
      </c>
      <c r="AB78" s="327">
        <f t="shared" si="18"/>
        <v>0</v>
      </c>
      <c r="AC78" s="327">
        <f t="shared" si="18"/>
        <v>0</v>
      </c>
      <c r="AD78" s="327">
        <f t="shared" si="18"/>
        <v>0</v>
      </c>
      <c r="AE78" s="327"/>
      <c r="AF78" s="327"/>
      <c r="AG78" s="303">
        <f t="shared" si="14"/>
        <v>0</v>
      </c>
    </row>
    <row r="79" hidden="1" outlineLevel="1">
      <c r="A79" s="328"/>
      <c r="B79" s="127"/>
      <c r="C79" s="127"/>
      <c r="D79" s="127"/>
      <c r="E79" s="127"/>
      <c r="F79" s="127"/>
      <c r="G79" s="127"/>
      <c r="H79" s="127"/>
      <c r="I79" s="83"/>
      <c r="J79" s="83"/>
      <c r="K79" s="83"/>
      <c r="L79" s="83"/>
      <c r="M79" s="83"/>
      <c r="N79" s="83"/>
      <c r="O79" s="83"/>
      <c r="P79" s="83"/>
      <c r="Q79" s="83"/>
      <c r="R79" s="83"/>
      <c r="S79" s="83"/>
      <c r="T79" s="83"/>
      <c r="U79" s="83"/>
      <c r="V79" s="83"/>
      <c r="W79" s="83"/>
      <c r="X79" s="83"/>
      <c r="Y79" s="83"/>
      <c r="Z79" s="83"/>
      <c r="AA79" s="83"/>
      <c r="AB79" s="83"/>
      <c r="AC79" s="83"/>
      <c r="AD79" s="83"/>
      <c r="AE79" s="83"/>
      <c r="AF79" s="83"/>
      <c r="AG79" s="303">
        <f t="shared" si="14"/>
        <v>0</v>
      </c>
    </row>
    <row r="80" hidden="1" outlineLevel="1">
      <c r="A80" s="322" t="s">
        <v>523</v>
      </c>
      <c r="B80" s="321"/>
      <c r="C80" s="321"/>
      <c r="D80" s="321"/>
      <c r="E80" s="321"/>
      <c r="F80" s="321"/>
      <c r="G80" s="321"/>
      <c r="H80" s="187"/>
      <c r="I80" s="187"/>
      <c r="J80" s="187"/>
      <c r="K80" s="187"/>
      <c r="L80" s="187"/>
      <c r="M80" s="321"/>
      <c r="N80" s="187"/>
      <c r="O80" s="187"/>
      <c r="P80" s="187"/>
      <c r="Q80" s="187"/>
      <c r="R80" s="321"/>
      <c r="S80" s="321"/>
      <c r="T80" s="187"/>
      <c r="U80" s="187"/>
      <c r="V80" s="187"/>
      <c r="W80" s="187"/>
      <c r="X80" s="187"/>
      <c r="Y80" s="187"/>
      <c r="Z80" s="187"/>
      <c r="AA80" s="187"/>
      <c r="AB80" s="187"/>
      <c r="AC80" s="187"/>
      <c r="AD80" s="187"/>
      <c r="AE80" s="187"/>
      <c r="AF80" s="187"/>
      <c r="AG80" s="303">
        <f t="shared" si="14"/>
        <v>0</v>
      </c>
    </row>
    <row r="81" hidden="1" outlineLevel="1">
      <c r="A81" s="322" t="s">
        <v>524</v>
      </c>
      <c r="B81" s="321"/>
      <c r="C81" s="321"/>
      <c r="D81" s="321"/>
      <c r="E81" s="321"/>
      <c r="F81" s="321"/>
      <c r="G81" s="321"/>
      <c r="H81" s="187"/>
      <c r="I81" s="187"/>
      <c r="J81" s="187"/>
      <c r="K81" s="187"/>
      <c r="L81" s="187"/>
      <c r="M81" s="321"/>
      <c r="N81" s="187"/>
      <c r="O81" s="187"/>
      <c r="P81" s="187"/>
      <c r="Q81" s="187"/>
      <c r="R81" s="321"/>
      <c r="S81" s="321"/>
      <c r="T81" s="187"/>
      <c r="U81" s="187"/>
      <c r="V81" s="187"/>
      <c r="W81" s="187"/>
      <c r="X81" s="187"/>
      <c r="Y81" s="187"/>
      <c r="Z81" s="187"/>
      <c r="AA81" s="187"/>
      <c r="AB81" s="187"/>
      <c r="AC81" s="187"/>
      <c r="AD81" s="187"/>
      <c r="AE81" s="187"/>
      <c r="AF81" s="187"/>
      <c r="AG81" s="303">
        <f t="shared" si="14"/>
        <v>0</v>
      </c>
    </row>
    <row r="82" hidden="1" outlineLevel="1">
      <c r="A82" s="322" t="s">
        <v>525</v>
      </c>
      <c r="B82" s="321"/>
      <c r="C82" s="321"/>
      <c r="D82" s="321"/>
      <c r="E82" s="321"/>
      <c r="F82" s="321"/>
      <c r="G82" s="321"/>
      <c r="H82" s="187"/>
      <c r="I82" s="187"/>
      <c r="J82" s="187"/>
      <c r="K82" s="187"/>
      <c r="L82" s="187"/>
      <c r="M82" s="321"/>
      <c r="N82" s="187"/>
      <c r="O82" s="187"/>
      <c r="P82" s="187"/>
      <c r="Q82" s="187"/>
      <c r="R82" s="321"/>
      <c r="S82" s="321"/>
      <c r="T82" s="187"/>
      <c r="U82" s="187"/>
      <c r="V82" s="187"/>
      <c r="W82" s="187"/>
      <c r="X82" s="187"/>
      <c r="Y82" s="187"/>
      <c r="Z82" s="187"/>
      <c r="AA82" s="187"/>
      <c r="AB82" s="187"/>
      <c r="AC82" s="187"/>
      <c r="AD82" s="187"/>
      <c r="AE82" s="187"/>
      <c r="AF82" s="187"/>
      <c r="AG82" s="303">
        <f t="shared" si="14"/>
        <v>0</v>
      </c>
    </row>
    <row r="83" hidden="1" outlineLevel="1">
      <c r="A83" s="322" t="s">
        <v>526</v>
      </c>
      <c r="B83" s="321"/>
      <c r="C83" s="321"/>
      <c r="D83" s="321"/>
      <c r="E83" s="321"/>
      <c r="F83" s="321"/>
      <c r="G83" s="321"/>
      <c r="H83" s="187"/>
      <c r="I83" s="187"/>
      <c r="J83" s="187"/>
      <c r="K83" s="187"/>
      <c r="L83" s="187"/>
      <c r="M83" s="321"/>
      <c r="N83" s="187"/>
      <c r="O83" s="187"/>
      <c r="P83" s="187"/>
      <c r="Q83" s="187"/>
      <c r="R83" s="321"/>
      <c r="S83" s="321"/>
      <c r="T83" s="187"/>
      <c r="U83" s="187"/>
      <c r="V83" s="187"/>
      <c r="W83" s="187"/>
      <c r="X83" s="187"/>
      <c r="Y83" s="187"/>
      <c r="Z83" s="187"/>
      <c r="AA83" s="187"/>
      <c r="AB83" s="187"/>
      <c r="AC83" s="187"/>
      <c r="AD83" s="187"/>
      <c r="AE83" s="187"/>
      <c r="AF83" s="187"/>
      <c r="AG83" s="303">
        <f t="shared" si="14"/>
        <v>0</v>
      </c>
    </row>
    <row r="84" hidden="1" outlineLevel="1">
      <c r="A84" s="322" t="s">
        <v>527</v>
      </c>
      <c r="B84" s="321"/>
      <c r="C84" s="321"/>
      <c r="D84" s="321"/>
      <c r="E84" s="321"/>
      <c r="F84" s="321"/>
      <c r="G84" s="321"/>
      <c r="H84" s="187"/>
      <c r="I84" s="187"/>
      <c r="J84" s="187"/>
      <c r="K84" s="187"/>
      <c r="L84" s="187"/>
      <c r="M84" s="321"/>
      <c r="N84" s="187"/>
      <c r="O84" s="187"/>
      <c r="P84" s="187"/>
      <c r="Q84" s="187"/>
      <c r="R84" s="321"/>
      <c r="S84" s="321"/>
      <c r="T84" s="187"/>
      <c r="U84" s="187"/>
      <c r="V84" s="187"/>
      <c r="W84" s="187"/>
      <c r="X84" s="187"/>
      <c r="Y84" s="187"/>
      <c r="Z84" s="187"/>
      <c r="AA84" s="187"/>
      <c r="AB84" s="187"/>
      <c r="AC84" s="187"/>
      <c r="AD84" s="187"/>
      <c r="AE84" s="187"/>
      <c r="AF84" s="187"/>
      <c r="AG84" s="303">
        <f t="shared" si="14"/>
        <v>0</v>
      </c>
    </row>
    <row r="85" hidden="1" outlineLevel="1">
      <c r="A85" s="330" t="s">
        <v>528</v>
      </c>
      <c r="B85" s="327">
        <f t="shared" ref="B85:AD85" si="19">SUM(B80:B84)</f>
        <v>0</v>
      </c>
      <c r="C85" s="327">
        <f t="shared" si="19"/>
        <v>0</v>
      </c>
      <c r="D85" s="327">
        <f t="shared" si="19"/>
        <v>0</v>
      </c>
      <c r="E85" s="327">
        <f t="shared" si="19"/>
        <v>0</v>
      </c>
      <c r="F85" s="327">
        <f t="shared" si="19"/>
        <v>0</v>
      </c>
      <c r="G85" s="327">
        <f t="shared" si="19"/>
        <v>0</v>
      </c>
      <c r="H85" s="327">
        <f t="shared" si="19"/>
        <v>0</v>
      </c>
      <c r="I85" s="327">
        <f t="shared" si="19"/>
        <v>0</v>
      </c>
      <c r="J85" s="327">
        <f t="shared" si="19"/>
        <v>0</v>
      </c>
      <c r="K85" s="327">
        <f t="shared" si="19"/>
        <v>0</v>
      </c>
      <c r="L85" s="327">
        <f t="shared" si="19"/>
        <v>0</v>
      </c>
      <c r="M85" s="327">
        <f t="shared" si="19"/>
        <v>0</v>
      </c>
      <c r="N85" s="327">
        <f t="shared" si="19"/>
        <v>0</v>
      </c>
      <c r="O85" s="327">
        <f t="shared" si="19"/>
        <v>0</v>
      </c>
      <c r="P85" s="327">
        <f t="shared" si="19"/>
        <v>0</v>
      </c>
      <c r="Q85" s="327">
        <f t="shared" si="19"/>
        <v>0</v>
      </c>
      <c r="R85" s="327">
        <f t="shared" si="19"/>
        <v>0</v>
      </c>
      <c r="S85" s="327">
        <f t="shared" si="19"/>
        <v>0</v>
      </c>
      <c r="T85" s="327">
        <f t="shared" si="19"/>
        <v>0</v>
      </c>
      <c r="U85" s="327">
        <f t="shared" si="19"/>
        <v>0</v>
      </c>
      <c r="V85" s="327">
        <f t="shared" si="19"/>
        <v>0</v>
      </c>
      <c r="W85" s="327">
        <f t="shared" si="19"/>
        <v>0</v>
      </c>
      <c r="X85" s="327">
        <f t="shared" si="19"/>
        <v>0</v>
      </c>
      <c r="Y85" s="327">
        <f t="shared" si="19"/>
        <v>0</v>
      </c>
      <c r="Z85" s="327">
        <f t="shared" si="19"/>
        <v>0</v>
      </c>
      <c r="AA85" s="327">
        <f t="shared" si="19"/>
        <v>0</v>
      </c>
      <c r="AB85" s="327">
        <f t="shared" si="19"/>
        <v>0</v>
      </c>
      <c r="AC85" s="327">
        <f t="shared" si="19"/>
        <v>0</v>
      </c>
      <c r="AD85" s="327">
        <f t="shared" si="19"/>
        <v>0</v>
      </c>
      <c r="AE85" s="327"/>
      <c r="AF85" s="327"/>
      <c r="AG85" s="303">
        <f t="shared" si="14"/>
        <v>0</v>
      </c>
    </row>
    <row r="86" hidden="1" outlineLevel="1">
      <c r="A86" s="328"/>
      <c r="B86" s="127"/>
      <c r="C86" s="127"/>
      <c r="D86" s="127"/>
      <c r="E86" s="127"/>
      <c r="F86" s="127"/>
      <c r="G86" s="127"/>
      <c r="H86" s="127"/>
      <c r="I86" s="83"/>
      <c r="J86" s="83"/>
      <c r="K86" s="83"/>
      <c r="L86" s="83"/>
      <c r="M86" s="83"/>
      <c r="N86" s="83"/>
      <c r="O86" s="83"/>
      <c r="P86" s="83"/>
      <c r="Q86" s="83"/>
      <c r="R86" s="83"/>
      <c r="S86" s="83"/>
      <c r="T86" s="83"/>
      <c r="U86" s="83"/>
      <c r="V86" s="83"/>
      <c r="W86" s="83"/>
      <c r="X86" s="83"/>
      <c r="Y86" s="83"/>
      <c r="Z86" s="83"/>
      <c r="AA86" s="83"/>
      <c r="AB86" s="83"/>
      <c r="AC86" s="83"/>
      <c r="AD86" s="83"/>
      <c r="AE86" s="83"/>
      <c r="AF86" s="83"/>
      <c r="AG86" s="303">
        <f t="shared" si="14"/>
        <v>0</v>
      </c>
    </row>
    <row r="87" hidden="1" outlineLevel="1">
      <c r="A87" s="322" t="s">
        <v>529</v>
      </c>
      <c r="B87" s="323"/>
      <c r="C87" s="324"/>
      <c r="D87" s="324"/>
      <c r="E87" s="324"/>
      <c r="F87" s="324"/>
      <c r="G87" s="324"/>
      <c r="H87" s="324"/>
      <c r="I87" s="324"/>
      <c r="J87" s="324"/>
      <c r="K87" s="324"/>
      <c r="L87" s="324"/>
      <c r="M87" s="324"/>
      <c r="N87" s="324"/>
      <c r="O87" s="324"/>
      <c r="P87" s="324"/>
      <c r="Q87" s="324"/>
      <c r="R87" s="324"/>
      <c r="S87" s="324"/>
      <c r="T87" s="324"/>
      <c r="U87" s="324"/>
      <c r="V87" s="324"/>
      <c r="W87" s="324"/>
      <c r="X87" s="324"/>
      <c r="Y87" s="324"/>
      <c r="Z87" s="324"/>
      <c r="AA87" s="324"/>
      <c r="AB87" s="324"/>
      <c r="AC87" s="324"/>
      <c r="AD87" s="324"/>
      <c r="AE87" s="324"/>
      <c r="AF87" s="324"/>
      <c r="AG87" s="303">
        <f t="shared" si="14"/>
        <v>0</v>
      </c>
    </row>
    <row r="88" hidden="1" outlineLevel="1">
      <c r="A88" s="322" t="s">
        <v>530</v>
      </c>
      <c r="B88" s="323"/>
      <c r="C88" s="331"/>
      <c r="D88" s="97"/>
      <c r="E88" s="324"/>
      <c r="F88" s="324"/>
      <c r="G88" s="324"/>
      <c r="H88" s="324"/>
      <c r="I88" s="324"/>
      <c r="J88" s="324"/>
      <c r="K88" s="324"/>
      <c r="L88" s="324"/>
      <c r="M88" s="324"/>
      <c r="N88" s="324"/>
      <c r="O88" s="324"/>
      <c r="P88" s="324"/>
      <c r="Q88" s="324"/>
      <c r="R88" s="324"/>
      <c r="S88" s="324"/>
      <c r="T88" s="324"/>
      <c r="U88" s="324"/>
      <c r="V88" s="324"/>
      <c r="W88" s="324"/>
      <c r="X88" s="324"/>
      <c r="Y88" s="324"/>
      <c r="Z88" s="324"/>
      <c r="AA88" s="324"/>
      <c r="AB88" s="324"/>
      <c r="AC88" s="324"/>
      <c r="AD88" s="324"/>
      <c r="AE88" s="324"/>
      <c r="AF88" s="324"/>
      <c r="AG88" s="303">
        <f t="shared" si="14"/>
        <v>0</v>
      </c>
    </row>
    <row r="89" hidden="1" outlineLevel="1">
      <c r="A89" s="322" t="s">
        <v>531</v>
      </c>
      <c r="B89" s="323"/>
      <c r="C89" s="324"/>
      <c r="D89" s="324"/>
      <c r="E89" s="324"/>
      <c r="F89" s="324"/>
      <c r="G89" s="324"/>
      <c r="H89" s="324"/>
      <c r="I89" s="324"/>
      <c r="J89" s="324"/>
      <c r="K89" s="324"/>
      <c r="L89" s="324"/>
      <c r="M89" s="324"/>
      <c r="N89" s="324"/>
      <c r="O89" s="324"/>
      <c r="P89" s="324"/>
      <c r="Q89" s="324"/>
      <c r="R89" s="324"/>
      <c r="S89" s="324"/>
      <c r="T89" s="324"/>
      <c r="U89" s="324"/>
      <c r="V89" s="324"/>
      <c r="W89" s="324"/>
      <c r="X89" s="324"/>
      <c r="Y89" s="324"/>
      <c r="Z89" s="324"/>
      <c r="AA89" s="324"/>
      <c r="AB89" s="324"/>
      <c r="AC89" s="324"/>
      <c r="AD89" s="324"/>
      <c r="AE89" s="324"/>
      <c r="AF89" s="324"/>
      <c r="AG89" s="303">
        <f t="shared" si="14"/>
        <v>0</v>
      </c>
    </row>
    <row r="90" hidden="1" outlineLevel="1">
      <c r="A90" s="322" t="s">
        <v>532</v>
      </c>
      <c r="B90" s="323"/>
      <c r="C90" s="324"/>
      <c r="D90" s="324"/>
      <c r="E90" s="324"/>
      <c r="F90" s="324"/>
      <c r="G90" s="324"/>
      <c r="H90" s="324"/>
      <c r="I90" s="324"/>
      <c r="J90" s="324"/>
      <c r="K90" s="324"/>
      <c r="L90" s="324"/>
      <c r="M90" s="324"/>
      <c r="N90" s="324"/>
      <c r="O90" s="324"/>
      <c r="P90" s="324"/>
      <c r="Q90" s="324"/>
      <c r="R90" s="324"/>
      <c r="S90" s="324"/>
      <c r="T90" s="324"/>
      <c r="U90" s="324"/>
      <c r="V90" s="324"/>
      <c r="W90" s="324"/>
      <c r="X90" s="324"/>
      <c r="Y90" s="324"/>
      <c r="Z90" s="324"/>
      <c r="AA90" s="324"/>
      <c r="AB90" s="324"/>
      <c r="AC90" s="324"/>
      <c r="AD90" s="324"/>
      <c r="AE90" s="324"/>
      <c r="AF90" s="324"/>
      <c r="AG90" s="303">
        <f t="shared" si="14"/>
        <v>0</v>
      </c>
    </row>
    <row r="91" hidden="1" outlineLevel="1">
      <c r="A91" s="322" t="s">
        <v>533</v>
      </c>
      <c r="B91" s="324"/>
      <c r="C91" s="331"/>
      <c r="D91" s="324"/>
      <c r="E91" s="324"/>
      <c r="F91" s="324"/>
      <c r="G91" s="324"/>
      <c r="H91" s="324"/>
      <c r="I91" s="324"/>
      <c r="J91" s="324"/>
      <c r="K91" s="324"/>
      <c r="L91" s="324"/>
      <c r="M91" s="324"/>
      <c r="N91" s="324"/>
      <c r="O91" s="324"/>
      <c r="P91" s="324"/>
      <c r="Q91" s="324"/>
      <c r="R91" s="324"/>
      <c r="S91" s="324"/>
      <c r="T91" s="324"/>
      <c r="U91" s="324"/>
      <c r="V91" s="324"/>
      <c r="W91" s="324"/>
      <c r="X91" s="324"/>
      <c r="Y91" s="324"/>
      <c r="Z91" s="324"/>
      <c r="AA91" s="324"/>
      <c r="AB91" s="324"/>
      <c r="AC91" s="324"/>
      <c r="AD91" s="324"/>
      <c r="AE91" s="324"/>
      <c r="AF91" s="324"/>
      <c r="AG91" s="303">
        <f t="shared" si="14"/>
        <v>0</v>
      </c>
    </row>
    <row r="92" hidden="1" outlineLevel="1">
      <c r="A92" s="330" t="s">
        <v>534</v>
      </c>
      <c r="B92" s="327">
        <f>SUM(B87:B91)</f>
        <v>0</v>
      </c>
      <c r="C92" s="327">
        <f>SUM(C87:C90)</f>
        <v>0</v>
      </c>
      <c r="D92" s="327">
        <f t="shared" ref="D92:F92" si="20">SUM(D87:D91)</f>
        <v>0</v>
      </c>
      <c r="E92" s="327">
        <f t="shared" si="20"/>
        <v>0</v>
      </c>
      <c r="F92" s="327">
        <f t="shared" si="20"/>
        <v>0</v>
      </c>
      <c r="G92" s="327">
        <f t="shared" ref="G92:V92" si="21">SUM(G87:G90)</f>
        <v>0</v>
      </c>
      <c r="H92" s="327">
        <f t="shared" si="21"/>
        <v>0</v>
      </c>
      <c r="I92" s="327">
        <f t="shared" si="21"/>
        <v>0</v>
      </c>
      <c r="J92" s="327">
        <f t="shared" si="21"/>
        <v>0</v>
      </c>
      <c r="K92" s="327">
        <f t="shared" si="21"/>
        <v>0</v>
      </c>
      <c r="L92" s="327">
        <f t="shared" si="21"/>
        <v>0</v>
      </c>
      <c r="M92" s="327">
        <f t="shared" si="21"/>
        <v>0</v>
      </c>
      <c r="N92" s="327">
        <f t="shared" si="21"/>
        <v>0</v>
      </c>
      <c r="O92" s="327">
        <f t="shared" si="21"/>
        <v>0</v>
      </c>
      <c r="P92" s="327">
        <f t="shared" si="21"/>
        <v>0</v>
      </c>
      <c r="Q92" s="327">
        <f t="shared" si="21"/>
        <v>0</v>
      </c>
      <c r="R92" s="327">
        <f t="shared" si="21"/>
        <v>0</v>
      </c>
      <c r="S92" s="327">
        <f t="shared" si="21"/>
        <v>0</v>
      </c>
      <c r="T92" s="327">
        <f t="shared" si="21"/>
        <v>0</v>
      </c>
      <c r="U92" s="327">
        <f t="shared" si="21"/>
        <v>0</v>
      </c>
      <c r="V92" s="327">
        <f t="shared" si="21"/>
        <v>0</v>
      </c>
      <c r="W92" s="327">
        <f>SUM(W87:W91)</f>
        <v>0</v>
      </c>
      <c r="X92" s="327">
        <f t="shared" ref="X92:AD92" si="22">SUM(X87:X90)</f>
        <v>0</v>
      </c>
      <c r="Y92" s="327">
        <f t="shared" si="22"/>
        <v>0</v>
      </c>
      <c r="Z92" s="327">
        <f t="shared" si="22"/>
        <v>0</v>
      </c>
      <c r="AA92" s="327">
        <f t="shared" si="22"/>
        <v>0</v>
      </c>
      <c r="AB92" s="327">
        <f t="shared" si="22"/>
        <v>0</v>
      </c>
      <c r="AC92" s="327">
        <f t="shared" si="22"/>
        <v>0</v>
      </c>
      <c r="AD92" s="327">
        <f t="shared" si="22"/>
        <v>0</v>
      </c>
      <c r="AE92" s="327"/>
      <c r="AF92" s="327"/>
      <c r="AG92" s="303">
        <f t="shared" si="14"/>
        <v>0</v>
      </c>
    </row>
    <row r="93" hidden="1" outlineLevel="1">
      <c r="A93" s="328"/>
      <c r="B93" s="127"/>
      <c r="C93" s="127"/>
      <c r="D93" s="127"/>
      <c r="E93" s="127"/>
      <c r="F93" s="127"/>
      <c r="G93" s="127"/>
      <c r="H93" s="127"/>
      <c r="I93" s="83"/>
      <c r="J93" s="83"/>
      <c r="K93" s="83"/>
      <c r="L93" s="83"/>
      <c r="M93" s="83"/>
      <c r="N93" s="83"/>
      <c r="O93" s="83"/>
      <c r="P93" s="83"/>
      <c r="Q93" s="83"/>
      <c r="R93" s="83"/>
      <c r="S93" s="83"/>
      <c r="T93" s="83"/>
      <c r="U93" s="83"/>
      <c r="V93" s="83"/>
      <c r="W93" s="83"/>
      <c r="X93" s="83"/>
      <c r="Y93" s="83"/>
      <c r="Z93" s="83"/>
      <c r="AA93" s="83"/>
      <c r="AB93" s="83"/>
      <c r="AC93" s="83"/>
      <c r="AD93" s="83"/>
      <c r="AE93" s="83"/>
      <c r="AF93" s="83"/>
      <c r="AG93" s="303">
        <f t="shared" si="14"/>
        <v>0</v>
      </c>
    </row>
    <row r="94" hidden="1" collapsed="1">
      <c r="A94" s="319" t="s">
        <v>535</v>
      </c>
      <c r="B94" s="127"/>
      <c r="C94" s="127"/>
      <c r="D94" s="127"/>
      <c r="E94" s="127"/>
      <c r="F94" s="127"/>
      <c r="G94" s="127"/>
      <c r="H94" s="127"/>
      <c r="I94" s="83"/>
      <c r="J94" s="83"/>
      <c r="K94" s="83"/>
      <c r="L94" s="83"/>
      <c r="M94" s="83"/>
      <c r="N94" s="83"/>
      <c r="O94" s="83"/>
      <c r="P94" s="83"/>
      <c r="Q94" s="83"/>
      <c r="R94" s="83"/>
      <c r="S94" s="83"/>
      <c r="T94" s="83"/>
      <c r="U94" s="83"/>
      <c r="V94" s="83"/>
      <c r="W94" s="83"/>
      <c r="X94" s="83"/>
      <c r="Y94" s="83"/>
      <c r="Z94" s="83"/>
      <c r="AA94" s="83"/>
      <c r="AB94" s="83"/>
      <c r="AC94" s="83"/>
      <c r="AD94" s="83"/>
      <c r="AE94" s="83"/>
      <c r="AF94" s="83"/>
      <c r="AG94" s="303">
        <f t="shared" si="14"/>
        <v>0</v>
      </c>
    </row>
    <row r="95" hidden="1" outlineLevel="1">
      <c r="A95" s="332" t="s">
        <v>536</v>
      </c>
      <c r="B95" s="333"/>
      <c r="C95" s="333"/>
      <c r="D95" s="333"/>
      <c r="E95" s="333"/>
      <c r="F95" s="333"/>
      <c r="G95" s="333"/>
      <c r="H95" s="200"/>
      <c r="I95" s="200"/>
      <c r="J95" s="200"/>
      <c r="K95" s="200"/>
      <c r="L95" s="200"/>
      <c r="M95" s="333"/>
      <c r="N95" s="200"/>
      <c r="O95" s="200"/>
      <c r="P95" s="200"/>
      <c r="Q95" s="200"/>
      <c r="R95" s="333"/>
      <c r="S95" s="333"/>
      <c r="T95" s="200"/>
      <c r="U95" s="200"/>
      <c r="V95" s="200"/>
      <c r="W95" s="200"/>
      <c r="X95" s="200"/>
      <c r="Y95" s="200"/>
      <c r="Z95" s="200"/>
      <c r="AA95" s="200"/>
      <c r="AB95" s="200"/>
      <c r="AC95" s="200"/>
      <c r="AD95" s="200"/>
      <c r="AE95" s="200"/>
      <c r="AF95" s="200"/>
      <c r="AG95" s="303">
        <f t="shared" si="14"/>
        <v>0</v>
      </c>
    </row>
    <row r="96" hidden="1" outlineLevel="1">
      <c r="A96" s="184" t="s">
        <v>537</v>
      </c>
      <c r="B96" s="200"/>
      <c r="C96" s="200"/>
      <c r="D96" s="200"/>
      <c r="E96" s="334"/>
      <c r="F96" s="334"/>
      <c r="G96" s="334"/>
      <c r="H96" s="334"/>
      <c r="I96" s="334"/>
      <c r="J96" s="334"/>
      <c r="K96" s="334"/>
      <c r="L96" s="334"/>
      <c r="M96" s="334"/>
      <c r="N96" s="334"/>
      <c r="O96" s="334"/>
      <c r="P96" s="334"/>
      <c r="Q96" s="334"/>
      <c r="R96" s="334"/>
      <c r="S96" s="334"/>
      <c r="T96" s="334"/>
      <c r="U96" s="334"/>
      <c r="V96" s="334"/>
      <c r="W96" s="334"/>
      <c r="X96" s="334"/>
      <c r="Y96" s="334"/>
      <c r="Z96" s="200"/>
      <c r="AA96" s="200"/>
      <c r="AB96" s="200">
        <f t="shared" ref="AB96:AD96" si="23">AB9</f>
        <v>20753.58</v>
      </c>
      <c r="AC96" s="200">
        <f t="shared" si="23"/>
        <v>16414.13</v>
      </c>
      <c r="AD96" s="200">
        <f t="shared" si="23"/>
        <v>15703.48</v>
      </c>
      <c r="AE96" s="200"/>
      <c r="AF96" s="200"/>
      <c r="AG96" s="303">
        <f t="shared" si="14"/>
        <v>52871.19</v>
      </c>
    </row>
    <row r="97" hidden="1" outlineLevel="1">
      <c r="A97" s="184" t="s">
        <v>511</v>
      </c>
      <c r="B97" s="333"/>
      <c r="C97" s="333"/>
      <c r="D97" s="333"/>
      <c r="E97" s="333"/>
      <c r="F97" s="333"/>
      <c r="G97" s="333"/>
      <c r="H97" s="200"/>
      <c r="I97" s="200"/>
      <c r="J97" s="200"/>
      <c r="K97" s="200"/>
      <c r="L97" s="200"/>
      <c r="M97" s="333"/>
      <c r="N97" s="201"/>
      <c r="O97" s="200"/>
      <c r="P97" s="333"/>
      <c r="Q97" s="200"/>
      <c r="R97" s="200"/>
      <c r="S97" s="333"/>
      <c r="T97" s="200"/>
      <c r="U97" s="200"/>
      <c r="V97" s="333"/>
      <c r="W97" s="200"/>
      <c r="X97" s="200"/>
      <c r="Y97" s="200"/>
      <c r="Z97" s="200"/>
      <c r="AA97" s="200"/>
      <c r="AB97" s="200"/>
      <c r="AC97" s="200"/>
      <c r="AD97" s="200"/>
      <c r="AE97" s="200"/>
      <c r="AF97" s="200"/>
      <c r="AG97" s="303">
        <f t="shared" si="14"/>
        <v>0</v>
      </c>
    </row>
    <row r="98" hidden="1" outlineLevel="1">
      <c r="A98" s="184" t="s">
        <v>512</v>
      </c>
      <c r="B98" s="333"/>
      <c r="C98" s="333"/>
      <c r="D98" s="333"/>
      <c r="E98" s="333"/>
      <c r="F98" s="333"/>
      <c r="G98" s="333"/>
      <c r="H98" s="200"/>
      <c r="I98" s="200"/>
      <c r="J98" s="200"/>
      <c r="K98" s="200"/>
      <c r="L98" s="200"/>
      <c r="M98" s="333"/>
      <c r="N98" s="200"/>
      <c r="O98" s="200"/>
      <c r="P98" s="200"/>
      <c r="Q98" s="333"/>
      <c r="R98" s="333"/>
      <c r="S98" s="335"/>
      <c r="T98" s="200"/>
      <c r="U98" s="200"/>
      <c r="V98" s="200"/>
      <c r="W98" s="200"/>
      <c r="X98" s="200"/>
      <c r="Y98" s="200"/>
      <c r="Z98" s="200"/>
      <c r="AA98" s="200"/>
      <c r="AB98" s="200"/>
      <c r="AC98" s="200"/>
      <c r="AD98" s="200"/>
      <c r="AE98" s="200"/>
      <c r="AF98" s="200"/>
      <c r="AG98" s="303">
        <f t="shared" si="14"/>
        <v>0</v>
      </c>
    </row>
    <row r="99" ht="20.25" hidden="1" customHeight="1" outlineLevel="1">
      <c r="A99" s="184" t="s">
        <v>513</v>
      </c>
      <c r="B99" s="336"/>
      <c r="C99" s="113"/>
      <c r="D99" s="113"/>
      <c r="E99" s="113"/>
      <c r="F99" s="113"/>
      <c r="G99" s="113"/>
      <c r="H99" s="113"/>
      <c r="I99" s="113"/>
      <c r="J99" s="336"/>
      <c r="K99" s="336"/>
      <c r="L99" s="336"/>
      <c r="M99" s="336"/>
      <c r="N99" s="336"/>
      <c r="O99" s="336"/>
      <c r="P99" s="336"/>
      <c r="Q99" s="336"/>
      <c r="R99" s="336"/>
      <c r="S99" s="336"/>
      <c r="T99" s="336"/>
      <c r="U99" s="336"/>
      <c r="V99" s="336"/>
      <c r="W99" s="113"/>
      <c r="X99" s="336"/>
      <c r="Y99" s="336"/>
      <c r="Z99" s="336"/>
      <c r="AA99" s="336"/>
      <c r="AB99" s="336"/>
      <c r="AC99" s="336"/>
      <c r="AD99" s="336"/>
      <c r="AE99" s="336"/>
      <c r="AF99" s="336"/>
      <c r="AG99" s="303">
        <f t="shared" si="14"/>
        <v>0</v>
      </c>
    </row>
    <row r="100" hidden="1" outlineLevel="1">
      <c r="A100" s="184" t="s">
        <v>514</v>
      </c>
      <c r="B100" s="336"/>
      <c r="C100" s="113"/>
      <c r="D100" s="336"/>
      <c r="E100" s="113"/>
      <c r="F100" s="113"/>
      <c r="G100" s="113"/>
      <c r="H100" s="113"/>
      <c r="I100" s="113"/>
      <c r="J100" s="336"/>
      <c r="K100" s="336"/>
      <c r="L100" s="336"/>
      <c r="M100" s="336"/>
      <c r="N100" s="336"/>
      <c r="O100" s="336"/>
      <c r="P100" s="336"/>
      <c r="Q100" s="336"/>
      <c r="R100" s="336"/>
      <c r="S100" s="336"/>
      <c r="T100" s="336"/>
      <c r="U100" s="336"/>
      <c r="V100" s="336"/>
      <c r="W100" s="336"/>
      <c r="X100" s="336"/>
      <c r="Y100" s="336"/>
      <c r="Z100" s="336"/>
      <c r="AA100" s="336"/>
      <c r="AB100" s="336"/>
      <c r="AC100" s="336"/>
      <c r="AD100" s="336"/>
      <c r="AE100" s="336"/>
      <c r="AF100" s="336"/>
      <c r="AG100" s="303">
        <f t="shared" si="14"/>
        <v>0</v>
      </c>
    </row>
    <row r="101" hidden="1" outlineLevel="1">
      <c r="A101" s="337" t="s">
        <v>515</v>
      </c>
      <c r="B101" s="338">
        <f t="shared" ref="B101:AD101" si="24">B95+B97+B99</f>
        <v>0</v>
      </c>
      <c r="C101" s="338">
        <f t="shared" si="24"/>
        <v>0</v>
      </c>
      <c r="D101" s="338">
        <f t="shared" si="24"/>
        <v>0</v>
      </c>
      <c r="E101" s="338">
        <f t="shared" si="24"/>
        <v>0</v>
      </c>
      <c r="F101" s="338">
        <f t="shared" si="24"/>
        <v>0</v>
      </c>
      <c r="G101" s="338">
        <f t="shared" si="24"/>
        <v>0</v>
      </c>
      <c r="H101" s="338">
        <f t="shared" si="24"/>
        <v>0</v>
      </c>
      <c r="I101" s="338">
        <f t="shared" si="24"/>
        <v>0</v>
      </c>
      <c r="J101" s="338">
        <f t="shared" si="24"/>
        <v>0</v>
      </c>
      <c r="K101" s="338">
        <f t="shared" si="24"/>
        <v>0</v>
      </c>
      <c r="L101" s="338">
        <f t="shared" si="24"/>
        <v>0</v>
      </c>
      <c r="M101" s="338">
        <f t="shared" si="24"/>
        <v>0</v>
      </c>
      <c r="N101" s="338">
        <f t="shared" si="24"/>
        <v>0</v>
      </c>
      <c r="O101" s="338">
        <f t="shared" si="24"/>
        <v>0</v>
      </c>
      <c r="P101" s="338">
        <f t="shared" si="24"/>
        <v>0</v>
      </c>
      <c r="Q101" s="338">
        <f t="shared" si="24"/>
        <v>0</v>
      </c>
      <c r="R101" s="338">
        <f t="shared" si="24"/>
        <v>0</v>
      </c>
      <c r="S101" s="338">
        <f t="shared" si="24"/>
        <v>0</v>
      </c>
      <c r="T101" s="338">
        <f t="shared" si="24"/>
        <v>0</v>
      </c>
      <c r="U101" s="338">
        <f t="shared" si="24"/>
        <v>0</v>
      </c>
      <c r="V101" s="338">
        <f t="shared" si="24"/>
        <v>0</v>
      </c>
      <c r="W101" s="338">
        <f t="shared" si="24"/>
        <v>0</v>
      </c>
      <c r="X101" s="338">
        <f t="shared" si="24"/>
        <v>0</v>
      </c>
      <c r="Y101" s="338">
        <f t="shared" si="24"/>
        <v>0</v>
      </c>
      <c r="Z101" s="338">
        <f t="shared" si="24"/>
        <v>0</v>
      </c>
      <c r="AA101" s="338">
        <f t="shared" si="24"/>
        <v>0</v>
      </c>
      <c r="AB101" s="338">
        <f t="shared" si="24"/>
        <v>0</v>
      </c>
      <c r="AC101" s="338">
        <f t="shared" si="24"/>
        <v>0</v>
      </c>
      <c r="AD101" s="338">
        <f t="shared" si="24"/>
        <v>0</v>
      </c>
      <c r="AE101" s="338"/>
      <c r="AF101" s="338"/>
      <c r="AG101" s="303">
        <f t="shared" si="14"/>
        <v>0</v>
      </c>
    </row>
    <row r="102" hidden="1" outlineLevel="1">
      <c r="A102" s="337" t="s">
        <v>516</v>
      </c>
      <c r="B102" s="338">
        <f t="shared" ref="B102:AD102" si="25">B96+B98+B100</f>
        <v>0</v>
      </c>
      <c r="C102" s="338">
        <f t="shared" si="25"/>
        <v>0</v>
      </c>
      <c r="D102" s="338">
        <f t="shared" si="25"/>
        <v>0</v>
      </c>
      <c r="E102" s="338">
        <f t="shared" si="25"/>
        <v>0</v>
      </c>
      <c r="F102" s="338">
        <f t="shared" si="25"/>
        <v>0</v>
      </c>
      <c r="G102" s="338">
        <f t="shared" si="25"/>
        <v>0</v>
      </c>
      <c r="H102" s="338">
        <f t="shared" si="25"/>
        <v>0</v>
      </c>
      <c r="I102" s="338">
        <f t="shared" si="25"/>
        <v>0</v>
      </c>
      <c r="J102" s="338">
        <f t="shared" si="25"/>
        <v>0</v>
      </c>
      <c r="K102" s="338">
        <f t="shared" si="25"/>
        <v>0</v>
      </c>
      <c r="L102" s="338">
        <f t="shared" si="25"/>
        <v>0</v>
      </c>
      <c r="M102" s="338">
        <f t="shared" si="25"/>
        <v>0</v>
      </c>
      <c r="N102" s="338">
        <f t="shared" si="25"/>
        <v>0</v>
      </c>
      <c r="O102" s="338">
        <f t="shared" si="25"/>
        <v>0</v>
      </c>
      <c r="P102" s="338">
        <f t="shared" si="25"/>
        <v>0</v>
      </c>
      <c r="Q102" s="338">
        <f t="shared" si="25"/>
        <v>0</v>
      </c>
      <c r="R102" s="338">
        <f t="shared" si="25"/>
        <v>0</v>
      </c>
      <c r="S102" s="338">
        <f t="shared" si="25"/>
        <v>0</v>
      </c>
      <c r="T102" s="338">
        <f t="shared" si="25"/>
        <v>0</v>
      </c>
      <c r="U102" s="338">
        <f t="shared" si="25"/>
        <v>0</v>
      </c>
      <c r="V102" s="338">
        <f t="shared" si="25"/>
        <v>0</v>
      </c>
      <c r="W102" s="338">
        <f t="shared" si="25"/>
        <v>0</v>
      </c>
      <c r="X102" s="338">
        <f t="shared" si="25"/>
        <v>0</v>
      </c>
      <c r="Y102" s="338">
        <f t="shared" si="25"/>
        <v>0</v>
      </c>
      <c r="Z102" s="338">
        <f t="shared" si="25"/>
        <v>0</v>
      </c>
      <c r="AA102" s="338">
        <f t="shared" si="25"/>
        <v>0</v>
      </c>
      <c r="AB102" s="338">
        <f t="shared" si="25"/>
        <v>20753.58</v>
      </c>
      <c r="AC102" s="338">
        <f t="shared" si="25"/>
        <v>16414.13</v>
      </c>
      <c r="AD102" s="338">
        <f t="shared" si="25"/>
        <v>15703.48</v>
      </c>
      <c r="AE102" s="338"/>
      <c r="AF102" s="338"/>
      <c r="AG102" s="303">
        <f t="shared" si="14"/>
        <v>52871.19</v>
      </c>
    </row>
    <row r="103" ht="16.5" hidden="1" customHeight="1" outlineLevel="1">
      <c r="A103" s="98"/>
      <c r="B103" s="203"/>
      <c r="C103" s="203"/>
      <c r="D103" s="203"/>
      <c r="E103" s="203"/>
      <c r="F103" s="203"/>
      <c r="G103" s="203"/>
      <c r="H103" s="203"/>
      <c r="I103" s="203"/>
      <c r="J103" s="203"/>
      <c r="K103" s="203"/>
      <c r="L103" s="203"/>
      <c r="M103" s="203"/>
      <c r="N103" s="203"/>
      <c r="O103" s="203"/>
      <c r="P103" s="203"/>
      <c r="Q103" s="203"/>
      <c r="R103" s="203"/>
      <c r="S103" s="203"/>
      <c r="T103" s="203"/>
      <c r="U103" s="203"/>
      <c r="V103" s="203"/>
      <c r="W103" s="203"/>
      <c r="X103" s="203"/>
      <c r="Y103" s="203"/>
      <c r="Z103" s="203"/>
      <c r="AA103" s="203"/>
      <c r="AB103" s="203"/>
      <c r="AC103" s="203"/>
      <c r="AD103" s="203"/>
      <c r="AE103" s="203"/>
      <c r="AF103" s="203"/>
      <c r="AG103" s="303">
        <f t="shared" si="14"/>
        <v>0</v>
      </c>
    </row>
    <row r="104" hidden="1" outlineLevel="1">
      <c r="A104" s="332" t="s">
        <v>538</v>
      </c>
      <c r="B104" s="339"/>
      <c r="C104" s="340"/>
      <c r="D104" s="339"/>
      <c r="E104" s="339"/>
      <c r="F104" s="339"/>
      <c r="G104" s="339"/>
      <c r="H104" s="207"/>
      <c r="I104" s="199"/>
      <c r="J104" s="207"/>
      <c r="K104" s="207"/>
      <c r="L104" s="207"/>
      <c r="M104" s="339"/>
      <c r="N104" s="207"/>
      <c r="O104" s="207"/>
      <c r="P104" s="207"/>
      <c r="Q104" s="207"/>
      <c r="R104" s="339"/>
      <c r="S104" s="339"/>
      <c r="T104" s="207"/>
      <c r="U104" s="339"/>
      <c r="V104" s="207"/>
      <c r="W104" s="207"/>
      <c r="X104" s="339"/>
      <c r="Y104" s="207"/>
      <c r="Z104" s="207"/>
      <c r="AA104" s="207"/>
      <c r="AB104" s="207"/>
      <c r="AC104" s="207"/>
      <c r="AD104" s="341"/>
      <c r="AE104" s="341"/>
      <c r="AF104" s="341"/>
      <c r="AG104" s="303">
        <f t="shared" si="14"/>
        <v>0</v>
      </c>
    </row>
    <row r="105" hidden="1" outlineLevel="1">
      <c r="A105" s="332" t="s">
        <v>539</v>
      </c>
      <c r="B105" s="340"/>
      <c r="C105" s="340"/>
      <c r="D105" s="340"/>
      <c r="E105" s="340"/>
      <c r="F105" s="340"/>
      <c r="G105" s="340"/>
      <c r="H105" s="199"/>
      <c r="I105" s="199"/>
      <c r="J105" s="199"/>
      <c r="K105" s="199"/>
      <c r="L105" s="340"/>
      <c r="M105" s="340"/>
      <c r="N105" s="340"/>
      <c r="O105" s="340"/>
      <c r="P105" s="340"/>
      <c r="Q105" s="339"/>
      <c r="R105" s="339"/>
      <c r="S105" s="339"/>
      <c r="T105" s="339"/>
      <c r="U105" s="339"/>
      <c r="V105" s="339"/>
      <c r="W105" s="339"/>
      <c r="X105" s="339"/>
      <c r="Y105" s="339"/>
      <c r="Z105" s="339"/>
      <c r="AA105" s="339"/>
      <c r="AB105" s="339"/>
      <c r="AC105" s="339"/>
      <c r="AD105" s="341"/>
      <c r="AE105" s="341"/>
      <c r="AF105" s="341"/>
      <c r="AG105" s="303">
        <f t="shared" si="14"/>
        <v>0</v>
      </c>
    </row>
    <row r="106" hidden="1" outlineLevel="1">
      <c r="A106" s="184" t="s">
        <v>519</v>
      </c>
      <c r="B106" s="339"/>
      <c r="C106" s="339"/>
      <c r="D106" s="339"/>
      <c r="E106" s="339"/>
      <c r="F106" s="339"/>
      <c r="G106" s="339"/>
      <c r="H106" s="207"/>
      <c r="I106" s="207"/>
      <c r="J106" s="199"/>
      <c r="K106" s="207"/>
      <c r="L106" s="207"/>
      <c r="M106" s="339"/>
      <c r="N106" s="207"/>
      <c r="O106" s="207"/>
      <c r="P106" s="207"/>
      <c r="Q106" s="207"/>
      <c r="R106" s="339"/>
      <c r="S106" s="339"/>
      <c r="T106" s="207"/>
      <c r="U106" s="207"/>
      <c r="V106" s="207"/>
      <c r="W106" s="207"/>
      <c r="X106" s="207"/>
      <c r="Y106" s="207"/>
      <c r="Z106" s="207"/>
      <c r="AA106" s="207"/>
      <c r="AB106" s="207"/>
      <c r="AC106" s="207"/>
      <c r="AD106" s="341"/>
      <c r="AE106" s="341"/>
      <c r="AF106" s="341"/>
      <c r="AG106" s="303">
        <f t="shared" si="14"/>
        <v>0</v>
      </c>
    </row>
    <row r="107" hidden="1" outlineLevel="1">
      <c r="A107" s="332" t="s">
        <v>540</v>
      </c>
      <c r="B107" s="339"/>
      <c r="C107" s="339"/>
      <c r="D107" s="339"/>
      <c r="E107" s="339"/>
      <c r="F107" s="339"/>
      <c r="G107" s="339"/>
      <c r="H107" s="207"/>
      <c r="I107" s="207"/>
      <c r="J107" s="207"/>
      <c r="K107" s="207"/>
      <c r="L107" s="207"/>
      <c r="M107" s="339"/>
      <c r="N107" s="207"/>
      <c r="O107" s="207"/>
      <c r="P107" s="207"/>
      <c r="Q107" s="207"/>
      <c r="R107" s="339"/>
      <c r="S107" s="339"/>
      <c r="T107" s="207"/>
      <c r="U107" s="207"/>
      <c r="V107" s="207"/>
      <c r="W107" s="207"/>
      <c r="X107" s="207"/>
      <c r="Y107" s="207"/>
      <c r="Z107" s="207"/>
      <c r="AA107" s="207"/>
      <c r="AB107" s="207"/>
      <c r="AC107" s="207"/>
      <c r="AD107" s="341"/>
      <c r="AE107" s="341"/>
      <c r="AF107" s="341"/>
      <c r="AG107" s="303">
        <f t="shared" si="14"/>
        <v>0</v>
      </c>
    </row>
    <row r="108" hidden="1" outlineLevel="1">
      <c r="A108" s="332" t="s">
        <v>541</v>
      </c>
      <c r="B108" s="339"/>
      <c r="C108" s="339"/>
      <c r="D108" s="339"/>
      <c r="E108" s="339"/>
      <c r="F108" s="339"/>
      <c r="G108" s="339"/>
      <c r="H108" s="207"/>
      <c r="I108" s="207"/>
      <c r="J108" s="207"/>
      <c r="K108" s="207"/>
      <c r="L108" s="207"/>
      <c r="M108" s="339"/>
      <c r="N108" s="207"/>
      <c r="O108" s="207"/>
      <c r="P108" s="207"/>
      <c r="Q108" s="207"/>
      <c r="R108" s="339"/>
      <c r="S108" s="339"/>
      <c r="T108" s="207"/>
      <c r="U108" s="207"/>
      <c r="V108" s="207"/>
      <c r="W108" s="207"/>
      <c r="X108" s="207"/>
      <c r="Y108" s="207"/>
      <c r="Z108" s="207"/>
      <c r="AA108" s="207"/>
      <c r="AB108" s="207"/>
      <c r="AC108" s="207"/>
      <c r="AD108" s="341"/>
      <c r="AE108" s="341"/>
      <c r="AF108" s="341"/>
      <c r="AG108" s="303">
        <f t="shared" si="14"/>
        <v>0</v>
      </c>
    </row>
    <row r="109" hidden="1" outlineLevel="1">
      <c r="A109" s="342" t="s">
        <v>542</v>
      </c>
      <c r="B109" s="338">
        <f t="shared" ref="B109:AD109" si="26">SUM(B104:B108)</f>
        <v>0</v>
      </c>
      <c r="C109" s="338">
        <f t="shared" si="26"/>
        <v>0</v>
      </c>
      <c r="D109" s="338">
        <f t="shared" si="26"/>
        <v>0</v>
      </c>
      <c r="E109" s="338">
        <f t="shared" si="26"/>
        <v>0</v>
      </c>
      <c r="F109" s="338">
        <f t="shared" si="26"/>
        <v>0</v>
      </c>
      <c r="G109" s="338">
        <f t="shared" si="26"/>
        <v>0</v>
      </c>
      <c r="H109" s="338">
        <f t="shared" si="26"/>
        <v>0</v>
      </c>
      <c r="I109" s="338">
        <f t="shared" si="26"/>
        <v>0</v>
      </c>
      <c r="J109" s="338">
        <f t="shared" si="26"/>
        <v>0</v>
      </c>
      <c r="K109" s="338">
        <f t="shared" si="26"/>
        <v>0</v>
      </c>
      <c r="L109" s="338">
        <f t="shared" si="26"/>
        <v>0</v>
      </c>
      <c r="M109" s="338">
        <f t="shared" si="26"/>
        <v>0</v>
      </c>
      <c r="N109" s="338">
        <f t="shared" si="26"/>
        <v>0</v>
      </c>
      <c r="O109" s="338">
        <f t="shared" si="26"/>
        <v>0</v>
      </c>
      <c r="P109" s="338">
        <f t="shared" si="26"/>
        <v>0</v>
      </c>
      <c r="Q109" s="338">
        <f t="shared" si="26"/>
        <v>0</v>
      </c>
      <c r="R109" s="338">
        <f t="shared" si="26"/>
        <v>0</v>
      </c>
      <c r="S109" s="338">
        <f t="shared" si="26"/>
        <v>0</v>
      </c>
      <c r="T109" s="338">
        <f t="shared" si="26"/>
        <v>0</v>
      </c>
      <c r="U109" s="338">
        <f t="shared" si="26"/>
        <v>0</v>
      </c>
      <c r="V109" s="338">
        <f t="shared" si="26"/>
        <v>0</v>
      </c>
      <c r="W109" s="338">
        <f t="shared" si="26"/>
        <v>0</v>
      </c>
      <c r="X109" s="338">
        <f t="shared" si="26"/>
        <v>0</v>
      </c>
      <c r="Y109" s="338">
        <f t="shared" si="26"/>
        <v>0</v>
      </c>
      <c r="Z109" s="338">
        <f t="shared" si="26"/>
        <v>0</v>
      </c>
      <c r="AA109" s="338">
        <f t="shared" si="26"/>
        <v>0</v>
      </c>
      <c r="AB109" s="338">
        <f t="shared" si="26"/>
        <v>0</v>
      </c>
      <c r="AC109" s="338">
        <f t="shared" si="26"/>
        <v>0</v>
      </c>
      <c r="AD109" s="338">
        <f t="shared" si="26"/>
        <v>0</v>
      </c>
      <c r="AE109" s="338"/>
      <c r="AF109" s="338"/>
      <c r="AG109" s="303">
        <f t="shared" si="14"/>
        <v>0</v>
      </c>
    </row>
    <row r="110" hidden="1" outlineLevel="1">
      <c r="A110" s="98"/>
      <c r="B110" s="203"/>
      <c r="C110" s="203"/>
      <c r="D110" s="203"/>
      <c r="E110" s="203"/>
      <c r="F110" s="203"/>
      <c r="G110" s="203"/>
      <c r="H110" s="203"/>
      <c r="I110" s="203"/>
      <c r="J110" s="203"/>
      <c r="K110" s="203"/>
      <c r="L110" s="203"/>
      <c r="M110" s="203"/>
      <c r="N110" s="203"/>
      <c r="O110" s="203"/>
      <c r="P110" s="203"/>
      <c r="Q110" s="203"/>
      <c r="R110" s="203"/>
      <c r="S110" s="203"/>
      <c r="T110" s="203"/>
      <c r="U110" s="203"/>
      <c r="V110" s="203"/>
      <c r="W110" s="203"/>
      <c r="X110" s="203"/>
      <c r="Y110" s="203"/>
      <c r="Z110" s="203"/>
      <c r="AA110" s="203"/>
      <c r="AB110" s="203"/>
      <c r="AC110" s="203"/>
      <c r="AD110" s="203"/>
      <c r="AE110" s="203"/>
      <c r="AF110" s="203"/>
      <c r="AG110" s="303">
        <f t="shared" si="14"/>
        <v>0</v>
      </c>
    </row>
    <row r="111" hidden="1" outlineLevel="1">
      <c r="A111" s="184" t="s">
        <v>523</v>
      </c>
      <c r="B111" s="333"/>
      <c r="C111" s="340"/>
      <c r="D111" s="333"/>
      <c r="E111" s="339"/>
      <c r="F111" s="333"/>
      <c r="G111" s="333"/>
      <c r="H111" s="200"/>
      <c r="I111" s="200"/>
      <c r="J111" s="200"/>
      <c r="K111" s="200"/>
      <c r="L111" s="200"/>
      <c r="M111" s="333"/>
      <c r="N111" s="200"/>
      <c r="O111" s="200"/>
      <c r="P111" s="200"/>
      <c r="Q111" s="200"/>
      <c r="R111" s="333"/>
      <c r="S111" s="333"/>
      <c r="T111" s="200"/>
      <c r="U111" s="200"/>
      <c r="V111" s="200"/>
      <c r="W111" s="200"/>
      <c r="X111" s="200"/>
      <c r="Y111" s="200"/>
      <c r="Z111" s="200"/>
      <c r="AA111" s="200"/>
      <c r="AB111" s="200"/>
      <c r="AC111" s="200"/>
      <c r="AD111" s="200"/>
      <c r="AE111" s="200"/>
      <c r="AF111" s="200"/>
      <c r="AG111" s="303">
        <f t="shared" si="14"/>
        <v>0</v>
      </c>
    </row>
    <row r="112" hidden="1" outlineLevel="1">
      <c r="A112" s="184" t="s">
        <v>524</v>
      </c>
      <c r="B112" s="333"/>
      <c r="C112" s="340"/>
      <c r="D112" s="333"/>
      <c r="E112" s="340"/>
      <c r="F112" s="333"/>
      <c r="G112" s="333"/>
      <c r="H112" s="200"/>
      <c r="I112" s="200"/>
      <c r="J112" s="200"/>
      <c r="K112" s="200"/>
      <c r="L112" s="200"/>
      <c r="M112" s="333"/>
      <c r="N112" s="200"/>
      <c r="O112" s="200"/>
      <c r="P112" s="200"/>
      <c r="Q112" s="200"/>
      <c r="R112" s="333"/>
      <c r="S112" s="333"/>
      <c r="T112" s="200"/>
      <c r="U112" s="200"/>
      <c r="V112" s="200"/>
      <c r="W112" s="200"/>
      <c r="X112" s="200"/>
      <c r="Y112" s="200"/>
      <c r="Z112" s="200"/>
      <c r="AA112" s="200"/>
      <c r="AB112" s="200"/>
      <c r="AC112" s="200"/>
      <c r="AD112" s="200"/>
      <c r="AE112" s="200"/>
      <c r="AF112" s="200"/>
      <c r="AG112" s="303">
        <f t="shared" si="14"/>
        <v>0</v>
      </c>
    </row>
    <row r="113" hidden="1" outlineLevel="1">
      <c r="A113" s="184" t="s">
        <v>525</v>
      </c>
      <c r="B113" s="333"/>
      <c r="C113" s="339"/>
      <c r="D113" s="333"/>
      <c r="E113" s="339"/>
      <c r="F113" s="333"/>
      <c r="G113" s="333"/>
      <c r="H113" s="200"/>
      <c r="I113" s="200"/>
      <c r="J113" s="200"/>
      <c r="K113" s="200"/>
      <c r="L113" s="200"/>
      <c r="M113" s="333"/>
      <c r="N113" s="200"/>
      <c r="O113" s="200"/>
      <c r="P113" s="200"/>
      <c r="Q113" s="200"/>
      <c r="R113" s="333"/>
      <c r="S113" s="333"/>
      <c r="T113" s="200"/>
      <c r="U113" s="200"/>
      <c r="V113" s="200"/>
      <c r="W113" s="207"/>
      <c r="X113" s="200"/>
      <c r="Y113" s="200"/>
      <c r="Z113" s="200"/>
      <c r="AA113" s="200"/>
      <c r="AB113" s="200"/>
      <c r="AC113" s="200"/>
      <c r="AD113" s="200"/>
      <c r="AE113" s="200"/>
      <c r="AF113" s="200"/>
      <c r="AG113" s="303">
        <f t="shared" si="14"/>
        <v>0</v>
      </c>
    </row>
    <row r="114" hidden="1" outlineLevel="1">
      <c r="A114" s="184" t="s">
        <v>526</v>
      </c>
      <c r="B114" s="333"/>
      <c r="C114" s="339"/>
      <c r="D114" s="333"/>
      <c r="E114" s="339"/>
      <c r="F114" s="333"/>
      <c r="G114" s="333"/>
      <c r="H114" s="200"/>
      <c r="I114" s="200"/>
      <c r="J114" s="200"/>
      <c r="K114" s="200"/>
      <c r="L114" s="200"/>
      <c r="M114" s="333"/>
      <c r="N114" s="200"/>
      <c r="O114" s="200"/>
      <c r="P114" s="200"/>
      <c r="Q114" s="200"/>
      <c r="R114" s="333"/>
      <c r="S114" s="333"/>
      <c r="T114" s="200"/>
      <c r="U114" s="200"/>
      <c r="V114" s="200"/>
      <c r="W114" s="200"/>
      <c r="X114" s="200"/>
      <c r="Y114" s="200"/>
      <c r="Z114" s="200"/>
      <c r="AA114" s="200"/>
      <c r="AB114" s="200"/>
      <c r="AC114" s="200"/>
      <c r="AD114" s="200"/>
      <c r="AE114" s="200"/>
      <c r="AF114" s="200"/>
      <c r="AG114" s="303">
        <f t="shared" si="14"/>
        <v>0</v>
      </c>
    </row>
    <row r="115" hidden="1" outlineLevel="1">
      <c r="A115" s="184" t="s">
        <v>527</v>
      </c>
      <c r="B115" s="333"/>
      <c r="C115" s="339"/>
      <c r="D115" s="333"/>
      <c r="E115" s="339"/>
      <c r="F115" s="333"/>
      <c r="G115" s="333"/>
      <c r="H115" s="200"/>
      <c r="I115" s="200"/>
      <c r="J115" s="200"/>
      <c r="K115" s="200"/>
      <c r="L115" s="200"/>
      <c r="M115" s="333"/>
      <c r="N115" s="200"/>
      <c r="O115" s="200"/>
      <c r="P115" s="200"/>
      <c r="Q115" s="200"/>
      <c r="R115" s="333"/>
      <c r="S115" s="333"/>
      <c r="T115" s="200"/>
      <c r="U115" s="200"/>
      <c r="V115" s="200"/>
      <c r="W115" s="200"/>
      <c r="X115" s="200"/>
      <c r="Y115" s="200"/>
      <c r="Z115" s="200"/>
      <c r="AA115" s="200"/>
      <c r="AB115" s="200"/>
      <c r="AC115" s="200"/>
      <c r="AD115" s="200"/>
      <c r="AE115" s="200"/>
      <c r="AF115" s="200"/>
      <c r="AG115" s="303">
        <f t="shared" si="14"/>
        <v>0</v>
      </c>
    </row>
    <row r="116" hidden="1" outlineLevel="1">
      <c r="A116" s="343" t="s">
        <v>528</v>
      </c>
      <c r="B116" s="338">
        <f t="shared" ref="B116:AD116" si="27">SUM(B111:B115)</f>
        <v>0</v>
      </c>
      <c r="C116" s="338">
        <f t="shared" si="27"/>
        <v>0</v>
      </c>
      <c r="D116" s="338">
        <f t="shared" si="27"/>
        <v>0</v>
      </c>
      <c r="E116" s="338">
        <f t="shared" si="27"/>
        <v>0</v>
      </c>
      <c r="F116" s="338">
        <f t="shared" si="27"/>
        <v>0</v>
      </c>
      <c r="G116" s="338">
        <f t="shared" si="27"/>
        <v>0</v>
      </c>
      <c r="H116" s="338">
        <f t="shared" si="27"/>
        <v>0</v>
      </c>
      <c r="I116" s="338">
        <f t="shared" si="27"/>
        <v>0</v>
      </c>
      <c r="J116" s="338">
        <f t="shared" si="27"/>
        <v>0</v>
      </c>
      <c r="K116" s="338">
        <f t="shared" si="27"/>
        <v>0</v>
      </c>
      <c r="L116" s="338">
        <f t="shared" si="27"/>
        <v>0</v>
      </c>
      <c r="M116" s="338">
        <f t="shared" si="27"/>
        <v>0</v>
      </c>
      <c r="N116" s="338">
        <f t="shared" si="27"/>
        <v>0</v>
      </c>
      <c r="O116" s="338">
        <f t="shared" si="27"/>
        <v>0</v>
      </c>
      <c r="P116" s="338">
        <f t="shared" si="27"/>
        <v>0</v>
      </c>
      <c r="Q116" s="338">
        <f t="shared" si="27"/>
        <v>0</v>
      </c>
      <c r="R116" s="338">
        <f t="shared" si="27"/>
        <v>0</v>
      </c>
      <c r="S116" s="338">
        <f t="shared" si="27"/>
        <v>0</v>
      </c>
      <c r="T116" s="338">
        <f t="shared" si="27"/>
        <v>0</v>
      </c>
      <c r="U116" s="338">
        <f t="shared" si="27"/>
        <v>0</v>
      </c>
      <c r="V116" s="338">
        <f t="shared" si="27"/>
        <v>0</v>
      </c>
      <c r="W116" s="338">
        <f t="shared" si="27"/>
        <v>0</v>
      </c>
      <c r="X116" s="338">
        <f t="shared" si="27"/>
        <v>0</v>
      </c>
      <c r="Y116" s="338">
        <f t="shared" si="27"/>
        <v>0</v>
      </c>
      <c r="Z116" s="338">
        <f t="shared" si="27"/>
        <v>0</v>
      </c>
      <c r="AA116" s="338">
        <f t="shared" si="27"/>
        <v>0</v>
      </c>
      <c r="AB116" s="338">
        <f t="shared" si="27"/>
        <v>0</v>
      </c>
      <c r="AC116" s="338">
        <f t="shared" si="27"/>
        <v>0</v>
      </c>
      <c r="AD116" s="338">
        <f t="shared" si="27"/>
        <v>0</v>
      </c>
      <c r="AE116" s="338"/>
      <c r="AF116" s="338"/>
      <c r="AG116" s="303">
        <f t="shared" si="14"/>
        <v>0</v>
      </c>
    </row>
    <row r="117" hidden="1" outlineLevel="1">
      <c r="A117" s="98"/>
      <c r="B117" s="203"/>
      <c r="C117" s="203"/>
      <c r="D117" s="203"/>
      <c r="E117" s="203"/>
      <c r="F117" s="203"/>
      <c r="G117" s="203"/>
      <c r="H117" s="203"/>
      <c r="I117" s="203"/>
      <c r="J117" s="203"/>
      <c r="K117" s="203"/>
      <c r="L117" s="203"/>
      <c r="M117" s="203"/>
      <c r="N117" s="203"/>
      <c r="O117" s="203"/>
      <c r="P117" s="203"/>
      <c r="Q117" s="203"/>
      <c r="R117" s="203"/>
      <c r="S117" s="203"/>
      <c r="T117" s="203"/>
      <c r="U117" s="203"/>
      <c r="V117" s="203"/>
      <c r="W117" s="203"/>
      <c r="X117" s="203"/>
      <c r="Y117" s="203"/>
      <c r="Z117" s="203"/>
      <c r="AA117" s="203"/>
      <c r="AB117" s="203"/>
      <c r="AC117" s="203"/>
      <c r="AD117" s="203"/>
      <c r="AE117" s="203"/>
      <c r="AF117" s="203"/>
      <c r="AG117" s="303">
        <f t="shared" si="14"/>
        <v>0</v>
      </c>
    </row>
    <row r="118" hidden="1" outlineLevel="1">
      <c r="A118" s="184" t="s">
        <v>529</v>
      </c>
      <c r="B118" s="336"/>
      <c r="C118" s="113"/>
      <c r="D118" s="336"/>
      <c r="E118" s="113"/>
      <c r="F118" s="113"/>
      <c r="G118" s="113"/>
      <c r="H118" s="113"/>
      <c r="I118" s="113"/>
      <c r="J118" s="336"/>
      <c r="K118" s="336"/>
      <c r="L118" s="336"/>
      <c r="M118" s="336"/>
      <c r="N118" s="336"/>
      <c r="O118" s="336"/>
      <c r="P118" s="336"/>
      <c r="Q118" s="336"/>
      <c r="R118" s="336"/>
      <c r="S118" s="336"/>
      <c r="T118" s="336"/>
      <c r="U118" s="336"/>
      <c r="V118" s="336"/>
      <c r="W118" s="336"/>
      <c r="X118" s="336"/>
      <c r="Y118" s="336"/>
      <c r="Z118" s="336"/>
      <c r="AA118" s="336"/>
      <c r="AB118" s="336"/>
      <c r="AC118" s="336"/>
      <c r="AD118" s="336"/>
      <c r="AE118" s="336"/>
      <c r="AF118" s="336"/>
      <c r="AG118" s="303">
        <f t="shared" si="14"/>
        <v>0</v>
      </c>
    </row>
    <row r="119" hidden="1" outlineLevel="1">
      <c r="A119" s="184" t="s">
        <v>530</v>
      </c>
      <c r="B119" s="336"/>
      <c r="C119" s="336"/>
      <c r="D119" s="113"/>
      <c r="E119" s="113"/>
      <c r="F119" s="113"/>
      <c r="G119" s="113"/>
      <c r="H119" s="113"/>
      <c r="I119" s="113"/>
      <c r="J119" s="336"/>
      <c r="K119" s="336"/>
      <c r="L119" s="336"/>
      <c r="M119" s="336"/>
      <c r="N119" s="336"/>
      <c r="O119" s="336"/>
      <c r="P119" s="336"/>
      <c r="Q119" s="336"/>
      <c r="R119" s="336"/>
      <c r="S119" s="336"/>
      <c r="T119" s="336"/>
      <c r="U119" s="336"/>
      <c r="V119" s="336"/>
      <c r="W119" s="336"/>
      <c r="X119" s="336"/>
      <c r="Y119" s="336"/>
      <c r="Z119" s="336"/>
      <c r="AA119" s="336"/>
      <c r="AB119" s="336"/>
      <c r="AC119" s="336"/>
      <c r="AD119" s="336"/>
      <c r="AE119" s="336"/>
      <c r="AF119" s="336"/>
      <c r="AG119" s="303">
        <f t="shared" si="14"/>
        <v>0</v>
      </c>
    </row>
    <row r="120" hidden="1" outlineLevel="1">
      <c r="A120" s="184" t="s">
        <v>531</v>
      </c>
      <c r="B120" s="336"/>
      <c r="C120" s="113"/>
      <c r="D120" s="336"/>
      <c r="E120" s="113"/>
      <c r="F120" s="113"/>
      <c r="G120" s="113"/>
      <c r="H120" s="113"/>
      <c r="I120" s="113"/>
      <c r="J120" s="336"/>
      <c r="K120" s="336"/>
      <c r="L120" s="336"/>
      <c r="M120" s="336"/>
      <c r="N120" s="336"/>
      <c r="O120" s="336"/>
      <c r="P120" s="336"/>
      <c r="Q120" s="336"/>
      <c r="R120" s="336"/>
      <c r="S120" s="336"/>
      <c r="T120" s="336"/>
      <c r="U120" s="336"/>
      <c r="V120" s="336"/>
      <c r="W120" s="336"/>
      <c r="X120" s="336"/>
      <c r="Y120" s="336"/>
      <c r="Z120" s="336"/>
      <c r="AA120" s="336"/>
      <c r="AB120" s="336"/>
      <c r="AC120" s="336"/>
      <c r="AD120" s="336"/>
      <c r="AE120" s="336"/>
      <c r="AF120" s="336"/>
      <c r="AG120" s="303">
        <f t="shared" si="14"/>
        <v>0</v>
      </c>
    </row>
    <row r="121" hidden="1" outlineLevel="1">
      <c r="A121" s="184" t="s">
        <v>532</v>
      </c>
      <c r="B121" s="336"/>
      <c r="C121" s="113"/>
      <c r="D121" s="336"/>
      <c r="E121" s="113"/>
      <c r="F121" s="113"/>
      <c r="G121" s="113"/>
      <c r="H121" s="113"/>
      <c r="I121" s="113"/>
      <c r="J121" s="336"/>
      <c r="K121" s="336"/>
      <c r="L121" s="336"/>
      <c r="M121" s="336"/>
      <c r="N121" s="336"/>
      <c r="O121" s="336"/>
      <c r="P121" s="336"/>
      <c r="Q121" s="336"/>
      <c r="R121" s="336"/>
      <c r="S121" s="336"/>
      <c r="T121" s="336"/>
      <c r="U121" s="336"/>
      <c r="V121" s="336"/>
      <c r="W121" s="336"/>
      <c r="X121" s="336"/>
      <c r="Y121" s="336"/>
      <c r="Z121" s="336"/>
      <c r="AA121" s="336"/>
      <c r="AB121" s="336"/>
      <c r="AC121" s="336"/>
      <c r="AD121" s="336"/>
      <c r="AE121" s="336"/>
      <c r="AF121" s="336"/>
      <c r="AG121" s="303">
        <f t="shared" si="14"/>
        <v>0</v>
      </c>
    </row>
    <row r="122" hidden="1" outlineLevel="1">
      <c r="A122" s="184" t="s">
        <v>533</v>
      </c>
      <c r="B122" s="113"/>
      <c r="C122" s="336"/>
      <c r="D122" s="336"/>
      <c r="E122" s="113"/>
      <c r="F122" s="113"/>
      <c r="G122" s="113"/>
      <c r="H122" s="113"/>
      <c r="I122" s="113"/>
      <c r="J122" s="336"/>
      <c r="K122" s="336"/>
      <c r="L122" s="336"/>
      <c r="M122" s="336"/>
      <c r="N122" s="336"/>
      <c r="O122" s="336"/>
      <c r="P122" s="336"/>
      <c r="Q122" s="336"/>
      <c r="R122" s="336"/>
      <c r="S122" s="336"/>
      <c r="T122" s="336"/>
      <c r="U122" s="336"/>
      <c r="V122" s="336"/>
      <c r="W122" s="113"/>
      <c r="X122" s="336"/>
      <c r="Y122" s="336"/>
      <c r="Z122" s="336"/>
      <c r="AA122" s="336"/>
      <c r="AB122" s="336"/>
      <c r="AC122" s="336"/>
      <c r="AD122" s="336"/>
      <c r="AE122" s="336"/>
      <c r="AF122" s="336"/>
      <c r="AG122" s="303">
        <f t="shared" si="14"/>
        <v>0</v>
      </c>
    </row>
    <row r="123" hidden="1" outlineLevel="1">
      <c r="A123" s="343" t="s">
        <v>534</v>
      </c>
      <c r="B123" s="338">
        <f t="shared" ref="B123:AD123" si="28">SUM(B118:B122)</f>
        <v>0</v>
      </c>
      <c r="C123" s="338">
        <f t="shared" si="28"/>
        <v>0</v>
      </c>
      <c r="D123" s="338">
        <f t="shared" si="28"/>
        <v>0</v>
      </c>
      <c r="E123" s="338">
        <f t="shared" si="28"/>
        <v>0</v>
      </c>
      <c r="F123" s="338">
        <f t="shared" si="28"/>
        <v>0</v>
      </c>
      <c r="G123" s="338">
        <f t="shared" si="28"/>
        <v>0</v>
      </c>
      <c r="H123" s="338">
        <f t="shared" si="28"/>
        <v>0</v>
      </c>
      <c r="I123" s="338">
        <f t="shared" si="28"/>
        <v>0</v>
      </c>
      <c r="J123" s="338">
        <f t="shared" si="28"/>
        <v>0</v>
      </c>
      <c r="K123" s="338">
        <f t="shared" si="28"/>
        <v>0</v>
      </c>
      <c r="L123" s="338">
        <f t="shared" si="28"/>
        <v>0</v>
      </c>
      <c r="M123" s="338">
        <f t="shared" si="28"/>
        <v>0</v>
      </c>
      <c r="N123" s="338">
        <f t="shared" si="28"/>
        <v>0</v>
      </c>
      <c r="O123" s="338">
        <f t="shared" si="28"/>
        <v>0</v>
      </c>
      <c r="P123" s="338">
        <f t="shared" si="28"/>
        <v>0</v>
      </c>
      <c r="Q123" s="338">
        <f t="shared" si="28"/>
        <v>0</v>
      </c>
      <c r="R123" s="338">
        <f t="shared" si="28"/>
        <v>0</v>
      </c>
      <c r="S123" s="338">
        <f t="shared" si="28"/>
        <v>0</v>
      </c>
      <c r="T123" s="338">
        <f t="shared" si="28"/>
        <v>0</v>
      </c>
      <c r="U123" s="338">
        <f t="shared" si="28"/>
        <v>0</v>
      </c>
      <c r="V123" s="338">
        <f t="shared" si="28"/>
        <v>0</v>
      </c>
      <c r="W123" s="338">
        <f t="shared" si="28"/>
        <v>0</v>
      </c>
      <c r="X123" s="338">
        <f t="shared" si="28"/>
        <v>0</v>
      </c>
      <c r="Y123" s="338">
        <f t="shared" si="28"/>
        <v>0</v>
      </c>
      <c r="Z123" s="338">
        <f t="shared" si="28"/>
        <v>0</v>
      </c>
      <c r="AA123" s="338">
        <f t="shared" si="28"/>
        <v>0</v>
      </c>
      <c r="AB123" s="338">
        <f t="shared" si="28"/>
        <v>0</v>
      </c>
      <c r="AC123" s="338">
        <f t="shared" si="28"/>
        <v>0</v>
      </c>
      <c r="AD123" s="338">
        <f t="shared" si="28"/>
        <v>0</v>
      </c>
      <c r="AE123" s="338"/>
      <c r="AF123" s="338"/>
      <c r="AG123" s="303">
        <f t="shared" si="14"/>
        <v>0</v>
      </c>
    </row>
    <row r="124">
      <c r="A124" s="166"/>
      <c r="AG124" s="303"/>
    </row>
    <row r="125">
      <c r="A125" s="166"/>
      <c r="AG125" s="303"/>
    </row>
    <row r="126">
      <c r="A126" s="145" t="s">
        <v>543</v>
      </c>
      <c r="B126" s="183"/>
      <c r="C126" s="183"/>
      <c r="D126" s="183"/>
      <c r="E126" s="183"/>
      <c r="F126" s="183"/>
      <c r="G126" s="183"/>
      <c r="H126" s="183"/>
      <c r="I126" s="146"/>
      <c r="J126" s="146"/>
      <c r="K126" s="146"/>
      <c r="L126" s="146"/>
      <c r="M126" s="146"/>
      <c r="N126" s="146"/>
      <c r="O126" s="146"/>
      <c r="P126" s="146"/>
      <c r="Q126" s="146"/>
      <c r="R126" s="146"/>
      <c r="S126" s="146"/>
      <c r="T126" s="146"/>
      <c r="U126" s="146"/>
      <c r="V126" s="146"/>
      <c r="W126" s="146"/>
      <c r="X126" s="146"/>
      <c r="Y126" s="146"/>
      <c r="Z126" s="146"/>
      <c r="AA126" s="146"/>
      <c r="AB126" s="146"/>
      <c r="AC126" s="146"/>
      <c r="AD126" s="146"/>
      <c r="AE126" s="146"/>
      <c r="AF126" s="146"/>
      <c r="AG126" s="344"/>
    </row>
    <row r="127" outlineLevel="1">
      <c r="A127" s="215" t="s">
        <v>544</v>
      </c>
      <c r="B127" s="160">
        <v>2.0</v>
      </c>
      <c r="C127" s="160">
        <v>1.0</v>
      </c>
      <c r="D127" s="160">
        <v>2.0</v>
      </c>
      <c r="E127" s="160">
        <v>0.0</v>
      </c>
      <c r="F127" s="160">
        <v>0.0</v>
      </c>
      <c r="G127" s="160">
        <v>1.0</v>
      </c>
      <c r="H127" s="160">
        <v>0.0</v>
      </c>
      <c r="I127" s="160">
        <v>1.0</v>
      </c>
      <c r="J127" s="160">
        <v>0.0</v>
      </c>
      <c r="K127" s="160">
        <v>0.0</v>
      </c>
      <c r="L127" s="160">
        <v>0.0</v>
      </c>
      <c r="M127" s="160">
        <v>0.0</v>
      </c>
      <c r="N127" s="160">
        <v>0.0</v>
      </c>
      <c r="O127" s="160">
        <v>1.0</v>
      </c>
      <c r="P127" s="160">
        <v>1.0</v>
      </c>
      <c r="Q127" s="160">
        <v>1.0</v>
      </c>
      <c r="R127" s="160">
        <v>0.0</v>
      </c>
      <c r="S127" s="160">
        <v>0.0</v>
      </c>
      <c r="T127" s="160">
        <v>0.0</v>
      </c>
      <c r="U127" s="160">
        <v>0.0</v>
      </c>
      <c r="V127" s="160">
        <v>0.0</v>
      </c>
      <c r="W127" s="160">
        <v>0.0</v>
      </c>
      <c r="X127" s="160">
        <v>1.0</v>
      </c>
      <c r="Y127" s="160">
        <v>0.0</v>
      </c>
      <c r="Z127" s="160">
        <v>0.0</v>
      </c>
      <c r="AA127" s="160">
        <v>0.0</v>
      </c>
      <c r="AB127" s="160">
        <v>0.0</v>
      </c>
      <c r="AC127" s="160">
        <v>0.0</v>
      </c>
      <c r="AD127" s="160">
        <v>0.0</v>
      </c>
      <c r="AE127" s="160">
        <v>0.0</v>
      </c>
      <c r="AF127" s="160">
        <v>0.0</v>
      </c>
      <c r="AG127" s="303">
        <f t="shared" ref="AG127:AG132" si="29">SUM(B127:AF127)</f>
        <v>11</v>
      </c>
    </row>
    <row r="128" outlineLevel="1">
      <c r="A128" s="215" t="s">
        <v>545</v>
      </c>
      <c r="B128" s="160">
        <v>0.0</v>
      </c>
      <c r="C128" s="160">
        <v>0.0</v>
      </c>
      <c r="D128" s="160">
        <v>0.0</v>
      </c>
      <c r="E128" s="160">
        <v>0.0</v>
      </c>
      <c r="F128" s="160">
        <v>0.0</v>
      </c>
      <c r="G128" s="160">
        <v>0.0</v>
      </c>
      <c r="H128" s="160">
        <v>0.0</v>
      </c>
      <c r="I128" s="160">
        <v>0.0</v>
      </c>
      <c r="J128" s="160">
        <v>0.0</v>
      </c>
      <c r="K128" s="160">
        <v>0.0</v>
      </c>
      <c r="L128" s="160">
        <v>0.0</v>
      </c>
      <c r="M128" s="160">
        <v>0.0</v>
      </c>
      <c r="N128" s="160">
        <v>0.0</v>
      </c>
      <c r="O128" s="160">
        <v>0.0</v>
      </c>
      <c r="P128" s="160">
        <v>0.0</v>
      </c>
      <c r="Q128" s="160">
        <v>0.0</v>
      </c>
      <c r="R128" s="160">
        <v>0.0</v>
      </c>
      <c r="S128" s="160">
        <v>0.0</v>
      </c>
      <c r="T128" s="160">
        <v>0.0</v>
      </c>
      <c r="U128" s="160">
        <v>0.0</v>
      </c>
      <c r="V128" s="160">
        <v>0.0</v>
      </c>
      <c r="W128" s="160">
        <v>0.0</v>
      </c>
      <c r="X128" s="160">
        <v>0.0</v>
      </c>
      <c r="Y128" s="160">
        <v>0.0</v>
      </c>
      <c r="Z128" s="160">
        <v>0.0</v>
      </c>
      <c r="AA128" s="160">
        <v>0.0</v>
      </c>
      <c r="AB128" s="160">
        <v>0.0</v>
      </c>
      <c r="AC128" s="160">
        <v>0.0</v>
      </c>
      <c r="AD128" s="160">
        <v>0.0</v>
      </c>
      <c r="AE128" s="160">
        <v>0.0</v>
      </c>
      <c r="AF128" s="160">
        <v>0.0</v>
      </c>
      <c r="AG128" s="303">
        <f t="shared" si="29"/>
        <v>0</v>
      </c>
    </row>
    <row r="129" outlineLevel="1">
      <c r="A129" s="215" t="s">
        <v>546</v>
      </c>
      <c r="B129" s="160">
        <v>0.0</v>
      </c>
      <c r="C129" s="160">
        <v>0.0</v>
      </c>
      <c r="D129" s="160">
        <v>0.0</v>
      </c>
      <c r="E129" s="160">
        <v>1.0</v>
      </c>
      <c r="F129" s="160">
        <v>4.0</v>
      </c>
      <c r="G129" s="160">
        <v>1.0</v>
      </c>
      <c r="H129" s="160">
        <v>4.0</v>
      </c>
      <c r="I129" s="160">
        <v>2.0</v>
      </c>
      <c r="J129" s="160">
        <v>6.0</v>
      </c>
      <c r="K129" s="160">
        <v>3.0</v>
      </c>
      <c r="L129" s="160">
        <v>7.0</v>
      </c>
      <c r="M129" s="160">
        <v>0.0</v>
      </c>
      <c r="N129" s="160">
        <v>1.0</v>
      </c>
      <c r="O129" s="160">
        <v>0.0</v>
      </c>
      <c r="P129" s="160">
        <v>3.0</v>
      </c>
      <c r="Q129" s="160">
        <v>6.0</v>
      </c>
      <c r="R129" s="160">
        <v>1.0</v>
      </c>
      <c r="S129" s="160">
        <v>1.0</v>
      </c>
      <c r="T129" s="160">
        <v>0.0</v>
      </c>
      <c r="U129" s="160">
        <v>0.0</v>
      </c>
      <c r="V129" s="160">
        <v>0.0</v>
      </c>
      <c r="W129" s="160">
        <v>2.0</v>
      </c>
      <c r="X129" s="160">
        <v>1.0</v>
      </c>
      <c r="Y129" s="160">
        <v>0.0</v>
      </c>
      <c r="Z129" s="160">
        <v>1.0</v>
      </c>
      <c r="AA129" s="160">
        <v>1.0</v>
      </c>
      <c r="AB129" s="160">
        <v>0.0</v>
      </c>
      <c r="AC129" s="160">
        <v>0.0</v>
      </c>
      <c r="AD129" s="160">
        <v>1.0</v>
      </c>
      <c r="AE129" s="160">
        <v>1.0</v>
      </c>
      <c r="AF129" s="160">
        <v>1.0</v>
      </c>
      <c r="AG129" s="303">
        <f t="shared" si="29"/>
        <v>48</v>
      </c>
    </row>
    <row r="130" outlineLevel="1">
      <c r="A130" s="215" t="s">
        <v>547</v>
      </c>
      <c r="B130" s="160">
        <v>0.0</v>
      </c>
      <c r="C130" s="160">
        <v>0.0</v>
      </c>
      <c r="D130" s="160">
        <v>0.0</v>
      </c>
      <c r="E130" s="160">
        <v>0.0</v>
      </c>
      <c r="F130" s="160">
        <v>0.0</v>
      </c>
      <c r="G130" s="160">
        <v>0.0</v>
      </c>
      <c r="H130" s="160">
        <v>0.0</v>
      </c>
      <c r="I130" s="160">
        <v>0.0</v>
      </c>
      <c r="J130" s="160">
        <v>0.0</v>
      </c>
      <c r="K130" s="160">
        <v>0.0</v>
      </c>
      <c r="L130" s="160">
        <v>0.0</v>
      </c>
      <c r="M130" s="160">
        <v>0.0</v>
      </c>
      <c r="N130" s="160">
        <v>0.0</v>
      </c>
      <c r="O130" s="160">
        <v>0.0</v>
      </c>
      <c r="P130" s="160">
        <v>0.0</v>
      </c>
      <c r="Q130" s="160">
        <v>0.0</v>
      </c>
      <c r="R130" s="160">
        <v>0.0</v>
      </c>
      <c r="S130" s="160">
        <v>0.0</v>
      </c>
      <c r="T130" s="160">
        <v>0.0</v>
      </c>
      <c r="U130" s="160">
        <v>0.0</v>
      </c>
      <c r="V130" s="160">
        <v>0.0</v>
      </c>
      <c r="W130" s="160">
        <v>0.0</v>
      </c>
      <c r="X130" s="160">
        <v>0.0</v>
      </c>
      <c r="Y130" s="160">
        <v>0.0</v>
      </c>
      <c r="Z130" s="160">
        <v>0.0</v>
      </c>
      <c r="AA130" s="160">
        <v>0.0</v>
      </c>
      <c r="AB130" s="160">
        <v>0.0</v>
      </c>
      <c r="AC130" s="160">
        <v>0.0</v>
      </c>
      <c r="AD130" s="160">
        <v>0.0</v>
      </c>
      <c r="AE130" s="160">
        <v>0.0</v>
      </c>
      <c r="AF130" s="160">
        <v>0.0</v>
      </c>
      <c r="AG130" s="303">
        <f t="shared" si="29"/>
        <v>0</v>
      </c>
    </row>
    <row r="131" outlineLevel="1">
      <c r="A131" s="223" t="s">
        <v>221</v>
      </c>
      <c r="B131" s="345">
        <f t="shared" ref="B131:AF131" si="30">B127+B128</f>
        <v>2</v>
      </c>
      <c r="C131" s="345">
        <f t="shared" si="30"/>
        <v>1</v>
      </c>
      <c r="D131" s="345">
        <f t="shared" si="30"/>
        <v>2</v>
      </c>
      <c r="E131" s="345">
        <f t="shared" si="30"/>
        <v>0</v>
      </c>
      <c r="F131" s="345">
        <f t="shared" si="30"/>
        <v>0</v>
      </c>
      <c r="G131" s="345">
        <f t="shared" si="30"/>
        <v>1</v>
      </c>
      <c r="H131" s="345">
        <f t="shared" si="30"/>
        <v>0</v>
      </c>
      <c r="I131" s="345">
        <f t="shared" si="30"/>
        <v>1</v>
      </c>
      <c r="J131" s="345">
        <f t="shared" si="30"/>
        <v>0</v>
      </c>
      <c r="K131" s="345">
        <f t="shared" si="30"/>
        <v>0</v>
      </c>
      <c r="L131" s="345">
        <f t="shared" si="30"/>
        <v>0</v>
      </c>
      <c r="M131" s="345">
        <f t="shared" si="30"/>
        <v>0</v>
      </c>
      <c r="N131" s="345">
        <f t="shared" si="30"/>
        <v>0</v>
      </c>
      <c r="O131" s="345">
        <f t="shared" si="30"/>
        <v>1</v>
      </c>
      <c r="P131" s="345">
        <f t="shared" si="30"/>
        <v>1</v>
      </c>
      <c r="Q131" s="345">
        <f t="shared" si="30"/>
        <v>1</v>
      </c>
      <c r="R131" s="345">
        <f t="shared" si="30"/>
        <v>0</v>
      </c>
      <c r="S131" s="345">
        <f t="shared" si="30"/>
        <v>0</v>
      </c>
      <c r="T131" s="345">
        <f t="shared" si="30"/>
        <v>0</v>
      </c>
      <c r="U131" s="345">
        <f t="shared" si="30"/>
        <v>0</v>
      </c>
      <c r="V131" s="345">
        <f t="shared" si="30"/>
        <v>0</v>
      </c>
      <c r="W131" s="345">
        <f t="shared" si="30"/>
        <v>0</v>
      </c>
      <c r="X131" s="345">
        <f t="shared" si="30"/>
        <v>1</v>
      </c>
      <c r="Y131" s="345">
        <f t="shared" si="30"/>
        <v>0</v>
      </c>
      <c r="Z131" s="345">
        <f t="shared" si="30"/>
        <v>0</v>
      </c>
      <c r="AA131" s="345">
        <f t="shared" si="30"/>
        <v>0</v>
      </c>
      <c r="AB131" s="345">
        <f t="shared" si="30"/>
        <v>0</v>
      </c>
      <c r="AC131" s="345">
        <f t="shared" si="30"/>
        <v>0</v>
      </c>
      <c r="AD131" s="345">
        <f t="shared" si="30"/>
        <v>0</v>
      </c>
      <c r="AE131" s="345">
        <f t="shared" si="30"/>
        <v>0</v>
      </c>
      <c r="AF131" s="345">
        <f t="shared" si="30"/>
        <v>0</v>
      </c>
      <c r="AG131" s="303">
        <f t="shared" si="29"/>
        <v>11</v>
      </c>
    </row>
    <row r="132" outlineLevel="1">
      <c r="A132" s="223" t="s">
        <v>222</v>
      </c>
      <c r="B132" s="345">
        <f t="shared" ref="B132:AF132" si="31">B129+B130</f>
        <v>0</v>
      </c>
      <c r="C132" s="345">
        <f t="shared" si="31"/>
        <v>0</v>
      </c>
      <c r="D132" s="345">
        <f t="shared" si="31"/>
        <v>0</v>
      </c>
      <c r="E132" s="345">
        <f t="shared" si="31"/>
        <v>1</v>
      </c>
      <c r="F132" s="345">
        <f t="shared" si="31"/>
        <v>4</v>
      </c>
      <c r="G132" s="345">
        <f t="shared" si="31"/>
        <v>1</v>
      </c>
      <c r="H132" s="345">
        <f t="shared" si="31"/>
        <v>4</v>
      </c>
      <c r="I132" s="345">
        <f t="shared" si="31"/>
        <v>2</v>
      </c>
      <c r="J132" s="345">
        <f t="shared" si="31"/>
        <v>6</v>
      </c>
      <c r="K132" s="345">
        <f t="shared" si="31"/>
        <v>3</v>
      </c>
      <c r="L132" s="345">
        <f t="shared" si="31"/>
        <v>7</v>
      </c>
      <c r="M132" s="345">
        <f t="shared" si="31"/>
        <v>0</v>
      </c>
      <c r="N132" s="345">
        <f t="shared" si="31"/>
        <v>1</v>
      </c>
      <c r="O132" s="345">
        <f t="shared" si="31"/>
        <v>0</v>
      </c>
      <c r="P132" s="345">
        <f t="shared" si="31"/>
        <v>3</v>
      </c>
      <c r="Q132" s="345">
        <f t="shared" si="31"/>
        <v>6</v>
      </c>
      <c r="R132" s="345">
        <f t="shared" si="31"/>
        <v>1</v>
      </c>
      <c r="S132" s="345">
        <f t="shared" si="31"/>
        <v>1</v>
      </c>
      <c r="T132" s="345">
        <f t="shared" si="31"/>
        <v>0</v>
      </c>
      <c r="U132" s="345">
        <f t="shared" si="31"/>
        <v>0</v>
      </c>
      <c r="V132" s="345">
        <f t="shared" si="31"/>
        <v>0</v>
      </c>
      <c r="W132" s="345">
        <f t="shared" si="31"/>
        <v>2</v>
      </c>
      <c r="X132" s="345">
        <f t="shared" si="31"/>
        <v>1</v>
      </c>
      <c r="Y132" s="345">
        <f t="shared" si="31"/>
        <v>0</v>
      </c>
      <c r="Z132" s="345">
        <f t="shared" si="31"/>
        <v>1</v>
      </c>
      <c r="AA132" s="345">
        <f t="shared" si="31"/>
        <v>1</v>
      </c>
      <c r="AB132" s="345">
        <f t="shared" si="31"/>
        <v>0</v>
      </c>
      <c r="AC132" s="345">
        <f t="shared" si="31"/>
        <v>0</v>
      </c>
      <c r="AD132" s="345">
        <f t="shared" si="31"/>
        <v>1</v>
      </c>
      <c r="AE132" s="345">
        <f t="shared" si="31"/>
        <v>1</v>
      </c>
      <c r="AF132" s="345">
        <f t="shared" si="31"/>
        <v>1</v>
      </c>
      <c r="AG132" s="303">
        <f t="shared" si="29"/>
        <v>48</v>
      </c>
    </row>
    <row r="133" outlineLevel="1">
      <c r="A133" s="98"/>
      <c r="B133" s="127"/>
      <c r="C133" s="127"/>
      <c r="D133" s="127"/>
      <c r="E133" s="127"/>
      <c r="F133" s="127"/>
      <c r="G133" s="127"/>
      <c r="H133" s="127"/>
      <c r="I133" s="83"/>
      <c r="J133" s="83"/>
      <c r="K133" s="83"/>
      <c r="L133" s="83"/>
      <c r="M133" s="83"/>
      <c r="N133" s="83"/>
      <c r="O133" s="83"/>
      <c r="P133" s="83"/>
      <c r="Q133" s="84"/>
      <c r="R133" s="83"/>
      <c r="S133" s="83"/>
      <c r="T133" s="83"/>
      <c r="U133" s="83"/>
      <c r="V133" s="83"/>
      <c r="W133" s="83"/>
      <c r="X133" s="83"/>
      <c r="Y133" s="83"/>
      <c r="Z133" s="83"/>
      <c r="AA133" s="83"/>
      <c r="AB133" s="83"/>
      <c r="AC133" s="83"/>
      <c r="AD133" s="83"/>
      <c r="AE133" s="83"/>
      <c r="AF133" s="83"/>
      <c r="AG133" s="312"/>
    </row>
    <row r="134" outlineLevel="1">
      <c r="A134" s="215" t="s">
        <v>224</v>
      </c>
      <c r="B134" s="160">
        <v>0.0</v>
      </c>
      <c r="C134" s="160">
        <v>0.0</v>
      </c>
      <c r="D134" s="160">
        <v>0.0</v>
      </c>
      <c r="E134" s="160">
        <v>0.0</v>
      </c>
      <c r="F134" s="160">
        <v>0.0</v>
      </c>
      <c r="G134" s="160">
        <v>1.0</v>
      </c>
      <c r="H134" s="160">
        <v>1.0</v>
      </c>
      <c r="I134" s="160">
        <v>2.0</v>
      </c>
      <c r="J134" s="160">
        <v>1.0</v>
      </c>
      <c r="K134" s="160">
        <v>1.0</v>
      </c>
      <c r="L134" s="160">
        <v>1.0</v>
      </c>
      <c r="M134" s="160">
        <v>0.0</v>
      </c>
      <c r="N134" s="160">
        <v>0.0</v>
      </c>
      <c r="O134" s="160">
        <v>0.0</v>
      </c>
      <c r="P134" s="160">
        <v>1.0</v>
      </c>
      <c r="Q134" s="160">
        <v>0.0</v>
      </c>
      <c r="R134" s="160">
        <v>0.0</v>
      </c>
      <c r="S134" s="160">
        <v>0.0</v>
      </c>
      <c r="T134" s="160">
        <v>2.0</v>
      </c>
      <c r="U134" s="160">
        <v>0.0</v>
      </c>
      <c r="V134" s="160">
        <v>0.0</v>
      </c>
      <c r="W134" s="160">
        <v>0.0</v>
      </c>
      <c r="X134" s="160">
        <v>0.0</v>
      </c>
      <c r="Y134" s="160">
        <v>0.0</v>
      </c>
      <c r="Z134" s="160">
        <v>0.0</v>
      </c>
      <c r="AA134" s="160">
        <v>0.0</v>
      </c>
      <c r="AB134" s="160">
        <v>0.0</v>
      </c>
      <c r="AC134" s="160">
        <v>0.0</v>
      </c>
      <c r="AD134" s="160">
        <v>0.0</v>
      </c>
      <c r="AE134" s="160">
        <v>0.0</v>
      </c>
      <c r="AF134" s="160">
        <v>1.0</v>
      </c>
      <c r="AG134" s="303">
        <f t="shared" ref="AG134:AG142" si="32">SUM(B134:AF134)</f>
        <v>11</v>
      </c>
    </row>
    <row r="135" outlineLevel="1">
      <c r="A135" s="215" t="s">
        <v>225</v>
      </c>
      <c r="B135" s="160">
        <v>0.0</v>
      </c>
      <c r="C135" s="160">
        <v>0.0</v>
      </c>
      <c r="D135" s="160">
        <v>0.0</v>
      </c>
      <c r="E135" s="160">
        <v>0.0</v>
      </c>
      <c r="F135" s="160">
        <v>0.0</v>
      </c>
      <c r="G135" s="160">
        <v>0.0</v>
      </c>
      <c r="H135" s="160">
        <v>1.0</v>
      </c>
      <c r="I135" s="160">
        <v>2.0</v>
      </c>
      <c r="J135" s="160">
        <v>0.0</v>
      </c>
      <c r="K135" s="160">
        <v>1.0</v>
      </c>
      <c r="L135" s="160">
        <v>1.0</v>
      </c>
      <c r="M135" s="160">
        <v>1.0</v>
      </c>
      <c r="N135" s="160">
        <v>0.0</v>
      </c>
      <c r="O135" s="160">
        <v>0.0</v>
      </c>
      <c r="P135" s="160">
        <v>0.0</v>
      </c>
      <c r="Q135" s="160">
        <v>0.0</v>
      </c>
      <c r="R135" s="160">
        <v>0.0</v>
      </c>
      <c r="S135" s="160">
        <v>0.0</v>
      </c>
      <c r="T135" s="160">
        <v>1.0</v>
      </c>
      <c r="U135" s="160">
        <v>0.0</v>
      </c>
      <c r="V135" s="160">
        <v>0.0</v>
      </c>
      <c r="W135" s="160">
        <v>0.0</v>
      </c>
      <c r="X135" s="160">
        <v>0.0</v>
      </c>
      <c r="Y135" s="160">
        <v>1.0</v>
      </c>
      <c r="Z135" s="160">
        <v>0.0</v>
      </c>
      <c r="AA135" s="160">
        <v>0.0</v>
      </c>
      <c r="AB135" s="160">
        <v>0.0</v>
      </c>
      <c r="AC135" s="160">
        <v>0.0</v>
      </c>
      <c r="AD135" s="160">
        <v>0.0</v>
      </c>
      <c r="AE135" s="160">
        <v>1.0</v>
      </c>
      <c r="AF135" s="160">
        <v>0.0</v>
      </c>
      <c r="AG135" s="303">
        <f t="shared" si="32"/>
        <v>9</v>
      </c>
    </row>
    <row r="136" outlineLevel="1">
      <c r="A136" s="215" t="s">
        <v>548</v>
      </c>
      <c r="B136" s="160">
        <v>0.0</v>
      </c>
      <c r="C136" s="160">
        <v>0.0</v>
      </c>
      <c r="D136" s="160">
        <v>0.0</v>
      </c>
      <c r="E136" s="160">
        <v>0.0</v>
      </c>
      <c r="F136" s="160">
        <v>0.0</v>
      </c>
      <c r="G136" s="160">
        <v>1.0</v>
      </c>
      <c r="H136" s="160">
        <v>1.0</v>
      </c>
      <c r="I136" s="160">
        <v>0.0</v>
      </c>
      <c r="J136" s="160">
        <v>1.0</v>
      </c>
      <c r="K136" s="160">
        <v>0.0</v>
      </c>
      <c r="L136" s="160">
        <v>1.0</v>
      </c>
      <c r="M136" s="160">
        <v>1.0</v>
      </c>
      <c r="N136" s="160">
        <v>0.0</v>
      </c>
      <c r="O136" s="160">
        <v>0.0</v>
      </c>
      <c r="P136" s="160">
        <v>0.0</v>
      </c>
      <c r="Q136" s="160">
        <v>0.0</v>
      </c>
      <c r="R136" s="160">
        <v>0.0</v>
      </c>
      <c r="S136" s="160">
        <v>0.0</v>
      </c>
      <c r="T136" s="160">
        <v>1.0</v>
      </c>
      <c r="U136" s="160">
        <v>0.0</v>
      </c>
      <c r="V136" s="160">
        <v>0.0</v>
      </c>
      <c r="W136" s="160">
        <v>0.0</v>
      </c>
      <c r="X136" s="160">
        <v>0.0</v>
      </c>
      <c r="Y136" s="160">
        <v>0.0</v>
      </c>
      <c r="Z136" s="160">
        <v>0.0</v>
      </c>
      <c r="AA136" s="160">
        <v>0.0</v>
      </c>
      <c r="AB136" s="160">
        <v>0.0</v>
      </c>
      <c r="AC136" s="160">
        <v>0.0</v>
      </c>
      <c r="AD136" s="160">
        <v>0.0</v>
      </c>
      <c r="AE136" s="160">
        <v>0.0</v>
      </c>
      <c r="AF136" s="160">
        <v>0.0</v>
      </c>
      <c r="AG136" s="303">
        <f t="shared" si="32"/>
        <v>6</v>
      </c>
    </row>
    <row r="137" outlineLevel="1">
      <c r="A137" s="215" t="s">
        <v>549</v>
      </c>
      <c r="B137" s="160">
        <v>0.0</v>
      </c>
      <c r="C137" s="160">
        <v>0.0</v>
      </c>
      <c r="D137" s="160">
        <v>0.0</v>
      </c>
      <c r="E137" s="160">
        <v>0.0</v>
      </c>
      <c r="F137" s="160">
        <v>0.0</v>
      </c>
      <c r="G137" s="160">
        <v>0.0</v>
      </c>
      <c r="H137" s="160">
        <v>0.0</v>
      </c>
      <c r="I137" s="160">
        <v>0.0</v>
      </c>
      <c r="J137" s="160">
        <v>0.0</v>
      </c>
      <c r="K137" s="160">
        <v>0.0</v>
      </c>
      <c r="L137" s="160">
        <v>0.0</v>
      </c>
      <c r="M137" s="160">
        <v>0.0</v>
      </c>
      <c r="N137" s="160">
        <v>0.0</v>
      </c>
      <c r="O137" s="160">
        <v>0.0</v>
      </c>
      <c r="P137" s="160">
        <v>0.0</v>
      </c>
      <c r="Q137" s="160">
        <v>0.0</v>
      </c>
      <c r="R137" s="160">
        <v>0.0</v>
      </c>
      <c r="S137" s="160">
        <v>0.0</v>
      </c>
      <c r="T137" s="160">
        <v>0.0</v>
      </c>
      <c r="U137" s="160">
        <v>0.0</v>
      </c>
      <c r="V137" s="160">
        <v>0.0</v>
      </c>
      <c r="W137" s="160">
        <v>0.0</v>
      </c>
      <c r="X137" s="160">
        <v>0.0</v>
      </c>
      <c r="Y137" s="160">
        <v>0.0</v>
      </c>
      <c r="Z137" s="160">
        <v>0.0</v>
      </c>
      <c r="AA137" s="160">
        <v>0.0</v>
      </c>
      <c r="AB137" s="160">
        <v>0.0</v>
      </c>
      <c r="AC137" s="160">
        <v>0.0</v>
      </c>
      <c r="AD137" s="160">
        <v>0.0</v>
      </c>
      <c r="AE137" s="160">
        <v>0.0</v>
      </c>
      <c r="AF137" s="160">
        <v>0.0</v>
      </c>
      <c r="AG137" s="303">
        <f t="shared" si="32"/>
        <v>0</v>
      </c>
    </row>
    <row r="138" outlineLevel="1">
      <c r="A138" s="215" t="s">
        <v>550</v>
      </c>
      <c r="B138" s="160">
        <v>0.0</v>
      </c>
      <c r="C138" s="160">
        <v>0.0</v>
      </c>
      <c r="D138" s="160">
        <v>0.0</v>
      </c>
      <c r="E138" s="160">
        <v>0.0</v>
      </c>
      <c r="F138" s="160">
        <v>0.0</v>
      </c>
      <c r="G138" s="160">
        <v>0.0</v>
      </c>
      <c r="H138" s="160">
        <v>0.0</v>
      </c>
      <c r="I138" s="160">
        <v>0.0</v>
      </c>
      <c r="J138" s="160">
        <v>0.0</v>
      </c>
      <c r="K138" s="160">
        <v>0.0</v>
      </c>
      <c r="L138" s="160">
        <v>0.0</v>
      </c>
      <c r="M138" s="160">
        <v>0.0</v>
      </c>
      <c r="N138" s="160">
        <v>0.0</v>
      </c>
      <c r="O138" s="160">
        <v>0.0</v>
      </c>
      <c r="P138" s="160">
        <v>0.0</v>
      </c>
      <c r="Q138" s="160">
        <v>0.0</v>
      </c>
      <c r="R138" s="160">
        <v>0.0</v>
      </c>
      <c r="S138" s="160">
        <v>0.0</v>
      </c>
      <c r="T138" s="160">
        <v>0.0</v>
      </c>
      <c r="U138" s="160">
        <v>0.0</v>
      </c>
      <c r="V138" s="160">
        <v>0.0</v>
      </c>
      <c r="W138" s="160">
        <v>0.0</v>
      </c>
      <c r="X138" s="160">
        <v>0.0</v>
      </c>
      <c r="Y138" s="160">
        <v>0.0</v>
      </c>
      <c r="Z138" s="160">
        <v>0.0</v>
      </c>
      <c r="AA138" s="160">
        <v>0.0</v>
      </c>
      <c r="AB138" s="160">
        <v>0.0</v>
      </c>
      <c r="AC138" s="160">
        <v>0.0</v>
      </c>
      <c r="AD138" s="160">
        <v>0.0</v>
      </c>
      <c r="AE138" s="160">
        <v>0.0</v>
      </c>
      <c r="AF138" s="160">
        <v>0.0</v>
      </c>
      <c r="AG138" s="303">
        <f t="shared" si="32"/>
        <v>0</v>
      </c>
    </row>
    <row r="139" outlineLevel="1">
      <c r="A139" s="215" t="s">
        <v>551</v>
      </c>
      <c r="B139" s="160">
        <v>0.0</v>
      </c>
      <c r="C139" s="160">
        <v>0.0</v>
      </c>
      <c r="D139" s="160">
        <v>0.0</v>
      </c>
      <c r="E139" s="160">
        <v>0.0</v>
      </c>
      <c r="F139" s="160">
        <v>0.0</v>
      </c>
      <c r="G139" s="160">
        <v>0.0</v>
      </c>
      <c r="H139" s="160">
        <v>0.0</v>
      </c>
      <c r="I139" s="160">
        <v>0.0</v>
      </c>
      <c r="J139" s="160">
        <v>0.0</v>
      </c>
      <c r="K139" s="160">
        <v>0.0</v>
      </c>
      <c r="L139" s="160">
        <v>0.0</v>
      </c>
      <c r="M139" s="160">
        <v>0.0</v>
      </c>
      <c r="N139" s="160">
        <v>0.0</v>
      </c>
      <c r="O139" s="160">
        <v>0.0</v>
      </c>
      <c r="P139" s="160">
        <v>0.0</v>
      </c>
      <c r="Q139" s="160">
        <v>0.0</v>
      </c>
      <c r="R139" s="160">
        <v>0.0</v>
      </c>
      <c r="S139" s="160">
        <v>0.0</v>
      </c>
      <c r="T139" s="160">
        <v>0.0</v>
      </c>
      <c r="U139" s="160">
        <v>0.0</v>
      </c>
      <c r="V139" s="160">
        <v>0.0</v>
      </c>
      <c r="W139" s="160">
        <v>0.0</v>
      </c>
      <c r="X139" s="160">
        <v>0.0</v>
      </c>
      <c r="Y139" s="160">
        <v>0.0</v>
      </c>
      <c r="Z139" s="160">
        <v>0.0</v>
      </c>
      <c r="AA139" s="160">
        <v>0.0</v>
      </c>
      <c r="AB139" s="160">
        <v>0.0</v>
      </c>
      <c r="AC139" s="160">
        <v>0.0</v>
      </c>
      <c r="AD139" s="160">
        <v>0.0</v>
      </c>
      <c r="AE139" s="160">
        <v>0.0</v>
      </c>
      <c r="AF139" s="160">
        <v>0.0</v>
      </c>
      <c r="AG139" s="303">
        <f t="shared" si="32"/>
        <v>0</v>
      </c>
    </row>
    <row r="140" outlineLevel="1">
      <c r="A140" s="215" t="s">
        <v>552</v>
      </c>
      <c r="B140" s="160">
        <v>0.0</v>
      </c>
      <c r="C140" s="160">
        <v>0.0</v>
      </c>
      <c r="D140" s="160">
        <v>0.0</v>
      </c>
      <c r="E140" s="160">
        <v>2.0</v>
      </c>
      <c r="F140" s="160">
        <v>0.0</v>
      </c>
      <c r="G140" s="160">
        <v>1.0</v>
      </c>
      <c r="H140" s="160">
        <v>0.0</v>
      </c>
      <c r="I140" s="160">
        <v>1.0</v>
      </c>
      <c r="J140" s="160">
        <v>0.0</v>
      </c>
      <c r="K140" s="160">
        <v>0.0</v>
      </c>
      <c r="L140" s="160">
        <v>0.0</v>
      </c>
      <c r="M140" s="160">
        <v>1.0</v>
      </c>
      <c r="N140" s="160">
        <v>0.0</v>
      </c>
      <c r="O140" s="160">
        <v>0.0</v>
      </c>
      <c r="P140" s="160">
        <v>0.0</v>
      </c>
      <c r="Q140" s="160">
        <v>2.0</v>
      </c>
      <c r="R140" s="160">
        <v>1.0</v>
      </c>
      <c r="S140" s="160">
        <v>1.0</v>
      </c>
      <c r="T140" s="160">
        <v>1.0</v>
      </c>
      <c r="U140" s="160">
        <v>0.0</v>
      </c>
      <c r="V140" s="160">
        <v>0.0</v>
      </c>
      <c r="W140" s="160">
        <v>0.0</v>
      </c>
      <c r="X140" s="160">
        <v>0.0</v>
      </c>
      <c r="Y140" s="160">
        <v>1.0</v>
      </c>
      <c r="Z140" s="160">
        <v>0.0</v>
      </c>
      <c r="AA140" s="160">
        <v>0.0</v>
      </c>
      <c r="AB140" s="160">
        <v>0.0</v>
      </c>
      <c r="AC140" s="160">
        <v>0.0</v>
      </c>
      <c r="AD140" s="160">
        <v>0.0</v>
      </c>
      <c r="AE140" s="160">
        <v>0.0</v>
      </c>
      <c r="AF140" s="160">
        <v>0.0</v>
      </c>
      <c r="AG140" s="303">
        <f t="shared" si="32"/>
        <v>11</v>
      </c>
    </row>
    <row r="141" outlineLevel="1">
      <c r="A141" s="215" t="s">
        <v>553</v>
      </c>
      <c r="B141" s="160">
        <v>0.0</v>
      </c>
      <c r="C141" s="160">
        <v>0.0</v>
      </c>
      <c r="D141" s="160">
        <v>0.0</v>
      </c>
      <c r="E141" s="160">
        <v>0.0</v>
      </c>
      <c r="F141" s="160">
        <v>0.0</v>
      </c>
      <c r="G141" s="160">
        <v>0.0</v>
      </c>
      <c r="H141" s="160">
        <v>0.0</v>
      </c>
      <c r="I141" s="160">
        <v>0.0</v>
      </c>
      <c r="J141" s="160">
        <v>0.0</v>
      </c>
      <c r="K141" s="160">
        <v>0.0</v>
      </c>
      <c r="L141" s="160">
        <v>0.0</v>
      </c>
      <c r="M141" s="160">
        <v>0.0</v>
      </c>
      <c r="N141" s="160">
        <v>0.0</v>
      </c>
      <c r="O141" s="160">
        <v>0.0</v>
      </c>
      <c r="P141" s="160">
        <v>0.0</v>
      </c>
      <c r="Q141" s="160">
        <v>0.0</v>
      </c>
      <c r="R141" s="160">
        <v>0.0</v>
      </c>
      <c r="S141" s="160">
        <v>0.0</v>
      </c>
      <c r="T141" s="160">
        <v>0.0</v>
      </c>
      <c r="U141" s="160">
        <v>0.0</v>
      </c>
      <c r="V141" s="160">
        <v>0.0</v>
      </c>
      <c r="W141" s="160">
        <v>0.0</v>
      </c>
      <c r="X141" s="160">
        <v>0.0</v>
      </c>
      <c r="Y141" s="160">
        <v>0.0</v>
      </c>
      <c r="Z141" s="160">
        <v>0.0</v>
      </c>
      <c r="AA141" s="160">
        <v>0.0</v>
      </c>
      <c r="AB141" s="160">
        <v>0.0</v>
      </c>
      <c r="AC141" s="160">
        <v>0.0</v>
      </c>
      <c r="AD141" s="160">
        <v>0.0</v>
      </c>
      <c r="AE141" s="160">
        <v>0.0</v>
      </c>
      <c r="AF141" s="160">
        <v>0.0</v>
      </c>
      <c r="AG141" s="303">
        <f t="shared" si="32"/>
        <v>0</v>
      </c>
    </row>
    <row r="142" outlineLevel="1">
      <c r="A142" s="225" t="s">
        <v>141</v>
      </c>
      <c r="B142" s="345">
        <f t="shared" ref="B142:AF142" si="33">SUM(B134:B141)</f>
        <v>0</v>
      </c>
      <c r="C142" s="345">
        <f t="shared" si="33"/>
        <v>0</v>
      </c>
      <c r="D142" s="345">
        <f t="shared" si="33"/>
        <v>0</v>
      </c>
      <c r="E142" s="345">
        <f t="shared" si="33"/>
        <v>2</v>
      </c>
      <c r="F142" s="345">
        <f t="shared" si="33"/>
        <v>0</v>
      </c>
      <c r="G142" s="345">
        <f t="shared" si="33"/>
        <v>3</v>
      </c>
      <c r="H142" s="345">
        <f t="shared" si="33"/>
        <v>3</v>
      </c>
      <c r="I142" s="345">
        <f t="shared" si="33"/>
        <v>5</v>
      </c>
      <c r="J142" s="345">
        <f t="shared" si="33"/>
        <v>2</v>
      </c>
      <c r="K142" s="345">
        <f t="shared" si="33"/>
        <v>2</v>
      </c>
      <c r="L142" s="345">
        <f t="shared" si="33"/>
        <v>3</v>
      </c>
      <c r="M142" s="345">
        <f t="shared" si="33"/>
        <v>3</v>
      </c>
      <c r="N142" s="345">
        <f t="shared" si="33"/>
        <v>0</v>
      </c>
      <c r="O142" s="345">
        <f t="shared" si="33"/>
        <v>0</v>
      </c>
      <c r="P142" s="345">
        <f t="shared" si="33"/>
        <v>1</v>
      </c>
      <c r="Q142" s="345">
        <f t="shared" si="33"/>
        <v>2</v>
      </c>
      <c r="R142" s="345">
        <f t="shared" si="33"/>
        <v>1</v>
      </c>
      <c r="S142" s="345">
        <f t="shared" si="33"/>
        <v>1</v>
      </c>
      <c r="T142" s="345">
        <f t="shared" si="33"/>
        <v>5</v>
      </c>
      <c r="U142" s="345">
        <f t="shared" si="33"/>
        <v>0</v>
      </c>
      <c r="V142" s="345">
        <f t="shared" si="33"/>
        <v>0</v>
      </c>
      <c r="W142" s="345">
        <f t="shared" si="33"/>
        <v>0</v>
      </c>
      <c r="X142" s="345">
        <f t="shared" si="33"/>
        <v>0</v>
      </c>
      <c r="Y142" s="345">
        <f t="shared" si="33"/>
        <v>2</v>
      </c>
      <c r="Z142" s="345">
        <f t="shared" si="33"/>
        <v>0</v>
      </c>
      <c r="AA142" s="345">
        <f t="shared" si="33"/>
        <v>0</v>
      </c>
      <c r="AB142" s="345">
        <f t="shared" si="33"/>
        <v>0</v>
      </c>
      <c r="AC142" s="345">
        <f t="shared" si="33"/>
        <v>0</v>
      </c>
      <c r="AD142" s="345">
        <f t="shared" si="33"/>
        <v>0</v>
      </c>
      <c r="AE142" s="345">
        <f t="shared" si="33"/>
        <v>1</v>
      </c>
      <c r="AF142" s="345">
        <f t="shared" si="33"/>
        <v>1</v>
      </c>
      <c r="AG142" s="303">
        <f t="shared" si="32"/>
        <v>37</v>
      </c>
    </row>
    <row r="143">
      <c r="A143" s="166"/>
      <c r="AG143" s="346"/>
    </row>
    <row r="144">
      <c r="A144" s="145" t="s">
        <v>554</v>
      </c>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0"/>
      <c r="AA144" s="170"/>
      <c r="AB144" s="170"/>
      <c r="AC144" s="170"/>
      <c r="AD144" s="170"/>
      <c r="AE144" s="170"/>
      <c r="AF144" s="170"/>
      <c r="AG144" s="344"/>
    </row>
    <row r="145" outlineLevel="1">
      <c r="A145" s="215" t="s">
        <v>555</v>
      </c>
      <c r="B145" s="160">
        <v>0.0</v>
      </c>
      <c r="C145" s="160">
        <v>1.0</v>
      </c>
      <c r="D145" s="160">
        <v>1.0</v>
      </c>
      <c r="E145" s="160">
        <v>0.0</v>
      </c>
      <c r="F145" s="160">
        <v>0.0</v>
      </c>
      <c r="G145" s="160">
        <v>0.0</v>
      </c>
      <c r="H145" s="160">
        <v>0.0</v>
      </c>
      <c r="I145" s="160">
        <v>1.0</v>
      </c>
      <c r="J145" s="160">
        <v>1.0</v>
      </c>
      <c r="K145" s="160">
        <v>1.0</v>
      </c>
      <c r="L145" s="160">
        <v>1.0</v>
      </c>
      <c r="M145" s="160">
        <v>0.0</v>
      </c>
      <c r="N145" s="160">
        <v>1.0</v>
      </c>
      <c r="O145" s="160">
        <v>2.0</v>
      </c>
      <c r="P145" s="160">
        <v>1.0</v>
      </c>
      <c r="Q145" s="160">
        <v>4.0</v>
      </c>
      <c r="R145" s="160">
        <v>0.0</v>
      </c>
      <c r="S145" s="160">
        <v>2.0</v>
      </c>
      <c r="T145" s="160">
        <v>3.0</v>
      </c>
      <c r="U145" s="160">
        <v>1.0</v>
      </c>
      <c r="V145" s="160">
        <v>4.0</v>
      </c>
      <c r="W145" s="160">
        <v>6.0</v>
      </c>
      <c r="X145" s="160">
        <v>2.0</v>
      </c>
      <c r="Y145" s="160">
        <v>1.0</v>
      </c>
      <c r="Z145" s="160">
        <v>2.0</v>
      </c>
      <c r="AA145" s="160">
        <v>0.0</v>
      </c>
      <c r="AB145" s="160">
        <v>0.0</v>
      </c>
      <c r="AC145" s="160">
        <v>2.0</v>
      </c>
      <c r="AD145" s="160">
        <v>2.0</v>
      </c>
      <c r="AE145" s="160">
        <v>1.0</v>
      </c>
      <c r="AF145" s="160">
        <v>3.0</v>
      </c>
      <c r="AG145" s="303">
        <f t="shared" ref="AG145:AG150" si="34">SUM(B145:AF145)</f>
        <v>43</v>
      </c>
    </row>
    <row r="146" outlineLevel="1">
      <c r="A146" s="215" t="s">
        <v>556</v>
      </c>
      <c r="B146" s="160">
        <v>0.0</v>
      </c>
      <c r="C146" s="160">
        <v>0.0</v>
      </c>
      <c r="D146" s="160">
        <v>0.0</v>
      </c>
      <c r="E146" s="160">
        <v>0.0</v>
      </c>
      <c r="F146" s="160">
        <v>0.0</v>
      </c>
      <c r="G146" s="160">
        <v>0.0</v>
      </c>
      <c r="H146" s="160">
        <v>0.0</v>
      </c>
      <c r="I146" s="160">
        <v>0.0</v>
      </c>
      <c r="J146" s="160">
        <v>0.0</v>
      </c>
      <c r="K146" s="160">
        <v>0.0</v>
      </c>
      <c r="L146" s="160">
        <v>0.0</v>
      </c>
      <c r="M146" s="160">
        <v>0.0</v>
      </c>
      <c r="N146" s="160">
        <v>0.0</v>
      </c>
      <c r="O146" s="160">
        <v>0.0</v>
      </c>
      <c r="P146" s="160">
        <v>0.0</v>
      </c>
      <c r="Q146" s="160">
        <v>0.0</v>
      </c>
      <c r="R146" s="160">
        <v>0.0</v>
      </c>
      <c r="S146" s="160">
        <v>0.0</v>
      </c>
      <c r="T146" s="160">
        <v>0.0</v>
      </c>
      <c r="U146" s="160">
        <v>0.0</v>
      </c>
      <c r="V146" s="160">
        <v>0.0</v>
      </c>
      <c r="W146" s="160">
        <v>0.0</v>
      </c>
      <c r="X146" s="160">
        <v>0.0</v>
      </c>
      <c r="Y146" s="160">
        <v>0.0</v>
      </c>
      <c r="Z146" s="160">
        <v>0.0</v>
      </c>
      <c r="AA146" s="160">
        <v>0.0</v>
      </c>
      <c r="AB146" s="160">
        <v>0.0</v>
      </c>
      <c r="AC146" s="160">
        <v>0.0</v>
      </c>
      <c r="AD146" s="160">
        <v>0.0</v>
      </c>
      <c r="AE146" s="160">
        <v>0.0</v>
      </c>
      <c r="AF146" s="160">
        <v>0.0</v>
      </c>
      <c r="AG146" s="303">
        <f t="shared" si="34"/>
        <v>0</v>
      </c>
    </row>
    <row r="147" outlineLevel="1">
      <c r="A147" s="215" t="s">
        <v>557</v>
      </c>
      <c r="B147" s="160">
        <v>2.0</v>
      </c>
      <c r="C147" s="160">
        <v>1.0</v>
      </c>
      <c r="D147" s="160">
        <v>0.0</v>
      </c>
      <c r="E147" s="160">
        <v>1.0</v>
      </c>
      <c r="F147" s="84">
        <v>4.0</v>
      </c>
      <c r="G147" s="160">
        <v>3.0</v>
      </c>
      <c r="H147" s="160">
        <v>0.0</v>
      </c>
      <c r="I147" s="160">
        <v>3.0</v>
      </c>
      <c r="J147" s="160">
        <v>1.0</v>
      </c>
      <c r="K147" s="160">
        <v>0.0</v>
      </c>
      <c r="L147" s="160">
        <v>1.0</v>
      </c>
      <c r="M147" s="160">
        <v>3.0</v>
      </c>
      <c r="N147" s="160">
        <v>2.0</v>
      </c>
      <c r="O147" s="160">
        <v>5.0</v>
      </c>
      <c r="P147" s="160">
        <v>2.0</v>
      </c>
      <c r="Q147" s="160">
        <v>0.0</v>
      </c>
      <c r="R147" s="160">
        <v>3.0</v>
      </c>
      <c r="S147" s="160">
        <v>5.0</v>
      </c>
      <c r="T147" s="160">
        <v>5.0</v>
      </c>
      <c r="U147" s="160">
        <v>5.0</v>
      </c>
      <c r="V147" s="160">
        <v>4.0</v>
      </c>
      <c r="W147" s="160">
        <v>2.0</v>
      </c>
      <c r="X147" s="160">
        <v>6.0</v>
      </c>
      <c r="Y147" s="160">
        <v>1.0</v>
      </c>
      <c r="Z147" s="160">
        <v>1.0</v>
      </c>
      <c r="AA147" s="160">
        <v>5.0</v>
      </c>
      <c r="AB147" s="160">
        <v>2.0</v>
      </c>
      <c r="AC147" s="160">
        <v>2.0</v>
      </c>
      <c r="AD147" s="160">
        <v>8.0</v>
      </c>
      <c r="AE147" s="160">
        <v>6.0</v>
      </c>
      <c r="AF147" s="160">
        <v>4.0</v>
      </c>
      <c r="AG147" s="303">
        <f t="shared" si="34"/>
        <v>87</v>
      </c>
    </row>
    <row r="148" outlineLevel="1">
      <c r="A148" s="215" t="s">
        <v>558</v>
      </c>
      <c r="B148" s="160">
        <v>0.0</v>
      </c>
      <c r="C148" s="160">
        <v>0.0</v>
      </c>
      <c r="D148" s="160">
        <v>0.0</v>
      </c>
      <c r="E148" s="160">
        <v>0.0</v>
      </c>
      <c r="F148" s="160">
        <v>0.0</v>
      </c>
      <c r="G148" s="160">
        <v>0.0</v>
      </c>
      <c r="H148" s="160">
        <v>0.0</v>
      </c>
      <c r="I148" s="160">
        <v>0.0</v>
      </c>
      <c r="J148" s="160">
        <v>0.0</v>
      </c>
      <c r="K148" s="160">
        <v>0.0</v>
      </c>
      <c r="L148" s="160">
        <v>0.0</v>
      </c>
      <c r="M148" s="160">
        <v>0.0</v>
      </c>
      <c r="N148" s="160">
        <v>0.0</v>
      </c>
      <c r="O148" s="160">
        <v>0.0</v>
      </c>
      <c r="P148" s="160">
        <v>0.0</v>
      </c>
      <c r="Q148" s="160">
        <v>0.0</v>
      </c>
      <c r="R148" s="160">
        <v>0.0</v>
      </c>
      <c r="S148" s="160">
        <v>0.0</v>
      </c>
      <c r="T148" s="160">
        <v>0.0</v>
      </c>
      <c r="U148" s="160">
        <v>0.0</v>
      </c>
      <c r="V148" s="160">
        <v>0.0</v>
      </c>
      <c r="W148" s="160">
        <v>0.0</v>
      </c>
      <c r="X148" s="160">
        <v>0.0</v>
      </c>
      <c r="Y148" s="160">
        <v>0.0</v>
      </c>
      <c r="Z148" s="160">
        <v>0.0</v>
      </c>
      <c r="AA148" s="160">
        <v>0.0</v>
      </c>
      <c r="AB148" s="160">
        <v>0.0</v>
      </c>
      <c r="AC148" s="160">
        <v>0.0</v>
      </c>
      <c r="AD148" s="160">
        <v>0.0</v>
      </c>
      <c r="AE148" s="160">
        <v>0.0</v>
      </c>
      <c r="AF148" s="160">
        <v>0.0</v>
      </c>
      <c r="AG148" s="303">
        <f t="shared" si="34"/>
        <v>0</v>
      </c>
    </row>
    <row r="149" outlineLevel="1">
      <c r="A149" s="223" t="s">
        <v>221</v>
      </c>
      <c r="B149" s="345">
        <f t="shared" ref="B149:AF149" si="35">B145+B146</f>
        <v>0</v>
      </c>
      <c r="C149" s="345">
        <f t="shared" si="35"/>
        <v>1</v>
      </c>
      <c r="D149" s="345">
        <f t="shared" si="35"/>
        <v>1</v>
      </c>
      <c r="E149" s="345">
        <f t="shared" si="35"/>
        <v>0</v>
      </c>
      <c r="F149" s="345">
        <f t="shared" si="35"/>
        <v>0</v>
      </c>
      <c r="G149" s="345">
        <f t="shared" si="35"/>
        <v>0</v>
      </c>
      <c r="H149" s="345">
        <f t="shared" si="35"/>
        <v>0</v>
      </c>
      <c r="I149" s="345">
        <f t="shared" si="35"/>
        <v>1</v>
      </c>
      <c r="J149" s="345">
        <f t="shared" si="35"/>
        <v>1</v>
      </c>
      <c r="K149" s="345">
        <f t="shared" si="35"/>
        <v>1</v>
      </c>
      <c r="L149" s="345">
        <f t="shared" si="35"/>
        <v>1</v>
      </c>
      <c r="M149" s="345">
        <f t="shared" si="35"/>
        <v>0</v>
      </c>
      <c r="N149" s="345">
        <f t="shared" si="35"/>
        <v>1</v>
      </c>
      <c r="O149" s="345">
        <f t="shared" si="35"/>
        <v>2</v>
      </c>
      <c r="P149" s="345">
        <f t="shared" si="35"/>
        <v>1</v>
      </c>
      <c r="Q149" s="345">
        <f t="shared" si="35"/>
        <v>4</v>
      </c>
      <c r="R149" s="345">
        <f t="shared" si="35"/>
        <v>0</v>
      </c>
      <c r="S149" s="345">
        <f t="shared" si="35"/>
        <v>2</v>
      </c>
      <c r="T149" s="345">
        <f t="shared" si="35"/>
        <v>3</v>
      </c>
      <c r="U149" s="345">
        <f t="shared" si="35"/>
        <v>1</v>
      </c>
      <c r="V149" s="345">
        <f t="shared" si="35"/>
        <v>4</v>
      </c>
      <c r="W149" s="345">
        <f t="shared" si="35"/>
        <v>6</v>
      </c>
      <c r="X149" s="345">
        <f t="shared" si="35"/>
        <v>2</v>
      </c>
      <c r="Y149" s="345">
        <f t="shared" si="35"/>
        <v>1</v>
      </c>
      <c r="Z149" s="345">
        <f t="shared" si="35"/>
        <v>2</v>
      </c>
      <c r="AA149" s="345">
        <f t="shared" si="35"/>
        <v>0</v>
      </c>
      <c r="AB149" s="345">
        <f t="shared" si="35"/>
        <v>0</v>
      </c>
      <c r="AC149" s="345">
        <f t="shared" si="35"/>
        <v>2</v>
      </c>
      <c r="AD149" s="345">
        <f t="shared" si="35"/>
        <v>2</v>
      </c>
      <c r="AE149" s="345">
        <f t="shared" si="35"/>
        <v>1</v>
      </c>
      <c r="AF149" s="345">
        <f t="shared" si="35"/>
        <v>3</v>
      </c>
      <c r="AG149" s="303">
        <f t="shared" si="34"/>
        <v>43</v>
      </c>
    </row>
    <row r="150" outlineLevel="1">
      <c r="A150" s="223" t="s">
        <v>222</v>
      </c>
      <c r="B150" s="345">
        <f t="shared" ref="B150:AF150" si="36">B147+B148</f>
        <v>2</v>
      </c>
      <c r="C150" s="345">
        <f t="shared" si="36"/>
        <v>1</v>
      </c>
      <c r="D150" s="345">
        <f t="shared" si="36"/>
        <v>0</v>
      </c>
      <c r="E150" s="345">
        <f t="shared" si="36"/>
        <v>1</v>
      </c>
      <c r="F150" s="345">
        <f t="shared" si="36"/>
        <v>4</v>
      </c>
      <c r="G150" s="345">
        <f t="shared" si="36"/>
        <v>3</v>
      </c>
      <c r="H150" s="345">
        <f t="shared" si="36"/>
        <v>0</v>
      </c>
      <c r="I150" s="345">
        <f t="shared" si="36"/>
        <v>3</v>
      </c>
      <c r="J150" s="345">
        <f t="shared" si="36"/>
        <v>1</v>
      </c>
      <c r="K150" s="345">
        <f t="shared" si="36"/>
        <v>0</v>
      </c>
      <c r="L150" s="345">
        <f t="shared" si="36"/>
        <v>1</v>
      </c>
      <c r="M150" s="345">
        <f t="shared" si="36"/>
        <v>3</v>
      </c>
      <c r="N150" s="345">
        <f t="shared" si="36"/>
        <v>2</v>
      </c>
      <c r="O150" s="345">
        <f t="shared" si="36"/>
        <v>5</v>
      </c>
      <c r="P150" s="345">
        <f t="shared" si="36"/>
        <v>2</v>
      </c>
      <c r="Q150" s="345">
        <f t="shared" si="36"/>
        <v>0</v>
      </c>
      <c r="R150" s="345">
        <f t="shared" si="36"/>
        <v>3</v>
      </c>
      <c r="S150" s="345">
        <f t="shared" si="36"/>
        <v>5</v>
      </c>
      <c r="T150" s="345">
        <f t="shared" si="36"/>
        <v>5</v>
      </c>
      <c r="U150" s="345">
        <f t="shared" si="36"/>
        <v>5</v>
      </c>
      <c r="V150" s="345">
        <f t="shared" si="36"/>
        <v>4</v>
      </c>
      <c r="W150" s="345">
        <f t="shared" si="36"/>
        <v>2</v>
      </c>
      <c r="X150" s="345">
        <f t="shared" si="36"/>
        <v>6</v>
      </c>
      <c r="Y150" s="345">
        <f t="shared" si="36"/>
        <v>1</v>
      </c>
      <c r="Z150" s="345">
        <f t="shared" si="36"/>
        <v>1</v>
      </c>
      <c r="AA150" s="345">
        <f t="shared" si="36"/>
        <v>5</v>
      </c>
      <c r="AB150" s="345">
        <f t="shared" si="36"/>
        <v>2</v>
      </c>
      <c r="AC150" s="345">
        <f t="shared" si="36"/>
        <v>2</v>
      </c>
      <c r="AD150" s="345">
        <f t="shared" si="36"/>
        <v>8</v>
      </c>
      <c r="AE150" s="345">
        <f t="shared" si="36"/>
        <v>6</v>
      </c>
      <c r="AF150" s="345">
        <f t="shared" si="36"/>
        <v>4</v>
      </c>
      <c r="AG150" s="303">
        <f t="shared" si="34"/>
        <v>87</v>
      </c>
    </row>
    <row r="151" outlineLevel="1">
      <c r="A151" s="98"/>
      <c r="AG151" s="303"/>
    </row>
    <row r="152" outlineLevel="1">
      <c r="A152" s="215" t="s">
        <v>224</v>
      </c>
      <c r="B152" s="160">
        <v>2.0</v>
      </c>
      <c r="C152" s="160">
        <v>0.0</v>
      </c>
      <c r="D152" s="160">
        <v>1.0</v>
      </c>
      <c r="E152" s="160">
        <v>1.0</v>
      </c>
      <c r="F152" s="160">
        <v>0.0</v>
      </c>
      <c r="G152" s="160">
        <v>0.0</v>
      </c>
      <c r="H152" s="160">
        <v>1.0</v>
      </c>
      <c r="I152" s="160">
        <v>3.0</v>
      </c>
      <c r="J152" s="160">
        <v>0.0</v>
      </c>
      <c r="K152" s="160">
        <v>1.0</v>
      </c>
      <c r="L152" s="160">
        <v>0.0</v>
      </c>
      <c r="M152" s="160">
        <v>1.0</v>
      </c>
      <c r="N152" s="160">
        <v>2.0</v>
      </c>
      <c r="O152" s="160">
        <v>0.0</v>
      </c>
      <c r="P152" s="160">
        <v>2.0</v>
      </c>
      <c r="Q152" s="160">
        <v>2.0</v>
      </c>
      <c r="R152" s="160">
        <v>0.0</v>
      </c>
      <c r="S152" s="160">
        <v>2.0</v>
      </c>
      <c r="T152" s="160">
        <v>0.0</v>
      </c>
      <c r="U152" s="160">
        <v>4.0</v>
      </c>
      <c r="V152" s="160">
        <v>2.0</v>
      </c>
      <c r="W152" s="160">
        <v>0.0</v>
      </c>
      <c r="X152" s="160">
        <v>2.0</v>
      </c>
      <c r="Y152" s="160">
        <v>3.0</v>
      </c>
      <c r="Z152" s="160">
        <v>1.0</v>
      </c>
      <c r="AA152" s="160">
        <v>1.0</v>
      </c>
      <c r="AB152" s="160">
        <v>3.0</v>
      </c>
      <c r="AC152" s="160">
        <v>2.0</v>
      </c>
      <c r="AD152" s="160">
        <v>5.0</v>
      </c>
      <c r="AE152" s="160">
        <v>0.0</v>
      </c>
      <c r="AF152" s="160">
        <v>2.0</v>
      </c>
      <c r="AG152" s="303">
        <f t="shared" ref="AG152:AG160" si="37">SUM(B152:AF152)</f>
        <v>43</v>
      </c>
    </row>
    <row r="153" outlineLevel="1">
      <c r="A153" s="215" t="s">
        <v>225</v>
      </c>
      <c r="B153" s="160">
        <v>0.0</v>
      </c>
      <c r="C153" s="160">
        <v>0.0</v>
      </c>
      <c r="D153" s="160">
        <v>1.0</v>
      </c>
      <c r="E153" s="160">
        <v>1.0</v>
      </c>
      <c r="F153" s="160">
        <v>0.0</v>
      </c>
      <c r="G153" s="160">
        <v>0.0</v>
      </c>
      <c r="H153" s="160">
        <v>1.0</v>
      </c>
      <c r="I153" s="160">
        <v>1.0</v>
      </c>
      <c r="J153" s="160">
        <v>0.0</v>
      </c>
      <c r="K153" s="160">
        <v>0.0</v>
      </c>
      <c r="L153" s="160">
        <v>0.0</v>
      </c>
      <c r="M153" s="160">
        <v>0.0</v>
      </c>
      <c r="N153" s="160">
        <v>0.0</v>
      </c>
      <c r="O153" s="160">
        <v>1.0</v>
      </c>
      <c r="P153" s="160">
        <v>1.0</v>
      </c>
      <c r="Q153" s="160">
        <v>0.0</v>
      </c>
      <c r="R153" s="160">
        <v>1.0</v>
      </c>
      <c r="S153" s="160">
        <v>0.0</v>
      </c>
      <c r="T153" s="160">
        <v>0.0</v>
      </c>
      <c r="U153" s="160">
        <v>1.0</v>
      </c>
      <c r="V153" s="160">
        <v>0.0</v>
      </c>
      <c r="W153" s="160">
        <v>0.0</v>
      </c>
      <c r="X153" s="160">
        <v>0.0</v>
      </c>
      <c r="Y153" s="160">
        <v>0.0</v>
      </c>
      <c r="Z153" s="160">
        <v>0.0</v>
      </c>
      <c r="AA153" s="160">
        <v>0.0</v>
      </c>
      <c r="AB153" s="160">
        <v>0.0</v>
      </c>
      <c r="AC153" s="160">
        <v>0.0</v>
      </c>
      <c r="AD153" s="160">
        <v>0.0</v>
      </c>
      <c r="AE153" s="160">
        <v>0.0</v>
      </c>
      <c r="AF153" s="160">
        <v>0.0</v>
      </c>
      <c r="AG153" s="303">
        <f t="shared" si="37"/>
        <v>8</v>
      </c>
    </row>
    <row r="154" outlineLevel="1">
      <c r="A154" s="215" t="s">
        <v>559</v>
      </c>
      <c r="B154" s="160">
        <v>0.0</v>
      </c>
      <c r="C154" s="160">
        <v>0.0</v>
      </c>
      <c r="D154" s="160">
        <v>1.0</v>
      </c>
      <c r="E154" s="160">
        <v>1.0</v>
      </c>
      <c r="F154" s="160">
        <v>0.0</v>
      </c>
      <c r="G154" s="160">
        <v>0.0</v>
      </c>
      <c r="H154" s="160">
        <v>0.0</v>
      </c>
      <c r="I154" s="160">
        <v>0.0</v>
      </c>
      <c r="J154" s="160">
        <v>0.0</v>
      </c>
      <c r="K154" s="160">
        <v>0.0</v>
      </c>
      <c r="L154" s="160">
        <v>0.0</v>
      </c>
      <c r="M154" s="160">
        <v>0.0</v>
      </c>
      <c r="N154" s="160">
        <v>0.0</v>
      </c>
      <c r="O154" s="160">
        <v>0.0</v>
      </c>
      <c r="P154" s="160">
        <v>0.0</v>
      </c>
      <c r="Q154" s="160">
        <v>1.0</v>
      </c>
      <c r="R154" s="160">
        <v>1.0</v>
      </c>
      <c r="S154" s="160">
        <v>0.0</v>
      </c>
      <c r="T154" s="160">
        <v>1.0</v>
      </c>
      <c r="U154" s="160">
        <v>0.0</v>
      </c>
      <c r="V154" s="160">
        <v>0.0</v>
      </c>
      <c r="W154" s="160">
        <v>0.0</v>
      </c>
      <c r="X154" s="160">
        <v>0.0</v>
      </c>
      <c r="Y154" s="160">
        <v>0.0</v>
      </c>
      <c r="Z154" s="160">
        <v>0.0</v>
      </c>
      <c r="AA154" s="160">
        <v>0.0</v>
      </c>
      <c r="AB154" s="160">
        <v>1.0</v>
      </c>
      <c r="AC154" s="160">
        <v>1.0</v>
      </c>
      <c r="AD154" s="160">
        <v>0.0</v>
      </c>
      <c r="AE154" s="160">
        <v>0.0</v>
      </c>
      <c r="AF154" s="160">
        <v>2.0</v>
      </c>
      <c r="AG154" s="303">
        <f t="shared" si="37"/>
        <v>9</v>
      </c>
    </row>
    <row r="155" outlineLevel="1">
      <c r="A155" s="215" t="s">
        <v>560</v>
      </c>
      <c r="B155" s="160">
        <v>0.0</v>
      </c>
      <c r="C155" s="160">
        <v>0.0</v>
      </c>
      <c r="D155" s="160">
        <v>0.0</v>
      </c>
      <c r="E155" s="160">
        <v>0.0</v>
      </c>
      <c r="F155" s="160">
        <v>0.0</v>
      </c>
      <c r="G155" s="160">
        <v>0.0</v>
      </c>
      <c r="H155" s="160">
        <v>0.0</v>
      </c>
      <c r="I155" s="160">
        <v>0.0</v>
      </c>
      <c r="J155" s="160">
        <v>0.0</v>
      </c>
      <c r="K155" s="160">
        <v>0.0</v>
      </c>
      <c r="L155" s="160">
        <v>0.0</v>
      </c>
      <c r="M155" s="160">
        <v>0.0</v>
      </c>
      <c r="N155" s="160">
        <v>0.0</v>
      </c>
      <c r="O155" s="160">
        <v>0.0</v>
      </c>
      <c r="P155" s="160">
        <v>0.0</v>
      </c>
      <c r="Q155" s="160">
        <v>0.0</v>
      </c>
      <c r="R155" s="160">
        <v>0.0</v>
      </c>
      <c r="S155" s="160">
        <v>0.0</v>
      </c>
      <c r="T155" s="160">
        <v>0.0</v>
      </c>
      <c r="U155" s="160">
        <v>0.0</v>
      </c>
      <c r="V155" s="160">
        <v>0.0</v>
      </c>
      <c r="W155" s="160">
        <v>0.0</v>
      </c>
      <c r="X155" s="160">
        <v>0.0</v>
      </c>
      <c r="Y155" s="160">
        <v>0.0</v>
      </c>
      <c r="Z155" s="160">
        <v>0.0</v>
      </c>
      <c r="AA155" s="160">
        <v>0.0</v>
      </c>
      <c r="AB155" s="160">
        <v>0.0</v>
      </c>
      <c r="AC155" s="160">
        <v>0.0</v>
      </c>
      <c r="AD155" s="160">
        <v>0.0</v>
      </c>
      <c r="AE155" s="160">
        <v>0.0</v>
      </c>
      <c r="AF155" s="160">
        <v>0.0</v>
      </c>
      <c r="AG155" s="303">
        <f t="shared" si="37"/>
        <v>0</v>
      </c>
    </row>
    <row r="156" outlineLevel="1">
      <c r="A156" s="215" t="s">
        <v>561</v>
      </c>
      <c r="B156" s="160">
        <v>0.0</v>
      </c>
      <c r="C156" s="160">
        <v>0.0</v>
      </c>
      <c r="D156" s="160">
        <v>0.0</v>
      </c>
      <c r="E156" s="160">
        <v>0.0</v>
      </c>
      <c r="F156" s="160">
        <v>0.0</v>
      </c>
      <c r="G156" s="160">
        <v>0.0</v>
      </c>
      <c r="H156" s="160">
        <v>0.0</v>
      </c>
      <c r="I156" s="160">
        <v>0.0</v>
      </c>
      <c r="J156" s="160">
        <v>0.0</v>
      </c>
      <c r="K156" s="160">
        <v>0.0</v>
      </c>
      <c r="L156" s="160">
        <v>0.0</v>
      </c>
      <c r="M156" s="160">
        <v>0.0</v>
      </c>
      <c r="N156" s="160">
        <v>0.0</v>
      </c>
      <c r="O156" s="160">
        <v>0.0</v>
      </c>
      <c r="P156" s="160">
        <v>0.0</v>
      </c>
      <c r="Q156" s="160">
        <v>0.0</v>
      </c>
      <c r="R156" s="160">
        <v>0.0</v>
      </c>
      <c r="S156" s="160">
        <v>0.0</v>
      </c>
      <c r="T156" s="160">
        <v>0.0</v>
      </c>
      <c r="U156" s="160">
        <v>0.0</v>
      </c>
      <c r="V156" s="160">
        <v>0.0</v>
      </c>
      <c r="W156" s="160">
        <v>0.0</v>
      </c>
      <c r="X156" s="160">
        <v>0.0</v>
      </c>
      <c r="Y156" s="160">
        <v>0.0</v>
      </c>
      <c r="Z156" s="160">
        <v>0.0</v>
      </c>
      <c r="AA156" s="160">
        <v>0.0</v>
      </c>
      <c r="AB156" s="160">
        <v>0.0</v>
      </c>
      <c r="AC156" s="160">
        <v>0.0</v>
      </c>
      <c r="AD156" s="160">
        <v>0.0</v>
      </c>
      <c r="AE156" s="160">
        <v>0.0</v>
      </c>
      <c r="AF156" s="160">
        <v>0.0</v>
      </c>
      <c r="AG156" s="303">
        <f t="shared" si="37"/>
        <v>0</v>
      </c>
    </row>
    <row r="157" outlineLevel="1">
      <c r="A157" s="215" t="s">
        <v>562</v>
      </c>
      <c r="B157" s="160">
        <v>0.0</v>
      </c>
      <c r="C157" s="160">
        <v>0.0</v>
      </c>
      <c r="D157" s="160">
        <v>0.0</v>
      </c>
      <c r="E157" s="160">
        <v>0.0</v>
      </c>
      <c r="F157" s="160">
        <v>0.0</v>
      </c>
      <c r="G157" s="160">
        <v>0.0</v>
      </c>
      <c r="H157" s="160">
        <v>0.0</v>
      </c>
      <c r="I157" s="160">
        <v>0.0</v>
      </c>
      <c r="J157" s="160">
        <v>0.0</v>
      </c>
      <c r="K157" s="160">
        <v>0.0</v>
      </c>
      <c r="L157" s="160">
        <v>0.0</v>
      </c>
      <c r="M157" s="160">
        <v>0.0</v>
      </c>
      <c r="N157" s="160">
        <v>0.0</v>
      </c>
      <c r="O157" s="160">
        <v>0.0</v>
      </c>
      <c r="P157" s="160">
        <v>0.0</v>
      </c>
      <c r="Q157" s="160">
        <v>0.0</v>
      </c>
      <c r="R157" s="160">
        <v>0.0</v>
      </c>
      <c r="S157" s="160">
        <v>0.0</v>
      </c>
      <c r="T157" s="160">
        <v>0.0</v>
      </c>
      <c r="U157" s="160">
        <v>0.0</v>
      </c>
      <c r="V157" s="160">
        <v>0.0</v>
      </c>
      <c r="W157" s="160">
        <v>0.0</v>
      </c>
      <c r="X157" s="160">
        <v>0.0</v>
      </c>
      <c r="Y157" s="160">
        <v>0.0</v>
      </c>
      <c r="Z157" s="160">
        <v>0.0</v>
      </c>
      <c r="AA157" s="160">
        <v>0.0</v>
      </c>
      <c r="AB157" s="160">
        <v>0.0</v>
      </c>
      <c r="AC157" s="160">
        <v>0.0</v>
      </c>
      <c r="AD157" s="160">
        <v>0.0</v>
      </c>
      <c r="AE157" s="160">
        <v>0.0</v>
      </c>
      <c r="AF157" s="160">
        <v>0.0</v>
      </c>
      <c r="AG157" s="303">
        <f t="shared" si="37"/>
        <v>0</v>
      </c>
    </row>
    <row r="158" outlineLevel="1">
      <c r="A158" s="215" t="s">
        <v>563</v>
      </c>
      <c r="B158" s="160">
        <v>0.0</v>
      </c>
      <c r="C158" s="160">
        <v>1.0</v>
      </c>
      <c r="D158" s="160">
        <v>0.0</v>
      </c>
      <c r="E158" s="160">
        <v>2.0</v>
      </c>
      <c r="F158" s="160">
        <v>0.0</v>
      </c>
      <c r="G158" s="160">
        <v>0.0</v>
      </c>
      <c r="H158" s="160">
        <v>1.0</v>
      </c>
      <c r="I158" s="160">
        <v>0.0</v>
      </c>
      <c r="J158" s="160">
        <v>0.0</v>
      </c>
      <c r="K158" s="160">
        <v>0.0</v>
      </c>
      <c r="L158" s="160">
        <v>0.0</v>
      </c>
      <c r="M158" s="160">
        <v>0.0</v>
      </c>
      <c r="N158" s="160">
        <v>1.0</v>
      </c>
      <c r="O158" s="160">
        <v>2.0</v>
      </c>
      <c r="P158" s="160">
        <v>1.0</v>
      </c>
      <c r="Q158" s="160">
        <v>3.0</v>
      </c>
      <c r="R158" s="160">
        <v>2.0</v>
      </c>
      <c r="S158" s="160">
        <v>0.0</v>
      </c>
      <c r="T158" s="160">
        <v>1.0</v>
      </c>
      <c r="U158" s="160">
        <v>1.0</v>
      </c>
      <c r="V158" s="160">
        <v>1.0</v>
      </c>
      <c r="W158" s="160">
        <v>0.0</v>
      </c>
      <c r="X158" s="160">
        <v>0.0</v>
      </c>
      <c r="Y158" s="160">
        <v>0.0</v>
      </c>
      <c r="Z158" s="160">
        <v>0.0</v>
      </c>
      <c r="AA158" s="160">
        <v>2.0</v>
      </c>
      <c r="AB158" s="160">
        <v>2.0</v>
      </c>
      <c r="AC158" s="160">
        <v>1.0</v>
      </c>
      <c r="AD158" s="160">
        <v>1.0</v>
      </c>
      <c r="AE158" s="160">
        <v>0.0</v>
      </c>
      <c r="AF158" s="160">
        <v>2.0</v>
      </c>
      <c r="AG158" s="303">
        <f t="shared" si="37"/>
        <v>24</v>
      </c>
    </row>
    <row r="159" outlineLevel="1">
      <c r="A159" s="215" t="s">
        <v>564</v>
      </c>
      <c r="B159" s="160">
        <v>0.0</v>
      </c>
      <c r="C159" s="160">
        <v>0.0</v>
      </c>
      <c r="D159" s="160">
        <v>0.0</v>
      </c>
      <c r="E159" s="160">
        <v>0.0</v>
      </c>
      <c r="F159" s="160">
        <v>0.0</v>
      </c>
      <c r="G159" s="160">
        <v>0.0</v>
      </c>
      <c r="H159" s="160">
        <v>0.0</v>
      </c>
      <c r="I159" s="160">
        <v>0.0</v>
      </c>
      <c r="J159" s="160">
        <v>0.0</v>
      </c>
      <c r="K159" s="160">
        <v>0.0</v>
      </c>
      <c r="L159" s="160">
        <v>0.0</v>
      </c>
      <c r="M159" s="160">
        <v>0.0</v>
      </c>
      <c r="N159" s="160">
        <v>0.0</v>
      </c>
      <c r="O159" s="160">
        <v>0.0</v>
      </c>
      <c r="P159" s="160">
        <v>0.0</v>
      </c>
      <c r="Q159" s="160">
        <v>0.0</v>
      </c>
      <c r="R159" s="160">
        <v>0.0</v>
      </c>
      <c r="S159" s="160">
        <v>0.0</v>
      </c>
      <c r="T159" s="160">
        <v>0.0</v>
      </c>
      <c r="U159" s="160">
        <v>0.0</v>
      </c>
      <c r="V159" s="160">
        <v>0.0</v>
      </c>
      <c r="W159" s="160">
        <v>0.0</v>
      </c>
      <c r="X159" s="160">
        <v>0.0</v>
      </c>
      <c r="Y159" s="160">
        <v>0.0</v>
      </c>
      <c r="Z159" s="160">
        <v>0.0</v>
      </c>
      <c r="AA159" s="160">
        <v>0.0</v>
      </c>
      <c r="AB159" s="160">
        <v>0.0</v>
      </c>
      <c r="AC159" s="160">
        <v>0.0</v>
      </c>
      <c r="AD159" s="160">
        <v>0.0</v>
      </c>
      <c r="AE159" s="160">
        <v>0.0</v>
      </c>
      <c r="AF159" s="160">
        <v>0.0</v>
      </c>
      <c r="AG159" s="303">
        <f t="shared" si="37"/>
        <v>0</v>
      </c>
    </row>
    <row r="160" outlineLevel="1">
      <c r="A160" s="225" t="s">
        <v>141</v>
      </c>
      <c r="B160" s="345">
        <f t="shared" ref="B160:AF160" si="38">SUM(B152:B159)</f>
        <v>2</v>
      </c>
      <c r="C160" s="345">
        <f t="shared" si="38"/>
        <v>1</v>
      </c>
      <c r="D160" s="345">
        <f t="shared" si="38"/>
        <v>3</v>
      </c>
      <c r="E160" s="345">
        <f t="shared" si="38"/>
        <v>5</v>
      </c>
      <c r="F160" s="345">
        <f t="shared" si="38"/>
        <v>0</v>
      </c>
      <c r="G160" s="345">
        <f t="shared" si="38"/>
        <v>0</v>
      </c>
      <c r="H160" s="345">
        <f t="shared" si="38"/>
        <v>3</v>
      </c>
      <c r="I160" s="345">
        <f t="shared" si="38"/>
        <v>4</v>
      </c>
      <c r="J160" s="345">
        <f t="shared" si="38"/>
        <v>0</v>
      </c>
      <c r="K160" s="345">
        <f t="shared" si="38"/>
        <v>1</v>
      </c>
      <c r="L160" s="345">
        <f t="shared" si="38"/>
        <v>0</v>
      </c>
      <c r="M160" s="345">
        <f t="shared" si="38"/>
        <v>1</v>
      </c>
      <c r="N160" s="345">
        <f t="shared" si="38"/>
        <v>3</v>
      </c>
      <c r="O160" s="345">
        <f t="shared" si="38"/>
        <v>3</v>
      </c>
      <c r="P160" s="345">
        <f t="shared" si="38"/>
        <v>4</v>
      </c>
      <c r="Q160" s="345">
        <f t="shared" si="38"/>
        <v>6</v>
      </c>
      <c r="R160" s="345">
        <f t="shared" si="38"/>
        <v>4</v>
      </c>
      <c r="S160" s="345">
        <f t="shared" si="38"/>
        <v>2</v>
      </c>
      <c r="T160" s="345">
        <f t="shared" si="38"/>
        <v>2</v>
      </c>
      <c r="U160" s="345">
        <f t="shared" si="38"/>
        <v>6</v>
      </c>
      <c r="V160" s="345">
        <f t="shared" si="38"/>
        <v>3</v>
      </c>
      <c r="W160" s="345">
        <f t="shared" si="38"/>
        <v>0</v>
      </c>
      <c r="X160" s="345">
        <f t="shared" si="38"/>
        <v>2</v>
      </c>
      <c r="Y160" s="345">
        <f t="shared" si="38"/>
        <v>3</v>
      </c>
      <c r="Z160" s="345">
        <f t="shared" si="38"/>
        <v>1</v>
      </c>
      <c r="AA160" s="345">
        <f t="shared" si="38"/>
        <v>3</v>
      </c>
      <c r="AB160" s="345">
        <f t="shared" si="38"/>
        <v>6</v>
      </c>
      <c r="AC160" s="345">
        <f t="shared" si="38"/>
        <v>4</v>
      </c>
      <c r="AD160" s="345">
        <f t="shared" si="38"/>
        <v>6</v>
      </c>
      <c r="AE160" s="345">
        <f t="shared" si="38"/>
        <v>0</v>
      </c>
      <c r="AF160" s="345">
        <f t="shared" si="38"/>
        <v>6</v>
      </c>
      <c r="AG160" s="303">
        <f t="shared" si="37"/>
        <v>84</v>
      </c>
    </row>
    <row r="161">
      <c r="A161" s="166"/>
      <c r="AG161" s="346"/>
    </row>
    <row r="162">
      <c r="A162" s="166"/>
      <c r="B162" s="347"/>
      <c r="AG162" s="346"/>
    </row>
    <row r="163">
      <c r="A163" s="145" t="s">
        <v>565</v>
      </c>
      <c r="B163" s="183"/>
      <c r="C163" s="183"/>
      <c r="D163" s="183"/>
      <c r="E163" s="183"/>
      <c r="F163" s="183"/>
      <c r="G163" s="348"/>
      <c r="H163" s="183"/>
      <c r="I163" s="146"/>
      <c r="J163" s="146"/>
      <c r="K163" s="146"/>
      <c r="L163" s="146"/>
      <c r="M163" s="146"/>
      <c r="N163" s="146"/>
      <c r="O163" s="146"/>
      <c r="P163" s="146"/>
      <c r="Q163" s="146"/>
      <c r="R163" s="146"/>
      <c r="S163" s="146"/>
      <c r="T163" s="146"/>
      <c r="U163" s="146"/>
      <c r="V163" s="146"/>
      <c r="W163" s="146"/>
      <c r="X163" s="349"/>
      <c r="Y163" s="146"/>
      <c r="Z163" s="146"/>
      <c r="AA163" s="146"/>
      <c r="AB163" s="146"/>
      <c r="AC163" s="146"/>
      <c r="AD163" s="146"/>
      <c r="AE163" s="146"/>
      <c r="AF163" s="146"/>
      <c r="AG163" s="344"/>
    </row>
    <row r="164" outlineLevel="1">
      <c r="A164" s="350" t="s">
        <v>566</v>
      </c>
      <c r="B164" s="197">
        <f>239*2</f>
        <v>478</v>
      </c>
      <c r="C164" s="197">
        <v>239.0</v>
      </c>
      <c r="D164" s="197">
        <f>239*2</f>
        <v>478</v>
      </c>
      <c r="E164" s="197">
        <f>29+29+299</f>
        <v>357</v>
      </c>
      <c r="F164" s="197">
        <f>299*4</f>
        <v>1196</v>
      </c>
      <c r="G164" s="197">
        <f> 299+ 269.99+19+29+39</f>
        <v>655.99</v>
      </c>
      <c r="H164" s="197">
        <f>269.99+269.99+269.99+269.99+ 39+29+19</f>
        <v>1166.96</v>
      </c>
      <c r="I164" s="197">
        <f>269.99+269.99+239+ 29+ 29+ 19+ 19+29</f>
        <v>903.98</v>
      </c>
      <c r="J164" s="197">
        <f>269.99*6+ 39+29</f>
        <v>1687.94</v>
      </c>
      <c r="K164" s="197">
        <f>3*269.99+ 29+19</f>
        <v>857.97</v>
      </c>
      <c r="L164" s="197">
        <f>7*269.99+ 39+29+19</f>
        <v>1976.93</v>
      </c>
      <c r="M164" s="197">
        <f>39+29+19</f>
        <v>87</v>
      </c>
      <c r="N164" s="197">
        <v>299.0</v>
      </c>
      <c r="O164" s="197">
        <v>239.0</v>
      </c>
      <c r="P164" s="197">
        <f>299+299+299+ 239+29</f>
        <v>1165</v>
      </c>
      <c r="Q164" s="197">
        <f>6*299+ 239+ 29+ 29</f>
        <v>2091</v>
      </c>
      <c r="R164" s="197">
        <f t="shared" ref="R164:S164" si="39">299+ 29</f>
        <v>328</v>
      </c>
      <c r="S164" s="197">
        <f t="shared" si="39"/>
        <v>328</v>
      </c>
      <c r="T164" s="197">
        <f>29+29+29+39+19</f>
        <v>145</v>
      </c>
      <c r="U164" s="197">
        <v>0.0</v>
      </c>
      <c r="V164" s="197">
        <v>0.0</v>
      </c>
      <c r="W164" s="197">
        <f t="shared" ref="W164:X164" si="40">299+299</f>
        <v>598</v>
      </c>
      <c r="X164" s="197">
        <f t="shared" si="40"/>
        <v>598</v>
      </c>
      <c r="Y164" s="197">
        <f>29+19</f>
        <v>48</v>
      </c>
      <c r="Z164" s="197">
        <v>299.0</v>
      </c>
      <c r="AA164" s="197">
        <v>299.0</v>
      </c>
      <c r="AB164" s="197">
        <v>0.0</v>
      </c>
      <c r="AC164" s="197">
        <v>0.0</v>
      </c>
      <c r="AD164" s="197">
        <v>299.0</v>
      </c>
      <c r="AE164" s="197">
        <f>299+19</f>
        <v>318</v>
      </c>
      <c r="AF164" s="197">
        <f>299+ 29</f>
        <v>328</v>
      </c>
      <c r="AG164" s="303">
        <f t="shared" ref="AG164:AG168" si="42">SUM(B164:AF164)</f>
        <v>17466.77</v>
      </c>
    </row>
    <row r="165" outlineLevel="1">
      <c r="A165" s="350" t="s">
        <v>567</v>
      </c>
      <c r="B165" s="351">
        <f t="shared" ref="B165:AF165" si="41">0.29*(B131+B132+B142)</f>
        <v>0.58</v>
      </c>
      <c r="C165" s="351">
        <f t="shared" si="41"/>
        <v>0.29</v>
      </c>
      <c r="D165" s="351">
        <f t="shared" si="41"/>
        <v>0.58</v>
      </c>
      <c r="E165" s="351">
        <f t="shared" si="41"/>
        <v>0.87</v>
      </c>
      <c r="F165" s="351">
        <f t="shared" si="41"/>
        <v>1.16</v>
      </c>
      <c r="G165" s="351">
        <f t="shared" si="41"/>
        <v>1.45</v>
      </c>
      <c r="H165" s="351">
        <f t="shared" si="41"/>
        <v>2.03</v>
      </c>
      <c r="I165" s="351">
        <f t="shared" si="41"/>
        <v>2.32</v>
      </c>
      <c r="J165" s="351">
        <f t="shared" si="41"/>
        <v>2.32</v>
      </c>
      <c r="K165" s="351">
        <f t="shared" si="41"/>
        <v>1.45</v>
      </c>
      <c r="L165" s="351">
        <f t="shared" si="41"/>
        <v>2.9</v>
      </c>
      <c r="M165" s="351">
        <f t="shared" si="41"/>
        <v>0.87</v>
      </c>
      <c r="N165" s="351">
        <f t="shared" si="41"/>
        <v>0.29</v>
      </c>
      <c r="O165" s="351">
        <f t="shared" si="41"/>
        <v>0.29</v>
      </c>
      <c r="P165" s="351">
        <f t="shared" si="41"/>
        <v>1.45</v>
      </c>
      <c r="Q165" s="351">
        <f t="shared" si="41"/>
        <v>2.61</v>
      </c>
      <c r="R165" s="351">
        <f t="shared" si="41"/>
        <v>0.58</v>
      </c>
      <c r="S165" s="351">
        <f t="shared" si="41"/>
        <v>0.58</v>
      </c>
      <c r="T165" s="351">
        <f t="shared" si="41"/>
        <v>1.45</v>
      </c>
      <c r="U165" s="351">
        <f t="shared" si="41"/>
        <v>0</v>
      </c>
      <c r="V165" s="351">
        <f t="shared" si="41"/>
        <v>0</v>
      </c>
      <c r="W165" s="351">
        <f t="shared" si="41"/>
        <v>0.58</v>
      </c>
      <c r="X165" s="351">
        <f t="shared" si="41"/>
        <v>0.58</v>
      </c>
      <c r="Y165" s="351">
        <f t="shared" si="41"/>
        <v>0.58</v>
      </c>
      <c r="Z165" s="351">
        <f t="shared" si="41"/>
        <v>0.29</v>
      </c>
      <c r="AA165" s="351">
        <f t="shared" si="41"/>
        <v>0.29</v>
      </c>
      <c r="AB165" s="351">
        <f t="shared" si="41"/>
        <v>0</v>
      </c>
      <c r="AC165" s="351">
        <f t="shared" si="41"/>
        <v>0</v>
      </c>
      <c r="AD165" s="351">
        <f t="shared" si="41"/>
        <v>0.29</v>
      </c>
      <c r="AE165" s="351">
        <f t="shared" si="41"/>
        <v>0.58</v>
      </c>
      <c r="AF165" s="351">
        <f t="shared" si="41"/>
        <v>0.58</v>
      </c>
      <c r="AG165" s="303">
        <f t="shared" si="42"/>
        <v>27.84</v>
      </c>
    </row>
    <row r="166" outlineLevel="1">
      <c r="A166" s="350" t="s">
        <v>568</v>
      </c>
      <c r="B166" s="197">
        <f t="shared" ref="B166:AF166" si="43">17.58*(B131+B132)</f>
        <v>35.16</v>
      </c>
      <c r="C166" s="197">
        <f t="shared" si="43"/>
        <v>17.58</v>
      </c>
      <c r="D166" s="197">
        <f t="shared" si="43"/>
        <v>35.16</v>
      </c>
      <c r="E166" s="197">
        <f t="shared" si="43"/>
        <v>17.58</v>
      </c>
      <c r="F166" s="197">
        <f t="shared" si="43"/>
        <v>70.32</v>
      </c>
      <c r="G166" s="197">
        <f t="shared" si="43"/>
        <v>35.16</v>
      </c>
      <c r="H166" s="197">
        <f t="shared" si="43"/>
        <v>70.32</v>
      </c>
      <c r="I166" s="197">
        <f t="shared" si="43"/>
        <v>52.74</v>
      </c>
      <c r="J166" s="197">
        <f t="shared" si="43"/>
        <v>105.48</v>
      </c>
      <c r="K166" s="197">
        <f t="shared" si="43"/>
        <v>52.74</v>
      </c>
      <c r="L166" s="197">
        <f t="shared" si="43"/>
        <v>123.06</v>
      </c>
      <c r="M166" s="197">
        <f t="shared" si="43"/>
        <v>0</v>
      </c>
      <c r="N166" s="197">
        <f t="shared" si="43"/>
        <v>17.58</v>
      </c>
      <c r="O166" s="197">
        <f t="shared" si="43"/>
        <v>17.58</v>
      </c>
      <c r="P166" s="197">
        <f t="shared" si="43"/>
        <v>70.32</v>
      </c>
      <c r="Q166" s="197">
        <f t="shared" si="43"/>
        <v>123.06</v>
      </c>
      <c r="R166" s="197">
        <f t="shared" si="43"/>
        <v>17.58</v>
      </c>
      <c r="S166" s="197">
        <f t="shared" si="43"/>
        <v>17.58</v>
      </c>
      <c r="T166" s="197">
        <f t="shared" si="43"/>
        <v>0</v>
      </c>
      <c r="U166" s="197">
        <f t="shared" si="43"/>
        <v>0</v>
      </c>
      <c r="V166" s="197">
        <f t="shared" si="43"/>
        <v>0</v>
      </c>
      <c r="W166" s="197">
        <f t="shared" si="43"/>
        <v>35.16</v>
      </c>
      <c r="X166" s="197">
        <f t="shared" si="43"/>
        <v>35.16</v>
      </c>
      <c r="Y166" s="197">
        <f t="shared" si="43"/>
        <v>0</v>
      </c>
      <c r="Z166" s="197">
        <f t="shared" si="43"/>
        <v>17.58</v>
      </c>
      <c r="AA166" s="197">
        <f t="shared" si="43"/>
        <v>17.58</v>
      </c>
      <c r="AB166" s="197">
        <f t="shared" si="43"/>
        <v>0</v>
      </c>
      <c r="AC166" s="197">
        <f t="shared" si="43"/>
        <v>0</v>
      </c>
      <c r="AD166" s="197">
        <f t="shared" si="43"/>
        <v>17.58</v>
      </c>
      <c r="AE166" s="197">
        <f t="shared" si="43"/>
        <v>17.58</v>
      </c>
      <c r="AF166" s="197">
        <f t="shared" si="43"/>
        <v>17.58</v>
      </c>
      <c r="AG166" s="303">
        <f t="shared" si="42"/>
        <v>1037.22</v>
      </c>
    </row>
    <row r="167" outlineLevel="1">
      <c r="A167" s="350" t="s">
        <v>569</v>
      </c>
      <c r="B167" s="197">
        <f t="shared" ref="B167:AF167" si="44">0.17*(B131+B132+B142)</f>
        <v>0.34</v>
      </c>
      <c r="C167" s="197">
        <f t="shared" si="44"/>
        <v>0.17</v>
      </c>
      <c r="D167" s="197">
        <f t="shared" si="44"/>
        <v>0.34</v>
      </c>
      <c r="E167" s="197">
        <f t="shared" si="44"/>
        <v>0.51</v>
      </c>
      <c r="F167" s="197">
        <f t="shared" si="44"/>
        <v>0.68</v>
      </c>
      <c r="G167" s="197">
        <f t="shared" si="44"/>
        <v>0.85</v>
      </c>
      <c r="H167" s="197">
        <f t="shared" si="44"/>
        <v>1.19</v>
      </c>
      <c r="I167" s="197">
        <f t="shared" si="44"/>
        <v>1.36</v>
      </c>
      <c r="J167" s="197">
        <f t="shared" si="44"/>
        <v>1.36</v>
      </c>
      <c r="K167" s="197">
        <f t="shared" si="44"/>
        <v>0.85</v>
      </c>
      <c r="L167" s="197">
        <f t="shared" si="44"/>
        <v>1.7</v>
      </c>
      <c r="M167" s="197">
        <f t="shared" si="44"/>
        <v>0.51</v>
      </c>
      <c r="N167" s="197">
        <f t="shared" si="44"/>
        <v>0.17</v>
      </c>
      <c r="O167" s="197">
        <f t="shared" si="44"/>
        <v>0.17</v>
      </c>
      <c r="P167" s="197">
        <f t="shared" si="44"/>
        <v>0.85</v>
      </c>
      <c r="Q167" s="197">
        <f t="shared" si="44"/>
        <v>1.53</v>
      </c>
      <c r="R167" s="197">
        <f t="shared" si="44"/>
        <v>0.34</v>
      </c>
      <c r="S167" s="197">
        <f t="shared" si="44"/>
        <v>0.34</v>
      </c>
      <c r="T167" s="197">
        <f t="shared" si="44"/>
        <v>0.85</v>
      </c>
      <c r="U167" s="197">
        <f t="shared" si="44"/>
        <v>0</v>
      </c>
      <c r="V167" s="197">
        <f t="shared" si="44"/>
        <v>0</v>
      </c>
      <c r="W167" s="197">
        <f t="shared" si="44"/>
        <v>0.34</v>
      </c>
      <c r="X167" s="197">
        <f t="shared" si="44"/>
        <v>0.34</v>
      </c>
      <c r="Y167" s="197">
        <f t="shared" si="44"/>
        <v>0.34</v>
      </c>
      <c r="Z167" s="197">
        <f t="shared" si="44"/>
        <v>0.17</v>
      </c>
      <c r="AA167" s="197">
        <f t="shared" si="44"/>
        <v>0.17</v>
      </c>
      <c r="AB167" s="197">
        <f t="shared" si="44"/>
        <v>0</v>
      </c>
      <c r="AC167" s="197">
        <f t="shared" si="44"/>
        <v>0</v>
      </c>
      <c r="AD167" s="197">
        <f t="shared" si="44"/>
        <v>0.17</v>
      </c>
      <c r="AE167" s="197">
        <f t="shared" si="44"/>
        <v>0.34</v>
      </c>
      <c r="AF167" s="197">
        <f t="shared" si="44"/>
        <v>0.34</v>
      </c>
      <c r="AG167" s="303">
        <f t="shared" si="42"/>
        <v>16.32</v>
      </c>
    </row>
    <row r="168" outlineLevel="1">
      <c r="A168" s="352" t="s">
        <v>570</v>
      </c>
      <c r="B168" s="353">
        <f t="shared" ref="B168:AF168" si="45">B164+B165+B166</f>
        <v>513.74</v>
      </c>
      <c r="C168" s="353">
        <f t="shared" si="45"/>
        <v>256.87</v>
      </c>
      <c r="D168" s="353">
        <f t="shared" si="45"/>
        <v>513.74</v>
      </c>
      <c r="E168" s="353">
        <f t="shared" si="45"/>
        <v>375.45</v>
      </c>
      <c r="F168" s="353">
        <f t="shared" si="45"/>
        <v>1267.48</v>
      </c>
      <c r="G168" s="353">
        <f t="shared" si="45"/>
        <v>692.6</v>
      </c>
      <c r="H168" s="353">
        <f t="shared" si="45"/>
        <v>1239.31</v>
      </c>
      <c r="I168" s="353">
        <f t="shared" si="45"/>
        <v>959.04</v>
      </c>
      <c r="J168" s="353">
        <f t="shared" si="45"/>
        <v>1795.74</v>
      </c>
      <c r="K168" s="353">
        <f t="shared" si="45"/>
        <v>912.16</v>
      </c>
      <c r="L168" s="353">
        <f t="shared" si="45"/>
        <v>2102.89</v>
      </c>
      <c r="M168" s="353">
        <f t="shared" si="45"/>
        <v>87.87</v>
      </c>
      <c r="N168" s="353">
        <f t="shared" si="45"/>
        <v>316.87</v>
      </c>
      <c r="O168" s="353">
        <f t="shared" si="45"/>
        <v>256.87</v>
      </c>
      <c r="P168" s="353">
        <f t="shared" si="45"/>
        <v>1236.77</v>
      </c>
      <c r="Q168" s="353">
        <f t="shared" si="45"/>
        <v>2216.67</v>
      </c>
      <c r="R168" s="353">
        <f t="shared" si="45"/>
        <v>346.16</v>
      </c>
      <c r="S168" s="353">
        <f t="shared" si="45"/>
        <v>346.16</v>
      </c>
      <c r="T168" s="353">
        <f t="shared" si="45"/>
        <v>146.45</v>
      </c>
      <c r="U168" s="353">
        <f t="shared" si="45"/>
        <v>0</v>
      </c>
      <c r="V168" s="353">
        <f t="shared" si="45"/>
        <v>0</v>
      </c>
      <c r="W168" s="353">
        <f t="shared" si="45"/>
        <v>633.74</v>
      </c>
      <c r="X168" s="353">
        <f t="shared" si="45"/>
        <v>633.74</v>
      </c>
      <c r="Y168" s="353">
        <f t="shared" si="45"/>
        <v>48.58</v>
      </c>
      <c r="Z168" s="353">
        <f t="shared" si="45"/>
        <v>316.87</v>
      </c>
      <c r="AA168" s="353">
        <f t="shared" si="45"/>
        <v>316.87</v>
      </c>
      <c r="AB168" s="353">
        <f t="shared" si="45"/>
        <v>0</v>
      </c>
      <c r="AC168" s="353">
        <f t="shared" si="45"/>
        <v>0</v>
      </c>
      <c r="AD168" s="353">
        <f t="shared" si="45"/>
        <v>316.87</v>
      </c>
      <c r="AE168" s="353">
        <f t="shared" si="45"/>
        <v>336.16</v>
      </c>
      <c r="AF168" s="353">
        <f t="shared" si="45"/>
        <v>346.16</v>
      </c>
      <c r="AG168" s="303">
        <f t="shared" si="42"/>
        <v>18531.83</v>
      </c>
    </row>
    <row r="169">
      <c r="A169" s="166"/>
      <c r="AG169" s="346"/>
    </row>
    <row r="170">
      <c r="A170" s="145" t="s">
        <v>571</v>
      </c>
      <c r="B170" s="230"/>
      <c r="C170" s="230"/>
      <c r="D170" s="230"/>
      <c r="E170" s="230"/>
      <c r="F170" s="354"/>
      <c r="G170" s="230"/>
      <c r="H170" s="230"/>
      <c r="I170" s="194"/>
      <c r="J170" s="230"/>
      <c r="K170" s="230"/>
      <c r="L170" s="230"/>
      <c r="M170" s="230"/>
      <c r="N170" s="230"/>
      <c r="O170" s="230"/>
      <c r="P170" s="230"/>
      <c r="Q170" s="230"/>
      <c r="R170" s="230"/>
      <c r="S170" s="230"/>
      <c r="T170" s="230"/>
      <c r="U170" s="230"/>
      <c r="V170" s="230"/>
      <c r="W170" s="230"/>
      <c r="X170" s="230"/>
      <c r="Y170" s="230"/>
      <c r="Z170" s="230"/>
      <c r="AA170" s="230"/>
      <c r="AB170" s="230"/>
      <c r="AC170" s="230"/>
      <c r="AD170" s="230"/>
      <c r="AE170" s="230"/>
      <c r="AF170" s="230"/>
      <c r="AG170" s="355"/>
    </row>
    <row r="171" outlineLevel="1">
      <c r="A171" s="350" t="s">
        <v>572</v>
      </c>
      <c r="B171" s="197">
        <v>700.99</v>
      </c>
      <c r="C171" s="197">
        <v>492.82</v>
      </c>
      <c r="D171" s="197">
        <v>543.82</v>
      </c>
      <c r="E171" s="197">
        <v>569.34</v>
      </c>
      <c r="F171" s="197">
        <v>284.67</v>
      </c>
      <c r="G171" s="197">
        <v>1011.16</v>
      </c>
      <c r="H171" s="197">
        <v>1906.48</v>
      </c>
      <c r="I171" s="197">
        <v>1295.83</v>
      </c>
      <c r="J171" s="234">
        <v>1503.94</v>
      </c>
      <c r="K171" s="197">
        <v>603.66</v>
      </c>
      <c r="L171" s="197">
        <v>1582.14</v>
      </c>
      <c r="M171" s="234">
        <v>1378.1</v>
      </c>
      <c r="N171" s="234">
        <v>2549.71</v>
      </c>
      <c r="O171" s="197">
        <v>3571.0</v>
      </c>
      <c r="P171" s="197">
        <v>2048.66</v>
      </c>
      <c r="Q171" s="197">
        <v>1990.5</v>
      </c>
      <c r="R171" s="197">
        <v>1539.12</v>
      </c>
      <c r="S171" s="197">
        <v>671.31</v>
      </c>
      <c r="T171" s="197">
        <v>416.3</v>
      </c>
      <c r="U171" s="197">
        <v>996.2</v>
      </c>
      <c r="V171" s="197">
        <v>2187.49</v>
      </c>
      <c r="W171" s="197">
        <v>1275.01</v>
      </c>
      <c r="X171" s="197">
        <v>2435.7</v>
      </c>
      <c r="Y171" s="197">
        <v>828.39</v>
      </c>
      <c r="Z171" s="197">
        <v>1437.12</v>
      </c>
      <c r="AA171" s="197">
        <v>493.64</v>
      </c>
      <c r="AB171" s="197">
        <v>233.67</v>
      </c>
      <c r="AC171" s="234">
        <v>1564.6</v>
      </c>
      <c r="AD171" s="234">
        <v>1574.28</v>
      </c>
      <c r="AE171" s="234">
        <v>1948.26</v>
      </c>
      <c r="AF171" s="234">
        <v>1169.95</v>
      </c>
      <c r="AG171" s="303">
        <f t="shared" ref="AG171:AG175" si="46">SUM(B171:AF171)</f>
        <v>40803.86</v>
      </c>
    </row>
    <row r="172" outlineLevel="1">
      <c r="A172" s="350" t="s">
        <v>573</v>
      </c>
      <c r="B172" s="356"/>
      <c r="C172" s="356"/>
      <c r="D172" s="356"/>
      <c r="E172" s="356"/>
      <c r="F172" s="356"/>
      <c r="G172" s="356"/>
      <c r="H172" s="356"/>
      <c r="I172" s="356"/>
      <c r="J172" s="356"/>
      <c r="K172" s="356"/>
      <c r="L172" s="356"/>
      <c r="M172" s="356"/>
      <c r="N172" s="356"/>
      <c r="O172" s="356"/>
      <c r="P172" s="356"/>
      <c r="Q172" s="356"/>
      <c r="R172" s="356"/>
      <c r="S172" s="357"/>
      <c r="T172" s="357"/>
      <c r="U172" s="357"/>
      <c r="V172" s="357"/>
      <c r="W172" s="357"/>
      <c r="X172" s="357"/>
      <c r="Y172" s="357"/>
      <c r="Z172" s="357"/>
      <c r="AA172" s="357"/>
      <c r="AB172" s="357"/>
      <c r="AC172" s="357"/>
      <c r="AD172" s="357"/>
      <c r="AE172" s="357"/>
      <c r="AF172" s="357"/>
      <c r="AG172" s="303">
        <f t="shared" si="46"/>
        <v>0</v>
      </c>
    </row>
    <row r="173" outlineLevel="1">
      <c r="A173" s="215" t="s">
        <v>574</v>
      </c>
      <c r="B173" s="356"/>
      <c r="C173" s="356"/>
      <c r="D173" s="356"/>
      <c r="E173" s="356"/>
      <c r="F173" s="356"/>
      <c r="G173" s="356"/>
      <c r="H173" s="356"/>
      <c r="I173" s="356"/>
      <c r="J173" s="356"/>
      <c r="K173" s="356"/>
      <c r="L173" s="356"/>
      <c r="M173" s="356"/>
      <c r="N173" s="356"/>
      <c r="O173" s="356"/>
      <c r="P173" s="356"/>
      <c r="Q173" s="356"/>
      <c r="R173" s="356"/>
      <c r="S173" s="357"/>
      <c r="T173" s="357"/>
      <c r="U173" s="357"/>
      <c r="V173" s="357"/>
      <c r="W173" s="357"/>
      <c r="X173" s="357"/>
      <c r="Y173" s="357"/>
      <c r="Z173" s="357"/>
      <c r="AA173" s="357"/>
      <c r="AB173" s="357"/>
      <c r="AC173" s="357"/>
      <c r="AD173" s="357"/>
      <c r="AE173" s="357"/>
      <c r="AF173" s="357"/>
      <c r="AG173" s="303">
        <f t="shared" si="46"/>
        <v>0</v>
      </c>
    </row>
    <row r="174" outlineLevel="1">
      <c r="A174" s="350" t="s">
        <v>575</v>
      </c>
      <c r="B174" s="356"/>
      <c r="C174" s="356"/>
      <c r="D174" s="356"/>
      <c r="E174" s="356"/>
      <c r="F174" s="356"/>
      <c r="G174" s="356"/>
      <c r="H174" s="356"/>
      <c r="I174" s="356"/>
      <c r="J174" s="356"/>
      <c r="K174" s="356"/>
      <c r="L174" s="356"/>
      <c r="M174" s="356"/>
      <c r="N174" s="356"/>
      <c r="O174" s="356"/>
      <c r="P174" s="356"/>
      <c r="Q174" s="356"/>
      <c r="R174" s="356"/>
      <c r="S174" s="357"/>
      <c r="T174" s="357"/>
      <c r="U174" s="357"/>
      <c r="V174" s="357"/>
      <c r="W174" s="357"/>
      <c r="X174" s="357"/>
      <c r="Y174" s="357"/>
      <c r="Z174" s="357"/>
      <c r="AA174" s="357"/>
      <c r="AB174" s="357"/>
      <c r="AC174" s="357"/>
      <c r="AD174" s="357"/>
      <c r="AE174" s="357"/>
      <c r="AF174" s="357"/>
      <c r="AG174" s="303">
        <f t="shared" si="46"/>
        <v>0</v>
      </c>
    </row>
    <row r="175" outlineLevel="1">
      <c r="A175" s="352" t="s">
        <v>576</v>
      </c>
      <c r="B175" s="358">
        <f>sum(B171:B174)</f>
        <v>700.99</v>
      </c>
      <c r="C175" s="358">
        <f t="shared" ref="C175:E175" si="47">sum(C171:C173)</f>
        <v>492.82</v>
      </c>
      <c r="D175" s="358">
        <f t="shared" si="47"/>
        <v>543.82</v>
      </c>
      <c r="E175" s="358">
        <f t="shared" si="47"/>
        <v>569.34</v>
      </c>
      <c r="F175" s="358">
        <f>sum(F171:F174)</f>
        <v>284.67</v>
      </c>
      <c r="G175" s="358">
        <f t="shared" ref="G175:H175" si="48">sum(G171:G173)</f>
        <v>1011.16</v>
      </c>
      <c r="H175" s="358">
        <f t="shared" si="48"/>
        <v>1906.48</v>
      </c>
      <c r="I175" s="358">
        <f>sum(I170:I173)</f>
        <v>1295.83</v>
      </c>
      <c r="J175" s="358">
        <f t="shared" ref="J175:AF175" si="49">sum(J171:J173)</f>
        <v>1503.94</v>
      </c>
      <c r="K175" s="358">
        <f t="shared" si="49"/>
        <v>603.66</v>
      </c>
      <c r="L175" s="358">
        <f t="shared" si="49"/>
        <v>1582.14</v>
      </c>
      <c r="M175" s="358">
        <f t="shared" si="49"/>
        <v>1378.1</v>
      </c>
      <c r="N175" s="358">
        <f t="shared" si="49"/>
        <v>2549.71</v>
      </c>
      <c r="O175" s="358">
        <f t="shared" si="49"/>
        <v>3571</v>
      </c>
      <c r="P175" s="358">
        <f t="shared" si="49"/>
        <v>2048.66</v>
      </c>
      <c r="Q175" s="358">
        <f t="shared" si="49"/>
        <v>1990.5</v>
      </c>
      <c r="R175" s="358">
        <f t="shared" si="49"/>
        <v>1539.12</v>
      </c>
      <c r="S175" s="358">
        <f t="shared" si="49"/>
        <v>671.31</v>
      </c>
      <c r="T175" s="358">
        <f t="shared" si="49"/>
        <v>416.3</v>
      </c>
      <c r="U175" s="358">
        <f t="shared" si="49"/>
        <v>996.2</v>
      </c>
      <c r="V175" s="358">
        <f t="shared" si="49"/>
        <v>2187.49</v>
      </c>
      <c r="W175" s="358">
        <f t="shared" si="49"/>
        <v>1275.01</v>
      </c>
      <c r="X175" s="358">
        <f t="shared" si="49"/>
        <v>2435.7</v>
      </c>
      <c r="Y175" s="358">
        <f t="shared" si="49"/>
        <v>828.39</v>
      </c>
      <c r="Z175" s="358">
        <f t="shared" si="49"/>
        <v>1437.12</v>
      </c>
      <c r="AA175" s="358">
        <f t="shared" si="49"/>
        <v>493.64</v>
      </c>
      <c r="AB175" s="358">
        <f t="shared" si="49"/>
        <v>233.67</v>
      </c>
      <c r="AC175" s="358">
        <f t="shared" si="49"/>
        <v>1564.6</v>
      </c>
      <c r="AD175" s="358">
        <f t="shared" si="49"/>
        <v>1574.28</v>
      </c>
      <c r="AE175" s="358">
        <f t="shared" si="49"/>
        <v>1948.26</v>
      </c>
      <c r="AF175" s="358">
        <f t="shared" si="49"/>
        <v>1169.95</v>
      </c>
      <c r="AG175" s="303">
        <f t="shared" si="46"/>
        <v>40803.86</v>
      </c>
    </row>
    <row r="176">
      <c r="A176" s="166"/>
      <c r="B176" s="359"/>
      <c r="C176" s="359"/>
      <c r="D176" s="359"/>
      <c r="E176" s="359"/>
      <c r="F176" s="359"/>
      <c r="G176" s="359"/>
      <c r="H176" s="359"/>
      <c r="I176" s="359"/>
      <c r="J176" s="359"/>
      <c r="K176" s="359"/>
      <c r="L176" s="359"/>
      <c r="M176" s="359"/>
      <c r="N176" s="359"/>
      <c r="O176" s="359"/>
      <c r="P176" s="359"/>
      <c r="Q176" s="359"/>
      <c r="R176" s="359"/>
      <c r="S176" s="359"/>
      <c r="T176" s="359"/>
      <c r="U176" s="359"/>
      <c r="V176" s="359"/>
      <c r="W176" s="359"/>
      <c r="X176" s="359"/>
      <c r="Y176" s="359"/>
      <c r="Z176" s="359"/>
      <c r="AA176" s="359"/>
      <c r="AB176" s="359"/>
      <c r="AC176" s="359"/>
      <c r="AD176" s="359"/>
      <c r="AE176" s="359"/>
      <c r="AF176" s="359"/>
      <c r="AG176" s="346"/>
    </row>
    <row r="177">
      <c r="A177" s="166"/>
      <c r="AG177" s="346"/>
    </row>
    <row r="178">
      <c r="A178" s="138" t="s">
        <v>577</v>
      </c>
      <c r="B178" s="360" t="s">
        <v>345</v>
      </c>
      <c r="AG178" s="346"/>
    </row>
    <row r="179">
      <c r="A179" s="215" t="s">
        <v>578</v>
      </c>
      <c r="B179" s="160">
        <v>0.0</v>
      </c>
      <c r="C179" s="160">
        <v>0.0</v>
      </c>
      <c r="D179" s="160">
        <v>0.0</v>
      </c>
      <c r="E179" s="160">
        <v>0.0</v>
      </c>
      <c r="F179" s="160">
        <v>0.0</v>
      </c>
      <c r="G179" s="160">
        <v>0.0</v>
      </c>
      <c r="H179" s="160">
        <v>0.0</v>
      </c>
      <c r="I179" s="160">
        <v>0.0</v>
      </c>
      <c r="J179" s="160">
        <v>0.0</v>
      </c>
      <c r="K179" s="160">
        <v>0.0</v>
      </c>
      <c r="L179" s="160">
        <v>0.0</v>
      </c>
      <c r="M179" s="160">
        <v>0.0</v>
      </c>
      <c r="N179" s="160">
        <v>0.0</v>
      </c>
      <c r="O179" s="160">
        <v>0.0</v>
      </c>
      <c r="P179" s="160">
        <v>0.0</v>
      </c>
      <c r="Q179" s="160">
        <v>0.0</v>
      </c>
      <c r="R179" s="160">
        <v>0.0</v>
      </c>
      <c r="S179" s="160">
        <v>0.0</v>
      </c>
      <c r="T179" s="160">
        <v>0.0</v>
      </c>
      <c r="U179" s="160">
        <v>0.0</v>
      </c>
      <c r="V179" s="160">
        <v>0.0</v>
      </c>
      <c r="W179" s="160">
        <v>0.0</v>
      </c>
      <c r="X179" s="160">
        <v>0.0</v>
      </c>
      <c r="Y179" s="160">
        <v>0.0</v>
      </c>
      <c r="Z179" s="160">
        <v>0.0</v>
      </c>
      <c r="AA179" s="160">
        <v>0.0</v>
      </c>
      <c r="AB179" s="160">
        <v>0.0</v>
      </c>
      <c r="AC179" s="160">
        <v>0.0</v>
      </c>
      <c r="AD179" s="160">
        <v>0.0</v>
      </c>
      <c r="AE179" s="160">
        <v>0.0</v>
      </c>
      <c r="AF179" s="160">
        <v>0.0</v>
      </c>
      <c r="AG179" s="312">
        <f t="shared" ref="AG179:AG184" si="50">SUM(B179:AF179)</f>
        <v>0</v>
      </c>
    </row>
    <row r="180">
      <c r="A180" s="215" t="s">
        <v>579</v>
      </c>
      <c r="B180" s="160">
        <v>0.0</v>
      </c>
      <c r="C180" s="160">
        <v>0.0</v>
      </c>
      <c r="D180" s="160">
        <v>0.0</v>
      </c>
      <c r="E180" s="160">
        <v>0.0</v>
      </c>
      <c r="F180" s="160">
        <v>0.0</v>
      </c>
      <c r="G180" s="160">
        <v>0.0</v>
      </c>
      <c r="H180" s="160">
        <v>0.0</v>
      </c>
      <c r="I180" s="160">
        <v>0.0</v>
      </c>
      <c r="J180" s="160">
        <v>0.0</v>
      </c>
      <c r="K180" s="160">
        <v>0.0</v>
      </c>
      <c r="L180" s="160">
        <v>0.0</v>
      </c>
      <c r="M180" s="160">
        <v>0.0</v>
      </c>
      <c r="N180" s="160">
        <v>0.0</v>
      </c>
      <c r="O180" s="160">
        <v>0.0</v>
      </c>
      <c r="P180" s="160">
        <v>0.0</v>
      </c>
      <c r="Q180" s="160">
        <v>0.0</v>
      </c>
      <c r="R180" s="160">
        <v>0.0</v>
      </c>
      <c r="S180" s="160">
        <v>0.0</v>
      </c>
      <c r="T180" s="160">
        <v>0.0</v>
      </c>
      <c r="U180" s="160">
        <v>0.0</v>
      </c>
      <c r="V180" s="160">
        <v>0.0</v>
      </c>
      <c r="W180" s="160">
        <v>0.0</v>
      </c>
      <c r="X180" s="160">
        <v>0.0</v>
      </c>
      <c r="Y180" s="160">
        <v>0.0</v>
      </c>
      <c r="Z180" s="160">
        <v>0.0</v>
      </c>
      <c r="AA180" s="160">
        <v>0.0</v>
      </c>
      <c r="AB180" s="160">
        <v>0.0</v>
      </c>
      <c r="AC180" s="160">
        <v>0.0</v>
      </c>
      <c r="AD180" s="160">
        <v>0.0</v>
      </c>
      <c r="AE180" s="160">
        <v>0.0</v>
      </c>
      <c r="AF180" s="160">
        <v>0.0</v>
      </c>
      <c r="AG180" s="312">
        <f t="shared" si="50"/>
        <v>0</v>
      </c>
    </row>
    <row r="181">
      <c r="A181" s="215" t="s">
        <v>580</v>
      </c>
      <c r="B181" s="160">
        <v>0.0</v>
      </c>
      <c r="C181" s="160">
        <v>0.0</v>
      </c>
      <c r="D181" s="160">
        <v>0.0</v>
      </c>
      <c r="E181" s="160">
        <v>0.0</v>
      </c>
      <c r="F181" s="160">
        <v>0.0</v>
      </c>
      <c r="G181" s="160">
        <v>0.0</v>
      </c>
      <c r="H181" s="160">
        <v>0.0</v>
      </c>
      <c r="I181" s="160">
        <v>0.0</v>
      </c>
      <c r="J181" s="160">
        <v>0.0</v>
      </c>
      <c r="K181" s="160">
        <v>0.0</v>
      </c>
      <c r="L181" s="160">
        <v>0.0</v>
      </c>
      <c r="M181" s="160">
        <v>0.0</v>
      </c>
      <c r="N181" s="160">
        <v>0.0</v>
      </c>
      <c r="O181" s="160">
        <v>0.0</v>
      </c>
      <c r="P181" s="160">
        <v>0.0</v>
      </c>
      <c r="Q181" s="160">
        <v>0.0</v>
      </c>
      <c r="R181" s="160">
        <v>0.0</v>
      </c>
      <c r="S181" s="160">
        <v>0.0</v>
      </c>
      <c r="T181" s="160">
        <v>0.0</v>
      </c>
      <c r="U181" s="160">
        <v>0.0</v>
      </c>
      <c r="V181" s="160">
        <v>0.0</v>
      </c>
      <c r="W181" s="160">
        <v>0.0</v>
      </c>
      <c r="X181" s="160">
        <v>0.0</v>
      </c>
      <c r="Y181" s="160">
        <v>0.0</v>
      </c>
      <c r="Z181" s="160">
        <v>0.0</v>
      </c>
      <c r="AA181" s="160">
        <v>0.0</v>
      </c>
      <c r="AB181" s="160">
        <v>0.0</v>
      </c>
      <c r="AC181" s="160">
        <v>0.0</v>
      </c>
      <c r="AD181" s="160">
        <v>0.0</v>
      </c>
      <c r="AE181" s="160">
        <v>0.0</v>
      </c>
      <c r="AF181" s="160">
        <v>0.0</v>
      </c>
      <c r="AG181" s="312">
        <f t="shared" si="50"/>
        <v>0</v>
      </c>
    </row>
    <row r="182">
      <c r="A182" s="215" t="s">
        <v>581</v>
      </c>
      <c r="B182" s="160">
        <v>0.0</v>
      </c>
      <c r="C182" s="160">
        <v>0.0</v>
      </c>
      <c r="D182" s="160">
        <v>0.0</v>
      </c>
      <c r="E182" s="160">
        <v>0.0</v>
      </c>
      <c r="F182" s="160">
        <v>0.0</v>
      </c>
      <c r="G182" s="160">
        <v>0.0</v>
      </c>
      <c r="H182" s="160">
        <v>0.0</v>
      </c>
      <c r="I182" s="160">
        <v>0.0</v>
      </c>
      <c r="J182" s="160">
        <v>0.0</v>
      </c>
      <c r="K182" s="160">
        <v>0.0</v>
      </c>
      <c r="L182" s="160">
        <v>0.0</v>
      </c>
      <c r="M182" s="160">
        <v>0.0</v>
      </c>
      <c r="N182" s="160">
        <v>0.0</v>
      </c>
      <c r="O182" s="160">
        <v>0.0</v>
      </c>
      <c r="P182" s="160">
        <v>0.0</v>
      </c>
      <c r="Q182" s="160">
        <v>0.0</v>
      </c>
      <c r="R182" s="160">
        <v>0.0</v>
      </c>
      <c r="S182" s="160">
        <v>0.0</v>
      </c>
      <c r="T182" s="160">
        <v>0.0</v>
      </c>
      <c r="U182" s="160">
        <v>0.0</v>
      </c>
      <c r="V182" s="160">
        <v>0.0</v>
      </c>
      <c r="W182" s="160">
        <v>0.0</v>
      </c>
      <c r="X182" s="160">
        <v>0.0</v>
      </c>
      <c r="Y182" s="160">
        <v>0.0</v>
      </c>
      <c r="Z182" s="160">
        <v>0.0</v>
      </c>
      <c r="AA182" s="160">
        <v>0.0</v>
      </c>
      <c r="AB182" s="160">
        <v>0.0</v>
      </c>
      <c r="AC182" s="160">
        <v>0.0</v>
      </c>
      <c r="AD182" s="160">
        <v>0.0</v>
      </c>
      <c r="AE182" s="160">
        <v>0.0</v>
      </c>
      <c r="AF182" s="160">
        <v>0.0</v>
      </c>
      <c r="AG182" s="312">
        <f t="shared" si="50"/>
        <v>0</v>
      </c>
    </row>
    <row r="183">
      <c r="A183" s="361" t="s">
        <v>221</v>
      </c>
      <c r="B183" s="243">
        <f t="shared" ref="B183:AF183" si="51">B179+B180</f>
        <v>0</v>
      </c>
      <c r="C183" s="243">
        <f t="shared" si="51"/>
        <v>0</v>
      </c>
      <c r="D183" s="243">
        <f t="shared" si="51"/>
        <v>0</v>
      </c>
      <c r="E183" s="243">
        <f t="shared" si="51"/>
        <v>0</v>
      </c>
      <c r="F183" s="243">
        <f t="shared" si="51"/>
        <v>0</v>
      </c>
      <c r="G183" s="243">
        <f t="shared" si="51"/>
        <v>0</v>
      </c>
      <c r="H183" s="243">
        <f t="shared" si="51"/>
        <v>0</v>
      </c>
      <c r="I183" s="243">
        <f t="shared" si="51"/>
        <v>0</v>
      </c>
      <c r="J183" s="243">
        <f t="shared" si="51"/>
        <v>0</v>
      </c>
      <c r="K183" s="243">
        <f t="shared" si="51"/>
        <v>0</v>
      </c>
      <c r="L183" s="243">
        <f t="shared" si="51"/>
        <v>0</v>
      </c>
      <c r="M183" s="243">
        <f t="shared" si="51"/>
        <v>0</v>
      </c>
      <c r="N183" s="243">
        <f t="shared" si="51"/>
        <v>0</v>
      </c>
      <c r="O183" s="243">
        <f t="shared" si="51"/>
        <v>0</v>
      </c>
      <c r="P183" s="243">
        <f t="shared" si="51"/>
        <v>0</v>
      </c>
      <c r="Q183" s="243">
        <f t="shared" si="51"/>
        <v>0</v>
      </c>
      <c r="R183" s="243">
        <f t="shared" si="51"/>
        <v>0</v>
      </c>
      <c r="S183" s="243">
        <f t="shared" si="51"/>
        <v>0</v>
      </c>
      <c r="T183" s="243">
        <f t="shared" si="51"/>
        <v>0</v>
      </c>
      <c r="U183" s="243">
        <f t="shared" si="51"/>
        <v>0</v>
      </c>
      <c r="V183" s="243">
        <f t="shared" si="51"/>
        <v>0</v>
      </c>
      <c r="W183" s="243">
        <f t="shared" si="51"/>
        <v>0</v>
      </c>
      <c r="X183" s="243">
        <f t="shared" si="51"/>
        <v>0</v>
      </c>
      <c r="Y183" s="243">
        <f t="shared" si="51"/>
        <v>0</v>
      </c>
      <c r="Z183" s="243">
        <f t="shared" si="51"/>
        <v>0</v>
      </c>
      <c r="AA183" s="243">
        <f t="shared" si="51"/>
        <v>0</v>
      </c>
      <c r="AB183" s="243">
        <f t="shared" si="51"/>
        <v>0</v>
      </c>
      <c r="AC183" s="243">
        <f t="shared" si="51"/>
        <v>0</v>
      </c>
      <c r="AD183" s="243">
        <f t="shared" si="51"/>
        <v>0</v>
      </c>
      <c r="AE183" s="243">
        <f t="shared" si="51"/>
        <v>0</v>
      </c>
      <c r="AF183" s="243">
        <f t="shared" si="51"/>
        <v>0</v>
      </c>
      <c r="AG183" s="312">
        <f t="shared" si="50"/>
        <v>0</v>
      </c>
    </row>
    <row r="184">
      <c r="A184" s="361" t="s">
        <v>222</v>
      </c>
      <c r="B184" s="243">
        <f t="shared" ref="B184:AF184" si="52">B181+B182</f>
        <v>0</v>
      </c>
      <c r="C184" s="243">
        <f t="shared" si="52"/>
        <v>0</v>
      </c>
      <c r="D184" s="243">
        <f t="shared" si="52"/>
        <v>0</v>
      </c>
      <c r="E184" s="243">
        <f t="shared" si="52"/>
        <v>0</v>
      </c>
      <c r="F184" s="243">
        <f t="shared" si="52"/>
        <v>0</v>
      </c>
      <c r="G184" s="243">
        <f t="shared" si="52"/>
        <v>0</v>
      </c>
      <c r="H184" s="243">
        <f t="shared" si="52"/>
        <v>0</v>
      </c>
      <c r="I184" s="243">
        <f t="shared" si="52"/>
        <v>0</v>
      </c>
      <c r="J184" s="243">
        <f t="shared" si="52"/>
        <v>0</v>
      </c>
      <c r="K184" s="243">
        <f t="shared" si="52"/>
        <v>0</v>
      </c>
      <c r="L184" s="243">
        <f t="shared" si="52"/>
        <v>0</v>
      </c>
      <c r="M184" s="243">
        <f t="shared" si="52"/>
        <v>0</v>
      </c>
      <c r="N184" s="243">
        <f t="shared" si="52"/>
        <v>0</v>
      </c>
      <c r="O184" s="243">
        <f t="shared" si="52"/>
        <v>0</v>
      </c>
      <c r="P184" s="243">
        <f t="shared" si="52"/>
        <v>0</v>
      </c>
      <c r="Q184" s="243">
        <f t="shared" si="52"/>
        <v>0</v>
      </c>
      <c r="R184" s="243">
        <f t="shared" si="52"/>
        <v>0</v>
      </c>
      <c r="S184" s="243">
        <f t="shared" si="52"/>
        <v>0</v>
      </c>
      <c r="T184" s="243">
        <f t="shared" si="52"/>
        <v>0</v>
      </c>
      <c r="U184" s="243">
        <f t="shared" si="52"/>
        <v>0</v>
      </c>
      <c r="V184" s="243">
        <f t="shared" si="52"/>
        <v>0</v>
      </c>
      <c r="W184" s="243">
        <f t="shared" si="52"/>
        <v>0</v>
      </c>
      <c r="X184" s="243">
        <f t="shared" si="52"/>
        <v>0</v>
      </c>
      <c r="Y184" s="243">
        <f t="shared" si="52"/>
        <v>0</v>
      </c>
      <c r="Z184" s="243">
        <f t="shared" si="52"/>
        <v>0</v>
      </c>
      <c r="AA184" s="243">
        <f t="shared" si="52"/>
        <v>0</v>
      </c>
      <c r="AB184" s="243">
        <f t="shared" si="52"/>
        <v>0</v>
      </c>
      <c r="AC184" s="243">
        <f t="shared" si="52"/>
        <v>0</v>
      </c>
      <c r="AD184" s="243">
        <f t="shared" si="52"/>
        <v>0</v>
      </c>
      <c r="AE184" s="243">
        <f t="shared" si="52"/>
        <v>0</v>
      </c>
      <c r="AF184" s="243">
        <f t="shared" si="52"/>
        <v>0</v>
      </c>
      <c r="AG184" s="312">
        <f t="shared" si="50"/>
        <v>0</v>
      </c>
    </row>
    <row r="185">
      <c r="A185" s="98"/>
      <c r="B185" s="177"/>
      <c r="C185" s="177"/>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c r="AA185" s="177"/>
      <c r="AB185" s="177"/>
      <c r="AC185" s="177"/>
      <c r="AD185" s="177"/>
      <c r="AE185" s="177"/>
      <c r="AF185" s="177"/>
      <c r="AG185" s="362"/>
    </row>
    <row r="186">
      <c r="A186" s="215" t="s">
        <v>224</v>
      </c>
      <c r="B186" s="160">
        <v>0.0</v>
      </c>
      <c r="C186" s="160">
        <v>0.0</v>
      </c>
      <c r="D186" s="160">
        <v>0.0</v>
      </c>
      <c r="E186" s="160">
        <v>0.0</v>
      </c>
      <c r="F186" s="160">
        <v>0.0</v>
      </c>
      <c r="G186" s="160">
        <v>0.0</v>
      </c>
      <c r="H186" s="160">
        <v>0.0</v>
      </c>
      <c r="I186" s="160">
        <v>0.0</v>
      </c>
      <c r="J186" s="160">
        <v>0.0</v>
      </c>
      <c r="K186" s="160">
        <v>0.0</v>
      </c>
      <c r="L186" s="160">
        <v>0.0</v>
      </c>
      <c r="M186" s="160">
        <v>0.0</v>
      </c>
      <c r="N186" s="160">
        <v>0.0</v>
      </c>
      <c r="O186" s="160">
        <v>0.0</v>
      </c>
      <c r="P186" s="160">
        <v>0.0</v>
      </c>
      <c r="Q186" s="160">
        <v>0.0</v>
      </c>
      <c r="R186" s="160">
        <v>0.0</v>
      </c>
      <c r="S186" s="160">
        <v>0.0</v>
      </c>
      <c r="T186" s="160">
        <v>0.0</v>
      </c>
      <c r="U186" s="160">
        <v>0.0</v>
      </c>
      <c r="V186" s="160">
        <v>0.0</v>
      </c>
      <c r="W186" s="160">
        <v>0.0</v>
      </c>
      <c r="X186" s="160">
        <v>0.0</v>
      </c>
      <c r="Y186" s="160">
        <v>0.0</v>
      </c>
      <c r="Z186" s="160">
        <v>0.0</v>
      </c>
      <c r="AA186" s="160">
        <v>0.0</v>
      </c>
      <c r="AB186" s="160">
        <v>0.0</v>
      </c>
      <c r="AC186" s="160">
        <v>0.0</v>
      </c>
      <c r="AD186" s="160">
        <v>0.0</v>
      </c>
      <c r="AE186" s="160">
        <v>0.0</v>
      </c>
      <c r="AF186" s="155">
        <v>0.0</v>
      </c>
      <c r="AG186" s="312">
        <f t="shared" ref="AG186:AG194" si="53">SUM(B186:AF186)</f>
        <v>0</v>
      </c>
    </row>
    <row r="187">
      <c r="A187" s="215" t="s">
        <v>225</v>
      </c>
      <c r="B187" s="160">
        <v>0.0</v>
      </c>
      <c r="C187" s="160">
        <v>0.0</v>
      </c>
      <c r="D187" s="160">
        <v>0.0</v>
      </c>
      <c r="E187" s="160">
        <v>0.0</v>
      </c>
      <c r="F187" s="160">
        <v>0.0</v>
      </c>
      <c r="G187" s="160">
        <v>0.0</v>
      </c>
      <c r="H187" s="160">
        <v>0.0</v>
      </c>
      <c r="I187" s="160">
        <v>0.0</v>
      </c>
      <c r="J187" s="160">
        <v>0.0</v>
      </c>
      <c r="K187" s="160">
        <v>0.0</v>
      </c>
      <c r="L187" s="160">
        <v>0.0</v>
      </c>
      <c r="M187" s="160">
        <v>0.0</v>
      </c>
      <c r="N187" s="160">
        <v>0.0</v>
      </c>
      <c r="O187" s="160">
        <v>0.0</v>
      </c>
      <c r="P187" s="160">
        <v>0.0</v>
      </c>
      <c r="Q187" s="160">
        <v>1.0</v>
      </c>
      <c r="R187" s="160">
        <v>0.0</v>
      </c>
      <c r="S187" s="160">
        <v>0.0</v>
      </c>
      <c r="T187" s="160">
        <v>0.0</v>
      </c>
      <c r="U187" s="160">
        <v>0.0</v>
      </c>
      <c r="V187" s="160">
        <v>0.0</v>
      </c>
      <c r="W187" s="160">
        <v>0.0</v>
      </c>
      <c r="X187" s="160">
        <v>0.0</v>
      </c>
      <c r="Y187" s="160">
        <v>0.0</v>
      </c>
      <c r="Z187" s="160">
        <v>0.0</v>
      </c>
      <c r="AA187" s="160">
        <v>0.0</v>
      </c>
      <c r="AB187" s="160">
        <v>0.0</v>
      </c>
      <c r="AC187" s="160">
        <v>0.0</v>
      </c>
      <c r="AD187" s="160">
        <v>0.0</v>
      </c>
      <c r="AE187" s="160">
        <v>0.0</v>
      </c>
      <c r="AF187" s="155">
        <v>0.0</v>
      </c>
      <c r="AG187" s="312">
        <f t="shared" si="53"/>
        <v>1</v>
      </c>
    </row>
    <row r="188">
      <c r="A188" s="215" t="s">
        <v>582</v>
      </c>
      <c r="B188" s="160">
        <v>0.0</v>
      </c>
      <c r="C188" s="160">
        <v>0.0</v>
      </c>
      <c r="D188" s="160">
        <v>0.0</v>
      </c>
      <c r="E188" s="160">
        <v>0.0</v>
      </c>
      <c r="F188" s="160">
        <v>0.0</v>
      </c>
      <c r="G188" s="160">
        <v>0.0</v>
      </c>
      <c r="H188" s="160">
        <v>0.0</v>
      </c>
      <c r="I188" s="160">
        <v>0.0</v>
      </c>
      <c r="J188" s="160">
        <v>0.0</v>
      </c>
      <c r="K188" s="160">
        <v>0.0</v>
      </c>
      <c r="L188" s="160">
        <v>0.0</v>
      </c>
      <c r="M188" s="160">
        <v>0.0</v>
      </c>
      <c r="N188" s="160">
        <v>0.0</v>
      </c>
      <c r="O188" s="160">
        <v>0.0</v>
      </c>
      <c r="P188" s="160">
        <v>0.0</v>
      </c>
      <c r="Q188" s="160">
        <v>0.0</v>
      </c>
      <c r="R188" s="160">
        <v>0.0</v>
      </c>
      <c r="S188" s="160">
        <v>0.0</v>
      </c>
      <c r="T188" s="160">
        <v>0.0</v>
      </c>
      <c r="U188" s="160">
        <v>0.0</v>
      </c>
      <c r="V188" s="160">
        <v>0.0</v>
      </c>
      <c r="W188" s="160">
        <v>0.0</v>
      </c>
      <c r="X188" s="160">
        <v>0.0</v>
      </c>
      <c r="Y188" s="160">
        <v>0.0</v>
      </c>
      <c r="Z188" s="160">
        <v>0.0</v>
      </c>
      <c r="AA188" s="160">
        <v>0.0</v>
      </c>
      <c r="AB188" s="160">
        <v>0.0</v>
      </c>
      <c r="AC188" s="160">
        <v>0.0</v>
      </c>
      <c r="AD188" s="160">
        <v>0.0</v>
      </c>
      <c r="AE188" s="160">
        <v>0.0</v>
      </c>
      <c r="AF188" s="155">
        <v>0.0</v>
      </c>
      <c r="AG188" s="312">
        <f t="shared" si="53"/>
        <v>0</v>
      </c>
    </row>
    <row r="189">
      <c r="A189" s="215" t="s">
        <v>583</v>
      </c>
      <c r="B189" s="160">
        <v>0.0</v>
      </c>
      <c r="C189" s="160">
        <v>0.0</v>
      </c>
      <c r="D189" s="160">
        <v>0.0</v>
      </c>
      <c r="E189" s="160">
        <v>0.0</v>
      </c>
      <c r="F189" s="160">
        <v>0.0</v>
      </c>
      <c r="G189" s="160">
        <v>0.0</v>
      </c>
      <c r="H189" s="160">
        <v>0.0</v>
      </c>
      <c r="I189" s="160">
        <v>0.0</v>
      </c>
      <c r="J189" s="160">
        <v>0.0</v>
      </c>
      <c r="K189" s="160">
        <v>0.0</v>
      </c>
      <c r="L189" s="160">
        <v>0.0</v>
      </c>
      <c r="M189" s="160">
        <v>0.0</v>
      </c>
      <c r="N189" s="160">
        <v>0.0</v>
      </c>
      <c r="O189" s="160">
        <v>0.0</v>
      </c>
      <c r="P189" s="160">
        <v>0.0</v>
      </c>
      <c r="Q189" s="160">
        <v>0.0</v>
      </c>
      <c r="R189" s="160">
        <v>0.0</v>
      </c>
      <c r="S189" s="160">
        <v>0.0</v>
      </c>
      <c r="T189" s="160">
        <v>0.0</v>
      </c>
      <c r="U189" s="160">
        <v>0.0</v>
      </c>
      <c r="V189" s="160">
        <v>0.0</v>
      </c>
      <c r="W189" s="160">
        <v>0.0</v>
      </c>
      <c r="X189" s="160">
        <v>0.0</v>
      </c>
      <c r="Y189" s="160">
        <v>0.0</v>
      </c>
      <c r="Z189" s="160">
        <v>0.0</v>
      </c>
      <c r="AA189" s="160">
        <v>0.0</v>
      </c>
      <c r="AB189" s="160">
        <v>0.0</v>
      </c>
      <c r="AC189" s="160">
        <v>0.0</v>
      </c>
      <c r="AD189" s="160">
        <v>0.0</v>
      </c>
      <c r="AE189" s="160">
        <v>0.0</v>
      </c>
      <c r="AF189" s="155">
        <v>0.0</v>
      </c>
      <c r="AG189" s="312">
        <f t="shared" si="53"/>
        <v>0</v>
      </c>
    </row>
    <row r="190">
      <c r="A190" s="215" t="s">
        <v>584</v>
      </c>
      <c r="B190" s="160">
        <v>0.0</v>
      </c>
      <c r="C190" s="160">
        <v>0.0</v>
      </c>
      <c r="D190" s="160">
        <v>0.0</v>
      </c>
      <c r="E190" s="160">
        <v>0.0</v>
      </c>
      <c r="F190" s="160">
        <v>0.0</v>
      </c>
      <c r="G190" s="160">
        <v>1.0</v>
      </c>
      <c r="H190" s="160">
        <v>0.0</v>
      </c>
      <c r="I190" s="160">
        <v>0.0</v>
      </c>
      <c r="J190" s="160">
        <v>2.0</v>
      </c>
      <c r="K190" s="160">
        <v>0.0</v>
      </c>
      <c r="L190" s="160">
        <v>0.0</v>
      </c>
      <c r="M190" s="160">
        <v>0.0</v>
      </c>
      <c r="N190" s="160">
        <v>0.0</v>
      </c>
      <c r="O190" s="160">
        <v>0.0</v>
      </c>
      <c r="P190" s="160">
        <v>3.0</v>
      </c>
      <c r="Q190" s="160">
        <v>1.0</v>
      </c>
      <c r="R190" s="160">
        <v>0.0</v>
      </c>
      <c r="S190" s="160">
        <v>0.0</v>
      </c>
      <c r="T190" s="160">
        <v>0.0</v>
      </c>
      <c r="U190" s="160">
        <v>0.0</v>
      </c>
      <c r="V190" s="160">
        <v>0.0</v>
      </c>
      <c r="W190" s="160">
        <v>0.0</v>
      </c>
      <c r="X190" s="160">
        <v>0.0</v>
      </c>
      <c r="Y190" s="160">
        <v>0.0</v>
      </c>
      <c r="Z190" s="160">
        <v>0.0</v>
      </c>
      <c r="AA190" s="160">
        <v>0.0</v>
      </c>
      <c r="AB190" s="160">
        <v>0.0</v>
      </c>
      <c r="AC190" s="160">
        <v>0.0</v>
      </c>
      <c r="AD190" s="160">
        <v>0.0</v>
      </c>
      <c r="AE190" s="160">
        <v>1.0</v>
      </c>
      <c r="AF190" s="155">
        <v>0.0</v>
      </c>
      <c r="AG190" s="312">
        <f t="shared" si="53"/>
        <v>8</v>
      </c>
    </row>
    <row r="191">
      <c r="A191" s="215" t="s">
        <v>585</v>
      </c>
      <c r="B191" s="160">
        <v>0.0</v>
      </c>
      <c r="C191" s="160">
        <v>0.0</v>
      </c>
      <c r="D191" s="160">
        <v>0.0</v>
      </c>
      <c r="E191" s="160">
        <v>0.0</v>
      </c>
      <c r="F191" s="160">
        <v>0.0</v>
      </c>
      <c r="G191" s="160">
        <v>0.0</v>
      </c>
      <c r="H191" s="160">
        <v>0.0</v>
      </c>
      <c r="I191" s="160">
        <v>0.0</v>
      </c>
      <c r="J191" s="160">
        <v>0.0</v>
      </c>
      <c r="K191" s="160">
        <v>0.0</v>
      </c>
      <c r="L191" s="160">
        <v>0.0</v>
      </c>
      <c r="M191" s="160">
        <v>0.0</v>
      </c>
      <c r="N191" s="160">
        <v>0.0</v>
      </c>
      <c r="O191" s="160">
        <v>0.0</v>
      </c>
      <c r="P191" s="160">
        <v>0.0</v>
      </c>
      <c r="Q191" s="160">
        <v>0.0</v>
      </c>
      <c r="R191" s="160">
        <v>0.0</v>
      </c>
      <c r="S191" s="160">
        <v>0.0</v>
      </c>
      <c r="T191" s="160">
        <v>0.0</v>
      </c>
      <c r="U191" s="160">
        <v>0.0</v>
      </c>
      <c r="V191" s="160">
        <v>0.0</v>
      </c>
      <c r="W191" s="160">
        <v>0.0</v>
      </c>
      <c r="X191" s="160">
        <v>0.0</v>
      </c>
      <c r="Y191" s="160">
        <v>0.0</v>
      </c>
      <c r="Z191" s="160">
        <v>0.0</v>
      </c>
      <c r="AA191" s="160">
        <v>0.0</v>
      </c>
      <c r="AB191" s="160">
        <v>0.0</v>
      </c>
      <c r="AC191" s="160">
        <v>0.0</v>
      </c>
      <c r="AD191" s="160">
        <v>0.0</v>
      </c>
      <c r="AE191" s="160">
        <v>0.0</v>
      </c>
      <c r="AF191" s="155">
        <v>0.0</v>
      </c>
      <c r="AG191" s="312">
        <f t="shared" si="53"/>
        <v>0</v>
      </c>
    </row>
    <row r="192">
      <c r="A192" s="215" t="s">
        <v>586</v>
      </c>
      <c r="B192" s="160">
        <v>0.0</v>
      </c>
      <c r="C192" s="160">
        <v>0.0</v>
      </c>
      <c r="D192" s="160">
        <v>0.0</v>
      </c>
      <c r="E192" s="160">
        <v>0.0</v>
      </c>
      <c r="F192" s="160">
        <v>0.0</v>
      </c>
      <c r="G192" s="160">
        <v>0.0</v>
      </c>
      <c r="H192" s="160">
        <v>0.0</v>
      </c>
      <c r="I192" s="160">
        <v>0.0</v>
      </c>
      <c r="J192" s="160">
        <v>0.0</v>
      </c>
      <c r="K192" s="160">
        <v>0.0</v>
      </c>
      <c r="L192" s="160">
        <v>0.0</v>
      </c>
      <c r="M192" s="160">
        <v>0.0</v>
      </c>
      <c r="N192" s="160">
        <v>0.0</v>
      </c>
      <c r="O192" s="160">
        <v>0.0</v>
      </c>
      <c r="P192" s="160">
        <v>0.0</v>
      </c>
      <c r="Q192" s="160">
        <v>0.0</v>
      </c>
      <c r="R192" s="160">
        <v>0.0</v>
      </c>
      <c r="S192" s="160">
        <v>0.0</v>
      </c>
      <c r="T192" s="160">
        <v>0.0</v>
      </c>
      <c r="U192" s="160">
        <v>0.0</v>
      </c>
      <c r="V192" s="160">
        <v>0.0</v>
      </c>
      <c r="W192" s="160">
        <v>0.0</v>
      </c>
      <c r="X192" s="160">
        <v>0.0</v>
      </c>
      <c r="Y192" s="160">
        <v>0.0</v>
      </c>
      <c r="Z192" s="160">
        <v>0.0</v>
      </c>
      <c r="AA192" s="160">
        <v>0.0</v>
      </c>
      <c r="AB192" s="160">
        <v>0.0</v>
      </c>
      <c r="AC192" s="160">
        <v>0.0</v>
      </c>
      <c r="AD192" s="160">
        <v>0.0</v>
      </c>
      <c r="AE192" s="160">
        <v>0.0</v>
      </c>
      <c r="AF192" s="155">
        <v>0.0</v>
      </c>
      <c r="AG192" s="312">
        <f t="shared" si="53"/>
        <v>0</v>
      </c>
    </row>
    <row r="193">
      <c r="A193" s="215" t="s">
        <v>587</v>
      </c>
      <c r="B193" s="160">
        <v>0.0</v>
      </c>
      <c r="C193" s="160">
        <v>0.0</v>
      </c>
      <c r="D193" s="160">
        <v>0.0</v>
      </c>
      <c r="E193" s="160">
        <v>0.0</v>
      </c>
      <c r="F193" s="160">
        <v>0.0</v>
      </c>
      <c r="G193" s="160">
        <v>0.0</v>
      </c>
      <c r="H193" s="160">
        <v>0.0</v>
      </c>
      <c r="I193" s="160">
        <v>0.0</v>
      </c>
      <c r="J193" s="160">
        <v>0.0</v>
      </c>
      <c r="K193" s="160">
        <v>0.0</v>
      </c>
      <c r="L193" s="160">
        <v>0.0</v>
      </c>
      <c r="M193" s="160">
        <v>0.0</v>
      </c>
      <c r="N193" s="160">
        <v>0.0</v>
      </c>
      <c r="O193" s="160">
        <v>0.0</v>
      </c>
      <c r="P193" s="160">
        <v>0.0</v>
      </c>
      <c r="Q193" s="160">
        <v>0.0</v>
      </c>
      <c r="R193" s="160">
        <v>0.0</v>
      </c>
      <c r="S193" s="160">
        <v>0.0</v>
      </c>
      <c r="T193" s="160">
        <v>0.0</v>
      </c>
      <c r="U193" s="160">
        <v>0.0</v>
      </c>
      <c r="V193" s="160">
        <v>0.0</v>
      </c>
      <c r="W193" s="160">
        <v>0.0</v>
      </c>
      <c r="X193" s="160">
        <v>0.0</v>
      </c>
      <c r="Y193" s="160">
        <v>0.0</v>
      </c>
      <c r="Z193" s="160">
        <v>0.0</v>
      </c>
      <c r="AA193" s="160">
        <v>0.0</v>
      </c>
      <c r="AB193" s="160">
        <v>0.0</v>
      </c>
      <c r="AC193" s="160">
        <v>0.0</v>
      </c>
      <c r="AD193" s="160">
        <v>0.0</v>
      </c>
      <c r="AE193" s="160">
        <v>0.0</v>
      </c>
      <c r="AF193" s="155">
        <v>0.0</v>
      </c>
      <c r="AG193" s="312">
        <f t="shared" si="53"/>
        <v>0</v>
      </c>
    </row>
    <row r="194">
      <c r="A194" s="225" t="s">
        <v>141</v>
      </c>
      <c r="B194" s="243">
        <f t="shared" ref="B194:G194" si="54">SUM(B186:B193)</f>
        <v>0</v>
      </c>
      <c r="C194" s="243">
        <f t="shared" si="54"/>
        <v>0</v>
      </c>
      <c r="D194" s="243">
        <f t="shared" si="54"/>
        <v>0</v>
      </c>
      <c r="E194" s="243">
        <f t="shared" si="54"/>
        <v>0</v>
      </c>
      <c r="F194" s="243">
        <f t="shared" si="54"/>
        <v>0</v>
      </c>
      <c r="G194" s="243">
        <f t="shared" si="54"/>
        <v>1</v>
      </c>
      <c r="H194" s="243">
        <f t="shared" ref="H194:O194" si="55">SUM(H186:H190)</f>
        <v>0</v>
      </c>
      <c r="I194" s="243">
        <f t="shared" si="55"/>
        <v>0</v>
      </c>
      <c r="J194" s="243">
        <f t="shared" si="55"/>
        <v>2</v>
      </c>
      <c r="K194" s="243">
        <f t="shared" si="55"/>
        <v>0</v>
      </c>
      <c r="L194" s="243">
        <f t="shared" si="55"/>
        <v>0</v>
      </c>
      <c r="M194" s="243">
        <f t="shared" si="55"/>
        <v>0</v>
      </c>
      <c r="N194" s="243">
        <f t="shared" si="55"/>
        <v>0</v>
      </c>
      <c r="O194" s="243">
        <f t="shared" si="55"/>
        <v>0</v>
      </c>
      <c r="P194" s="243">
        <v>3.0</v>
      </c>
      <c r="Q194" s="243">
        <f t="shared" ref="Q194:AF194" si="56">SUM(Q186:Q190)</f>
        <v>2</v>
      </c>
      <c r="R194" s="243">
        <f t="shared" si="56"/>
        <v>0</v>
      </c>
      <c r="S194" s="243">
        <f t="shared" si="56"/>
        <v>0</v>
      </c>
      <c r="T194" s="243">
        <f t="shared" si="56"/>
        <v>0</v>
      </c>
      <c r="U194" s="243">
        <f t="shared" si="56"/>
        <v>0</v>
      </c>
      <c r="V194" s="243">
        <f t="shared" si="56"/>
        <v>0</v>
      </c>
      <c r="W194" s="243">
        <f t="shared" si="56"/>
        <v>0</v>
      </c>
      <c r="X194" s="243">
        <f t="shared" si="56"/>
        <v>0</v>
      </c>
      <c r="Y194" s="243">
        <f t="shared" si="56"/>
        <v>0</v>
      </c>
      <c r="Z194" s="243">
        <f t="shared" si="56"/>
        <v>0</v>
      </c>
      <c r="AA194" s="243">
        <f t="shared" si="56"/>
        <v>0</v>
      </c>
      <c r="AB194" s="243">
        <f t="shared" si="56"/>
        <v>0</v>
      </c>
      <c r="AC194" s="243">
        <f t="shared" si="56"/>
        <v>0</v>
      </c>
      <c r="AD194" s="243">
        <f t="shared" si="56"/>
        <v>0</v>
      </c>
      <c r="AE194" s="243">
        <f t="shared" si="56"/>
        <v>1</v>
      </c>
      <c r="AF194" s="243">
        <f t="shared" si="56"/>
        <v>0</v>
      </c>
      <c r="AG194" s="312">
        <f t="shared" si="53"/>
        <v>9</v>
      </c>
    </row>
    <row r="195">
      <c r="A195" s="363"/>
      <c r="B195" s="160"/>
      <c r="C195" s="160"/>
      <c r="D195" s="160"/>
      <c r="E195" s="160"/>
      <c r="F195" s="160"/>
      <c r="G195" s="160"/>
      <c r="H195" s="160"/>
      <c r="I195" s="160"/>
      <c r="J195" s="160"/>
      <c r="K195" s="160"/>
      <c r="L195" s="160"/>
      <c r="M195" s="160"/>
      <c r="N195" s="160"/>
      <c r="O195" s="160"/>
      <c r="P195" s="160"/>
      <c r="Q195" s="160"/>
      <c r="R195" s="160"/>
      <c r="S195" s="160"/>
      <c r="T195" s="160"/>
      <c r="U195" s="160"/>
      <c r="V195" s="160"/>
      <c r="W195" s="160"/>
      <c r="X195" s="160"/>
      <c r="Y195" s="160"/>
      <c r="Z195" s="160"/>
      <c r="AA195" s="160"/>
      <c r="AB195" s="160"/>
      <c r="AC195" s="160"/>
      <c r="AD195" s="160"/>
      <c r="AE195" s="160"/>
      <c r="AF195" s="160"/>
      <c r="AG195" s="312"/>
    </row>
    <row r="196">
      <c r="A196" s="225" t="s">
        <v>588</v>
      </c>
      <c r="B196" s="243"/>
      <c r="C196" s="243"/>
      <c r="D196" s="243"/>
      <c r="E196" s="243"/>
      <c r="F196" s="243"/>
      <c r="G196" s="243"/>
      <c r="H196" s="243"/>
      <c r="I196" s="243"/>
      <c r="J196" s="243"/>
      <c r="K196" s="243"/>
      <c r="L196" s="243"/>
      <c r="M196" s="243"/>
      <c r="N196" s="243"/>
      <c r="O196" s="243"/>
      <c r="P196" s="243"/>
      <c r="Q196" s="243"/>
      <c r="R196" s="243"/>
      <c r="S196" s="243"/>
      <c r="T196" s="243"/>
      <c r="U196" s="243"/>
      <c r="V196" s="243"/>
      <c r="W196" s="243"/>
      <c r="X196" s="243"/>
      <c r="Y196" s="243"/>
      <c r="Z196" s="243"/>
      <c r="AA196" s="243"/>
      <c r="AB196" s="243"/>
      <c r="AC196" s="243"/>
      <c r="AD196" s="243"/>
      <c r="AE196" s="243"/>
      <c r="AF196" s="243"/>
      <c r="AG196" s="312"/>
    </row>
    <row r="197">
      <c r="A197" s="215" t="s">
        <v>589</v>
      </c>
      <c r="B197" s="160">
        <v>0.0</v>
      </c>
      <c r="C197" s="160">
        <v>0.0</v>
      </c>
      <c r="D197" s="160">
        <v>0.0</v>
      </c>
      <c r="E197" s="160">
        <v>0.0</v>
      </c>
      <c r="F197" s="160">
        <v>0.0</v>
      </c>
      <c r="G197" s="160">
        <v>0.0</v>
      </c>
      <c r="H197" s="160">
        <v>0.0</v>
      </c>
      <c r="I197" s="160">
        <v>0.0</v>
      </c>
      <c r="J197" s="160">
        <v>0.0</v>
      </c>
      <c r="K197" s="160">
        <v>0.0</v>
      </c>
      <c r="L197" s="160">
        <v>0.0</v>
      </c>
      <c r="M197" s="160">
        <v>0.0</v>
      </c>
      <c r="N197" s="160">
        <v>0.0</v>
      </c>
      <c r="O197" s="160">
        <v>0.0</v>
      </c>
      <c r="P197" s="160">
        <v>0.0</v>
      </c>
      <c r="Q197" s="160">
        <v>0.0</v>
      </c>
      <c r="R197" s="160">
        <v>0.0</v>
      </c>
      <c r="S197" s="160">
        <v>0.0</v>
      </c>
      <c r="T197" s="160">
        <v>0.0</v>
      </c>
      <c r="U197" s="160">
        <v>0.0</v>
      </c>
      <c r="V197" s="160">
        <v>0.0</v>
      </c>
      <c r="W197" s="160">
        <v>0.0</v>
      </c>
      <c r="X197" s="160">
        <v>0.0</v>
      </c>
      <c r="Y197" s="160">
        <v>0.0</v>
      </c>
      <c r="Z197" s="160">
        <v>0.0</v>
      </c>
      <c r="AA197" s="160">
        <v>0.0</v>
      </c>
      <c r="AB197" s="160">
        <v>0.0</v>
      </c>
      <c r="AC197" s="160">
        <v>0.0</v>
      </c>
      <c r="AD197" s="160">
        <v>0.0</v>
      </c>
      <c r="AE197" s="160">
        <v>0.0</v>
      </c>
      <c r="AF197" s="155">
        <v>0.0</v>
      </c>
      <c r="AG197" s="312"/>
    </row>
    <row r="198">
      <c r="A198" s="215" t="s">
        <v>590</v>
      </c>
      <c r="B198" s="160">
        <v>0.0</v>
      </c>
      <c r="C198" s="160">
        <v>0.0</v>
      </c>
      <c r="D198" s="160">
        <v>0.0</v>
      </c>
      <c r="E198" s="160">
        <v>0.0</v>
      </c>
      <c r="F198" s="160">
        <v>0.0</v>
      </c>
      <c r="G198" s="160">
        <v>0.0</v>
      </c>
      <c r="H198" s="160">
        <v>1.0</v>
      </c>
      <c r="I198" s="160">
        <v>0.0</v>
      </c>
      <c r="J198" s="160">
        <v>0.0</v>
      </c>
      <c r="K198" s="160">
        <v>0.0</v>
      </c>
      <c r="L198" s="160">
        <v>0.0</v>
      </c>
      <c r="M198" s="160">
        <v>0.0</v>
      </c>
      <c r="N198" s="160">
        <v>0.0</v>
      </c>
      <c r="O198" s="160">
        <v>0.0</v>
      </c>
      <c r="P198" s="160">
        <v>0.0</v>
      </c>
      <c r="Q198" s="160">
        <v>0.0</v>
      </c>
      <c r="R198" s="160">
        <v>0.0</v>
      </c>
      <c r="S198" s="160">
        <v>0.0</v>
      </c>
      <c r="T198" s="160">
        <v>0.0</v>
      </c>
      <c r="U198" s="160">
        <v>0.0</v>
      </c>
      <c r="V198" s="160">
        <v>0.0</v>
      </c>
      <c r="W198" s="160">
        <v>0.0</v>
      </c>
      <c r="X198" s="160">
        <v>0.0</v>
      </c>
      <c r="Y198" s="160">
        <v>0.0</v>
      </c>
      <c r="Z198" s="160">
        <v>0.0</v>
      </c>
      <c r="AA198" s="160">
        <v>0.0</v>
      </c>
      <c r="AB198" s="160">
        <v>0.0</v>
      </c>
      <c r="AC198" s="160">
        <v>0.0</v>
      </c>
      <c r="AD198" s="160">
        <v>0.0</v>
      </c>
      <c r="AE198" s="160">
        <v>0.0</v>
      </c>
      <c r="AF198" s="155">
        <v>0.0</v>
      </c>
      <c r="AG198" s="312"/>
    </row>
    <row r="199">
      <c r="A199" s="215" t="s">
        <v>591</v>
      </c>
      <c r="B199" s="160">
        <v>0.0</v>
      </c>
      <c r="C199" s="160">
        <v>0.0</v>
      </c>
      <c r="D199" s="160">
        <v>0.0</v>
      </c>
      <c r="E199" s="160">
        <v>0.0</v>
      </c>
      <c r="F199" s="160">
        <v>0.0</v>
      </c>
      <c r="G199" s="160">
        <v>0.0</v>
      </c>
      <c r="H199" s="160">
        <v>0.0</v>
      </c>
      <c r="I199" s="160">
        <v>1.0</v>
      </c>
      <c r="J199" s="160">
        <v>0.0</v>
      </c>
      <c r="K199" s="160">
        <v>0.0</v>
      </c>
      <c r="L199" s="160">
        <v>0.0</v>
      </c>
      <c r="M199" s="160">
        <v>0.0</v>
      </c>
      <c r="N199" s="160">
        <v>0.0</v>
      </c>
      <c r="O199" s="160">
        <v>0.0</v>
      </c>
      <c r="P199" s="160">
        <v>2.0</v>
      </c>
      <c r="Q199" s="160">
        <v>1.0</v>
      </c>
      <c r="R199" s="160">
        <v>0.0</v>
      </c>
      <c r="S199" s="160">
        <v>0.0</v>
      </c>
      <c r="T199" s="160">
        <v>0.0</v>
      </c>
      <c r="U199" s="160">
        <v>3.0</v>
      </c>
      <c r="V199" s="160">
        <v>0.0</v>
      </c>
      <c r="W199" s="160">
        <v>1.0</v>
      </c>
      <c r="X199" s="160">
        <v>0.0</v>
      </c>
      <c r="Y199" s="160">
        <v>0.0</v>
      </c>
      <c r="Z199" s="160">
        <v>0.0</v>
      </c>
      <c r="AA199" s="160">
        <v>0.0</v>
      </c>
      <c r="AB199" s="160">
        <v>0.0</v>
      </c>
      <c r="AC199" s="160">
        <v>0.0</v>
      </c>
      <c r="AD199" s="155">
        <v>1.0</v>
      </c>
      <c r="AE199" s="155">
        <v>1.0</v>
      </c>
      <c r="AF199" s="155">
        <v>0.0</v>
      </c>
      <c r="AG199" s="312"/>
    </row>
    <row r="200">
      <c r="A200" s="364"/>
      <c r="B200" s="160"/>
      <c r="C200" s="160"/>
      <c r="D200" s="160"/>
      <c r="E200" s="160"/>
      <c r="F200" s="160"/>
      <c r="G200" s="160"/>
      <c r="H200" s="160"/>
      <c r="I200" s="160"/>
      <c r="J200" s="160"/>
      <c r="K200" s="160"/>
      <c r="L200" s="160"/>
      <c r="M200" s="160"/>
      <c r="N200" s="160"/>
      <c r="O200" s="160"/>
      <c r="P200" s="160"/>
      <c r="Q200" s="160"/>
      <c r="R200" s="160"/>
      <c r="S200" s="160"/>
      <c r="T200" s="160"/>
      <c r="U200" s="160"/>
      <c r="V200" s="160"/>
      <c r="W200" s="160"/>
      <c r="X200" s="160"/>
      <c r="Y200" s="160"/>
      <c r="Z200" s="160"/>
      <c r="AA200" s="160"/>
      <c r="AB200" s="160"/>
      <c r="AC200" s="160"/>
      <c r="AD200" s="160"/>
      <c r="AE200" s="160"/>
      <c r="AF200" s="160"/>
      <c r="AG200" s="312"/>
    </row>
    <row r="201">
      <c r="A201" s="365" t="s">
        <v>592</v>
      </c>
      <c r="B201" s="243">
        <v>3.0</v>
      </c>
      <c r="C201" s="243">
        <v>1.0</v>
      </c>
      <c r="D201" s="243">
        <v>0.0</v>
      </c>
      <c r="E201" s="243">
        <v>0.0</v>
      </c>
      <c r="F201" s="243">
        <v>0.0</v>
      </c>
      <c r="G201" s="243">
        <v>3.0</v>
      </c>
      <c r="H201" s="243">
        <v>1.0</v>
      </c>
      <c r="I201" s="243">
        <v>1.0</v>
      </c>
      <c r="J201" s="243">
        <v>2.0</v>
      </c>
      <c r="K201" s="243">
        <v>0.0</v>
      </c>
      <c r="L201" s="243">
        <v>0.0</v>
      </c>
      <c r="M201" s="243">
        <v>0.0</v>
      </c>
      <c r="N201" s="243">
        <v>0.0</v>
      </c>
      <c r="O201" s="243">
        <v>4.0</v>
      </c>
      <c r="P201" s="243">
        <v>5.0</v>
      </c>
      <c r="Q201" s="243">
        <v>4.0</v>
      </c>
      <c r="R201" s="243">
        <v>0.0</v>
      </c>
      <c r="S201" s="243">
        <v>0.0</v>
      </c>
      <c r="T201" s="243">
        <v>0.0</v>
      </c>
      <c r="U201" s="243">
        <v>5.0</v>
      </c>
      <c r="V201" s="243">
        <v>0.0</v>
      </c>
      <c r="W201" s="243">
        <v>1.0</v>
      </c>
      <c r="X201" s="243">
        <v>0.0</v>
      </c>
      <c r="Y201" s="243">
        <v>0.0</v>
      </c>
      <c r="Z201" s="243">
        <v>0.0</v>
      </c>
      <c r="AA201" s="243">
        <v>0.0</v>
      </c>
      <c r="AB201" s="243">
        <v>0.0</v>
      </c>
      <c r="AC201" s="243">
        <v>0.0</v>
      </c>
      <c r="AD201" s="243">
        <v>3.0</v>
      </c>
      <c r="AE201" s="243">
        <v>3.0</v>
      </c>
      <c r="AF201" s="243">
        <v>0.0</v>
      </c>
      <c r="AG201" s="312">
        <f>SUM(B201:AF201)</f>
        <v>36</v>
      </c>
    </row>
    <row r="202">
      <c r="A202" s="166"/>
      <c r="AG202" s="362"/>
    </row>
    <row r="203">
      <c r="A203" s="138" t="s">
        <v>386</v>
      </c>
      <c r="AG203" s="362"/>
    </row>
    <row r="204">
      <c r="A204" s="225" t="s">
        <v>593</v>
      </c>
      <c r="B204" s="243"/>
      <c r="C204" s="243"/>
      <c r="D204" s="243"/>
      <c r="E204" s="243"/>
      <c r="F204" s="243"/>
      <c r="G204" s="243"/>
      <c r="H204" s="243"/>
      <c r="I204" s="243"/>
      <c r="J204" s="243"/>
      <c r="K204" s="243"/>
      <c r="L204" s="243"/>
      <c r="M204" s="243"/>
      <c r="N204" s="243"/>
      <c r="O204" s="243"/>
      <c r="P204" s="243"/>
      <c r="Q204" s="243"/>
      <c r="R204" s="243"/>
      <c r="S204" s="243"/>
      <c r="T204" s="243"/>
      <c r="U204" s="243"/>
      <c r="V204" s="243"/>
      <c r="W204" s="243"/>
      <c r="X204" s="243"/>
      <c r="Y204" s="243"/>
      <c r="Z204" s="243"/>
      <c r="AA204" s="243"/>
      <c r="AB204" s="243"/>
      <c r="AC204" s="243"/>
      <c r="AD204" s="243"/>
      <c r="AE204" s="243"/>
      <c r="AF204" s="243"/>
      <c r="AG204" s="312">
        <f>SUM(B204:AF204)</f>
        <v>0</v>
      </c>
    </row>
    <row r="205">
      <c r="A205" s="166"/>
      <c r="B205" s="347"/>
      <c r="AG205" s="312"/>
    </row>
    <row r="206">
      <c r="A206" s="121" t="s">
        <v>388</v>
      </c>
      <c r="B206" s="83"/>
      <c r="C206" s="83"/>
      <c r="D206" s="83"/>
      <c r="E206" s="83"/>
      <c r="F206" s="83"/>
      <c r="G206" s="83"/>
      <c r="H206" s="83"/>
      <c r="I206" s="83"/>
      <c r="J206" s="83"/>
      <c r="K206" s="83"/>
      <c r="L206" s="83"/>
      <c r="M206" s="83"/>
      <c r="N206" s="83"/>
      <c r="O206" s="83"/>
      <c r="P206" s="83"/>
      <c r="Q206" s="83"/>
      <c r="R206" s="83"/>
      <c r="S206" s="83"/>
      <c r="T206" s="83"/>
      <c r="U206" s="83"/>
      <c r="V206" s="83"/>
      <c r="W206" s="83"/>
      <c r="X206" s="83"/>
      <c r="Y206" s="83"/>
      <c r="Z206" s="83"/>
      <c r="AA206" s="83"/>
      <c r="AB206" s="83"/>
      <c r="AC206" s="83"/>
      <c r="AD206" s="83"/>
      <c r="AE206" s="83"/>
      <c r="AF206" s="83"/>
      <c r="AG206" s="346"/>
    </row>
    <row r="207">
      <c r="A207" s="86" t="s">
        <v>389</v>
      </c>
      <c r="B207" s="366">
        <f t="shared" ref="B207:AF207" si="57">B13</f>
        <v>1768.51</v>
      </c>
      <c r="C207" s="366">
        <f t="shared" si="57"/>
        <v>1734.2</v>
      </c>
      <c r="D207" s="366">
        <f t="shared" si="57"/>
        <v>2894.47</v>
      </c>
      <c r="E207" s="366">
        <f t="shared" si="57"/>
        <v>3285.56</v>
      </c>
      <c r="F207" s="366">
        <f t="shared" si="57"/>
        <v>3568.14</v>
      </c>
      <c r="G207" s="366">
        <f t="shared" si="57"/>
        <v>3972.97</v>
      </c>
      <c r="H207" s="366">
        <f t="shared" si="57"/>
        <v>3776.29</v>
      </c>
      <c r="I207" s="366">
        <f t="shared" si="57"/>
        <v>3738.21</v>
      </c>
      <c r="J207" s="366">
        <f t="shared" si="57"/>
        <v>1997.23</v>
      </c>
      <c r="K207" s="366">
        <f t="shared" si="57"/>
        <v>1606.06</v>
      </c>
      <c r="L207" s="366">
        <f t="shared" si="57"/>
        <v>1549.22</v>
      </c>
      <c r="M207" s="366">
        <f t="shared" si="57"/>
        <v>1667.76</v>
      </c>
      <c r="N207" s="366">
        <f t="shared" si="57"/>
        <v>2365.31</v>
      </c>
      <c r="O207" s="366">
        <f t="shared" si="57"/>
        <v>2170.16</v>
      </c>
      <c r="P207" s="366">
        <f t="shared" si="57"/>
        <v>2114.39</v>
      </c>
      <c r="Q207" s="366">
        <f t="shared" si="57"/>
        <v>2150.83</v>
      </c>
      <c r="R207" s="366">
        <f t="shared" si="57"/>
        <v>1933.38</v>
      </c>
      <c r="S207" s="366">
        <f t="shared" si="57"/>
        <v>2123.65</v>
      </c>
      <c r="T207" s="366">
        <f t="shared" si="57"/>
        <v>2412.85</v>
      </c>
      <c r="U207" s="366">
        <f t="shared" si="57"/>
        <v>2021.29</v>
      </c>
      <c r="V207" s="366">
        <f t="shared" si="57"/>
        <v>2066.88</v>
      </c>
      <c r="W207" s="366">
        <f t="shared" si="57"/>
        <v>2024.14</v>
      </c>
      <c r="X207" s="366">
        <f t="shared" si="57"/>
        <v>2066.31</v>
      </c>
      <c r="Y207" s="366">
        <f t="shared" si="57"/>
        <v>2614.46</v>
      </c>
      <c r="Z207" s="366">
        <f t="shared" si="57"/>
        <v>3160.64</v>
      </c>
      <c r="AA207" s="366">
        <f t="shared" si="57"/>
        <v>2327.51</v>
      </c>
      <c r="AB207" s="366">
        <f t="shared" si="57"/>
        <v>2490.07</v>
      </c>
      <c r="AC207" s="366">
        <f t="shared" si="57"/>
        <v>1956.37</v>
      </c>
      <c r="AD207" s="366">
        <f t="shared" si="57"/>
        <v>2410.94</v>
      </c>
      <c r="AE207" s="366">
        <f t="shared" si="57"/>
        <v>2066.06</v>
      </c>
      <c r="AF207" s="366">
        <f t="shared" si="57"/>
        <v>2168.52</v>
      </c>
      <c r="AG207" s="303">
        <f t="shared" ref="AG207:AG223" si="59">SUM(B207:AF207)</f>
        <v>74202.38</v>
      </c>
    </row>
    <row r="208">
      <c r="A208" s="86" t="s">
        <v>594</v>
      </c>
      <c r="B208" s="134">
        <f t="shared" ref="B208:AF208" si="58">B14</f>
        <v>1741.7325</v>
      </c>
      <c r="C208" s="134">
        <f t="shared" si="58"/>
        <v>1895.703</v>
      </c>
      <c r="D208" s="134">
        <f t="shared" si="58"/>
        <v>4306.2285</v>
      </c>
      <c r="E208" s="134">
        <f t="shared" si="58"/>
        <v>7985.637</v>
      </c>
      <c r="F208" s="134">
        <f t="shared" si="58"/>
        <v>8656.134</v>
      </c>
      <c r="G208" s="134">
        <f t="shared" si="58"/>
        <v>12471.813</v>
      </c>
      <c r="H208" s="134">
        <f t="shared" si="58"/>
        <v>12988.173</v>
      </c>
      <c r="I208" s="134">
        <f t="shared" si="58"/>
        <v>12605.118</v>
      </c>
      <c r="J208" s="134">
        <f t="shared" si="58"/>
        <v>10336.794</v>
      </c>
      <c r="K208" s="134">
        <f t="shared" si="58"/>
        <v>9097.9125</v>
      </c>
      <c r="L208" s="134">
        <f t="shared" si="58"/>
        <v>6805.0905</v>
      </c>
      <c r="M208" s="134">
        <f t="shared" si="58"/>
        <v>6755.031</v>
      </c>
      <c r="N208" s="134">
        <f t="shared" si="58"/>
        <v>3827.3895</v>
      </c>
      <c r="O208" s="134">
        <f t="shared" si="58"/>
        <v>3552.1845</v>
      </c>
      <c r="P208" s="134">
        <f t="shared" si="58"/>
        <v>3676.44</v>
      </c>
      <c r="Q208" s="134">
        <f t="shared" si="58"/>
        <v>2768.883</v>
      </c>
      <c r="R208" s="134">
        <f t="shared" si="58"/>
        <v>2209.659</v>
      </c>
      <c r="S208" s="134">
        <f t="shared" si="58"/>
        <v>3212.529</v>
      </c>
      <c r="T208" s="134">
        <f t="shared" si="58"/>
        <v>2973.4455</v>
      </c>
      <c r="U208" s="134">
        <f t="shared" si="58"/>
        <v>3805.278</v>
      </c>
      <c r="V208" s="134">
        <f t="shared" si="58"/>
        <v>2525.751</v>
      </c>
      <c r="W208" s="134">
        <f t="shared" si="58"/>
        <v>4173.693</v>
      </c>
      <c r="X208" s="134">
        <f t="shared" si="58"/>
        <v>2216.091</v>
      </c>
      <c r="Y208" s="134">
        <f t="shared" si="58"/>
        <v>2882.901</v>
      </c>
      <c r="Z208" s="134">
        <f t="shared" si="58"/>
        <v>2843.337</v>
      </c>
      <c r="AA208" s="134">
        <f t="shared" si="58"/>
        <v>2625.6045</v>
      </c>
      <c r="AB208" s="134">
        <f t="shared" si="58"/>
        <v>3113.037</v>
      </c>
      <c r="AC208" s="134">
        <f t="shared" si="58"/>
        <v>2462.1195</v>
      </c>
      <c r="AD208" s="134">
        <f t="shared" si="58"/>
        <v>2355.522</v>
      </c>
      <c r="AE208" s="134">
        <f t="shared" si="58"/>
        <v>2125.2555</v>
      </c>
      <c r="AF208" s="134">
        <f t="shared" si="58"/>
        <v>2495.9925</v>
      </c>
      <c r="AG208" s="303">
        <f t="shared" si="59"/>
        <v>151490.4795</v>
      </c>
    </row>
    <row r="209">
      <c r="A209" s="367" t="s">
        <v>421</v>
      </c>
      <c r="B209" s="134">
        <f>(B28+B29)*'Data - P&amp;L'!$C$3</f>
        <v>2954.6</v>
      </c>
      <c r="C209" s="134">
        <f>(C28+C29)*'Data - P&amp;L'!$C$3</f>
        <v>3736.7</v>
      </c>
      <c r="D209" s="134">
        <f>(D28+D29)*'Data - P&amp;L'!$C$3</f>
        <v>6865.1</v>
      </c>
      <c r="E209" s="134">
        <f>(E28+E29)*'Data - P&amp;L'!$C$3</f>
        <v>4779.5</v>
      </c>
      <c r="F209" s="134">
        <f>(F28+F29)*'Data - P&amp;L'!$C$3</f>
        <v>1738</v>
      </c>
      <c r="G209" s="134">
        <f>(G28+G29)*'Data - P&amp;L'!$C$3</f>
        <v>1738</v>
      </c>
      <c r="H209" s="134">
        <f>(H28+H29)*'Data - P&amp;L'!$C$3</f>
        <v>1216.6</v>
      </c>
      <c r="I209" s="134">
        <f>(I28+I29)*'Data - P&amp;L'!$C$3</f>
        <v>1216.6</v>
      </c>
      <c r="J209" s="134">
        <f>(J28+J29)*'Data - P&amp;L'!$C$3</f>
        <v>1477.3</v>
      </c>
      <c r="K209" s="134">
        <f>(K28+K29)*'Data - P&amp;L'!$C$3</f>
        <v>1216.6</v>
      </c>
      <c r="L209" s="134">
        <f>(L28+L29)*'Data - P&amp;L'!$C$3</f>
        <v>608.3</v>
      </c>
      <c r="M209" s="134">
        <f>(M28+M29)*'Data - P&amp;L'!$C$3</f>
        <v>869</v>
      </c>
      <c r="N209" s="134">
        <f>(N28+N29)*'Data - P&amp;L'!$C$3</f>
        <v>782.1</v>
      </c>
      <c r="O209" s="134">
        <f>(O28+O29)*'Data - P&amp;L'!$C$3</f>
        <v>1216.6</v>
      </c>
      <c r="P209" s="134">
        <f>(P28+P29)*'Data - P&amp;L'!$C$3</f>
        <v>1564.2</v>
      </c>
      <c r="Q209" s="134">
        <f>(Q28+Q29)*'Data - P&amp;L'!$C$3</f>
        <v>1303.5</v>
      </c>
      <c r="R209" s="134">
        <f>(R28+R29)*'Data - P&amp;L'!$C$3</f>
        <v>608.3</v>
      </c>
      <c r="S209" s="134">
        <f>(S28+S29)*'Data - P&amp;L'!$C$3</f>
        <v>695.2</v>
      </c>
      <c r="T209" s="134">
        <f>(T28+T29)*'Data - P&amp;L'!$C$3</f>
        <v>347.6</v>
      </c>
      <c r="U209" s="134">
        <f>(U28+U29)*'Data - P&amp;L'!$C$3</f>
        <v>608.3</v>
      </c>
      <c r="V209" s="134">
        <f>(V28+V29)*'Data - P&amp;L'!$C$3</f>
        <v>434.5</v>
      </c>
      <c r="W209" s="134">
        <f>(W28+W29)*'Data - P&amp;L'!$C$3</f>
        <v>434.5</v>
      </c>
      <c r="X209" s="134">
        <f>(X28+X29)*'Data - P&amp;L'!$C$3</f>
        <v>347.6</v>
      </c>
      <c r="Y209" s="134">
        <f>(Y28+Y29)*'Data - P&amp;L'!$C$3</f>
        <v>521.4</v>
      </c>
      <c r="Z209" s="134">
        <f>(Z28+Z29)*'Data - P&amp;L'!$C$3</f>
        <v>347.6</v>
      </c>
      <c r="AA209" s="134">
        <f>(AA28+AA29)*'Data - P&amp;L'!$C$3</f>
        <v>434.5</v>
      </c>
      <c r="AB209" s="134">
        <f>(AB28+AB29)*'Data - P&amp;L'!$C$3</f>
        <v>347.6</v>
      </c>
      <c r="AC209" s="134">
        <f>(AC28+AC29)*'Data - P&amp;L'!$C$3</f>
        <v>347.6</v>
      </c>
      <c r="AD209" s="134">
        <f>(AD28+AD29)*'Data - P&amp;L'!$C$3</f>
        <v>86.9</v>
      </c>
      <c r="AE209" s="134">
        <f>(AE28+AE29)*'Data - P&amp;L'!$C$3</f>
        <v>173.8</v>
      </c>
      <c r="AF209" s="134">
        <f>(AF28+AF29)*'Data - P&amp;L'!$C$3</f>
        <v>86.9</v>
      </c>
      <c r="AG209" s="303">
        <f t="shared" si="59"/>
        <v>39105</v>
      </c>
    </row>
    <row r="210">
      <c r="A210" s="367" t="s">
        <v>422</v>
      </c>
      <c r="B210" s="134">
        <f>(B30+B31)*'Data - P&amp;L'!$C$4</f>
        <v>488.05</v>
      </c>
      <c r="C210" s="134">
        <f>(C30+C31)*'Data - P&amp;L'!$C$4</f>
        <v>0</v>
      </c>
      <c r="D210" s="134">
        <f>(D30+D31)*'Data - P&amp;L'!$C$4</f>
        <v>2049.81</v>
      </c>
      <c r="E210" s="134">
        <f>(E30+E31)*'Data - P&amp;L'!$C$4</f>
        <v>11127.54</v>
      </c>
      <c r="F210" s="134">
        <f>(F30+F31)*'Data - P&amp;L'!$C$4</f>
        <v>14836.72</v>
      </c>
      <c r="G210" s="134">
        <f>(G30+G31)*'Data - P&amp;L'!$C$4</f>
        <v>24500.11</v>
      </c>
      <c r="H210" s="134">
        <f>(H30+H31)*'Data - P&amp;L'!$C$4</f>
        <v>26647.53</v>
      </c>
      <c r="I210" s="134">
        <f>(I30+I31)*'Data - P&amp;L'!$C$4</f>
        <v>25671.43</v>
      </c>
      <c r="J210" s="134">
        <f>(J30+J31)*'Data - P&amp;L'!$C$4</f>
        <v>20693.32</v>
      </c>
      <c r="K210" s="134">
        <f>(K30+K31)*'Data - P&amp;L'!$C$4</f>
        <v>18155.46</v>
      </c>
      <c r="L210" s="134">
        <f>(L30+L31)*'Data - P&amp;L'!$C$4</f>
        <v>13665.4</v>
      </c>
      <c r="M210" s="134">
        <f>(M30+M31)*'Data - P&amp;L'!$C$4</f>
        <v>12689.3</v>
      </c>
      <c r="N210" s="134">
        <f>(N30+N31)*'Data - P&amp;L'!$C$4</f>
        <v>6442.26</v>
      </c>
      <c r="O210" s="134">
        <f>(O30+O31)*'Data - P&amp;L'!$C$4</f>
        <v>5368.55</v>
      </c>
      <c r="P210" s="134">
        <f>(P30+P31)*'Data - P&amp;L'!$C$4</f>
        <v>5466.16</v>
      </c>
      <c r="Q210" s="134">
        <f>(Q30+Q31)*'Data - P&amp;L'!$C$4</f>
        <v>4099.62</v>
      </c>
      <c r="R210" s="134">
        <f>(R30+R31)*'Data - P&amp;L'!$C$4</f>
        <v>3416.35</v>
      </c>
      <c r="S210" s="134">
        <f>(S30+S31)*'Data - P&amp;L'!$C$4</f>
        <v>5270.94</v>
      </c>
      <c r="T210" s="134">
        <f>(T30+T31)*'Data - P&amp;L'!$C$4</f>
        <v>5075.72</v>
      </c>
      <c r="U210" s="134">
        <f>(U30+U31)*'Data - P&amp;L'!$C$4</f>
        <v>6539.87</v>
      </c>
      <c r="V210" s="134">
        <f>(V30+V31)*'Data - P&amp;L'!$C$4</f>
        <v>4197.23</v>
      </c>
      <c r="W210" s="134">
        <f>(W30+W31)*'Data - P&amp;L'!$C$4</f>
        <v>7418.36</v>
      </c>
      <c r="X210" s="134">
        <f>(X30+X31)*'Data - P&amp;L'!$C$4</f>
        <v>3806.79</v>
      </c>
      <c r="Y210" s="134">
        <f>(Y30+Y31)*'Data - P&amp;L'!$C$4</f>
        <v>4880.5</v>
      </c>
      <c r="Z210" s="134">
        <f>(Z30+Z31)*'Data - P&amp;L'!$C$4</f>
        <v>5075.72</v>
      </c>
      <c r="AA210" s="134">
        <f>(AA30+AA31)*'Data - P&amp;L'!$C$4</f>
        <v>4490.06</v>
      </c>
      <c r="AB210" s="134">
        <f>(AB30+AB31)*'Data - P&amp;L'!$C$4</f>
        <v>5270.94</v>
      </c>
      <c r="AC210" s="134">
        <f>(AC30+AC31)*'Data - P&amp;L'!$C$4</f>
        <v>4294.84</v>
      </c>
      <c r="AD210" s="134">
        <f>(AD30+AD31)*'Data - P&amp;L'!$C$4</f>
        <v>4392.45</v>
      </c>
      <c r="AE210" s="134">
        <f>(AE30+AE31)*'Data - P&amp;L'!$C$4</f>
        <v>3806.79</v>
      </c>
      <c r="AF210" s="134">
        <f>(AF30+AF31)*'Data - P&amp;L'!$C$4</f>
        <v>4490.06</v>
      </c>
      <c r="AG210" s="303">
        <f t="shared" si="59"/>
        <v>264327.88</v>
      </c>
    </row>
    <row r="211">
      <c r="A211" s="367" t="s">
        <v>423</v>
      </c>
      <c r="B211" s="134">
        <f>B34*'Data - P&amp;L'!$C$6</f>
        <v>82.35</v>
      </c>
      <c r="C211" s="134">
        <f>C34*'Data - P&amp;L'!$C$6</f>
        <v>82.35</v>
      </c>
      <c r="D211" s="134">
        <f>D34*'Data - P&amp;L'!$C$6</f>
        <v>54.9</v>
      </c>
      <c r="E211" s="134">
        <f>E34*'Data - P&amp;L'!$C$6</f>
        <v>131.76</v>
      </c>
      <c r="F211" s="134">
        <f>F34*'Data - P&amp;L'!$C$6</f>
        <v>148.23</v>
      </c>
      <c r="G211" s="134">
        <f>G34*'Data - P&amp;L'!$C$6</f>
        <v>170.19</v>
      </c>
      <c r="H211" s="134">
        <f>H34*'Data - P&amp;L'!$C$6</f>
        <v>186.66</v>
      </c>
      <c r="I211" s="134">
        <f>I34*'Data - P&amp;L'!$C$6</f>
        <v>214.11</v>
      </c>
      <c r="J211" s="134">
        <f>J34*'Data - P&amp;L'!$C$6</f>
        <v>126.27</v>
      </c>
      <c r="K211" s="134">
        <f>K34*'Data - P&amp;L'!$C$6</f>
        <v>104.31</v>
      </c>
      <c r="L211" s="134">
        <f>L34*'Data - P&amp;L'!$C$6</f>
        <v>131.76</v>
      </c>
      <c r="M211" s="134">
        <f>M34*'Data - P&amp;L'!$C$6</f>
        <v>290.97</v>
      </c>
      <c r="N211" s="134">
        <f>N34*'Data - P&amp;L'!$C$6</f>
        <v>137.25</v>
      </c>
      <c r="O211" s="134">
        <f>O34*'Data - P&amp;L'!$C$6</f>
        <v>126.27</v>
      </c>
      <c r="P211" s="134">
        <f>P34*'Data - P&amp;L'!$C$6</f>
        <v>71.37</v>
      </c>
      <c r="Q211" s="134">
        <f>Q34*'Data - P&amp;L'!$C$6</f>
        <v>71.37</v>
      </c>
      <c r="R211" s="134">
        <f>R34*'Data - P&amp;L'!$C$6</f>
        <v>76.86</v>
      </c>
      <c r="S211" s="134">
        <f>S34*'Data - P&amp;L'!$C$6</f>
        <v>71.37</v>
      </c>
      <c r="T211" s="134">
        <f>T34*'Data - P&amp;L'!$C$6</f>
        <v>82.35</v>
      </c>
      <c r="U211" s="134">
        <f>U34*'Data - P&amp;L'!$C$6</f>
        <v>109.8</v>
      </c>
      <c r="V211" s="134">
        <f>V34*'Data - P&amp;L'!$C$6</f>
        <v>82.35</v>
      </c>
      <c r="W211" s="134">
        <f>W34*'Data - P&amp;L'!$C$6</f>
        <v>49.41</v>
      </c>
      <c r="X211" s="134">
        <f>X34*'Data - P&amp;L'!$C$6</f>
        <v>71.37</v>
      </c>
      <c r="Y211" s="134">
        <f>Y34*'Data - P&amp;L'!$C$6</f>
        <v>71.37</v>
      </c>
      <c r="Z211" s="134">
        <f>Z34*'Data - P&amp;L'!$C$6</f>
        <v>65.88</v>
      </c>
      <c r="AA211" s="134">
        <f>AA34*'Data - P&amp;L'!$C$6</f>
        <v>76.86</v>
      </c>
      <c r="AB211" s="134">
        <f>AB34*'Data - P&amp;L'!$C$6</f>
        <v>115.29</v>
      </c>
      <c r="AC211" s="134">
        <f>AC34*'Data - P&amp;L'!$C$6</f>
        <v>49.41</v>
      </c>
      <c r="AD211" s="134">
        <f>AD34*'Data - P&amp;L'!$C$6</f>
        <v>27.45</v>
      </c>
      <c r="AE211" s="134">
        <f>AE34*'Data - P&amp;L'!$C$6</f>
        <v>71.37</v>
      </c>
      <c r="AF211" s="134">
        <f>AF34*'Data - P&amp;L'!$C$6</f>
        <v>65.88</v>
      </c>
      <c r="AG211" s="303">
        <f t="shared" si="59"/>
        <v>3217.14</v>
      </c>
    </row>
    <row r="212">
      <c r="A212" s="367" t="s">
        <v>424</v>
      </c>
      <c r="B212" s="134">
        <f>B35*'Data - P&amp;L'!$C$8</f>
        <v>9.52</v>
      </c>
      <c r="C212" s="134">
        <f>C35*'Data - P&amp;L'!$C$8</f>
        <v>5.95</v>
      </c>
      <c r="D212" s="134">
        <f>D35*'Data - P&amp;L'!$C$8</f>
        <v>11.9</v>
      </c>
      <c r="E212" s="134">
        <f>E35*'Data - P&amp;L'!$C$8</f>
        <v>4.76</v>
      </c>
      <c r="F212" s="134">
        <f>F35*'Data - P&amp;L'!$C$8</f>
        <v>11.9</v>
      </c>
      <c r="G212" s="134">
        <f>G35*'Data - P&amp;L'!$C$8</f>
        <v>11.9</v>
      </c>
      <c r="H212" s="134">
        <f>H35*'Data - P&amp;L'!$C$8</f>
        <v>19.04</v>
      </c>
      <c r="I212" s="134">
        <f>I35*'Data - P&amp;L'!$C$8</f>
        <v>20.23</v>
      </c>
      <c r="J212" s="134">
        <f>J35*'Data - P&amp;L'!$C$8</f>
        <v>10.71</v>
      </c>
      <c r="K212" s="134">
        <f>K35*'Data - P&amp;L'!$C$8</f>
        <v>13.09</v>
      </c>
      <c r="L212" s="134">
        <f>L35*'Data - P&amp;L'!$C$8</f>
        <v>17.85</v>
      </c>
      <c r="M212" s="134">
        <f>M35*'Data - P&amp;L'!$C$8</f>
        <v>17.85</v>
      </c>
      <c r="N212" s="134">
        <f>N35*'Data - P&amp;L'!$C$8</f>
        <v>8.33</v>
      </c>
      <c r="O212" s="134">
        <f>O35*'Data - P&amp;L'!$C$8</f>
        <v>9.52</v>
      </c>
      <c r="P212" s="134">
        <f>P35*'Data - P&amp;L'!$C$8</f>
        <v>7.14</v>
      </c>
      <c r="Q212" s="134">
        <f>Q35*'Data - P&amp;L'!$C$8</f>
        <v>7.14</v>
      </c>
      <c r="R212" s="134">
        <f>R35*'Data - P&amp;L'!$C$8</f>
        <v>8.33</v>
      </c>
      <c r="S212" s="134">
        <f>S35*'Data - P&amp;L'!$C$8</f>
        <v>16.66</v>
      </c>
      <c r="T212" s="134">
        <f>T35*'Data - P&amp;L'!$C$8</f>
        <v>10.71</v>
      </c>
      <c r="U212" s="134">
        <f>U35*'Data - P&amp;L'!$C$8</f>
        <v>4.76</v>
      </c>
      <c r="V212" s="134">
        <f>V35*'Data - P&amp;L'!$C$8</f>
        <v>10.71</v>
      </c>
      <c r="W212" s="134">
        <f>W35*'Data - P&amp;L'!$C$8</f>
        <v>3.57</v>
      </c>
      <c r="X212" s="134">
        <f>X35*'Data - P&amp;L'!$C$8</f>
        <v>9.52</v>
      </c>
      <c r="Y212" s="134">
        <f>Y35*'Data - P&amp;L'!$C$8</f>
        <v>11.9</v>
      </c>
      <c r="Z212" s="134">
        <f>Z35*'Data - P&amp;L'!$C$8</f>
        <v>10.71</v>
      </c>
      <c r="AA212" s="134">
        <f>AA35*'Data - P&amp;L'!$C$8</f>
        <v>10.71</v>
      </c>
      <c r="AB212" s="134">
        <f>AB35*'Data - P&amp;L'!$C$8</f>
        <v>15.47</v>
      </c>
      <c r="AC212" s="134">
        <f>AC35*'Data - P&amp;L'!$C$8</f>
        <v>11.9</v>
      </c>
      <c r="AD212" s="134">
        <f>AD35*'Data - P&amp;L'!$C$8</f>
        <v>7.14</v>
      </c>
      <c r="AE212" s="134">
        <f>AE35*'Data - P&amp;L'!$C$8</f>
        <v>5.95</v>
      </c>
      <c r="AF212" s="134">
        <f>AF35*'Data - P&amp;L'!$C$8</f>
        <v>17.85</v>
      </c>
      <c r="AG212" s="303">
        <f t="shared" si="59"/>
        <v>342.72</v>
      </c>
    </row>
    <row r="213">
      <c r="A213" s="367" t="s">
        <v>425</v>
      </c>
      <c r="B213" s="134">
        <f>(B36+B37)*'Data - P&amp;L'!$C$9</f>
        <v>26.64</v>
      </c>
      <c r="C213" s="134">
        <f>(C36+C37)*'Data - P&amp;L'!$C$9</f>
        <v>59.94</v>
      </c>
      <c r="D213" s="134">
        <f>(D36+D37)*'Data - P&amp;L'!$C$9</f>
        <v>73.26</v>
      </c>
      <c r="E213" s="134">
        <f>(E36+E37)*'Data - P&amp;L'!$C$9</f>
        <v>66.6</v>
      </c>
      <c r="F213" s="134">
        <f>(F36+F37)*'Data - P&amp;L'!$C$9</f>
        <v>193.14</v>
      </c>
      <c r="G213" s="134">
        <f>(G36+G37)*'Data - P&amp;L'!$C$9</f>
        <v>106.56</v>
      </c>
      <c r="H213" s="134">
        <f>(H36+H37)*'Data - P&amp;L'!$C$9</f>
        <v>106.56</v>
      </c>
      <c r="I213" s="134">
        <f>(I36+I37)*'Data - P&amp;L'!$C$9</f>
        <v>119.88</v>
      </c>
      <c r="J213" s="134">
        <f>(J36+J37)*'Data - P&amp;L'!$C$9</f>
        <v>106.56</v>
      </c>
      <c r="K213" s="134">
        <f>(K36+K37)*'Data - P&amp;L'!$C$9</f>
        <v>146.52</v>
      </c>
      <c r="L213" s="134">
        <f>(L36+L37)*'Data - P&amp;L'!$C$9</f>
        <v>113.22</v>
      </c>
      <c r="M213" s="134">
        <f>(M36+M37)*'Data - P&amp;L'!$C$9</f>
        <v>159.84</v>
      </c>
      <c r="N213" s="134">
        <f>(N36+N37)*'Data - P&amp;L'!$C$9</f>
        <v>86.58</v>
      </c>
      <c r="O213" s="134">
        <f>(O36+O37)*'Data - P&amp;L'!$C$9</f>
        <v>99.9</v>
      </c>
      <c r="P213" s="134">
        <f>(P36+P37)*'Data - P&amp;L'!$C$9</f>
        <v>33.3</v>
      </c>
      <c r="Q213" s="134">
        <f>(Q36+Q37)*'Data - P&amp;L'!$C$9</f>
        <v>53.28</v>
      </c>
      <c r="R213" s="134">
        <f>(R36+R37)*'Data - P&amp;L'!$C$9</f>
        <v>39.96</v>
      </c>
      <c r="S213" s="134">
        <f>(S36+S37)*'Data - P&amp;L'!$C$9</f>
        <v>86.58</v>
      </c>
      <c r="T213" s="134">
        <f>(T36+T37)*'Data - P&amp;L'!$C$9</f>
        <v>53.28</v>
      </c>
      <c r="U213" s="134">
        <f>(U36+U37)*'Data - P&amp;L'!$C$9</f>
        <v>79.92</v>
      </c>
      <c r="V213" s="134">
        <f>(V36+V37)*'Data - P&amp;L'!$C$9</f>
        <v>66.6</v>
      </c>
      <c r="W213" s="134">
        <f>(W36+W37)*'Data - P&amp;L'!$C$9</f>
        <v>146.52</v>
      </c>
      <c r="X213" s="134">
        <f>(X36+X37)*'Data - P&amp;L'!$C$9</f>
        <v>39.96</v>
      </c>
      <c r="Y213" s="134">
        <f>(Y36+Y37)*'Data - P&amp;L'!$C$9</f>
        <v>66.6</v>
      </c>
      <c r="Z213" s="134">
        <f>(Z36+Z37)*'Data - P&amp;L'!$C$9</f>
        <v>39.96</v>
      </c>
      <c r="AA213" s="134">
        <f>(AA36+AA37)*'Data - P&amp;L'!$C$9</f>
        <v>19.98</v>
      </c>
      <c r="AB213" s="134">
        <f>(AB36+AB37)*'Data - P&amp;L'!$C$9</f>
        <v>93.24</v>
      </c>
      <c r="AC213" s="134">
        <f>(AC36+AC37)*'Data - P&amp;L'!$C$9</f>
        <v>66.6</v>
      </c>
      <c r="AD213" s="134">
        <f>(AD36+AD37)*'Data - P&amp;L'!$C$9</f>
        <v>53.28</v>
      </c>
      <c r="AE213" s="134">
        <f>(AE36+AE37)*'Data - P&amp;L'!$C$9</f>
        <v>39.96</v>
      </c>
      <c r="AF213" s="134">
        <f>(AF36+AF37)*'Data - P&amp;L'!$C$9</f>
        <v>33.3</v>
      </c>
      <c r="AG213" s="303">
        <f t="shared" si="59"/>
        <v>2477.52</v>
      </c>
    </row>
    <row r="214">
      <c r="A214" s="367" t="s">
        <v>426</v>
      </c>
      <c r="B214" s="134">
        <f>(B38+B39)*'Data - P&amp;L'!$C$5</f>
        <v>0</v>
      </c>
      <c r="C214" s="134">
        <f>(C38+C39)*'Data - P&amp;L'!$C$5</f>
        <v>0</v>
      </c>
      <c r="D214" s="134">
        <f>(D38+D39)*'Data - P&amp;L'!$C$5</f>
        <v>0</v>
      </c>
      <c r="E214" s="134">
        <f>(E38+E39)*'Data - P&amp;L'!$C$5</f>
        <v>0</v>
      </c>
      <c r="F214" s="134">
        <f>(F38+F39)*'Data - P&amp;L'!$C$5</f>
        <v>0</v>
      </c>
      <c r="G214" s="134">
        <f>(G38+G39)*'Data - P&amp;L'!$C$5</f>
        <v>0</v>
      </c>
      <c r="H214" s="134">
        <f>(H38+H39)*'Data - P&amp;L'!$C$5</f>
        <v>0</v>
      </c>
      <c r="I214" s="134">
        <f>(I38+I39)*'Data - P&amp;L'!$C$5</f>
        <v>0</v>
      </c>
      <c r="J214" s="134">
        <f>(J38+J39)*'Data - P&amp;L'!$C$5</f>
        <v>0</v>
      </c>
      <c r="K214" s="134">
        <f>(K38+K39)*'Data - P&amp;L'!$C$5</f>
        <v>0</v>
      </c>
      <c r="L214" s="134">
        <f>(L38+L39)*'Data - P&amp;L'!$C$5</f>
        <v>0</v>
      </c>
      <c r="M214" s="134">
        <f>(M38+M39)*'Data - P&amp;L'!$C$5</f>
        <v>0</v>
      </c>
      <c r="N214" s="134">
        <f>(N38+N39)*'Data - P&amp;L'!$C$5</f>
        <v>0</v>
      </c>
      <c r="O214" s="134">
        <f>(O38+O39)*'Data - P&amp;L'!$C$5</f>
        <v>0</v>
      </c>
      <c r="P214" s="134">
        <f>(P38+P39)*'Data - P&amp;L'!$C$5</f>
        <v>0</v>
      </c>
      <c r="Q214" s="134">
        <f>(Q38+Q39)*'Data - P&amp;L'!$C$5</f>
        <v>0</v>
      </c>
      <c r="R214" s="134">
        <f>(R38+R39)*'Data - P&amp;L'!$C$5</f>
        <v>0</v>
      </c>
      <c r="S214" s="134">
        <f>(S38+S39)*'Data - P&amp;L'!$C$5</f>
        <v>0</v>
      </c>
      <c r="T214" s="134">
        <f>(T38+T39)*'Data - P&amp;L'!$C$5</f>
        <v>0</v>
      </c>
      <c r="U214" s="134">
        <f>(U38+U39)*'Data - P&amp;L'!$C$5</f>
        <v>0</v>
      </c>
      <c r="V214" s="134">
        <f>(V38+V39)*'Data - P&amp;L'!$C$5</f>
        <v>0</v>
      </c>
      <c r="W214" s="134">
        <f>(W38+W39)*'Data - P&amp;L'!$C$5</f>
        <v>0</v>
      </c>
      <c r="X214" s="134">
        <f>(X38+X39)*'Data - P&amp;L'!$C$5</f>
        <v>0</v>
      </c>
      <c r="Y214" s="134">
        <f>(Y38+Y39)*'Data - P&amp;L'!$C$5</f>
        <v>0</v>
      </c>
      <c r="Z214" s="134">
        <f>(Z38+Z39)*'Data - P&amp;L'!$C$5</f>
        <v>0</v>
      </c>
      <c r="AA214" s="134">
        <f>(AA38+AA39)*'Data - P&amp;L'!$C$5</f>
        <v>0</v>
      </c>
      <c r="AB214" s="134">
        <f>(AB38+AB39)*'Data - P&amp;L'!$C$5</f>
        <v>0</v>
      </c>
      <c r="AC214" s="134">
        <f>(AC38+AC39)*'Data - P&amp;L'!$C$5</f>
        <v>0</v>
      </c>
      <c r="AD214" s="134">
        <f>(AD38+AD39)*'Data - P&amp;L'!$C$5</f>
        <v>0</v>
      </c>
      <c r="AE214" s="134">
        <f>(AE38+AE39)*'Data - P&amp;L'!$C$5</f>
        <v>0</v>
      </c>
      <c r="AF214" s="134">
        <f>(AF38+AF39)*'Data - P&amp;L'!$C$5</f>
        <v>0</v>
      </c>
      <c r="AG214" s="303">
        <f t="shared" si="59"/>
        <v>0</v>
      </c>
    </row>
    <row r="215">
      <c r="A215" s="367" t="s">
        <v>427</v>
      </c>
      <c r="B215" s="253">
        <f>(B40+B41)*'Data - P&amp;L'!$C$10</f>
        <v>102</v>
      </c>
      <c r="C215" s="253">
        <f>(C40+C41)*'Data - P&amp;L'!$C$10</f>
        <v>138</v>
      </c>
      <c r="D215" s="253">
        <f>(D40+D41)*'Data - P&amp;L'!$C$10</f>
        <v>144</v>
      </c>
      <c r="E215" s="253">
        <f>(E40+E41)*'Data - P&amp;L'!$C$10</f>
        <v>270</v>
      </c>
      <c r="F215" s="253">
        <f>(F40+F41)*'Data - P&amp;L'!$C$10</f>
        <v>330</v>
      </c>
      <c r="G215" s="253">
        <f>(G40+G41)*'Data - P&amp;L'!$C$10</f>
        <v>426</v>
      </c>
      <c r="H215" s="253">
        <f>(H40+H41)*'Data - P&amp;L'!$C$10</f>
        <v>348</v>
      </c>
      <c r="I215" s="253">
        <f>(I40+I41)*'Data - P&amp;L'!$C$10</f>
        <v>360</v>
      </c>
      <c r="J215" s="253">
        <f>(J40+J41)*'Data - P&amp;L'!$C$10</f>
        <v>312</v>
      </c>
      <c r="K215" s="253">
        <f>(K40+K41)*'Data - P&amp;L'!$C$10</f>
        <v>270</v>
      </c>
      <c r="L215" s="253">
        <f>(L40+L41)*'Data - P&amp;L'!$C$10</f>
        <v>204</v>
      </c>
      <c r="M215" s="253">
        <f>(M40+M41)*'Data - P&amp;L'!$C$10</f>
        <v>354</v>
      </c>
      <c r="N215" s="253">
        <f>(N40+N41)*'Data - P&amp;L'!$C$10</f>
        <v>270</v>
      </c>
      <c r="O215" s="253">
        <f>(O40+O41)*'Data - P&amp;L'!$C$10</f>
        <v>198</v>
      </c>
      <c r="P215" s="253">
        <f>(P40+P41)*'Data - P&amp;L'!$C$10</f>
        <v>234</v>
      </c>
      <c r="Q215" s="253">
        <f>(Q40+Q41)*'Data - P&amp;L'!$C$10</f>
        <v>60</v>
      </c>
      <c r="R215" s="253">
        <f>(R40+R41)*'Data - P&amp;L'!$C$10</f>
        <v>168</v>
      </c>
      <c r="S215" s="253">
        <f>(S40+S41)*'Data - P&amp;L'!$C$10</f>
        <v>162</v>
      </c>
      <c r="T215" s="253">
        <f>(T40+T41)*'Data - P&amp;L'!$C$10</f>
        <v>210</v>
      </c>
      <c r="U215" s="253">
        <f>(U40+U41)*'Data - P&amp;L'!$C$10</f>
        <v>162</v>
      </c>
      <c r="V215" s="253">
        <f>(V40+V41)*'Data - P&amp;L'!$C$10</f>
        <v>144</v>
      </c>
      <c r="W215" s="253">
        <f>(W40+W41)*'Data - P&amp;L'!$C$10</f>
        <v>180</v>
      </c>
      <c r="X215" s="253">
        <f>(X40+X41)*'Data - P&amp;L'!$C$10</f>
        <v>84</v>
      </c>
      <c r="Y215" s="253">
        <f>(Y40+Y41)*'Data - P&amp;L'!$C$10</f>
        <v>126</v>
      </c>
      <c r="Z215" s="253">
        <f>(Z40+Z41)*'Data - P&amp;L'!$C$10</f>
        <v>78</v>
      </c>
      <c r="AA215" s="253">
        <f>(AA40+AA41)*'Data - P&amp;L'!$C$10</f>
        <v>150</v>
      </c>
      <c r="AB215" s="253">
        <f>(AB40+AB41)*'Data - P&amp;L'!$C$10</f>
        <v>180</v>
      </c>
      <c r="AC215" s="253">
        <f>(AC40+AC41)*'Data - P&amp;L'!$C$10</f>
        <v>60</v>
      </c>
      <c r="AD215" s="253">
        <f>(AD40+AD41)*'Data - P&amp;L'!$C$10</f>
        <v>84</v>
      </c>
      <c r="AE215" s="253">
        <f>(AE40+AE41)*'Data - P&amp;L'!$C$10</f>
        <v>78</v>
      </c>
      <c r="AF215" s="253">
        <f>(AF40+AF41)*'Data - P&amp;L'!$C$10</f>
        <v>156</v>
      </c>
      <c r="AG215" s="303">
        <f t="shared" si="59"/>
        <v>6042</v>
      </c>
    </row>
    <row r="216">
      <c r="A216" s="368" t="s">
        <v>428</v>
      </c>
      <c r="B216" s="134">
        <f>B32*'Data - P&amp;L'!$C$43</f>
        <v>465.66</v>
      </c>
      <c r="C216" s="134">
        <f>C32*'Data - P&amp;L'!$C$43</f>
        <v>513.42</v>
      </c>
      <c r="D216" s="134">
        <f>D32*'Data - P&amp;L'!$C$43</f>
        <v>1194</v>
      </c>
      <c r="E216" s="134">
        <f>E32*'Data - P&amp;L'!$C$43</f>
        <v>2017.86</v>
      </c>
      <c r="F216" s="134">
        <f>F32*'Data - P&amp;L'!$C$43</f>
        <v>2053.68</v>
      </c>
      <c r="G216" s="134">
        <f>G32*'Data - P&amp;L'!$C$43</f>
        <v>3235.74</v>
      </c>
      <c r="H216" s="134">
        <f>H32*'Data - P&amp;L'!$C$43</f>
        <v>3426.78</v>
      </c>
      <c r="I216" s="134">
        <f>I32*'Data - P&amp;L'!$C$43</f>
        <v>3307.38</v>
      </c>
      <c r="J216" s="134">
        <f>J32*'Data - P&amp;L'!$C$43</f>
        <v>2734.26</v>
      </c>
      <c r="K216" s="134">
        <f>K32*'Data - P&amp;L'!$C$43</f>
        <v>2388</v>
      </c>
      <c r="L216" s="134">
        <f>L32*'Data - P&amp;L'!$C$43</f>
        <v>1755.18</v>
      </c>
      <c r="M216" s="134">
        <f>M32*'Data - P&amp;L'!$C$43</f>
        <v>1671.6</v>
      </c>
      <c r="N216" s="134">
        <f>N32*'Data - P&amp;L'!$C$43</f>
        <v>895.5</v>
      </c>
      <c r="O216" s="134">
        <f>O32*'Data - P&amp;L'!$C$43</f>
        <v>823.86</v>
      </c>
      <c r="P216" s="134">
        <f>P32*'Data - P&amp;L'!$C$43</f>
        <v>883.56</v>
      </c>
      <c r="Q216" s="134">
        <f>Q32*'Data - P&amp;L'!$C$43</f>
        <v>680.58</v>
      </c>
      <c r="R216" s="134">
        <f>R32*'Data - P&amp;L'!$C$43</f>
        <v>501.48</v>
      </c>
      <c r="S216" s="134">
        <f>S32*'Data - P&amp;L'!$C$43</f>
        <v>740.28</v>
      </c>
      <c r="T216" s="134">
        <f>T32*'Data - P&amp;L'!$C$43</f>
        <v>668.64</v>
      </c>
      <c r="U216" s="134">
        <f>U32*'Data - P&amp;L'!$C$43</f>
        <v>883.56</v>
      </c>
      <c r="V216" s="134">
        <f>V32*'Data - P&amp;L'!$C$43</f>
        <v>573.12</v>
      </c>
      <c r="W216" s="134">
        <f>W32*'Data - P&amp;L'!$C$43</f>
        <v>967.14</v>
      </c>
      <c r="X216" s="134">
        <f>X32*'Data - P&amp;L'!$C$43</f>
        <v>513.42</v>
      </c>
      <c r="Y216" s="134">
        <f>Y32*'Data - P&amp;L'!$C$43</f>
        <v>668.64</v>
      </c>
      <c r="Z216" s="134">
        <f>Z32*'Data - P&amp;L'!$C$43</f>
        <v>668.64</v>
      </c>
      <c r="AA216" s="134">
        <f>AA32*'Data - P&amp;L'!$C$43</f>
        <v>608.94</v>
      </c>
      <c r="AB216" s="134">
        <f>AB32*'Data - P&amp;L'!$C$43</f>
        <v>692.52</v>
      </c>
      <c r="AC216" s="134">
        <f>AC32*'Data - P&amp;L'!$C$43</f>
        <v>573.12</v>
      </c>
      <c r="AD216" s="134">
        <f>AD32*'Data - P&amp;L'!$C$43</f>
        <v>549.24</v>
      </c>
      <c r="AE216" s="134">
        <f>AE32*'Data - P&amp;L'!$C$43</f>
        <v>489.54</v>
      </c>
      <c r="AF216" s="134">
        <f>AF32*'Data - P&amp;L'!$C$43</f>
        <v>561.18</v>
      </c>
      <c r="AG216" s="303">
        <f t="shared" si="59"/>
        <v>37706.52</v>
      </c>
    </row>
    <row r="217">
      <c r="A217" s="210" t="s">
        <v>595</v>
      </c>
      <c r="B217" s="253">
        <f>(B32*'Data - P&amp;L'!$C$46)+(B32*'Data - P&amp;L'!$C$50)</f>
        <v>933.66</v>
      </c>
      <c r="C217" s="253">
        <f>(C32*'Data - P&amp;L'!$C$46)+(C32*'Data - P&amp;L'!$C$50)</f>
        <v>1029.42</v>
      </c>
      <c r="D217" s="253">
        <f>(D32*'Data - P&amp;L'!$C$46)+(D32*'Data - P&amp;L'!$C$50)</f>
        <v>2394</v>
      </c>
      <c r="E217" s="253">
        <f>(E32*'Data - P&amp;L'!$C$46)+(E32*'Data - P&amp;L'!$C$50)</f>
        <v>4045.86</v>
      </c>
      <c r="F217" s="253">
        <f>(F32*'Data - P&amp;L'!$C$46)+(F32*'Data - P&amp;L'!$C$50)</f>
        <v>4117.68</v>
      </c>
      <c r="G217" s="253">
        <f>(G32*'Data - P&amp;L'!$C$46)+(G32*'Data - P&amp;L'!$C$50)</f>
        <v>6487.74</v>
      </c>
      <c r="H217" s="253">
        <f>(H32*'Data - P&amp;L'!$C$46)+(H32*'Data - P&amp;L'!$C$50)</f>
        <v>6870.78</v>
      </c>
      <c r="I217" s="253">
        <f>(I32*'Data - P&amp;L'!$C$46)+(I32*'Data - P&amp;L'!$C$50)</f>
        <v>6631.38</v>
      </c>
      <c r="J217" s="253">
        <f>(J32*'Data - P&amp;L'!$C$46)+(J32*'Data - P&amp;L'!$C$50)</f>
        <v>5482.26</v>
      </c>
      <c r="K217" s="253">
        <f>(K32*'Data - P&amp;L'!$C$46)+(K32*'Data - P&amp;L'!$C$50)</f>
        <v>4788</v>
      </c>
      <c r="L217" s="253">
        <f>(L32*'Data - P&amp;L'!$C$46)+(L32*'Data - P&amp;L'!$C$50)</f>
        <v>3519.18</v>
      </c>
      <c r="M217" s="253">
        <f>(M32*'Data - P&amp;L'!$C$46)+(M32*'Data - P&amp;L'!$C$50)</f>
        <v>3351.6</v>
      </c>
      <c r="N217" s="253">
        <f>(N32*'Data - P&amp;L'!$C$46)+(N32*'Data - P&amp;L'!$C$50)</f>
        <v>1795.5</v>
      </c>
      <c r="O217" s="253">
        <f>(O32*'Data - P&amp;L'!$C$46)+(O32*'Data - P&amp;L'!$C$50)</f>
        <v>1651.86</v>
      </c>
      <c r="P217" s="253">
        <f>(P32*'Data - P&amp;L'!$C$46)+(P32*'Data - P&amp;L'!$C$50)</f>
        <v>1771.56</v>
      </c>
      <c r="Q217" s="253">
        <f>(Q32*'Data - P&amp;L'!$C$46)+(Q32*'Data - P&amp;L'!$C$50)</f>
        <v>1364.58</v>
      </c>
      <c r="R217" s="253">
        <f>(R32*'Data - P&amp;L'!$C$46)+(R32*'Data - P&amp;L'!$C$50)</f>
        <v>1005.48</v>
      </c>
      <c r="S217" s="253">
        <f>(S32*'Data - P&amp;L'!$C$46)+(S32*'Data - P&amp;L'!$C$50)</f>
        <v>1484.28</v>
      </c>
      <c r="T217" s="253">
        <f>(T32*'Data - P&amp;L'!$C$46)+(T32*'Data - P&amp;L'!$C$50)</f>
        <v>1340.64</v>
      </c>
      <c r="U217" s="253">
        <f>(U32*'Data - P&amp;L'!$C$46)+(U32*'Data - P&amp;L'!$C$50)</f>
        <v>1771.56</v>
      </c>
      <c r="V217" s="253">
        <f>(V32*'Data - P&amp;L'!$C$46)+(V32*'Data - P&amp;L'!$C$50)</f>
        <v>1149.12</v>
      </c>
      <c r="W217" s="253">
        <f>(W32*'Data - P&amp;L'!$C$46)+(W32*'Data - P&amp;L'!$C$50)</f>
        <v>1939.14</v>
      </c>
      <c r="X217" s="253">
        <f>(X32*'Data - P&amp;L'!$C$46)+(X32*'Data - P&amp;L'!$C$50)</f>
        <v>1029.42</v>
      </c>
      <c r="Y217" s="253">
        <f>(Y32*'Data - P&amp;L'!$C$46)+(Y32*'Data - P&amp;L'!$C$50)</f>
        <v>1340.64</v>
      </c>
      <c r="Z217" s="253">
        <f>(Z32*'Data - P&amp;L'!$C$46)+(Z32*'Data - P&amp;L'!$C$50)</f>
        <v>1340.64</v>
      </c>
      <c r="AA217" s="253">
        <f>(AA32*'Data - P&amp;L'!$C$46)+(AA32*'Data - P&amp;L'!$C$50)</f>
        <v>1220.94</v>
      </c>
      <c r="AB217" s="253">
        <f>(AB32*'Data - P&amp;L'!$C$46)+(AB32*'Data - P&amp;L'!$C$50)</f>
        <v>1388.52</v>
      </c>
      <c r="AC217" s="253">
        <f>(AC32*'Data - P&amp;L'!$C$46)+(AC32*'Data - P&amp;L'!$C$50)</f>
        <v>1149.12</v>
      </c>
      <c r="AD217" s="253">
        <f>(AD32*'Data - P&amp;L'!$C$46)+(AD32*'Data - P&amp;L'!$C$50)</f>
        <v>1101.24</v>
      </c>
      <c r="AE217" s="253">
        <f>(AE32*'Data - P&amp;L'!$C$46)+(AE32*'Data - P&amp;L'!$C$50)</f>
        <v>981.54</v>
      </c>
      <c r="AF217" s="253">
        <f>(AF32*'Data - P&amp;L'!$C$46)+(AF32*'Data - P&amp;L'!$C$50)</f>
        <v>1125.18</v>
      </c>
      <c r="AG217" s="303">
        <f t="shared" si="59"/>
        <v>75602.52</v>
      </c>
    </row>
    <row r="218">
      <c r="A218" s="210" t="s">
        <v>596</v>
      </c>
      <c r="B218" s="260">
        <f>B42*'Data - P&amp;L'!$D$43</f>
        <v>63.14</v>
      </c>
      <c r="C218" s="260">
        <f>C42*'Data - P&amp;L'!$D$43</f>
        <v>74.62</v>
      </c>
      <c r="D218" s="260">
        <f>D42*'Data - P&amp;L'!$D$43</f>
        <v>78.925</v>
      </c>
      <c r="E218" s="260">
        <f>E42*'Data - P&amp;L'!$D$43</f>
        <v>119.105</v>
      </c>
      <c r="F218" s="260">
        <f>F42*'Data - P&amp;L'!$D$43</f>
        <v>173.635</v>
      </c>
      <c r="G218" s="260">
        <f>G42*'Data - P&amp;L'!$D$43</f>
        <v>183.68</v>
      </c>
      <c r="H218" s="260">
        <f>H42*'Data - P&amp;L'!$D$43</f>
        <v>177.94</v>
      </c>
      <c r="I218" s="260">
        <f>I42*'Data - P&amp;L'!$D$43</f>
        <v>192.29</v>
      </c>
      <c r="J218" s="260">
        <f>J42*'Data - P&amp;L'!$D$43</f>
        <v>143.5</v>
      </c>
      <c r="K218" s="260">
        <f>K42*'Data - P&amp;L'!$D$43</f>
        <v>139.195</v>
      </c>
      <c r="L218" s="260">
        <f>L42*'Data - P&amp;L'!$D$43</f>
        <v>129.15</v>
      </c>
      <c r="M218" s="260">
        <f>M42*'Data - P&amp;L'!$D$43</f>
        <v>216.685</v>
      </c>
      <c r="N218" s="260">
        <f>N42*'Data - P&amp;L'!$D$43</f>
        <v>129.15</v>
      </c>
      <c r="O218" s="260">
        <f>O42*'Data - P&amp;L'!$D$43</f>
        <v>113.365</v>
      </c>
      <c r="P218" s="260">
        <f>P42*'Data - P&amp;L'!$D$43</f>
        <v>90.405</v>
      </c>
      <c r="Q218" s="260">
        <f>Q42*'Data - P&amp;L'!$D$43</f>
        <v>53.095</v>
      </c>
      <c r="R218" s="260">
        <f>R42*'Data - P&amp;L'!$D$43</f>
        <v>78.925</v>
      </c>
      <c r="S218" s="260">
        <f>S42*'Data - P&amp;L'!$D$43</f>
        <v>96.145</v>
      </c>
      <c r="T218" s="260">
        <f>T42*'Data - P&amp;L'!$D$43</f>
        <v>96.145</v>
      </c>
      <c r="U218" s="260">
        <f>U42*'Data - P&amp;L'!$D$43</f>
        <v>90.405</v>
      </c>
      <c r="V218" s="260">
        <f>V42*'Data - P&amp;L'!$D$43</f>
        <v>83.23</v>
      </c>
      <c r="W218" s="260">
        <f>W42*'Data - P&amp;L'!$D$43</f>
        <v>91.84</v>
      </c>
      <c r="X218" s="260">
        <f>X42*'Data - P&amp;L'!$D$43</f>
        <v>58.835</v>
      </c>
      <c r="Y218" s="260">
        <f>Y42*'Data - P&amp;L'!$D$43</f>
        <v>77.49</v>
      </c>
      <c r="Z218" s="260">
        <f>Z42*'Data - P&amp;L'!$D$43</f>
        <v>57.4</v>
      </c>
      <c r="AA218" s="260">
        <f>AA42*'Data - P&amp;L'!$D$43</f>
        <v>73.185</v>
      </c>
      <c r="AB218" s="260">
        <f>AB42*'Data - P&amp;L'!$D$43</f>
        <v>111.93</v>
      </c>
      <c r="AC218" s="260">
        <f>AC42*'Data - P&amp;L'!$D$43</f>
        <v>55.965</v>
      </c>
      <c r="AD218" s="260">
        <f>AD42*'Data - P&amp;L'!$D$43</f>
        <v>47.355</v>
      </c>
      <c r="AE218" s="260">
        <f>AE42*'Data - P&amp;L'!$D$43</f>
        <v>53.095</v>
      </c>
      <c r="AF218" s="260">
        <f>AF42*'Data - P&amp;L'!$D$43</f>
        <v>83.23</v>
      </c>
      <c r="AG218" s="303">
        <f t="shared" si="59"/>
        <v>3233.055</v>
      </c>
    </row>
    <row r="219">
      <c r="A219" s="210" t="s">
        <v>597</v>
      </c>
      <c r="B219" s="260">
        <f>(B42*'Data - P&amp;L'!$C$47)+(B42*'Data - P&amp;L'!$C$51)</f>
        <v>521.62</v>
      </c>
      <c r="C219" s="260">
        <f>(C42*'Data - P&amp;L'!$C$47)+(C42*'Data - P&amp;L'!$C$51)</f>
        <v>616.46</v>
      </c>
      <c r="D219" s="260">
        <f>(D42*'Data - P&amp;L'!$C$47)+(D42*'Data - P&amp;L'!$C$51)</f>
        <v>652.025</v>
      </c>
      <c r="E219" s="260">
        <f>(E42*'Data - P&amp;L'!$C$47)+(E42*'Data - P&amp;L'!$C$51)</f>
        <v>983.965</v>
      </c>
      <c r="F219" s="260">
        <f>(F42*'Data - P&amp;L'!$C$47)+(F42*'Data - P&amp;L'!$C$51)</f>
        <v>1434.455</v>
      </c>
      <c r="G219" s="260">
        <f>(G42*'Data - P&amp;L'!$C$47)+(G42*'Data - P&amp;L'!$C$51)</f>
        <v>1517.44</v>
      </c>
      <c r="H219" s="260">
        <f>(H42*'Data - P&amp;L'!$C$47)+(H42*'Data - P&amp;L'!$C$51)</f>
        <v>1470.02</v>
      </c>
      <c r="I219" s="260">
        <f>(I42*'Data - P&amp;L'!$C$47)+(I42*'Data - P&amp;L'!$C$51)</f>
        <v>1588.57</v>
      </c>
      <c r="J219" s="260">
        <f>(J42*'Data - P&amp;L'!$C$47)+(J42*'Data - P&amp;L'!$C$51)</f>
        <v>1185.5</v>
      </c>
      <c r="K219" s="260">
        <f>(K42*'Data - P&amp;L'!$C$47)+(K42*'Data - P&amp;L'!$C$51)</f>
        <v>1149.935</v>
      </c>
      <c r="L219" s="260">
        <f>(L42*'Data - P&amp;L'!$C$47)+(L42*'Data - P&amp;L'!$C$51)</f>
        <v>1066.95</v>
      </c>
      <c r="M219" s="260">
        <f>(M42*'Data - P&amp;L'!$C$47)+(M42*'Data - P&amp;L'!$C$51)</f>
        <v>1790.105</v>
      </c>
      <c r="N219" s="260">
        <f>(N42*'Data - P&amp;L'!$C$47)+(N42*'Data - P&amp;L'!$C$51)</f>
        <v>1066.95</v>
      </c>
      <c r="O219" s="260">
        <f>(O42*'Data - P&amp;L'!$C$47)+(O42*'Data - P&amp;L'!$C$51)</f>
        <v>936.545</v>
      </c>
      <c r="P219" s="260">
        <f>(P42*'Data - P&amp;L'!$C$47)+(P42*'Data - P&amp;L'!$C$51)</f>
        <v>746.865</v>
      </c>
      <c r="Q219" s="260">
        <f>(Q42*'Data - P&amp;L'!$C$47)+(Q42*'Data - P&amp;L'!$C$51)</f>
        <v>438.635</v>
      </c>
      <c r="R219" s="260">
        <f>(R42*'Data - P&amp;L'!$C$47)+(R42*'Data - P&amp;L'!$C$51)</f>
        <v>652.025</v>
      </c>
      <c r="S219" s="260">
        <f>(S42*'Data - P&amp;L'!$C$47)+(S42*'Data - P&amp;L'!$C$51)</f>
        <v>794.285</v>
      </c>
      <c r="T219" s="260">
        <f>(T42*'Data - P&amp;L'!$C$47)+(T42*'Data - P&amp;L'!$C$51)</f>
        <v>794.285</v>
      </c>
      <c r="U219" s="260">
        <f>(U42*'Data - P&amp;L'!$C$47)+(U42*'Data - P&amp;L'!$C$51)</f>
        <v>746.865</v>
      </c>
      <c r="V219" s="260">
        <f>(V42*'Data - P&amp;L'!$C$47)+(V42*'Data - P&amp;L'!$C$51)</f>
        <v>687.59</v>
      </c>
      <c r="W219" s="260">
        <f>(W42*'Data - P&amp;L'!$C$47)+(W42*'Data - P&amp;L'!$C$51)</f>
        <v>758.72</v>
      </c>
      <c r="X219" s="260">
        <f>(X42*'Data - P&amp;L'!$C$47)+(X42*'Data - P&amp;L'!$C$51)</f>
        <v>486.055</v>
      </c>
      <c r="Y219" s="260">
        <f>(Y42*'Data - P&amp;L'!$C$47)+(Y42*'Data - P&amp;L'!$C$51)</f>
        <v>640.17</v>
      </c>
      <c r="Z219" s="260">
        <f>(Z42*'Data - P&amp;L'!$C$47)+(Z42*'Data - P&amp;L'!$C$51)</f>
        <v>474.2</v>
      </c>
      <c r="AA219" s="260">
        <f>(AA42*'Data - P&amp;L'!$C$47)+(AA42*'Data - P&amp;L'!$C$51)</f>
        <v>604.605</v>
      </c>
      <c r="AB219" s="260">
        <f>(AB42*'Data - P&amp;L'!$C$47)+(AB42*'Data - P&amp;L'!$C$51)</f>
        <v>924.69</v>
      </c>
      <c r="AC219" s="260">
        <f>(AC42*'Data - P&amp;L'!$C$47)+(AC42*'Data - P&amp;L'!$C$51)</f>
        <v>462.345</v>
      </c>
      <c r="AD219" s="260">
        <f>(AD42*'Data - P&amp;L'!$C$47)+(AD42*'Data - P&amp;L'!$C$51)</f>
        <v>391.215</v>
      </c>
      <c r="AE219" s="260">
        <f>(AE42*'Data - P&amp;L'!$C$47)+(AE42*'Data - P&amp;L'!$C$51)</f>
        <v>438.635</v>
      </c>
      <c r="AF219" s="260">
        <f>(AF42*'Data - P&amp;L'!$C$47)+(AF42*'Data - P&amp;L'!$C$51)</f>
        <v>687.59</v>
      </c>
      <c r="AG219" s="303">
        <f t="shared" si="59"/>
        <v>26709.315</v>
      </c>
    </row>
    <row r="220">
      <c r="A220" s="210" t="s">
        <v>598</v>
      </c>
      <c r="B220" s="260">
        <f>(B32*'Data - P&amp;L'!$C$44)+(B42*'Data - P&amp;L'!$D$44)</f>
        <v>19.92</v>
      </c>
      <c r="C220" s="260">
        <f>(C32*'Data - P&amp;L'!$C$44)+(C42*'Data - P&amp;L'!$D$44)</f>
        <v>22.8</v>
      </c>
      <c r="D220" s="260">
        <f>(D32*'Data - P&amp;L'!$C$44)+(D42*'Data - P&amp;L'!$D$44)</f>
        <v>37.2</v>
      </c>
      <c r="E220" s="260">
        <f>(E32*'Data - P&amp;L'!$C$44)+(E42*'Data - P&amp;L'!$D$44)</f>
        <v>60.48</v>
      </c>
      <c r="F220" s="260">
        <f>(F32*'Data - P&amp;L'!$C$44)+(F42*'Data - P&amp;L'!$D$44)</f>
        <v>70.32</v>
      </c>
      <c r="G220" s="260">
        <f>(G32*'Data - P&amp;L'!$C$44)+(G42*'Data - P&amp;L'!$D$44)</f>
        <v>95.76</v>
      </c>
      <c r="H220" s="260">
        <f>(H32*'Data - P&amp;L'!$C$44)+(H42*'Data - P&amp;L'!$D$44)</f>
        <v>98.64</v>
      </c>
      <c r="I220" s="260">
        <f>(I32*'Data - P&amp;L'!$C$44)+(I42*'Data - P&amp;L'!$D$44)</f>
        <v>98.64</v>
      </c>
      <c r="J220" s="260">
        <f>(J32*'Data - P&amp;L'!$C$44)+(J42*'Data - P&amp;L'!$D$44)</f>
        <v>78.96</v>
      </c>
      <c r="K220" s="260">
        <f>(K32*'Data - P&amp;L'!$C$44)+(K42*'Data - P&amp;L'!$D$44)</f>
        <v>71.28</v>
      </c>
      <c r="L220" s="260">
        <f>(L32*'Data - P&amp;L'!$C$44)+(L42*'Data - P&amp;L'!$D$44)</f>
        <v>56.88</v>
      </c>
      <c r="M220" s="260">
        <f>(M32*'Data - P&amp;L'!$C$44)+(M42*'Data - P&amp;L'!$D$44)</f>
        <v>69.84</v>
      </c>
      <c r="N220" s="260">
        <f>(N32*'Data - P&amp;L'!$C$44)+(N42*'Data - P&amp;L'!$D$44)</f>
        <v>39.6</v>
      </c>
      <c r="O220" s="260">
        <f>(O32*'Data - P&amp;L'!$C$44)+(O42*'Data - P&amp;L'!$D$44)</f>
        <v>35.52</v>
      </c>
      <c r="P220" s="260">
        <f>(P32*'Data - P&amp;L'!$C$44)+(P42*'Data - P&amp;L'!$D$44)</f>
        <v>32.88</v>
      </c>
      <c r="Q220" s="260">
        <f>(Q32*'Data - P&amp;L'!$C$44)+(Q42*'Data - P&amp;L'!$D$44)</f>
        <v>22.56</v>
      </c>
      <c r="R220" s="260">
        <f>(R32*'Data - P&amp;L'!$C$44)+(R42*'Data - P&amp;L'!$D$44)</f>
        <v>23.28</v>
      </c>
      <c r="S220" s="260">
        <f>(S32*'Data - P&amp;L'!$C$44)+(S42*'Data - P&amp;L'!$D$44)</f>
        <v>30.96</v>
      </c>
      <c r="T220" s="260">
        <f>(T32*'Data - P&amp;L'!$C$44)+(T42*'Data - P&amp;L'!$D$44)</f>
        <v>29.52</v>
      </c>
      <c r="U220" s="260">
        <f>(U32*'Data - P&amp;L'!$C$44)+(U42*'Data - P&amp;L'!$D$44)</f>
        <v>32.88</v>
      </c>
      <c r="V220" s="260">
        <f>(V32*'Data - P&amp;L'!$C$44)+(V42*'Data - P&amp;L'!$D$44)</f>
        <v>25.44</v>
      </c>
      <c r="W220" s="260">
        <f>(W32*'Data - P&amp;L'!$C$44)+(W42*'Data - P&amp;L'!$D$44)</f>
        <v>34.8</v>
      </c>
      <c r="X220" s="260">
        <f>(X32*'Data - P&amp;L'!$C$44)+(X42*'Data - P&amp;L'!$D$44)</f>
        <v>20.16</v>
      </c>
      <c r="Y220" s="260">
        <f>(Y32*'Data - P&amp;L'!$C$44)+(Y42*'Data - P&amp;L'!$D$44)</f>
        <v>26.4</v>
      </c>
      <c r="Z220" s="260">
        <f>(Z32*'Data - P&amp;L'!$C$44)+(Z42*'Data - P&amp;L'!$D$44)</f>
        <v>23.04</v>
      </c>
      <c r="AA220" s="260">
        <f>(AA32*'Data - P&amp;L'!$C$44)+(AA42*'Data - P&amp;L'!$D$44)</f>
        <v>24.48</v>
      </c>
      <c r="AB220" s="260">
        <f>(AB32*'Data - P&amp;L'!$C$44)+(AB42*'Data - P&amp;L'!$D$44)</f>
        <v>32.64</v>
      </c>
      <c r="AC220" s="260">
        <f>(AC32*'Data - P&amp;L'!$C$44)+(AC42*'Data - P&amp;L'!$D$44)</f>
        <v>20.88</v>
      </c>
      <c r="AD220" s="260">
        <f>(AD32*'Data - P&amp;L'!$C$44)+(AD42*'Data - P&amp;L'!$D$44)</f>
        <v>18.96</v>
      </c>
      <c r="AE220" s="260">
        <f>(AE32*'Data - P&amp;L'!$C$44)+(AE42*'Data - P&amp;L'!$D$44)</f>
        <v>18.72</v>
      </c>
      <c r="AF220" s="260">
        <f>(AF32*'Data - P&amp;L'!$C$44)+(AF42*'Data - P&amp;L'!$D$44)</f>
        <v>25.2</v>
      </c>
      <c r="AG220" s="303">
        <f t="shared" si="59"/>
        <v>1298.64</v>
      </c>
    </row>
    <row r="221">
      <c r="A221" s="369" t="s">
        <v>599</v>
      </c>
      <c r="B221" s="260">
        <f t="shared" ref="B221:AF221" si="60">B22</f>
        <v>756.74</v>
      </c>
      <c r="C221" s="260">
        <f t="shared" si="60"/>
        <v>783.21</v>
      </c>
      <c r="D221" s="260">
        <f t="shared" si="60"/>
        <v>1874.14</v>
      </c>
      <c r="E221" s="260">
        <f t="shared" si="60"/>
        <v>3497.26</v>
      </c>
      <c r="F221" s="260">
        <f t="shared" si="60"/>
        <v>3680.15</v>
      </c>
      <c r="G221" s="260">
        <f t="shared" si="60"/>
        <v>5467.42</v>
      </c>
      <c r="H221" s="260">
        <f t="shared" si="60"/>
        <v>5713.12</v>
      </c>
      <c r="I221" s="260">
        <f t="shared" si="60"/>
        <v>5574.84</v>
      </c>
      <c r="J221" s="260">
        <f t="shared" si="60"/>
        <v>4396.93</v>
      </c>
      <c r="K221" s="260">
        <f t="shared" si="60"/>
        <v>3959.1</v>
      </c>
      <c r="L221" s="260">
        <f t="shared" si="60"/>
        <v>3000.76</v>
      </c>
      <c r="M221" s="260">
        <f t="shared" si="60"/>
        <v>3010.8</v>
      </c>
      <c r="N221" s="260">
        <f t="shared" si="60"/>
        <v>1620.14</v>
      </c>
      <c r="O221" s="260">
        <f t="shared" si="60"/>
        <v>1495.27</v>
      </c>
      <c r="P221" s="260">
        <f t="shared" si="60"/>
        <v>1626.63</v>
      </c>
      <c r="Q221" s="260">
        <f t="shared" si="60"/>
        <v>1224.77</v>
      </c>
      <c r="R221" s="260">
        <f t="shared" si="60"/>
        <v>991.21</v>
      </c>
      <c r="S221" s="260">
        <f t="shared" si="60"/>
        <v>1408.55</v>
      </c>
      <c r="T221" s="260">
        <f t="shared" si="60"/>
        <v>1342.92</v>
      </c>
      <c r="U221" s="260">
        <f t="shared" si="60"/>
        <v>1718.23</v>
      </c>
      <c r="V221" s="260">
        <f t="shared" si="60"/>
        <v>1066.4</v>
      </c>
      <c r="W221" s="260">
        <f t="shared" si="60"/>
        <v>1811.17</v>
      </c>
      <c r="X221" s="260">
        <f t="shared" si="60"/>
        <v>968.47</v>
      </c>
      <c r="Y221" s="260">
        <f t="shared" si="60"/>
        <v>1257.75</v>
      </c>
      <c r="Z221" s="260">
        <f t="shared" si="60"/>
        <v>1289.02</v>
      </c>
      <c r="AA221" s="260">
        <f t="shared" si="60"/>
        <v>1129.24</v>
      </c>
      <c r="AB221" s="260">
        <f t="shared" si="60"/>
        <v>1354.93</v>
      </c>
      <c r="AC221" s="260">
        <f t="shared" si="60"/>
        <v>1150.36</v>
      </c>
      <c r="AD221" s="260">
        <f t="shared" si="60"/>
        <v>1012.01</v>
      </c>
      <c r="AE221" s="260">
        <f t="shared" si="60"/>
        <v>950.75</v>
      </c>
      <c r="AF221" s="260">
        <f t="shared" si="60"/>
        <v>1067.87</v>
      </c>
      <c r="AG221" s="303">
        <f t="shared" si="59"/>
        <v>66200.16</v>
      </c>
    </row>
    <row r="222">
      <c r="A222" s="86" t="s">
        <v>600</v>
      </c>
      <c r="B222" s="263">
        <f t="shared" ref="B222:AF222" si="61">B23</f>
        <v>0.08</v>
      </c>
      <c r="C222" s="263">
        <f t="shared" si="61"/>
        <v>18.61</v>
      </c>
      <c r="D222" s="263">
        <f t="shared" si="61"/>
        <v>46.65</v>
      </c>
      <c r="E222" s="263">
        <f t="shared" si="61"/>
        <v>0.24</v>
      </c>
      <c r="F222" s="263">
        <f t="shared" si="61"/>
        <v>61.1</v>
      </c>
      <c r="G222" s="263">
        <f t="shared" si="61"/>
        <v>69.15</v>
      </c>
      <c r="H222" s="263">
        <f t="shared" si="61"/>
        <v>69.43</v>
      </c>
      <c r="I222" s="263">
        <f t="shared" si="61"/>
        <v>35.75</v>
      </c>
      <c r="J222" s="263">
        <f t="shared" si="61"/>
        <v>41.93</v>
      </c>
      <c r="K222" s="263">
        <f t="shared" si="61"/>
        <v>55.5</v>
      </c>
      <c r="L222" s="263">
        <f t="shared" si="61"/>
        <v>44.68</v>
      </c>
      <c r="M222" s="263">
        <f t="shared" si="61"/>
        <v>42.89</v>
      </c>
      <c r="N222" s="263">
        <f t="shared" si="61"/>
        <v>19.62</v>
      </c>
      <c r="O222" s="263">
        <f t="shared" si="61"/>
        <v>22.76</v>
      </c>
      <c r="P222" s="263">
        <f t="shared" si="61"/>
        <v>20.17</v>
      </c>
      <c r="Q222" s="263">
        <f t="shared" si="61"/>
        <v>7.63</v>
      </c>
      <c r="R222" s="263">
        <f t="shared" si="61"/>
        <v>7.92</v>
      </c>
      <c r="S222" s="263">
        <f t="shared" si="61"/>
        <v>12.87</v>
      </c>
      <c r="T222" s="263">
        <f t="shared" si="61"/>
        <v>36.44</v>
      </c>
      <c r="U222" s="263">
        <f t="shared" si="61"/>
        <v>26.09</v>
      </c>
      <c r="V222" s="263">
        <f t="shared" si="61"/>
        <v>6.99</v>
      </c>
      <c r="W222" s="263">
        <f t="shared" si="61"/>
        <v>37.8</v>
      </c>
      <c r="X222" s="263">
        <f t="shared" si="61"/>
        <v>8.27</v>
      </c>
      <c r="Y222" s="263">
        <f t="shared" si="61"/>
        <v>7.15</v>
      </c>
      <c r="Z222" s="263">
        <f t="shared" si="61"/>
        <v>28.12</v>
      </c>
      <c r="AA222" s="263">
        <f t="shared" si="61"/>
        <v>0.08</v>
      </c>
      <c r="AB222" s="263">
        <f t="shared" si="61"/>
        <v>11.18</v>
      </c>
      <c r="AC222" s="263">
        <f t="shared" si="61"/>
        <v>11.79</v>
      </c>
      <c r="AD222" s="263">
        <f t="shared" si="61"/>
        <v>15.26</v>
      </c>
      <c r="AE222" s="263">
        <f t="shared" si="61"/>
        <v>0.16</v>
      </c>
      <c r="AF222" s="263">
        <f t="shared" si="61"/>
        <v>3.89</v>
      </c>
      <c r="AG222" s="303">
        <f t="shared" si="59"/>
        <v>770.2</v>
      </c>
    </row>
    <row r="223">
      <c r="A223" s="86" t="s">
        <v>601</v>
      </c>
      <c r="B223" s="263">
        <f t="shared" ref="B223:AF223" si="62">B24</f>
        <v>0.17</v>
      </c>
      <c r="C223" s="263">
        <f t="shared" si="62"/>
        <v>13.64</v>
      </c>
      <c r="D223" s="263">
        <f t="shared" si="62"/>
        <v>27.28</v>
      </c>
      <c r="E223" s="263">
        <f t="shared" si="62"/>
        <v>49.4</v>
      </c>
      <c r="F223" s="263">
        <f t="shared" si="62"/>
        <v>49.07</v>
      </c>
      <c r="G223" s="263">
        <f t="shared" si="62"/>
        <v>63.89</v>
      </c>
      <c r="H223" s="263">
        <f t="shared" si="62"/>
        <v>81.17</v>
      </c>
      <c r="I223" s="263">
        <f t="shared" si="62"/>
        <v>82.52</v>
      </c>
      <c r="J223" s="263">
        <f t="shared" si="62"/>
        <v>76.69</v>
      </c>
      <c r="K223" s="263">
        <f t="shared" si="62"/>
        <v>76.18</v>
      </c>
      <c r="L223" s="263">
        <f t="shared" si="62"/>
        <v>46.44</v>
      </c>
      <c r="M223" s="263">
        <f t="shared" si="62"/>
        <v>5.34</v>
      </c>
      <c r="N223" s="263">
        <f t="shared" si="62"/>
        <v>22.29</v>
      </c>
      <c r="O223" s="263">
        <f t="shared" si="62"/>
        <v>13.64</v>
      </c>
      <c r="P223" s="263">
        <f t="shared" si="62"/>
        <v>19.32</v>
      </c>
      <c r="Q223" s="263">
        <f t="shared" si="62"/>
        <v>10.34</v>
      </c>
      <c r="R223" s="263">
        <f t="shared" si="62"/>
        <v>13.81</v>
      </c>
      <c r="S223" s="263">
        <f t="shared" si="62"/>
        <v>9.32</v>
      </c>
      <c r="T223" s="263">
        <f t="shared" si="62"/>
        <v>18.81</v>
      </c>
      <c r="U223" s="263">
        <f t="shared" si="62"/>
        <v>13.64</v>
      </c>
      <c r="V223" s="263">
        <f t="shared" si="62"/>
        <v>20.95</v>
      </c>
      <c r="W223" s="263">
        <f t="shared" si="62"/>
        <v>17.97</v>
      </c>
      <c r="X223" s="263">
        <f t="shared" si="62"/>
        <v>13.64</v>
      </c>
      <c r="Y223" s="263">
        <f t="shared" si="62"/>
        <v>9.32</v>
      </c>
      <c r="Z223" s="263">
        <f t="shared" si="62"/>
        <v>9.32</v>
      </c>
      <c r="AA223" s="263">
        <f t="shared" si="62"/>
        <v>9.15</v>
      </c>
      <c r="AB223" s="263">
        <f t="shared" si="62"/>
        <v>13.47</v>
      </c>
      <c r="AC223" s="263">
        <f t="shared" si="62"/>
        <v>8.98</v>
      </c>
      <c r="AD223" s="263">
        <f t="shared" si="62"/>
        <v>7.65</v>
      </c>
      <c r="AE223" s="263">
        <f t="shared" si="62"/>
        <v>0.34</v>
      </c>
      <c r="AF223" s="263">
        <f t="shared" si="62"/>
        <v>0.51</v>
      </c>
      <c r="AG223" s="303">
        <f t="shared" si="59"/>
        <v>804.26</v>
      </c>
    </row>
    <row r="224">
      <c r="A224" s="86"/>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263"/>
      <c r="Z224" s="263"/>
      <c r="AA224" s="263"/>
      <c r="AB224" s="263"/>
      <c r="AC224" s="263"/>
      <c r="AD224" s="263"/>
      <c r="AE224" s="263"/>
      <c r="AF224" s="263"/>
      <c r="AG224" s="303"/>
    </row>
    <row r="225">
      <c r="A225" s="105" t="s">
        <v>602</v>
      </c>
      <c r="B225" s="263">
        <f t="shared" ref="B225:AF225" si="63">SUM(B207:B223)</f>
        <v>9934.3925</v>
      </c>
      <c r="C225" s="263">
        <f t="shared" si="63"/>
        <v>10725.023</v>
      </c>
      <c r="D225" s="263">
        <f t="shared" si="63"/>
        <v>22703.8885</v>
      </c>
      <c r="E225" s="263">
        <f t="shared" si="63"/>
        <v>38425.527</v>
      </c>
      <c r="F225" s="263">
        <f t="shared" si="63"/>
        <v>41122.354</v>
      </c>
      <c r="G225" s="263">
        <f t="shared" si="63"/>
        <v>60518.363</v>
      </c>
      <c r="H225" s="263">
        <f t="shared" si="63"/>
        <v>63196.733</v>
      </c>
      <c r="I225" s="263">
        <f t="shared" si="63"/>
        <v>61456.948</v>
      </c>
      <c r="J225" s="263">
        <f t="shared" si="63"/>
        <v>49200.214</v>
      </c>
      <c r="K225" s="263">
        <f t="shared" si="63"/>
        <v>43237.1425</v>
      </c>
      <c r="L225" s="263">
        <f t="shared" si="63"/>
        <v>32714.0605</v>
      </c>
      <c r="M225" s="263">
        <f t="shared" si="63"/>
        <v>32962.611</v>
      </c>
      <c r="N225" s="263">
        <f t="shared" si="63"/>
        <v>19507.9695</v>
      </c>
      <c r="O225" s="263">
        <f t="shared" si="63"/>
        <v>17834.0045</v>
      </c>
      <c r="P225" s="263">
        <f t="shared" si="63"/>
        <v>18358.39</v>
      </c>
      <c r="Q225" s="263">
        <f t="shared" si="63"/>
        <v>14316.813</v>
      </c>
      <c r="R225" s="263">
        <f t="shared" si="63"/>
        <v>11734.969</v>
      </c>
      <c r="S225" s="263">
        <f t="shared" si="63"/>
        <v>16215.619</v>
      </c>
      <c r="T225" s="263">
        <f t="shared" si="63"/>
        <v>15493.3555</v>
      </c>
      <c r="U225" s="263">
        <f t="shared" si="63"/>
        <v>18614.448</v>
      </c>
      <c r="V225" s="263">
        <f t="shared" si="63"/>
        <v>13140.861</v>
      </c>
      <c r="W225" s="263">
        <f t="shared" si="63"/>
        <v>20088.773</v>
      </c>
      <c r="X225" s="263">
        <f t="shared" si="63"/>
        <v>11739.911</v>
      </c>
      <c r="Y225" s="263">
        <f t="shared" si="63"/>
        <v>15202.691</v>
      </c>
      <c r="Z225" s="263">
        <f t="shared" si="63"/>
        <v>15512.227</v>
      </c>
      <c r="AA225" s="263">
        <f t="shared" si="63"/>
        <v>13805.8445</v>
      </c>
      <c r="AB225" s="263">
        <f t="shared" si="63"/>
        <v>16155.527</v>
      </c>
      <c r="AC225" s="263">
        <f t="shared" si="63"/>
        <v>12681.3995</v>
      </c>
      <c r="AD225" s="263">
        <f t="shared" si="63"/>
        <v>12560.612</v>
      </c>
      <c r="AE225" s="263">
        <f t="shared" si="63"/>
        <v>11299.9655</v>
      </c>
      <c r="AF225" s="263">
        <f t="shared" si="63"/>
        <v>13069.1525</v>
      </c>
      <c r="AG225" s="303">
        <f>SUM(B225:AF225)</f>
        <v>753529.7895</v>
      </c>
    </row>
    <row r="226">
      <c r="A226" s="98"/>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263"/>
      <c r="Z226" s="263"/>
      <c r="AA226" s="263"/>
      <c r="AB226" s="263"/>
      <c r="AC226" s="263"/>
      <c r="AD226" s="263"/>
      <c r="AE226" s="263"/>
      <c r="AF226" s="263"/>
      <c r="AG226" s="303"/>
    </row>
    <row r="227">
      <c r="A227" s="86"/>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263"/>
      <c r="Z227" s="263"/>
      <c r="AA227" s="263"/>
      <c r="AB227" s="263"/>
      <c r="AC227" s="263"/>
      <c r="AD227" s="263"/>
      <c r="AE227" s="263"/>
      <c r="AF227" s="263"/>
      <c r="AG227" s="303"/>
    </row>
    <row r="228">
      <c r="A228" s="266" t="s">
        <v>415</v>
      </c>
      <c r="B228" s="267"/>
      <c r="C228" s="267"/>
      <c r="D228" s="267"/>
      <c r="E228" s="267"/>
      <c r="F228" s="267"/>
      <c r="G228" s="267"/>
      <c r="H228" s="267"/>
      <c r="I228" s="267"/>
      <c r="J228" s="267"/>
      <c r="K228" s="267"/>
      <c r="L228" s="267"/>
      <c r="M228" s="267"/>
      <c r="N228" s="267"/>
      <c r="O228" s="267"/>
      <c r="P228" s="267"/>
      <c r="Q228" s="267"/>
      <c r="R228" s="267"/>
      <c r="S228" s="267"/>
      <c r="T228" s="267"/>
      <c r="U228" s="267"/>
      <c r="V228" s="267"/>
      <c r="W228" s="267"/>
      <c r="X228" s="267"/>
      <c r="Y228" s="267"/>
      <c r="Z228" s="267"/>
      <c r="AA228" s="267"/>
      <c r="AB228" s="267"/>
      <c r="AC228" s="267"/>
      <c r="AD228" s="267"/>
      <c r="AE228" s="267"/>
      <c r="AF228" s="267"/>
      <c r="AG228" s="370"/>
    </row>
    <row r="229">
      <c r="A229" s="371">
        <f>AG25</f>
        <v>1009936.53</v>
      </c>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263"/>
      <c r="Z229" s="263"/>
      <c r="AA229" s="263"/>
      <c r="AB229" s="263"/>
      <c r="AC229" s="263"/>
      <c r="AD229" s="263"/>
      <c r="AE229" s="263"/>
      <c r="AF229" s="263"/>
      <c r="AG229" s="303"/>
    </row>
    <row r="230">
      <c r="A230" s="270" t="s">
        <v>416</v>
      </c>
      <c r="B230" s="263">
        <f t="shared" ref="B230:AF230" si="64">B25-B225</f>
        <v>1677.1575</v>
      </c>
      <c r="C230" s="263">
        <f t="shared" si="64"/>
        <v>1912.997</v>
      </c>
      <c r="D230" s="263">
        <f t="shared" si="64"/>
        <v>6004.3015</v>
      </c>
      <c r="E230" s="263">
        <f t="shared" si="64"/>
        <v>14812.053</v>
      </c>
      <c r="F230" s="263">
        <f t="shared" si="64"/>
        <v>16585.206</v>
      </c>
      <c r="G230" s="263">
        <f t="shared" si="64"/>
        <v>22627.057</v>
      </c>
      <c r="H230" s="263">
        <f t="shared" si="64"/>
        <v>23391.087</v>
      </c>
      <c r="I230" s="263">
        <f t="shared" si="64"/>
        <v>22577.172</v>
      </c>
      <c r="J230" s="263">
        <f t="shared" si="64"/>
        <v>19711.746</v>
      </c>
      <c r="K230" s="263">
        <f t="shared" si="64"/>
        <v>17415.6075</v>
      </c>
      <c r="L230" s="263">
        <f t="shared" si="64"/>
        <v>12653.2095</v>
      </c>
      <c r="M230" s="263">
        <f t="shared" si="64"/>
        <v>12070.929</v>
      </c>
      <c r="N230" s="263">
        <f t="shared" si="64"/>
        <v>6007.9605</v>
      </c>
      <c r="O230" s="263">
        <f t="shared" si="64"/>
        <v>5847.2255</v>
      </c>
      <c r="P230" s="263">
        <f t="shared" si="64"/>
        <v>6151.21</v>
      </c>
      <c r="Q230" s="263">
        <f t="shared" si="64"/>
        <v>4142.407</v>
      </c>
      <c r="R230" s="263">
        <f t="shared" si="64"/>
        <v>2996.091</v>
      </c>
      <c r="S230" s="263">
        <f t="shared" si="64"/>
        <v>5201.241</v>
      </c>
      <c r="T230" s="263">
        <f t="shared" si="64"/>
        <v>4329.6145</v>
      </c>
      <c r="U230" s="263">
        <f t="shared" si="64"/>
        <v>6754.072</v>
      </c>
      <c r="V230" s="263">
        <f t="shared" si="64"/>
        <v>3697.479</v>
      </c>
      <c r="W230" s="263">
        <f t="shared" si="64"/>
        <v>7735.847</v>
      </c>
      <c r="X230" s="263">
        <f t="shared" si="64"/>
        <v>3034.029</v>
      </c>
      <c r="Y230" s="263">
        <f t="shared" si="64"/>
        <v>4016.649</v>
      </c>
      <c r="Z230" s="263">
        <f t="shared" si="64"/>
        <v>3443.353</v>
      </c>
      <c r="AA230" s="263">
        <f t="shared" si="64"/>
        <v>3698.1855</v>
      </c>
      <c r="AB230" s="263">
        <f t="shared" si="64"/>
        <v>4598.053</v>
      </c>
      <c r="AC230" s="263">
        <f t="shared" si="64"/>
        <v>3732.7305</v>
      </c>
      <c r="AD230" s="263">
        <f t="shared" si="64"/>
        <v>3142.868</v>
      </c>
      <c r="AE230" s="263">
        <f t="shared" si="64"/>
        <v>2868.4045</v>
      </c>
      <c r="AF230" s="263">
        <f t="shared" si="64"/>
        <v>3570.7975</v>
      </c>
      <c r="AG230" s="303">
        <f>SUM(B230:AF230)</f>
        <v>256406.7405</v>
      </c>
    </row>
    <row r="231">
      <c r="A231" s="372">
        <f>SUM(B230:AF230)</f>
        <v>256406.7405</v>
      </c>
      <c r="B231" s="272"/>
      <c r="C231" s="272"/>
      <c r="D231" s="272"/>
      <c r="E231" s="272"/>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2"/>
      <c r="AB231" s="272"/>
      <c r="AC231" s="272"/>
      <c r="AD231" s="272"/>
      <c r="AE231" s="272"/>
      <c r="AF231" s="272"/>
      <c r="AG231" s="303"/>
    </row>
    <row r="232">
      <c r="A232" s="270" t="s">
        <v>417</v>
      </c>
      <c r="B232" s="272">
        <f t="shared" ref="B232:AF232" si="65">B230/B25</f>
        <v>0.144438727</v>
      </c>
      <c r="C232" s="272">
        <f t="shared" si="65"/>
        <v>0.1513684106</v>
      </c>
      <c r="D232" s="272">
        <f t="shared" si="65"/>
        <v>0.2091494274</v>
      </c>
      <c r="E232" s="272">
        <f t="shared" si="65"/>
        <v>0.2782255129</v>
      </c>
      <c r="F232" s="272">
        <f t="shared" si="65"/>
        <v>0.2874009229</v>
      </c>
      <c r="G232" s="272">
        <f t="shared" si="65"/>
        <v>0.2721383451</v>
      </c>
      <c r="H232" s="272">
        <f t="shared" si="65"/>
        <v>0.2701429254</v>
      </c>
      <c r="I232" s="272">
        <f t="shared" si="65"/>
        <v>0.2686667273</v>
      </c>
      <c r="J232" s="272">
        <f t="shared" si="65"/>
        <v>0.2860424518</v>
      </c>
      <c r="K232" s="272">
        <f t="shared" si="65"/>
        <v>0.2871363211</v>
      </c>
      <c r="L232" s="272">
        <f t="shared" si="65"/>
        <v>0.2789061255</v>
      </c>
      <c r="M232" s="272">
        <f t="shared" si="65"/>
        <v>0.2680430852</v>
      </c>
      <c r="N232" s="272">
        <f t="shared" si="65"/>
        <v>0.2354592014</v>
      </c>
      <c r="O232" s="272">
        <f t="shared" si="65"/>
        <v>0.2469139272</v>
      </c>
      <c r="P232" s="272">
        <f t="shared" si="65"/>
        <v>0.2509714561</v>
      </c>
      <c r="Q232" s="272">
        <f t="shared" si="65"/>
        <v>0.2244085611</v>
      </c>
      <c r="R232" s="272">
        <f t="shared" si="65"/>
        <v>0.2033859749</v>
      </c>
      <c r="S232" s="272">
        <f t="shared" si="65"/>
        <v>0.2428573096</v>
      </c>
      <c r="T232" s="272">
        <f t="shared" si="65"/>
        <v>0.2184140167</v>
      </c>
      <c r="U232" s="272">
        <f t="shared" si="65"/>
        <v>0.2662383143</v>
      </c>
      <c r="V232" s="272">
        <f t="shared" si="65"/>
        <v>0.219586907</v>
      </c>
      <c r="W232" s="272">
        <f t="shared" si="65"/>
        <v>0.2780216585</v>
      </c>
      <c r="X232" s="272">
        <f t="shared" si="65"/>
        <v>0.2053635658</v>
      </c>
      <c r="Y232" s="272">
        <f t="shared" si="65"/>
        <v>0.2089899549</v>
      </c>
      <c r="Z232" s="272">
        <f t="shared" si="65"/>
        <v>0.1816537927</v>
      </c>
      <c r="AA232" s="272">
        <f t="shared" si="65"/>
        <v>0.2112762318</v>
      </c>
      <c r="AB232" s="272">
        <f t="shared" si="65"/>
        <v>0.2215546908</v>
      </c>
      <c r="AC232" s="272">
        <f t="shared" si="65"/>
        <v>0.2274095855</v>
      </c>
      <c r="AD232" s="272">
        <f t="shared" si="65"/>
        <v>0.2001383133</v>
      </c>
      <c r="AE232" s="272">
        <f t="shared" si="65"/>
        <v>0.20245127</v>
      </c>
      <c r="AF232" s="272">
        <f t="shared" si="65"/>
        <v>0.2145918407</v>
      </c>
      <c r="AG232" s="303"/>
    </row>
    <row r="233">
      <c r="A233" s="273">
        <f>A231/A229</f>
        <v>0.2538840144</v>
      </c>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263"/>
      <c r="Z233" s="263"/>
      <c r="AA233" s="263"/>
      <c r="AB233" s="263"/>
      <c r="AC233" s="263"/>
      <c r="AD233" s="263"/>
      <c r="AE233" s="263"/>
      <c r="AF233" s="263"/>
      <c r="AG233" s="303"/>
    </row>
    <row r="234">
      <c r="A234" s="274" t="s">
        <v>418</v>
      </c>
      <c r="B234" s="275">
        <f>Summary!B98</f>
        <v>6.565724819</v>
      </c>
      <c r="C234" s="275">
        <f>Summary!C98</f>
        <v>7.287521624</v>
      </c>
      <c r="D234" s="275">
        <f>Summary!D98</f>
        <v>9.918289013</v>
      </c>
      <c r="E234" s="275">
        <f>Summary!E98</f>
        <v>16.2035026</v>
      </c>
      <c r="F234" s="275">
        <f>Summary!F98</f>
        <v>16.17300891</v>
      </c>
      <c r="G234" s="275">
        <f>Summary!G98</f>
        <v>20.92777444</v>
      </c>
      <c r="H234" s="275">
        <f>Summary!H98</f>
        <v>22.92933541</v>
      </c>
      <c r="I234" s="275">
        <f>Summary!I98</f>
        <v>22.47977508</v>
      </c>
      <c r="J234" s="275">
        <f>Summary!J98</f>
        <v>34.50376772</v>
      </c>
      <c r="K234" s="275">
        <f>Summary!K98</f>
        <v>37.76493406</v>
      </c>
      <c r="L234" s="275">
        <f>Summary!L98</f>
        <v>29.28394289</v>
      </c>
      <c r="M234" s="275">
        <f>Summary!M98</f>
        <v>27.00241042</v>
      </c>
      <c r="N234" s="275">
        <f>Summary!N98</f>
        <v>10.78756273</v>
      </c>
      <c r="O234" s="275">
        <f>Summary!O98</f>
        <v>10.91220463</v>
      </c>
      <c r="P234" s="275">
        <f>Summary!P98</f>
        <v>11.59180662</v>
      </c>
      <c r="Q234" s="275">
        <f>Summary!Q98</f>
        <v>8.582370527</v>
      </c>
      <c r="R234" s="275">
        <f>Summary!R98</f>
        <v>7.619329878</v>
      </c>
      <c r="S234" s="275">
        <f>Summary!S98</f>
        <v>10.08492925</v>
      </c>
      <c r="T234" s="275">
        <f>Summary!T98</f>
        <v>8.215583231</v>
      </c>
      <c r="U234" s="275">
        <f>Summary!U98</f>
        <v>12.55065824</v>
      </c>
      <c r="V234" s="275">
        <f>Summary!V98</f>
        <v>8.146742917</v>
      </c>
      <c r="W234" s="275">
        <f>Summary!W98</f>
        <v>13.74639106</v>
      </c>
      <c r="X234" s="275">
        <f>Summary!X98</f>
        <v>7.149914582</v>
      </c>
      <c r="Y234" s="275">
        <f>Summary!Y98</f>
        <v>7.351170031</v>
      </c>
      <c r="Z234" s="275">
        <f>Summary!Z98</f>
        <v>5.997386605</v>
      </c>
      <c r="AA234" s="275">
        <f>Summary!AA98</f>
        <v>7.520496153</v>
      </c>
      <c r="AB234" s="275">
        <f>Summary!AB98</f>
        <v>8.33453678</v>
      </c>
      <c r="AC234" s="275">
        <f>Summary!AC98</f>
        <v>8.390094921</v>
      </c>
      <c r="AD234" s="275">
        <f>Summary!AD98</f>
        <v>6.513426298</v>
      </c>
      <c r="AE234" s="275">
        <f>Summary!AE98</f>
        <v>6.857675963</v>
      </c>
      <c r="AF234" s="275">
        <f>Summary!AF98</f>
        <v>7.673413203</v>
      </c>
      <c r="AG234" s="373"/>
    </row>
    <row r="235">
      <c r="A235" s="86"/>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263"/>
      <c r="Z235" s="263"/>
      <c r="AA235" s="263"/>
      <c r="AB235" s="263"/>
      <c r="AC235" s="263"/>
      <c r="AD235" s="263"/>
      <c r="AE235" s="263"/>
      <c r="AF235" s="263"/>
      <c r="AG235" s="303"/>
    </row>
    <row r="236">
      <c r="A236" s="86"/>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263"/>
      <c r="Z236" s="263"/>
      <c r="AA236" s="263"/>
      <c r="AB236" s="263"/>
      <c r="AC236" s="263"/>
      <c r="AD236" s="263"/>
      <c r="AE236" s="263"/>
      <c r="AF236" s="263"/>
      <c r="AG236" s="303"/>
    </row>
    <row r="237">
      <c r="A237" s="374" t="s">
        <v>603</v>
      </c>
      <c r="B237" s="262" t="str">
        <f t="shared" ref="B237:AD237" si="66">iferror(#REF!+#REF!+#REF!+#REF!+#REF!,"")</f>
        <v/>
      </c>
      <c r="C237" s="262" t="str">
        <f t="shared" si="66"/>
        <v/>
      </c>
      <c r="D237" s="262" t="str">
        <f t="shared" si="66"/>
        <v/>
      </c>
      <c r="E237" s="262" t="str">
        <f t="shared" si="66"/>
        <v/>
      </c>
      <c r="F237" s="262" t="str">
        <f t="shared" si="66"/>
        <v/>
      </c>
      <c r="G237" s="262" t="str">
        <f t="shared" si="66"/>
        <v/>
      </c>
      <c r="H237" s="262" t="str">
        <f t="shared" si="66"/>
        <v/>
      </c>
      <c r="I237" s="262" t="str">
        <f t="shared" si="66"/>
        <v/>
      </c>
      <c r="J237" s="262" t="str">
        <f t="shared" si="66"/>
        <v/>
      </c>
      <c r="K237" s="262" t="str">
        <f t="shared" si="66"/>
        <v/>
      </c>
      <c r="L237" s="262" t="str">
        <f t="shared" si="66"/>
        <v/>
      </c>
      <c r="M237" s="262" t="str">
        <f t="shared" si="66"/>
        <v/>
      </c>
      <c r="N237" s="262" t="str">
        <f t="shared" si="66"/>
        <v/>
      </c>
      <c r="O237" s="262" t="str">
        <f t="shared" si="66"/>
        <v/>
      </c>
      <c r="P237" s="262" t="str">
        <f t="shared" si="66"/>
        <v/>
      </c>
      <c r="Q237" s="262" t="str">
        <f t="shared" si="66"/>
        <v/>
      </c>
      <c r="R237" s="262" t="str">
        <f t="shared" si="66"/>
        <v/>
      </c>
      <c r="S237" s="262" t="str">
        <f t="shared" si="66"/>
        <v/>
      </c>
      <c r="T237" s="262" t="str">
        <f t="shared" si="66"/>
        <v/>
      </c>
      <c r="U237" s="262" t="str">
        <f t="shared" si="66"/>
        <v/>
      </c>
      <c r="V237" s="262" t="str">
        <f t="shared" si="66"/>
        <v/>
      </c>
      <c r="W237" s="262" t="str">
        <f t="shared" si="66"/>
        <v/>
      </c>
      <c r="X237" s="262" t="str">
        <f t="shared" si="66"/>
        <v/>
      </c>
      <c r="Y237" s="262" t="str">
        <f t="shared" si="66"/>
        <v/>
      </c>
      <c r="Z237" s="262" t="str">
        <f t="shared" si="66"/>
        <v/>
      </c>
      <c r="AA237" s="262" t="str">
        <f t="shared" si="66"/>
        <v/>
      </c>
      <c r="AB237" s="262" t="str">
        <f t="shared" si="66"/>
        <v/>
      </c>
      <c r="AC237" s="262" t="str">
        <f t="shared" si="66"/>
        <v/>
      </c>
      <c r="AD237" s="262" t="str">
        <f t="shared" si="66"/>
        <v/>
      </c>
      <c r="AE237" s="263"/>
      <c r="AF237" s="263"/>
      <c r="AG237" s="303">
        <f>SUM(B237:AD237)</f>
        <v>0</v>
      </c>
    </row>
    <row r="238">
      <c r="A238" s="245" t="s">
        <v>604</v>
      </c>
      <c r="B238" s="277">
        <f t="shared" ref="B238:AF238" si="67">SUM(B239:B247)-B248</f>
        <v>-280.32</v>
      </c>
      <c r="C238" s="277">
        <f t="shared" si="67"/>
        <v>-140.16</v>
      </c>
      <c r="D238" s="277">
        <f t="shared" si="67"/>
        <v>-280.32</v>
      </c>
      <c r="E238" s="277">
        <f t="shared" si="67"/>
        <v>-211.57</v>
      </c>
      <c r="F238" s="277">
        <f t="shared" si="67"/>
        <v>-757.8</v>
      </c>
      <c r="G238" s="277">
        <f t="shared" si="67"/>
        <v>-393.63</v>
      </c>
      <c r="H238" s="277">
        <f t="shared" si="67"/>
        <v>-679.6</v>
      </c>
      <c r="I238" s="277">
        <f t="shared" si="67"/>
        <v>-506.98</v>
      </c>
      <c r="J238" s="277">
        <f t="shared" si="67"/>
        <v>-994.61</v>
      </c>
      <c r="K238" s="277">
        <f t="shared" si="67"/>
        <v>-498.76</v>
      </c>
      <c r="L238" s="277">
        <f t="shared" si="67"/>
        <v>-1160.92</v>
      </c>
      <c r="M238" s="277">
        <f t="shared" si="67"/>
        <v>-37.33</v>
      </c>
      <c r="N238" s="277">
        <f t="shared" si="67"/>
        <v>-189.45</v>
      </c>
      <c r="O238" s="277">
        <f t="shared" si="67"/>
        <v>-140.16</v>
      </c>
      <c r="P238" s="277">
        <f t="shared" si="67"/>
        <v>-720.08</v>
      </c>
      <c r="Q238" s="277">
        <f t="shared" si="67"/>
        <v>-1298.98</v>
      </c>
      <c r="R238" s="277">
        <f t="shared" si="67"/>
        <v>-200.51</v>
      </c>
      <c r="S238" s="277">
        <f t="shared" si="67"/>
        <v>-200.51</v>
      </c>
      <c r="T238" s="277">
        <f t="shared" si="67"/>
        <v>-60.47</v>
      </c>
      <c r="U238" s="277">
        <f t="shared" si="67"/>
        <v>0</v>
      </c>
      <c r="V238" s="277">
        <f t="shared" si="67"/>
        <v>0</v>
      </c>
      <c r="W238" s="277">
        <f t="shared" si="67"/>
        <v>-378.9</v>
      </c>
      <c r="X238" s="277">
        <f t="shared" si="67"/>
        <v>-389.61</v>
      </c>
      <c r="Y238" s="277">
        <f t="shared" si="67"/>
        <v>-16.93</v>
      </c>
      <c r="Z238" s="277">
        <f t="shared" si="67"/>
        <v>-189.45</v>
      </c>
      <c r="AA238" s="277">
        <f t="shared" si="67"/>
        <v>-189.45</v>
      </c>
      <c r="AB238" s="277">
        <f t="shared" si="67"/>
        <v>0</v>
      </c>
      <c r="AC238" s="277">
        <f t="shared" si="67"/>
        <v>0</v>
      </c>
      <c r="AD238" s="277">
        <f t="shared" si="67"/>
        <v>-189.45</v>
      </c>
      <c r="AE238" s="277">
        <f t="shared" si="67"/>
        <v>-195.32</v>
      </c>
      <c r="AF238" s="277">
        <f t="shared" si="67"/>
        <v>-201.02</v>
      </c>
      <c r="AG238" s="303">
        <f t="shared" ref="AG238:AG284" si="68">SUM(B238:AF238)</f>
        <v>-10502.29</v>
      </c>
    </row>
    <row r="239">
      <c r="A239" s="215" t="s">
        <v>421</v>
      </c>
      <c r="B239" s="263">
        <f>(B127+B128)*'Data - P&amp;L'!$C$3</f>
        <v>173.8</v>
      </c>
      <c r="C239" s="263">
        <f>(C127+C128)*'Data - P&amp;L'!$C$3</f>
        <v>86.9</v>
      </c>
      <c r="D239" s="263">
        <f>(D127+D128)*'Data - P&amp;L'!$C$3</f>
        <v>173.8</v>
      </c>
      <c r="E239" s="263">
        <f>(E127+E128)*'Data - P&amp;L'!$C$3</f>
        <v>0</v>
      </c>
      <c r="F239" s="263">
        <f>(F127+F128)*'Data - P&amp;L'!$C$3</f>
        <v>0</v>
      </c>
      <c r="G239" s="263">
        <f>(G127+G128)*'Data - P&amp;L'!$C$3</f>
        <v>86.9</v>
      </c>
      <c r="H239" s="263">
        <f>(H127+H128)*'Data - P&amp;L'!$C$3</f>
        <v>0</v>
      </c>
      <c r="I239" s="263">
        <f>(I127+I128)*'Data - P&amp;L'!$C$3</f>
        <v>86.9</v>
      </c>
      <c r="J239" s="263">
        <f>(J127+J128)*'Data - P&amp;L'!$C$3</f>
        <v>0</v>
      </c>
      <c r="K239" s="263">
        <f>(K127+K128)*'Data - P&amp;L'!$C$3</f>
        <v>0</v>
      </c>
      <c r="L239" s="263">
        <f>(L127+L128)*'Data - P&amp;L'!$C$3</f>
        <v>0</v>
      </c>
      <c r="M239" s="263">
        <f>(M127+M128)*'Data - P&amp;L'!$C$3</f>
        <v>0</v>
      </c>
      <c r="N239" s="263">
        <f>(N127+N128)*'Data - P&amp;L'!$C$3</f>
        <v>0</v>
      </c>
      <c r="O239" s="263">
        <f>(O127+O128)*'Data - P&amp;L'!$C$3</f>
        <v>86.9</v>
      </c>
      <c r="P239" s="263">
        <f>(P127+P128)*'Data - P&amp;L'!$C$3</f>
        <v>86.9</v>
      </c>
      <c r="Q239" s="263">
        <f>(Q127+Q128)*'Data - P&amp;L'!$C$3</f>
        <v>86.9</v>
      </c>
      <c r="R239" s="263">
        <f>(R127+R128)*'Data - P&amp;L'!$C$3</f>
        <v>0</v>
      </c>
      <c r="S239" s="263">
        <f>(S127+S128)*'Data - P&amp;L'!$C$3</f>
        <v>0</v>
      </c>
      <c r="T239" s="263">
        <f>(T127+T128)*'Data - P&amp;L'!$C$3</f>
        <v>0</v>
      </c>
      <c r="U239" s="263">
        <f>(U127+U128)*'Data - P&amp;L'!$C$3</f>
        <v>0</v>
      </c>
      <c r="V239" s="263">
        <f>(V127+V128)*'Data - P&amp;L'!$C$3</f>
        <v>0</v>
      </c>
      <c r="W239" s="263">
        <f>(W127+W128)*'Data - P&amp;L'!$C$3</f>
        <v>0</v>
      </c>
      <c r="X239" s="263">
        <f>(X127+X128)*'Data - P&amp;L'!$C$3</f>
        <v>86.9</v>
      </c>
      <c r="Y239" s="263">
        <f>(Y127+Y128)*'Data - P&amp;L'!$C$3</f>
        <v>0</v>
      </c>
      <c r="Z239" s="263">
        <f>(Z127+Z128)*'Data - P&amp;L'!$C$3</f>
        <v>0</v>
      </c>
      <c r="AA239" s="263">
        <f>(AA127+AA128)*'Data - P&amp;L'!$C$3</f>
        <v>0</v>
      </c>
      <c r="AB239" s="263">
        <f>(AB127+AB128)*'Data - P&amp;L'!$C$3</f>
        <v>0</v>
      </c>
      <c r="AC239" s="263">
        <f>(AC127+AC128)*'Data - P&amp;L'!$C$3</f>
        <v>0</v>
      </c>
      <c r="AD239" s="263">
        <f>(AD127+AD128)*'Data - P&amp;L'!$C$3</f>
        <v>0</v>
      </c>
      <c r="AE239" s="263">
        <f>(AE127+AE128)*'Data - P&amp;L'!$C$3</f>
        <v>0</v>
      </c>
      <c r="AF239" s="263">
        <f>(AF127+AF128)*'Data - P&amp;L'!$C$3</f>
        <v>0</v>
      </c>
      <c r="AG239" s="303">
        <f t="shared" si="68"/>
        <v>955.9</v>
      </c>
    </row>
    <row r="240">
      <c r="A240" s="215" t="s">
        <v>422</v>
      </c>
      <c r="B240" s="263">
        <f>(B129+B130)*'Data - P&amp;L'!$C$4</f>
        <v>0</v>
      </c>
      <c r="C240" s="263">
        <f>(C129+C130)*'Data - P&amp;L'!$C$4</f>
        <v>0</v>
      </c>
      <c r="D240" s="263">
        <f>(D129+D130)*'Data - P&amp;L'!$C$4</f>
        <v>0</v>
      </c>
      <c r="E240" s="263">
        <f>(E129+E130)*'Data - P&amp;L'!$C$4</f>
        <v>97.61</v>
      </c>
      <c r="F240" s="263">
        <f>(F129+F130)*'Data - P&amp;L'!$C$4</f>
        <v>390.44</v>
      </c>
      <c r="G240" s="263">
        <f>(G129+G130)*'Data - P&amp;L'!$C$4</f>
        <v>97.61</v>
      </c>
      <c r="H240" s="263">
        <f>(H129+H130)*'Data - P&amp;L'!$C$4</f>
        <v>390.44</v>
      </c>
      <c r="I240" s="263">
        <f>(I129+I130)*'Data - P&amp;L'!$C$4</f>
        <v>195.22</v>
      </c>
      <c r="J240" s="263">
        <f>(J129+J130)*'Data - P&amp;L'!$C$4</f>
        <v>585.66</v>
      </c>
      <c r="K240" s="263">
        <f>(K129+K130)*'Data - P&amp;L'!$C$4</f>
        <v>292.83</v>
      </c>
      <c r="L240" s="263">
        <f>(L129+L130)*'Data - P&amp;L'!$C$4</f>
        <v>683.27</v>
      </c>
      <c r="M240" s="263">
        <f>(M129+M130)*'Data - P&amp;L'!$C$4</f>
        <v>0</v>
      </c>
      <c r="N240" s="263">
        <f>(N129+N130)*'Data - P&amp;L'!$C$4</f>
        <v>97.61</v>
      </c>
      <c r="O240" s="263">
        <f>(O129+O130)*'Data - P&amp;L'!$C$4</f>
        <v>0</v>
      </c>
      <c r="P240" s="263">
        <f>(P129+P130)*'Data - P&amp;L'!$C$4</f>
        <v>292.83</v>
      </c>
      <c r="Q240" s="263">
        <f>(Q129+Q130)*'Data - P&amp;L'!$C$4</f>
        <v>585.66</v>
      </c>
      <c r="R240" s="263">
        <f>(R129+R130)*'Data - P&amp;L'!$C$4</f>
        <v>97.61</v>
      </c>
      <c r="S240" s="263">
        <f>(S129+S130)*'Data - P&amp;L'!$C$4</f>
        <v>97.61</v>
      </c>
      <c r="T240" s="263">
        <f>(T129+T130)*'Data - P&amp;L'!$C$4</f>
        <v>0</v>
      </c>
      <c r="U240" s="263">
        <f>(U129+U130)*'Data - P&amp;L'!$C$4</f>
        <v>0</v>
      </c>
      <c r="V240" s="263">
        <f>(V129+V130)*'Data - P&amp;L'!$C$4</f>
        <v>0</v>
      </c>
      <c r="W240" s="263">
        <f>(W129+W130)*'Data - P&amp;L'!$C$4</f>
        <v>195.22</v>
      </c>
      <c r="X240" s="263">
        <f>(X129+X130)*'Data - P&amp;L'!$C$4</f>
        <v>97.61</v>
      </c>
      <c r="Y240" s="263">
        <f>(Y129+Y130)*'Data - P&amp;L'!$C$4</f>
        <v>0</v>
      </c>
      <c r="Z240" s="263">
        <f>(Z129+Z130)*'Data - P&amp;L'!$C$4</f>
        <v>97.61</v>
      </c>
      <c r="AA240" s="263">
        <f>(AA129+AA130)*'Data - P&amp;L'!$C$4</f>
        <v>97.61</v>
      </c>
      <c r="AB240" s="263">
        <f>(AB129+AB130)*'Data - P&amp;L'!$C$4</f>
        <v>0</v>
      </c>
      <c r="AC240" s="263">
        <f>(AC129+AC130)*'Data - P&amp;L'!$C$4</f>
        <v>0</v>
      </c>
      <c r="AD240" s="263">
        <f>(AD129+AD130)*'Data - P&amp;L'!$C$4</f>
        <v>97.61</v>
      </c>
      <c r="AE240" s="263">
        <f>(AE129+AE130)*'Data - P&amp;L'!$C$4</f>
        <v>97.61</v>
      </c>
      <c r="AF240" s="263">
        <f>(AF129+AF130)*'Data - P&amp;L'!$C$4</f>
        <v>97.61</v>
      </c>
      <c r="AG240" s="303">
        <f t="shared" si="68"/>
        <v>4685.28</v>
      </c>
    </row>
    <row r="241">
      <c r="A241" s="215" t="s">
        <v>423</v>
      </c>
      <c r="B241" s="263">
        <f>(B134)*'Data - P&amp;L'!$C$6</f>
        <v>0</v>
      </c>
      <c r="C241" s="263">
        <f>(C134)*'Data - P&amp;L'!$C$6</f>
        <v>0</v>
      </c>
      <c r="D241" s="263">
        <f>(D134)*'Data - P&amp;L'!$C$6</f>
        <v>0</v>
      </c>
      <c r="E241" s="263">
        <f>(E134)*'Data - P&amp;L'!$C$6</f>
        <v>0</v>
      </c>
      <c r="F241" s="263">
        <f>(F134)*'Data - P&amp;L'!$C$6</f>
        <v>0</v>
      </c>
      <c r="G241" s="263">
        <f>(G134)*'Data - P&amp;L'!$C$6</f>
        <v>5.49</v>
      </c>
      <c r="H241" s="263">
        <f>(H134)*'Data - P&amp;L'!$C$6</f>
        <v>5.49</v>
      </c>
      <c r="I241" s="263">
        <f>(I134)*'Data - P&amp;L'!$C$6</f>
        <v>10.98</v>
      </c>
      <c r="J241" s="263">
        <f>(J134)*'Data - P&amp;L'!$C$6</f>
        <v>5.49</v>
      </c>
      <c r="K241" s="263">
        <f>(K134)*'Data - P&amp;L'!$C$6</f>
        <v>5.49</v>
      </c>
      <c r="L241" s="263">
        <f>(L134)*'Data - P&amp;L'!$C$6</f>
        <v>5.49</v>
      </c>
      <c r="M241" s="263">
        <f>(M134)*'Data - P&amp;L'!$C$6</f>
        <v>0</v>
      </c>
      <c r="N241" s="263">
        <f>(N134)*'Data - P&amp;L'!$C$6</f>
        <v>0</v>
      </c>
      <c r="O241" s="263">
        <f>(O134)*'Data - P&amp;L'!$C$6</f>
        <v>0</v>
      </c>
      <c r="P241" s="263">
        <f>(P134)*'Data - P&amp;L'!$C$6</f>
        <v>5.49</v>
      </c>
      <c r="Q241" s="263">
        <f>(Q134)*'Data - P&amp;L'!$C$6</f>
        <v>0</v>
      </c>
      <c r="R241" s="263">
        <f>(R134)*'Data - P&amp;L'!$C$6</f>
        <v>0</v>
      </c>
      <c r="S241" s="263">
        <f>(S134)*'Data - P&amp;L'!$C$6</f>
        <v>0</v>
      </c>
      <c r="T241" s="263">
        <f>(T134)*'Data - P&amp;L'!$C$6</f>
        <v>10.98</v>
      </c>
      <c r="U241" s="263">
        <f>(U134)*'Data - P&amp;L'!$C$6</f>
        <v>0</v>
      </c>
      <c r="V241" s="263">
        <f>(V134)*'Data - P&amp;L'!$C$6</f>
        <v>0</v>
      </c>
      <c r="W241" s="263">
        <f>(W134)*'Data - P&amp;L'!$C$6</f>
        <v>0</v>
      </c>
      <c r="X241" s="263">
        <f>(X134)*'Data - P&amp;L'!$C$6</f>
        <v>0</v>
      </c>
      <c r="Y241" s="263">
        <f>(Y134)*'Data - P&amp;L'!$C$6</f>
        <v>0</v>
      </c>
      <c r="Z241" s="263">
        <f>(Z134)*'Data - P&amp;L'!$C$6</f>
        <v>0</v>
      </c>
      <c r="AA241" s="263">
        <f>(AA134)*'Data - P&amp;L'!$C$6</f>
        <v>0</v>
      </c>
      <c r="AB241" s="263">
        <f>(AB134)*'Data - P&amp;L'!$C$6</f>
        <v>0</v>
      </c>
      <c r="AC241" s="263">
        <f>(AC134)*'Data - P&amp;L'!$C$6</f>
        <v>0</v>
      </c>
      <c r="AD241" s="263">
        <f>(AD134)*'Data - P&amp;L'!$C$6</f>
        <v>0</v>
      </c>
      <c r="AE241" s="263">
        <f>(AE134)*'Data - P&amp;L'!$C$6</f>
        <v>0</v>
      </c>
      <c r="AF241" s="263">
        <f>(AF134)*'Data - P&amp;L'!$C$6</f>
        <v>5.49</v>
      </c>
      <c r="AG241" s="303">
        <f t="shared" si="68"/>
        <v>60.39</v>
      </c>
    </row>
    <row r="242">
      <c r="A242" s="215" t="s">
        <v>424</v>
      </c>
      <c r="B242" s="263">
        <f>(B135)*'Data - P&amp;L'!$C$8</f>
        <v>0</v>
      </c>
      <c r="C242" s="263">
        <f>(C135)*'Data - P&amp;L'!$C$8</f>
        <v>0</v>
      </c>
      <c r="D242" s="263">
        <f>(D135)*'Data - P&amp;L'!$C$8</f>
        <v>0</v>
      </c>
      <c r="E242" s="263">
        <f>(E135)*'Data - P&amp;L'!$C$8</f>
        <v>0</v>
      </c>
      <c r="F242" s="263">
        <f>(F135)*'Data - P&amp;L'!$C$8</f>
        <v>0</v>
      </c>
      <c r="G242" s="263">
        <f>(G135)*'Data - P&amp;L'!$C$8</f>
        <v>0</v>
      </c>
      <c r="H242" s="263">
        <f>(H135)*'Data - P&amp;L'!$C$8</f>
        <v>1.19</v>
      </c>
      <c r="I242" s="263">
        <f>(I135)*'Data - P&amp;L'!$C$8</f>
        <v>2.38</v>
      </c>
      <c r="J242" s="263">
        <f>(J135)*'Data - P&amp;L'!$C$8</f>
        <v>0</v>
      </c>
      <c r="K242" s="263">
        <f>(K135)*'Data - P&amp;L'!$C$8</f>
        <v>1.19</v>
      </c>
      <c r="L242" s="263">
        <f>(L135)*'Data - P&amp;L'!$C$8</f>
        <v>1.19</v>
      </c>
      <c r="M242" s="263">
        <f>(M135)*'Data - P&amp;L'!$C$8</f>
        <v>1.19</v>
      </c>
      <c r="N242" s="263">
        <f>(N135)*'Data - P&amp;L'!$C$8</f>
        <v>0</v>
      </c>
      <c r="O242" s="263">
        <f>(O135)*'Data - P&amp;L'!$C$8</f>
        <v>0</v>
      </c>
      <c r="P242" s="263">
        <f>(P135)*'Data - P&amp;L'!$C$8</f>
        <v>0</v>
      </c>
      <c r="Q242" s="263">
        <f>(Q135)*'Data - P&amp;L'!$C$8</f>
        <v>0</v>
      </c>
      <c r="R242" s="263">
        <f>(R135)*'Data - P&amp;L'!$C$8</f>
        <v>0</v>
      </c>
      <c r="S242" s="263">
        <f>(S135)*'Data - P&amp;L'!$C$8</f>
        <v>0</v>
      </c>
      <c r="T242" s="263">
        <f>(T135)*'Data - P&amp;L'!$C$8</f>
        <v>1.19</v>
      </c>
      <c r="U242" s="263">
        <f>(U135)*'Data - P&amp;L'!$C$8</f>
        <v>0</v>
      </c>
      <c r="V242" s="263">
        <f>(V135)*'Data - P&amp;L'!$C$8</f>
        <v>0</v>
      </c>
      <c r="W242" s="263">
        <f>(W135)*'Data - P&amp;L'!$C$8</f>
        <v>0</v>
      </c>
      <c r="X242" s="263">
        <f>(X135)*'Data - P&amp;L'!$C$8</f>
        <v>0</v>
      </c>
      <c r="Y242" s="263">
        <f>(Y135)*'Data - P&amp;L'!$C$8</f>
        <v>1.19</v>
      </c>
      <c r="Z242" s="263">
        <f>(Z135)*'Data - P&amp;L'!$C$8</f>
        <v>0</v>
      </c>
      <c r="AA242" s="263">
        <f>(AA135)*'Data - P&amp;L'!$C$8</f>
        <v>0</v>
      </c>
      <c r="AB242" s="263">
        <f>(AB135)*'Data - P&amp;L'!$C$8</f>
        <v>0</v>
      </c>
      <c r="AC242" s="263">
        <f>(AC135)*'Data - P&amp;L'!$C$8</f>
        <v>0</v>
      </c>
      <c r="AD242" s="263">
        <f>(AD135)*'Data - P&amp;L'!$C$8</f>
        <v>0</v>
      </c>
      <c r="AE242" s="263">
        <f>(AE135)*'Data - P&amp;L'!$C$8</f>
        <v>1.19</v>
      </c>
      <c r="AF242" s="263">
        <f>(AF135)*'Data - P&amp;L'!$C$8</f>
        <v>0</v>
      </c>
      <c r="AG242" s="303">
        <f t="shared" si="68"/>
        <v>10.71</v>
      </c>
    </row>
    <row r="243">
      <c r="A243" s="215" t="s">
        <v>425</v>
      </c>
      <c r="B243" s="263">
        <f>(B136+B137)*'Data - P&amp;L'!$C$9</f>
        <v>0</v>
      </c>
      <c r="C243" s="263">
        <f>(C136+C137)*'Data - P&amp;L'!$C$9</f>
        <v>0</v>
      </c>
      <c r="D243" s="263">
        <f>(D136+D137)*'Data - P&amp;L'!$C$9</f>
        <v>0</v>
      </c>
      <c r="E243" s="263">
        <f>(E136+E137)*'Data - P&amp;L'!$C$9</f>
        <v>0</v>
      </c>
      <c r="F243" s="263">
        <f>(F136+F137)*'Data - P&amp;L'!$C$9</f>
        <v>0</v>
      </c>
      <c r="G243" s="263">
        <f>(G136+G137)*'Data - P&amp;L'!$C$9</f>
        <v>6.66</v>
      </c>
      <c r="H243" s="263">
        <f>(H136+H137)*'Data - P&amp;L'!$C$9</f>
        <v>6.66</v>
      </c>
      <c r="I243" s="263">
        <f>(I136+I137)*'Data - P&amp;L'!$C$9</f>
        <v>0</v>
      </c>
      <c r="J243" s="263">
        <f>(J136+J137)*'Data - P&amp;L'!$C$9</f>
        <v>6.66</v>
      </c>
      <c r="K243" s="263">
        <f>(K136+K137)*'Data - P&amp;L'!$C$9</f>
        <v>0</v>
      </c>
      <c r="L243" s="263">
        <f>(L136+L137)*'Data - P&amp;L'!$C$9</f>
        <v>6.66</v>
      </c>
      <c r="M243" s="263">
        <f>(M136+M137)*'Data - P&amp;L'!$C$9</f>
        <v>6.66</v>
      </c>
      <c r="N243" s="263">
        <f>(N136+N137)*'Data - P&amp;L'!$C$9</f>
        <v>0</v>
      </c>
      <c r="O243" s="263">
        <f>(O136+O137)*'Data - P&amp;L'!$C$9</f>
        <v>0</v>
      </c>
      <c r="P243" s="263">
        <f>(P136+P137)*'Data - P&amp;L'!$C$9</f>
        <v>0</v>
      </c>
      <c r="Q243" s="263">
        <f>(Q136+Q137)*'Data - P&amp;L'!$C$9</f>
        <v>0</v>
      </c>
      <c r="R243" s="263">
        <f>(R136+R137)*'Data - P&amp;L'!$C$9</f>
        <v>0</v>
      </c>
      <c r="S243" s="263">
        <f>(S136+S137)*'Data - P&amp;L'!$C$9</f>
        <v>0</v>
      </c>
      <c r="T243" s="263">
        <f>(T136+T137)*'Data - P&amp;L'!$C$9</f>
        <v>6.66</v>
      </c>
      <c r="U243" s="263">
        <f>(U136+U137)*'Data - P&amp;L'!$C$9</f>
        <v>0</v>
      </c>
      <c r="V243" s="263">
        <f>(V136+V137)*'Data - P&amp;L'!$C$9</f>
        <v>0</v>
      </c>
      <c r="W243" s="263">
        <f>(W136+W137)*'Data - P&amp;L'!$C$9</f>
        <v>0</v>
      </c>
      <c r="X243" s="263">
        <f>(X136+X137)*'Data - P&amp;L'!$C$9</f>
        <v>0</v>
      </c>
      <c r="Y243" s="263">
        <f>(Y136+Y137)*'Data - P&amp;L'!$C$9</f>
        <v>0</v>
      </c>
      <c r="Z243" s="263">
        <f>(Z136+Z137)*'Data - P&amp;L'!$C$9</f>
        <v>0</v>
      </c>
      <c r="AA243" s="263">
        <f>(AA136+AA137)*'Data - P&amp;L'!$C$9</f>
        <v>0</v>
      </c>
      <c r="AB243" s="263">
        <f>(AB136+AB137)*'Data - P&amp;L'!$C$9</f>
        <v>0</v>
      </c>
      <c r="AC243" s="263">
        <f>(AC136+AC137)*'Data - P&amp;L'!$C$9</f>
        <v>0</v>
      </c>
      <c r="AD243" s="263">
        <f>(AD136+AD137)*'Data - P&amp;L'!$C$9</f>
        <v>0</v>
      </c>
      <c r="AE243" s="263">
        <f>(AE136+AE137)*'Data - P&amp;L'!$C$9</f>
        <v>0</v>
      </c>
      <c r="AF243" s="263">
        <f>(AF136+AF137)*'Data - P&amp;L'!$C$9</f>
        <v>0</v>
      </c>
      <c r="AG243" s="303">
        <f t="shared" si="68"/>
        <v>39.96</v>
      </c>
    </row>
    <row r="244">
      <c r="A244" s="215" t="s">
        <v>426</v>
      </c>
      <c r="B244" s="263">
        <f>(B138+B1590)*'Data - P&amp;L'!$C$5</f>
        <v>0</v>
      </c>
      <c r="C244" s="263">
        <f>(C138+C1590)*'Data - P&amp;L'!$C$5</f>
        <v>0</v>
      </c>
      <c r="D244" s="263">
        <f>(D138+D1590)*'Data - P&amp;L'!$C$5</f>
        <v>0</v>
      </c>
      <c r="E244" s="263">
        <f>(E138+E1590)*'Data - P&amp;L'!$C$5</f>
        <v>0</v>
      </c>
      <c r="F244" s="263">
        <f>(F138+F1590)*'Data - P&amp;L'!$C$5</f>
        <v>0</v>
      </c>
      <c r="G244" s="263">
        <f>(G138+G1590)*'Data - P&amp;L'!$C$5</f>
        <v>0</v>
      </c>
      <c r="H244" s="263">
        <f>(H138+H1590)*'Data - P&amp;L'!$C$5</f>
        <v>0</v>
      </c>
      <c r="I244" s="263">
        <f>(I138+I1590)*'Data - P&amp;L'!$C$5</f>
        <v>0</v>
      </c>
      <c r="J244" s="263">
        <f>(J138+J1590)*'Data - P&amp;L'!$C$5</f>
        <v>0</v>
      </c>
      <c r="K244" s="263">
        <f>(K138+K1590)*'Data - P&amp;L'!$C$5</f>
        <v>0</v>
      </c>
      <c r="L244" s="263">
        <f>(L138+L1590)*'Data - P&amp;L'!$C$5</f>
        <v>0</v>
      </c>
      <c r="M244" s="263">
        <f>(M138+M1590)*'Data - P&amp;L'!$C$5</f>
        <v>0</v>
      </c>
      <c r="N244" s="263">
        <f>(N138+N1590)*'Data - P&amp;L'!$C$5</f>
        <v>0</v>
      </c>
      <c r="O244" s="263">
        <f>(O138+O1590)*'Data - P&amp;L'!$C$5</f>
        <v>0</v>
      </c>
      <c r="P244" s="263">
        <f>(P138+P1590)*'Data - P&amp;L'!$C$5</f>
        <v>0</v>
      </c>
      <c r="Q244" s="263">
        <f>(Q138+Q1590)*'Data - P&amp;L'!$C$5</f>
        <v>0</v>
      </c>
      <c r="R244" s="263">
        <f>(R138+R1590)*'Data - P&amp;L'!$C$5</f>
        <v>0</v>
      </c>
      <c r="S244" s="263">
        <f>(S138+S1590)*'Data - P&amp;L'!$C$5</f>
        <v>0</v>
      </c>
      <c r="T244" s="263">
        <f>(T138+T1590)*'Data - P&amp;L'!$C$5</f>
        <v>0</v>
      </c>
      <c r="U244" s="263">
        <f>(U138+U1590)*'Data - P&amp;L'!$C$5</f>
        <v>0</v>
      </c>
      <c r="V244" s="263">
        <f>(V138+V1590)*'Data - P&amp;L'!$C$5</f>
        <v>0</v>
      </c>
      <c r="W244" s="263">
        <f>(W138+W1590)*'Data - P&amp;L'!$C$5</f>
        <v>0</v>
      </c>
      <c r="X244" s="263">
        <f>(X138+X1590)*'Data - P&amp;L'!$C$5</f>
        <v>0</v>
      </c>
      <c r="Y244" s="263">
        <f>(Y138+Y1590)*'Data - P&amp;L'!$C$5</f>
        <v>0</v>
      </c>
      <c r="Z244" s="263">
        <f>(Z138+Z1590)*'Data - P&amp;L'!$C$5</f>
        <v>0</v>
      </c>
      <c r="AA244" s="263">
        <f>(AA138+AA1590)*'Data - P&amp;L'!$C$5</f>
        <v>0</v>
      </c>
      <c r="AB244" s="263">
        <f>(AB138+AB1590)*'Data - P&amp;L'!$C$5</f>
        <v>0</v>
      </c>
      <c r="AC244" s="263">
        <f>(AC138+AC1590)*'Data - P&amp;L'!$C$5</f>
        <v>0</v>
      </c>
      <c r="AD244" s="263">
        <f>(AD138+AD1590)*'Data - P&amp;L'!$C$5</f>
        <v>0</v>
      </c>
      <c r="AE244" s="263">
        <f>(AE138+AE1590)*'Data - P&amp;L'!$C$5</f>
        <v>0</v>
      </c>
      <c r="AF244" s="263">
        <f>(AF138+AF1590)*'Data - P&amp;L'!$C$5</f>
        <v>0</v>
      </c>
      <c r="AG244" s="303">
        <f t="shared" si="68"/>
        <v>0</v>
      </c>
    </row>
    <row r="245">
      <c r="A245" s="215" t="s">
        <v>427</v>
      </c>
      <c r="B245" s="263">
        <f>(B140+B141)*'Data - P&amp;L'!$C$10</f>
        <v>0</v>
      </c>
      <c r="C245" s="263">
        <f>(C140+C141)*'Data - P&amp;L'!$C$10</f>
        <v>0</v>
      </c>
      <c r="D245" s="263">
        <f>(D140+D141)*'Data - P&amp;L'!$C$10</f>
        <v>0</v>
      </c>
      <c r="E245" s="263">
        <f>(E140+E141)*'Data - P&amp;L'!$C$10</f>
        <v>12</v>
      </c>
      <c r="F245" s="263">
        <f>(F140+F141)*'Data - P&amp;L'!$C$10</f>
        <v>0</v>
      </c>
      <c r="G245" s="263">
        <f>(G140+G141)*'Data - P&amp;L'!$C$10</f>
        <v>6</v>
      </c>
      <c r="H245" s="263">
        <f>(H140+H141)*'Data - P&amp;L'!$C$10</f>
        <v>0</v>
      </c>
      <c r="I245" s="263">
        <f>(I140+I141)*'Data - P&amp;L'!$C$10</f>
        <v>6</v>
      </c>
      <c r="J245" s="263">
        <f>(J140+J141)*'Data - P&amp;L'!$C$10</f>
        <v>0</v>
      </c>
      <c r="K245" s="263">
        <f>(K140+K141)*'Data - P&amp;L'!$C$10</f>
        <v>0</v>
      </c>
      <c r="L245" s="263">
        <f>(L140+L141)*'Data - P&amp;L'!$C$10</f>
        <v>0</v>
      </c>
      <c r="M245" s="263">
        <f>(M140+M141)*'Data - P&amp;L'!$C$10</f>
        <v>6</v>
      </c>
      <c r="N245" s="263">
        <f>(N140+N141)*'Data - P&amp;L'!$C$10</f>
        <v>0</v>
      </c>
      <c r="O245" s="263">
        <f>(O140+O141)*'Data - P&amp;L'!$C$10</f>
        <v>0</v>
      </c>
      <c r="P245" s="263">
        <f>(P140+P141)*'Data - P&amp;L'!$C$10</f>
        <v>0</v>
      </c>
      <c r="Q245" s="263">
        <f>(Q140+Q141)*'Data - P&amp;L'!$C$10</f>
        <v>12</v>
      </c>
      <c r="R245" s="263">
        <f>(R140+R141)*'Data - P&amp;L'!$C$10</f>
        <v>6</v>
      </c>
      <c r="S245" s="263">
        <f>(S140+S141)*'Data - P&amp;L'!$C$10</f>
        <v>6</v>
      </c>
      <c r="T245" s="263">
        <f>(T140+T141)*'Data - P&amp;L'!$C$10</f>
        <v>6</v>
      </c>
      <c r="U245" s="263">
        <f>(U140+U141)*'Data - P&amp;L'!$C$10</f>
        <v>0</v>
      </c>
      <c r="V245" s="263">
        <f>(V140+V141)*'Data - P&amp;L'!$C$10</f>
        <v>0</v>
      </c>
      <c r="W245" s="263">
        <f>(W140+W141)*'Data - P&amp;L'!$C$10</f>
        <v>0</v>
      </c>
      <c r="X245" s="263">
        <f>(X140+X141)*'Data - P&amp;L'!$C$10</f>
        <v>0</v>
      </c>
      <c r="Y245" s="263">
        <f>(Y140+Y141)*'Data - P&amp;L'!$C$10</f>
        <v>6</v>
      </c>
      <c r="Z245" s="263">
        <f>(Z140+Z141)*'Data - P&amp;L'!$C$10</f>
        <v>0</v>
      </c>
      <c r="AA245" s="263">
        <f>(AA140+AA141)*'Data - P&amp;L'!$C$10</f>
        <v>0</v>
      </c>
      <c r="AB245" s="263">
        <f>(AB140+AB141)*'Data - P&amp;L'!$C$10</f>
        <v>0</v>
      </c>
      <c r="AC245" s="263">
        <f>(AC140+AC141)*'Data - P&amp;L'!$C$10</f>
        <v>0</v>
      </c>
      <c r="AD245" s="263">
        <f>(AD140+AD141)*'Data - P&amp;L'!$C$10</f>
        <v>0</v>
      </c>
      <c r="AE245" s="263">
        <f>(AE140+AE141)*'Data - P&amp;L'!$C$10</f>
        <v>0</v>
      </c>
      <c r="AF245" s="263">
        <f>(AF140+AF141)*'Data - P&amp;L'!$C$10</f>
        <v>0</v>
      </c>
      <c r="AG245" s="303">
        <f t="shared" si="68"/>
        <v>66</v>
      </c>
    </row>
    <row r="246">
      <c r="A246" s="215" t="s">
        <v>428</v>
      </c>
      <c r="B246" s="263">
        <f>(B131+B132)*'Data - P&amp;L'!$C$43</f>
        <v>23.88</v>
      </c>
      <c r="C246" s="263">
        <f>(C131+C132)*'Data - P&amp;L'!$C$43</f>
        <v>11.94</v>
      </c>
      <c r="D246" s="263">
        <f>(D131+D132)*'Data - P&amp;L'!$C$43</f>
        <v>23.88</v>
      </c>
      <c r="E246" s="263">
        <f>(E131+E132)*'Data - P&amp;L'!$C$43</f>
        <v>11.94</v>
      </c>
      <c r="F246" s="263">
        <f>(F131+F132)*'Data - P&amp;L'!$C$43</f>
        <v>47.76</v>
      </c>
      <c r="G246" s="263">
        <f>(G131+G132)*'Data - P&amp;L'!$C$43</f>
        <v>23.88</v>
      </c>
      <c r="H246" s="263">
        <f>(H131+H132)*'Data - P&amp;L'!$C$43</f>
        <v>47.76</v>
      </c>
      <c r="I246" s="263">
        <f>(I131+I132)*'Data - P&amp;L'!$C$43</f>
        <v>35.82</v>
      </c>
      <c r="J246" s="263">
        <f>(J131+J132)*'Data - P&amp;L'!$C$43</f>
        <v>71.64</v>
      </c>
      <c r="K246" s="263">
        <f>(K131+K132)*'Data - P&amp;L'!$C$43</f>
        <v>35.82</v>
      </c>
      <c r="L246" s="263">
        <f>(L131+L132)*'Data - P&amp;L'!$C$43</f>
        <v>83.58</v>
      </c>
      <c r="M246" s="263">
        <f>(M131+M132)*'Data - P&amp;L'!$C$43</f>
        <v>0</v>
      </c>
      <c r="N246" s="263">
        <f>(N131+N132)*'Data - P&amp;L'!$C$43</f>
        <v>11.94</v>
      </c>
      <c r="O246" s="263">
        <f>(O131+O132)*'Data - P&amp;L'!$C$43</f>
        <v>11.94</v>
      </c>
      <c r="P246" s="263">
        <f>(P131+P132)*'Data - P&amp;L'!$C$43</f>
        <v>47.76</v>
      </c>
      <c r="Q246" s="263">
        <f>(Q131+Q132)*'Data - P&amp;L'!$C$43</f>
        <v>83.58</v>
      </c>
      <c r="R246" s="263">
        <f>(R131+R132)*'Data - P&amp;L'!$C$43</f>
        <v>11.94</v>
      </c>
      <c r="S246" s="263">
        <f>(S131+S132)*'Data - P&amp;L'!$C$43</f>
        <v>11.94</v>
      </c>
      <c r="T246" s="263">
        <f>(T131+T132)*'Data - P&amp;L'!$C$43</f>
        <v>0</v>
      </c>
      <c r="U246" s="263">
        <f>(U131+U132)*'Data - P&amp;L'!$C$43</f>
        <v>0</v>
      </c>
      <c r="V246" s="263">
        <f>(V131+V132)*'Data - P&amp;L'!$C$43</f>
        <v>0</v>
      </c>
      <c r="W246" s="263">
        <f>(W131+W132)*'Data - P&amp;L'!$C$43</f>
        <v>23.88</v>
      </c>
      <c r="X246" s="263">
        <f>(X131+X132)*'Data - P&amp;L'!$C$43</f>
        <v>23.88</v>
      </c>
      <c r="Y246" s="263">
        <f>(Y131+Y132)*'Data - P&amp;L'!$C$43</f>
        <v>0</v>
      </c>
      <c r="Z246" s="263">
        <f>(Z131+Z132)*'Data - P&amp;L'!$C$43</f>
        <v>11.94</v>
      </c>
      <c r="AA246" s="263">
        <f>(AA131+AA132)*'Data - P&amp;L'!$C$43</f>
        <v>11.94</v>
      </c>
      <c r="AB246" s="263">
        <f>(AB131+AB132)*'Data - P&amp;L'!$C$43</f>
        <v>0</v>
      </c>
      <c r="AC246" s="263">
        <f>(AC131+AC132)*'Data - P&amp;L'!$C$43</f>
        <v>0</v>
      </c>
      <c r="AD246" s="263">
        <f>(AD131+AD132)*'Data - P&amp;L'!$C$43</f>
        <v>11.94</v>
      </c>
      <c r="AE246" s="263">
        <f>(AE131+AE132)*'Data - P&amp;L'!$C$43</f>
        <v>11.94</v>
      </c>
      <c r="AF246" s="263">
        <f>(AF131+AF132)*'Data - P&amp;L'!$C$43</f>
        <v>11.94</v>
      </c>
      <c r="AG246" s="303">
        <f t="shared" si="68"/>
        <v>704.46</v>
      </c>
    </row>
    <row r="247">
      <c r="A247" s="215" t="s">
        <v>430</v>
      </c>
      <c r="B247" s="263">
        <f>B142*'Data - P&amp;L'!$C$43</f>
        <v>0</v>
      </c>
      <c r="C247" s="263">
        <f>C142*'Data - P&amp;L'!$C$43</f>
        <v>0</v>
      </c>
      <c r="D247" s="263">
        <f>D142*'Data - P&amp;L'!$C$43</f>
        <v>0</v>
      </c>
      <c r="E247" s="263">
        <f>E142*'Data - P&amp;L'!$C$43</f>
        <v>23.88</v>
      </c>
      <c r="F247" s="263">
        <f>F142*'Data - P&amp;L'!$C$43</f>
        <v>0</v>
      </c>
      <c r="G247" s="263">
        <f>G142*'Data - P&amp;L'!$C$43</f>
        <v>35.82</v>
      </c>
      <c r="H247" s="263">
        <f>H142*'Data - P&amp;L'!$C$43</f>
        <v>35.82</v>
      </c>
      <c r="I247" s="263">
        <f>I142*'Data - P&amp;L'!$C$43</f>
        <v>59.7</v>
      </c>
      <c r="J247" s="263">
        <f>J142*'Data - P&amp;L'!$C$43</f>
        <v>23.88</v>
      </c>
      <c r="K247" s="263">
        <f>K142*'Data - P&amp;L'!$C$43</f>
        <v>23.88</v>
      </c>
      <c r="L247" s="263">
        <f>L142*'Data - P&amp;L'!$C$43</f>
        <v>35.82</v>
      </c>
      <c r="M247" s="263">
        <f>M142*'Data - P&amp;L'!$C$43</f>
        <v>35.82</v>
      </c>
      <c r="N247" s="263">
        <f>N142*'Data - P&amp;L'!$C$43</f>
        <v>0</v>
      </c>
      <c r="O247" s="263">
        <f>O142*'Data - P&amp;L'!$C$43</f>
        <v>0</v>
      </c>
      <c r="P247" s="263">
        <f>P142*'Data - P&amp;L'!$C$43</f>
        <v>11.94</v>
      </c>
      <c r="Q247" s="263">
        <f>Q142*'Data - P&amp;L'!$C$43</f>
        <v>23.88</v>
      </c>
      <c r="R247" s="263">
        <f>R142*'Data - P&amp;L'!$C$43</f>
        <v>11.94</v>
      </c>
      <c r="S247" s="263">
        <f>S142*'Data - P&amp;L'!$C$43</f>
        <v>11.94</v>
      </c>
      <c r="T247" s="263">
        <f>T142*'Data - P&amp;L'!$C$43</f>
        <v>59.7</v>
      </c>
      <c r="U247" s="263">
        <f>U142*'Data - P&amp;L'!$C$43</f>
        <v>0</v>
      </c>
      <c r="V247" s="263">
        <f>V142*'Data - P&amp;L'!$C$43</f>
        <v>0</v>
      </c>
      <c r="W247" s="263">
        <f>W142*'Data - P&amp;L'!$C$43</f>
        <v>0</v>
      </c>
      <c r="X247" s="263">
        <f>X142*'Data - P&amp;L'!$C$43</f>
        <v>0</v>
      </c>
      <c r="Y247" s="263">
        <f>Y142*'Data - P&amp;L'!$C$43</f>
        <v>23.88</v>
      </c>
      <c r="Z247" s="263">
        <f>Z142*'Data - P&amp;L'!$C$43</f>
        <v>0</v>
      </c>
      <c r="AA247" s="263">
        <f>AA142*'Data - P&amp;L'!$C$43</f>
        <v>0</v>
      </c>
      <c r="AB247" s="263">
        <f>AB142*'Data - P&amp;L'!$C$43</f>
        <v>0</v>
      </c>
      <c r="AC247" s="263">
        <f>AC142*'Data - P&amp;L'!$C$43</f>
        <v>0</v>
      </c>
      <c r="AD247" s="263">
        <f>AD142*'Data - P&amp;L'!$C$43</f>
        <v>0</v>
      </c>
      <c r="AE247" s="263">
        <f>AE142*'Data - P&amp;L'!$C$43</f>
        <v>11.94</v>
      </c>
      <c r="AF247" s="263">
        <f>AF142*'Data - P&amp;L'!$C$43</f>
        <v>11.94</v>
      </c>
      <c r="AG247" s="303">
        <f t="shared" si="68"/>
        <v>441.78</v>
      </c>
    </row>
    <row r="248">
      <c r="A248" s="215" t="s">
        <v>432</v>
      </c>
      <c r="B248" s="263">
        <f t="shared" ref="B248:AF248" si="69">B164</f>
        <v>478</v>
      </c>
      <c r="C248" s="263">
        <f t="shared" si="69"/>
        <v>239</v>
      </c>
      <c r="D248" s="263">
        <f t="shared" si="69"/>
        <v>478</v>
      </c>
      <c r="E248" s="263">
        <f t="shared" si="69"/>
        <v>357</v>
      </c>
      <c r="F248" s="263">
        <f t="shared" si="69"/>
        <v>1196</v>
      </c>
      <c r="G248" s="263">
        <f t="shared" si="69"/>
        <v>655.99</v>
      </c>
      <c r="H248" s="263">
        <f t="shared" si="69"/>
        <v>1166.96</v>
      </c>
      <c r="I248" s="263">
        <f t="shared" si="69"/>
        <v>903.98</v>
      </c>
      <c r="J248" s="263">
        <f t="shared" si="69"/>
        <v>1687.94</v>
      </c>
      <c r="K248" s="263">
        <f t="shared" si="69"/>
        <v>857.97</v>
      </c>
      <c r="L248" s="263">
        <f t="shared" si="69"/>
        <v>1976.93</v>
      </c>
      <c r="M248" s="263">
        <f t="shared" si="69"/>
        <v>87</v>
      </c>
      <c r="N248" s="263">
        <f t="shared" si="69"/>
        <v>299</v>
      </c>
      <c r="O248" s="263">
        <f t="shared" si="69"/>
        <v>239</v>
      </c>
      <c r="P248" s="263">
        <f t="shared" si="69"/>
        <v>1165</v>
      </c>
      <c r="Q248" s="263">
        <f t="shared" si="69"/>
        <v>2091</v>
      </c>
      <c r="R248" s="263">
        <f t="shared" si="69"/>
        <v>328</v>
      </c>
      <c r="S248" s="263">
        <f t="shared" si="69"/>
        <v>328</v>
      </c>
      <c r="T248" s="263">
        <f t="shared" si="69"/>
        <v>145</v>
      </c>
      <c r="U248" s="263">
        <f t="shared" si="69"/>
        <v>0</v>
      </c>
      <c r="V248" s="263">
        <f t="shared" si="69"/>
        <v>0</v>
      </c>
      <c r="W248" s="263">
        <f t="shared" si="69"/>
        <v>598</v>
      </c>
      <c r="X248" s="263">
        <f t="shared" si="69"/>
        <v>598</v>
      </c>
      <c r="Y248" s="263">
        <f t="shared" si="69"/>
        <v>48</v>
      </c>
      <c r="Z248" s="263">
        <f t="shared" si="69"/>
        <v>299</v>
      </c>
      <c r="AA248" s="263">
        <f t="shared" si="69"/>
        <v>299</v>
      </c>
      <c r="AB248" s="263">
        <f t="shared" si="69"/>
        <v>0</v>
      </c>
      <c r="AC248" s="263">
        <f t="shared" si="69"/>
        <v>0</v>
      </c>
      <c r="AD248" s="263">
        <f t="shared" si="69"/>
        <v>299</v>
      </c>
      <c r="AE248" s="263">
        <f t="shared" si="69"/>
        <v>318</v>
      </c>
      <c r="AF248" s="263">
        <f t="shared" si="69"/>
        <v>328</v>
      </c>
      <c r="AG248" s="303">
        <f t="shared" si="68"/>
        <v>17466.77</v>
      </c>
    </row>
    <row r="249">
      <c r="A249" s="245" t="s">
        <v>605</v>
      </c>
      <c r="B249" s="277">
        <f t="shared" ref="B249:AF249" si="70">SUM(B250:B258)-B259-B260</f>
        <v>-644.260512</v>
      </c>
      <c r="C249" s="277">
        <f t="shared" si="70"/>
        <v>-442.039692</v>
      </c>
      <c r="D249" s="277">
        <f t="shared" si="70"/>
        <v>-512.116896</v>
      </c>
      <c r="E249" s="277">
        <f t="shared" si="70"/>
        <v>-527.906036</v>
      </c>
      <c r="F249" s="277">
        <f t="shared" si="70"/>
        <v>-184.807744</v>
      </c>
      <c r="G249" s="277">
        <f t="shared" si="70"/>
        <v>-936.263308</v>
      </c>
      <c r="H249" s="277">
        <f t="shared" si="70"/>
        <v>-1897.22996</v>
      </c>
      <c r="I249" s="277">
        <f t="shared" si="70"/>
        <v>-1186.123524</v>
      </c>
      <c r="J249" s="277">
        <f t="shared" si="70"/>
        <v>-1456.686372</v>
      </c>
      <c r="K249" s="277">
        <f t="shared" si="70"/>
        <v>-577.972756</v>
      </c>
      <c r="L249" s="277">
        <f t="shared" si="70"/>
        <v>-1534.886372</v>
      </c>
      <c r="M249" s="277">
        <f t="shared" si="70"/>
        <v>-1299.804128</v>
      </c>
      <c r="N249" s="277">
        <f t="shared" si="70"/>
        <v>-2467.165768</v>
      </c>
      <c r="O249" s="277">
        <f t="shared" si="70"/>
        <v>-3392.218512</v>
      </c>
      <c r="P249" s="277">
        <f t="shared" si="70"/>
        <v>-1963.791588</v>
      </c>
      <c r="Q249" s="277">
        <f t="shared" si="70"/>
        <v>-1880.277664</v>
      </c>
      <c r="R249" s="277">
        <f t="shared" si="70"/>
        <v>-1451.154088</v>
      </c>
      <c r="S249" s="277">
        <f t="shared" si="70"/>
        <v>-495.107692</v>
      </c>
      <c r="T249" s="277">
        <f t="shared" si="70"/>
        <v>-217.389628</v>
      </c>
      <c r="U249" s="277">
        <f t="shared" si="70"/>
        <v>-829.636536</v>
      </c>
      <c r="V249" s="277">
        <f t="shared" si="70"/>
        <v>-1988.150448</v>
      </c>
      <c r="W249" s="277">
        <f t="shared" si="70"/>
        <v>-1091.350488</v>
      </c>
      <c r="X249" s="277">
        <f t="shared" si="70"/>
        <v>-2234.532128</v>
      </c>
      <c r="Y249" s="277">
        <f t="shared" si="70"/>
        <v>-770.938832</v>
      </c>
      <c r="Z249" s="277">
        <f t="shared" si="70"/>
        <v>-1364.179128</v>
      </c>
      <c r="AA249" s="277">
        <f t="shared" si="70"/>
        <v>-358.35964</v>
      </c>
      <c r="AB249" s="277">
        <f t="shared" si="70"/>
        <v>-162.796292</v>
      </c>
      <c r="AC249" s="277">
        <f t="shared" si="70"/>
        <v>-1456.076024</v>
      </c>
      <c r="AD249" s="277">
        <f t="shared" si="70"/>
        <v>-1309.45678</v>
      </c>
      <c r="AE249" s="277">
        <f t="shared" si="70"/>
        <v>-1776.178552</v>
      </c>
      <c r="AF249" s="277">
        <f t="shared" si="70"/>
        <v>-981.988472</v>
      </c>
      <c r="AG249" s="303">
        <f t="shared" si="68"/>
        <v>-37390.84556</v>
      </c>
    </row>
    <row r="250">
      <c r="A250" s="215" t="s">
        <v>434</v>
      </c>
      <c r="B250" s="263">
        <f>((B145+B146)*'Data - P&amp;L'!$C$3)*'Data - P&amp;L'!$C$54</f>
        <v>0</v>
      </c>
      <c r="C250" s="263">
        <f>((C145+C146)*'Data - P&amp;L'!$C$3)*'Data - P&amp;L'!$C$54</f>
        <v>21.725</v>
      </c>
      <c r="D250" s="263">
        <f>((D145+D146)*'Data - P&amp;L'!$C$3)*'Data - P&amp;L'!$C$54</f>
        <v>21.725</v>
      </c>
      <c r="E250" s="263">
        <f>((E145+E146)*'Data - P&amp;L'!$C$3)*'Data - P&amp;L'!$C$54</f>
        <v>0</v>
      </c>
      <c r="F250" s="263">
        <f>((F145+F146)*'Data - P&amp;L'!$C$3)*'Data - P&amp;L'!$C$54</f>
        <v>0</v>
      </c>
      <c r="G250" s="263">
        <f>((G145+G146)*'Data - P&amp;L'!$C$3)*'Data - P&amp;L'!$C$54</f>
        <v>0</v>
      </c>
      <c r="H250" s="263">
        <f>((H145+H146)*'Data - P&amp;L'!$C$3)*'Data - P&amp;L'!$C$54</f>
        <v>0</v>
      </c>
      <c r="I250" s="263">
        <f>((I145+I146)*'Data - P&amp;L'!$C$3)*'Data - P&amp;L'!$C$54</f>
        <v>21.725</v>
      </c>
      <c r="J250" s="263">
        <f>((J145+J146)*'Data - P&amp;L'!$C$3)*'Data - P&amp;L'!$C$54</f>
        <v>21.725</v>
      </c>
      <c r="K250" s="263">
        <f>((K145+K146)*'Data - P&amp;L'!$C$3)*'Data - P&amp;L'!$C$54</f>
        <v>21.725</v>
      </c>
      <c r="L250" s="263">
        <f>((L145+L146)*'Data - P&amp;L'!$C$3)*'Data - P&amp;L'!$C$54</f>
        <v>21.725</v>
      </c>
      <c r="M250" s="263">
        <f>((M145+M146)*'Data - P&amp;L'!$C$3)*'Data - P&amp;L'!$C$54</f>
        <v>0</v>
      </c>
      <c r="N250" s="263">
        <f>((N145+N146)*'Data - P&amp;L'!$C$3)*'Data - P&amp;L'!$C$54</f>
        <v>21.725</v>
      </c>
      <c r="O250" s="263">
        <f>((O145+O146)*'Data - P&amp;L'!$C$3)*'Data - P&amp;L'!$C$54</f>
        <v>43.45</v>
      </c>
      <c r="P250" s="263">
        <f>((P145+P146)*'Data - P&amp;L'!$C$3)*'Data - P&amp;L'!$C$54</f>
        <v>21.725</v>
      </c>
      <c r="Q250" s="263">
        <f>((Q145+Q146)*'Data - P&amp;L'!$C$3)*'Data - P&amp;L'!$C$54</f>
        <v>86.9</v>
      </c>
      <c r="R250" s="263">
        <f>((R145+R146)*'Data - P&amp;L'!$C$3)*'Data - P&amp;L'!$C$54</f>
        <v>0</v>
      </c>
      <c r="S250" s="263">
        <f>((S145+S146)*'Data - P&amp;L'!$C$3)*'Data - P&amp;L'!$C$54</f>
        <v>43.45</v>
      </c>
      <c r="T250" s="263">
        <f>((T145+T146)*'Data - P&amp;L'!$C$3)*'Data - P&amp;L'!$C$54</f>
        <v>65.175</v>
      </c>
      <c r="U250" s="263">
        <f>((U145+U146)*'Data - P&amp;L'!$C$3)*'Data - P&amp;L'!$C$54</f>
        <v>21.725</v>
      </c>
      <c r="V250" s="263">
        <f>((V145+V146)*'Data - P&amp;L'!$C$3)*'Data - P&amp;L'!$C$54</f>
        <v>86.9</v>
      </c>
      <c r="W250" s="263">
        <f>((W145+W146)*'Data - P&amp;L'!$C$3)*'Data - P&amp;L'!$C$54</f>
        <v>130.35</v>
      </c>
      <c r="X250" s="263">
        <f>((X145+X146)*'Data - P&amp;L'!$C$3)*'Data - P&amp;L'!$C$54</f>
        <v>43.45</v>
      </c>
      <c r="Y250" s="263">
        <f>((Y145+Y146)*'Data - P&amp;L'!$C$3)*'Data - P&amp;L'!$C$54</f>
        <v>21.725</v>
      </c>
      <c r="Z250" s="263">
        <f>((Z145+Z146)*'Data - P&amp;L'!$C$3)*'Data - P&amp;L'!$C$54</f>
        <v>43.45</v>
      </c>
      <c r="AA250" s="263">
        <f>((AA145+AA146)*'Data - P&amp;L'!$C$3)*'Data - P&amp;L'!$C$54</f>
        <v>0</v>
      </c>
      <c r="AB250" s="263">
        <f>((AB145+AB146)*'Data - P&amp;L'!$C$3)*'Data - P&amp;L'!$C$54</f>
        <v>0</v>
      </c>
      <c r="AC250" s="263">
        <f>((AC145+AC146)*'Data - P&amp;L'!$C$3)*'Data - P&amp;L'!$C$54</f>
        <v>43.45</v>
      </c>
      <c r="AD250" s="263">
        <f>((AD145+AD146)*'Data - P&amp;L'!$C$3)*'Data - P&amp;L'!$C$54</f>
        <v>43.45</v>
      </c>
      <c r="AE250" s="263">
        <f>((AE145+AE146)*'Data - P&amp;L'!$C$3)*'Data - P&amp;L'!$C$54</f>
        <v>21.725</v>
      </c>
      <c r="AF250" s="263">
        <f>((AF145+AF146)*'Data - P&amp;L'!$C$3)*'Data - P&amp;L'!$C$54</f>
        <v>65.175</v>
      </c>
      <c r="AG250" s="303">
        <f t="shared" si="68"/>
        <v>934.175</v>
      </c>
    </row>
    <row r="251">
      <c r="A251" s="215" t="s">
        <v>435</v>
      </c>
      <c r="B251" s="263">
        <f>(B147+B148)*'Data - P&amp;L'!$C$4*'Data - P&amp;L'!$C$54</f>
        <v>48.805</v>
      </c>
      <c r="C251" s="263">
        <f>(C147+C148)*'Data - P&amp;L'!$C$4*'Data - P&amp;L'!$C$54</f>
        <v>24.4025</v>
      </c>
      <c r="D251" s="263">
        <f>(D147+D148)*'Data - P&amp;L'!$C$4*'Data - P&amp;L'!$C$54</f>
        <v>0</v>
      </c>
      <c r="E251" s="263">
        <f>(E147+E148)*'Data - P&amp;L'!$C$4*'Data - P&amp;L'!$C$54</f>
        <v>24.4025</v>
      </c>
      <c r="F251" s="263">
        <f>(F147+F148)*'Data - P&amp;L'!$C$4*'Data - P&amp;L'!$C$54</f>
        <v>97.61</v>
      </c>
      <c r="G251" s="263">
        <f>(G147+G148)*'Data - P&amp;L'!$C$4*'Data - P&amp;L'!$C$54</f>
        <v>73.2075</v>
      </c>
      <c r="H251" s="263">
        <f>(H147+H148)*'Data - P&amp;L'!$C$4*'Data - P&amp;L'!$C$54</f>
        <v>0</v>
      </c>
      <c r="I251" s="263">
        <f>(I147+I148)*'Data - P&amp;L'!$C$4*'Data - P&amp;L'!$C$54</f>
        <v>73.2075</v>
      </c>
      <c r="J251" s="263">
        <f>(J147+J148)*'Data - P&amp;L'!$C$4*'Data - P&amp;L'!$C$54</f>
        <v>24.4025</v>
      </c>
      <c r="K251" s="263">
        <f>(K147+K148)*'Data - P&amp;L'!$C$4*'Data - P&amp;L'!$C$54</f>
        <v>0</v>
      </c>
      <c r="L251" s="263">
        <f>(L147+L148)*'Data - P&amp;L'!$C$4*'Data - P&amp;L'!$C$54</f>
        <v>24.4025</v>
      </c>
      <c r="M251" s="263">
        <f>(M147+M148)*'Data - P&amp;L'!$C$4*'Data - P&amp;L'!$C$54</f>
        <v>73.2075</v>
      </c>
      <c r="N251" s="263">
        <f>(N147+N148)*'Data - P&amp;L'!$C$4*'Data - P&amp;L'!$C$54</f>
        <v>48.805</v>
      </c>
      <c r="O251" s="263">
        <f>(O147+O148)*'Data - P&amp;L'!$C$4*'Data - P&amp;L'!$C$54</f>
        <v>122.0125</v>
      </c>
      <c r="P251" s="263">
        <f>(P147+P148)*'Data - P&amp;L'!$C$4*'Data - P&amp;L'!$C$54</f>
        <v>48.805</v>
      </c>
      <c r="Q251" s="263">
        <f>(Q147+Q148)*'Data - P&amp;L'!$C$4*'Data - P&amp;L'!$C$54</f>
        <v>0</v>
      </c>
      <c r="R251" s="263">
        <f>(R147+R148)*'Data - P&amp;L'!$C$4*'Data - P&amp;L'!$C$54</f>
        <v>73.2075</v>
      </c>
      <c r="S251" s="263">
        <f>(S147+S148)*'Data - P&amp;L'!$C$4*'Data - P&amp;L'!$C$54</f>
        <v>122.0125</v>
      </c>
      <c r="T251" s="263">
        <f>(T147+T148)*'Data - P&amp;L'!$C$4*'Data - P&amp;L'!$C$54</f>
        <v>122.0125</v>
      </c>
      <c r="U251" s="263">
        <f>(U147+U148)*'Data - P&amp;L'!$C$4*'Data - P&amp;L'!$C$54</f>
        <v>122.0125</v>
      </c>
      <c r="V251" s="263">
        <f>(V147+V148)*'Data - P&amp;L'!$C$4*'Data - P&amp;L'!$C$54</f>
        <v>97.61</v>
      </c>
      <c r="W251" s="263">
        <f>(W147+W148)*'Data - P&amp;L'!$C$4*'Data - P&amp;L'!$C$54</f>
        <v>48.805</v>
      </c>
      <c r="X251" s="263">
        <f>(X147+X148)*'Data - P&amp;L'!$C$4*'Data - P&amp;L'!$C$54</f>
        <v>146.415</v>
      </c>
      <c r="Y251" s="263">
        <f>(Y147+Y148)*'Data - P&amp;L'!$C$4*'Data - P&amp;L'!$C$54</f>
        <v>24.4025</v>
      </c>
      <c r="Z251" s="263">
        <f>(Z147+Z148)*'Data - P&amp;L'!$C$4*'Data - P&amp;L'!$C$54</f>
        <v>24.4025</v>
      </c>
      <c r="AA251" s="263">
        <f>(AA147+AA148)*'Data - P&amp;L'!$C$4*'Data - P&amp;L'!$C$54</f>
        <v>122.0125</v>
      </c>
      <c r="AB251" s="263">
        <f>(AB147+AB148)*'Data - P&amp;L'!$C$4*'Data - P&amp;L'!$C$54</f>
        <v>48.805</v>
      </c>
      <c r="AC251" s="263">
        <f>(AC147+AC148)*'Data - P&amp;L'!$C$4*'Data - P&amp;L'!$C$54</f>
        <v>48.805</v>
      </c>
      <c r="AD251" s="263">
        <f>(AD147+AD148)*'Data - P&amp;L'!$C$4*'Data - P&amp;L'!$C$54</f>
        <v>195.22</v>
      </c>
      <c r="AE251" s="263">
        <f>(AE147+AE148)*'Data - P&amp;L'!$C$4*'Data - P&amp;L'!$C$54</f>
        <v>146.415</v>
      </c>
      <c r="AF251" s="263">
        <f>(AF147+AF148)*'Data - P&amp;L'!$C$4*'Data - P&amp;L'!$C$54</f>
        <v>97.61</v>
      </c>
      <c r="AG251" s="303">
        <f t="shared" si="68"/>
        <v>2123.0175</v>
      </c>
    </row>
    <row r="252">
      <c r="A252" s="215" t="s">
        <v>436</v>
      </c>
      <c r="B252" s="263">
        <f>B152*'Data - P&amp;L'!$C$6*'Data - P&amp;L'!$C$54</f>
        <v>2.745</v>
      </c>
      <c r="C252" s="263">
        <f>C152*'Data - P&amp;L'!$C$6*'Data - P&amp;L'!$C$54</f>
        <v>0</v>
      </c>
      <c r="D252" s="263">
        <f>D152*'Data - P&amp;L'!$C$6*'Data - P&amp;L'!$C$54</f>
        <v>1.3725</v>
      </c>
      <c r="E252" s="263">
        <f>E152*'Data - P&amp;L'!$C$6*'Data - P&amp;L'!$C$54</f>
        <v>1.3725</v>
      </c>
      <c r="F252" s="263">
        <f>F152*'Data - P&amp;L'!$C$6*'Data - P&amp;L'!$C$54</f>
        <v>0</v>
      </c>
      <c r="G252" s="263">
        <f>G152*'Data - P&amp;L'!$C$6*'Data - P&amp;L'!$C$54</f>
        <v>0</v>
      </c>
      <c r="H252" s="263">
        <f>H152*'Data - P&amp;L'!$C$6*'Data - P&amp;L'!$C$54</f>
        <v>1.3725</v>
      </c>
      <c r="I252" s="263">
        <f>I152*'Data - P&amp;L'!$C$6*'Data - P&amp;L'!$C$54</f>
        <v>4.1175</v>
      </c>
      <c r="J252" s="263">
        <f>J152*'Data - P&amp;L'!$C$6*'Data - P&amp;L'!$C$54</f>
        <v>0</v>
      </c>
      <c r="K252" s="263">
        <f>K152*'Data - P&amp;L'!$C$6*'Data - P&amp;L'!$C$54</f>
        <v>1.3725</v>
      </c>
      <c r="L252" s="263">
        <f>L152*'Data - P&amp;L'!$C$6*'Data - P&amp;L'!$C$54</f>
        <v>0</v>
      </c>
      <c r="M252" s="263">
        <f>M152*'Data - P&amp;L'!$C$6*'Data - P&amp;L'!$C$54</f>
        <v>1.3725</v>
      </c>
      <c r="N252" s="263">
        <f>N152*'Data - P&amp;L'!$C$6*'Data - P&amp;L'!$C$54</f>
        <v>2.745</v>
      </c>
      <c r="O252" s="263">
        <f>O152*'Data - P&amp;L'!$C$6*'Data - P&amp;L'!$C$54</f>
        <v>0</v>
      </c>
      <c r="P252" s="263">
        <f>P152*'Data - P&amp;L'!$C$6*'Data - P&amp;L'!$C$54</f>
        <v>2.745</v>
      </c>
      <c r="Q252" s="263">
        <f>Q152*'Data - P&amp;L'!$C$6*'Data - P&amp;L'!$C$54</f>
        <v>2.745</v>
      </c>
      <c r="R252" s="263">
        <f>R152*'Data - P&amp;L'!$C$6*'Data - P&amp;L'!$C$54</f>
        <v>0</v>
      </c>
      <c r="S252" s="263">
        <f>S152*'Data - P&amp;L'!$C$6*'Data - P&amp;L'!$C$54</f>
        <v>2.745</v>
      </c>
      <c r="T252" s="263">
        <f>T152*'Data - P&amp;L'!$C$6*'Data - P&amp;L'!$C$54</f>
        <v>0</v>
      </c>
      <c r="U252" s="263">
        <f>U152*'Data - P&amp;L'!$C$6*'Data - P&amp;L'!$C$54</f>
        <v>5.49</v>
      </c>
      <c r="V252" s="263">
        <f>V152*'Data - P&amp;L'!$C$6*'Data - P&amp;L'!$C$54</f>
        <v>2.745</v>
      </c>
      <c r="W252" s="263">
        <f>W152*'Data - P&amp;L'!$C$6*'Data - P&amp;L'!$C$54</f>
        <v>0</v>
      </c>
      <c r="X252" s="263">
        <f>X152*'Data - P&amp;L'!$C$6*'Data - P&amp;L'!$C$54</f>
        <v>2.745</v>
      </c>
      <c r="Y252" s="263">
        <f>Y152*'Data - P&amp;L'!$C$6*'Data - P&amp;L'!$C$54</f>
        <v>4.1175</v>
      </c>
      <c r="Z252" s="263">
        <f>Z152*'Data - P&amp;L'!$C$6*'Data - P&amp;L'!$C$54</f>
        <v>1.3725</v>
      </c>
      <c r="AA252" s="263">
        <f>AA152*'Data - P&amp;L'!$C$6*'Data - P&amp;L'!$C$54</f>
        <v>1.3725</v>
      </c>
      <c r="AB252" s="263">
        <f>AB152*'Data - P&amp;L'!$C$6*'Data - P&amp;L'!$C$54</f>
        <v>4.1175</v>
      </c>
      <c r="AC252" s="263">
        <f>AC152*'Data - P&amp;L'!$C$6*'Data - P&amp;L'!$C$54</f>
        <v>2.745</v>
      </c>
      <c r="AD252" s="263">
        <f>AD152*'Data - P&amp;L'!$C$6*'Data - P&amp;L'!$C$54</f>
        <v>6.8625</v>
      </c>
      <c r="AE252" s="263">
        <f>AE152*'Data - P&amp;L'!$C$6*'Data - P&amp;L'!$C$54</f>
        <v>0</v>
      </c>
      <c r="AF252" s="263">
        <f>AF152*'Data - P&amp;L'!$C$6*'Data - P&amp;L'!$C$54</f>
        <v>2.745</v>
      </c>
      <c r="AG252" s="303">
        <f t="shared" si="68"/>
        <v>59.0175</v>
      </c>
    </row>
    <row r="253">
      <c r="A253" s="215" t="s">
        <v>437</v>
      </c>
      <c r="B253" s="263">
        <f>B153*'Data - P&amp;L'!$C$8*'Data - P&amp;L'!$C$54</f>
        <v>0</v>
      </c>
      <c r="C253" s="263">
        <f>C153*'Data - P&amp;L'!$C$8*'Data - P&amp;L'!$C$54</f>
        <v>0</v>
      </c>
      <c r="D253" s="263">
        <f>D153*'Data - P&amp;L'!$C$8*'Data - P&amp;L'!$C$54</f>
        <v>0.2975</v>
      </c>
      <c r="E253" s="263">
        <f>E153*'Data - P&amp;L'!$C$8*'Data - P&amp;L'!$C$54</f>
        <v>0.2975</v>
      </c>
      <c r="F253" s="263">
        <f>F153*'Data - P&amp;L'!$C$8*'Data - P&amp;L'!$C$54</f>
        <v>0</v>
      </c>
      <c r="G253" s="263">
        <f>G153*'Data - P&amp;L'!$C$8*'Data - P&amp;L'!$C$54</f>
        <v>0</v>
      </c>
      <c r="H253" s="263">
        <f>H153*'Data - P&amp;L'!$C$8*'Data - P&amp;L'!$C$54</f>
        <v>0.2975</v>
      </c>
      <c r="I253" s="263">
        <f>I153*'Data - P&amp;L'!$C$8*'Data - P&amp;L'!$C$54</f>
        <v>0.2975</v>
      </c>
      <c r="J253" s="263">
        <f>J153*'Data - P&amp;L'!$C$8*'Data - P&amp;L'!$C$54</f>
        <v>0</v>
      </c>
      <c r="K253" s="263">
        <f>K153*'Data - P&amp;L'!$C$8*'Data - P&amp;L'!$C$54</f>
        <v>0</v>
      </c>
      <c r="L253" s="263">
        <f>L153*'Data - P&amp;L'!$C$8*'Data - P&amp;L'!$C$54</f>
        <v>0</v>
      </c>
      <c r="M253" s="263">
        <f>M153*'Data - P&amp;L'!$C$8*'Data - P&amp;L'!$C$54</f>
        <v>0</v>
      </c>
      <c r="N253" s="263">
        <f>N153*'Data - P&amp;L'!$C$8*'Data - P&amp;L'!$C$54</f>
        <v>0</v>
      </c>
      <c r="O253" s="263">
        <f>O153*'Data - P&amp;L'!$C$8*'Data - P&amp;L'!$C$54</f>
        <v>0.2975</v>
      </c>
      <c r="P253" s="263">
        <f>P153*'Data - P&amp;L'!$C$8*'Data - P&amp;L'!$C$54</f>
        <v>0.2975</v>
      </c>
      <c r="Q253" s="263">
        <f>Q153*'Data - P&amp;L'!$C$8*'Data - P&amp;L'!$C$54</f>
        <v>0</v>
      </c>
      <c r="R253" s="263">
        <f>R153*'Data - P&amp;L'!$C$8*'Data - P&amp;L'!$C$54</f>
        <v>0.2975</v>
      </c>
      <c r="S253" s="263">
        <f>S153*'Data - P&amp;L'!$C$8*'Data - P&amp;L'!$C$54</f>
        <v>0</v>
      </c>
      <c r="T253" s="263">
        <f>T153*'Data - P&amp;L'!$C$8*'Data - P&amp;L'!$C$54</f>
        <v>0</v>
      </c>
      <c r="U253" s="263">
        <f>U153*'Data - P&amp;L'!$C$8*'Data - P&amp;L'!$C$54</f>
        <v>0.2975</v>
      </c>
      <c r="V253" s="263">
        <f>V153*'Data - P&amp;L'!$C$8*'Data - P&amp;L'!$C$54</f>
        <v>0</v>
      </c>
      <c r="W253" s="263">
        <f>W153*'Data - P&amp;L'!$C$8*'Data - P&amp;L'!$C$54</f>
        <v>0</v>
      </c>
      <c r="X253" s="263">
        <f>X153*'Data - P&amp;L'!$C$8*'Data - P&amp;L'!$C$54</f>
        <v>0</v>
      </c>
      <c r="Y253" s="263">
        <f>Y153*'Data - P&amp;L'!$C$8*'Data - P&amp;L'!$C$54</f>
        <v>0</v>
      </c>
      <c r="Z253" s="263">
        <f>Z153*'Data - P&amp;L'!$C$8*'Data - P&amp;L'!$C$54</f>
        <v>0</v>
      </c>
      <c r="AA253" s="263">
        <f>AA153*'Data - P&amp;L'!$C$8*'Data - P&amp;L'!$C$54</f>
        <v>0</v>
      </c>
      <c r="AB253" s="263">
        <f>AB153*'Data - P&amp;L'!$C$8*'Data - P&amp;L'!$C$54</f>
        <v>0</v>
      </c>
      <c r="AC253" s="263">
        <f>AC153*'Data - P&amp;L'!$C$8*'Data - P&amp;L'!$C$54</f>
        <v>0</v>
      </c>
      <c r="AD253" s="263">
        <f>AD153*'Data - P&amp;L'!$C$8*'Data - P&amp;L'!$C$54</f>
        <v>0</v>
      </c>
      <c r="AE253" s="263">
        <f>AE153*'Data - P&amp;L'!$C$8*'Data - P&amp;L'!$C$54</f>
        <v>0</v>
      </c>
      <c r="AF253" s="263">
        <f>AF153*'Data - P&amp;L'!$C$8*'Data - P&amp;L'!$C$54</f>
        <v>0</v>
      </c>
      <c r="AG253" s="303">
        <f t="shared" si="68"/>
        <v>2.38</v>
      </c>
    </row>
    <row r="254">
      <c r="A254" s="215" t="s">
        <v>425</v>
      </c>
      <c r="B254" s="263">
        <f>(B154+B155)*'Data - P&amp;L'!$C$9*'Data - P&amp;L'!$C$54</f>
        <v>0</v>
      </c>
      <c r="C254" s="263">
        <f>(C154+C155)*'Data - P&amp;L'!$C$9*'Data - P&amp;L'!$C$54</f>
        <v>0</v>
      </c>
      <c r="D254" s="263">
        <f>(D154+D155)*'Data - P&amp;L'!$C$9*'Data - P&amp;L'!$C$54</f>
        <v>1.665</v>
      </c>
      <c r="E254" s="263">
        <f>(E154+E155)*'Data - P&amp;L'!$C$9*'Data - P&amp;L'!$C$54</f>
        <v>1.665</v>
      </c>
      <c r="F254" s="263">
        <f>(F154+F155)*'Data - P&amp;L'!$C$9*'Data - P&amp;L'!$C$54</f>
        <v>0</v>
      </c>
      <c r="G254" s="263">
        <f>(G154+G155)*'Data - P&amp;L'!$C$9*'Data - P&amp;L'!$C$54</f>
        <v>0</v>
      </c>
      <c r="H254" s="263">
        <f>(H154+H155)*'Data - P&amp;L'!$C$9*'Data - P&amp;L'!$C$54</f>
        <v>0</v>
      </c>
      <c r="I254" s="263">
        <f>(I154+I155)*'Data - P&amp;L'!$C$9*'Data - P&amp;L'!$C$54</f>
        <v>0</v>
      </c>
      <c r="J254" s="263">
        <f>(J154+J155)*'Data - P&amp;L'!$C$9*'Data - P&amp;L'!$C$54</f>
        <v>0</v>
      </c>
      <c r="K254" s="263">
        <f>(K154+K155)*'Data - P&amp;L'!$C$9*'Data - P&amp;L'!$C$54</f>
        <v>0</v>
      </c>
      <c r="L254" s="263">
        <f>(L154+L155)*'Data - P&amp;L'!$C$9*'Data - P&amp;L'!$C$54</f>
        <v>0</v>
      </c>
      <c r="M254" s="263">
        <f>(M154+M155)*'Data - P&amp;L'!$C$9*'Data - P&amp;L'!$C$54</f>
        <v>0</v>
      </c>
      <c r="N254" s="263">
        <f>(N154+N155)*'Data - P&amp;L'!$C$9*'Data - P&amp;L'!$C$54</f>
        <v>0</v>
      </c>
      <c r="O254" s="263">
        <f>(O154+O155)*'Data - P&amp;L'!$C$9*'Data - P&amp;L'!$C$54</f>
        <v>0</v>
      </c>
      <c r="P254" s="263">
        <f>(P154+P155)*'Data - P&amp;L'!$C$9*'Data - P&amp;L'!$C$54</f>
        <v>0</v>
      </c>
      <c r="Q254" s="263">
        <f>(Q154+Q155)*'Data - P&amp;L'!$C$9*'Data - P&amp;L'!$C$54</f>
        <v>1.665</v>
      </c>
      <c r="R254" s="263">
        <f>(R154+R155)*'Data - P&amp;L'!$C$9*'Data - P&amp;L'!$C$54</f>
        <v>1.665</v>
      </c>
      <c r="S254" s="263">
        <f>(S154+S155)*'Data - P&amp;L'!$C$9*'Data - P&amp;L'!$C$54</f>
        <v>0</v>
      </c>
      <c r="T254" s="263">
        <f>(T154+T155)*'Data - P&amp;L'!$C$9*'Data - P&amp;L'!$C$54</f>
        <v>1.665</v>
      </c>
      <c r="U254" s="263">
        <f>(U154+U155)*'Data - P&amp;L'!$C$9*'Data - P&amp;L'!$C$54</f>
        <v>0</v>
      </c>
      <c r="V254" s="263">
        <f>(V154+V155)*'Data - P&amp;L'!$C$9*'Data - P&amp;L'!$C$54</f>
        <v>0</v>
      </c>
      <c r="W254" s="263">
        <f>(W154+W155)*'Data - P&amp;L'!$C$9*'Data - P&amp;L'!$C$54</f>
        <v>0</v>
      </c>
      <c r="X254" s="263">
        <f>(X154+X155)*'Data - P&amp;L'!$C$9*'Data - P&amp;L'!$C$54</f>
        <v>0</v>
      </c>
      <c r="Y254" s="263">
        <f>(Y154+Y155)*'Data - P&amp;L'!$C$9*'Data - P&amp;L'!$C$54</f>
        <v>0</v>
      </c>
      <c r="Z254" s="263">
        <f>(Z154+Z155)*'Data - P&amp;L'!$C$9*'Data - P&amp;L'!$C$54</f>
        <v>0</v>
      </c>
      <c r="AA254" s="263">
        <f>(AA154+AA155)*'Data - P&amp;L'!$C$9*'Data - P&amp;L'!$C$54</f>
        <v>0</v>
      </c>
      <c r="AB254" s="263">
        <f>(AB154+AB155)*'Data - P&amp;L'!$C$9*'Data - P&amp;L'!$C$54</f>
        <v>1.665</v>
      </c>
      <c r="AC254" s="263">
        <f>(AC154+AC155)*'Data - P&amp;L'!$C$9*'Data - P&amp;L'!$C$54</f>
        <v>1.665</v>
      </c>
      <c r="AD254" s="263">
        <f>(AD154+AD155)*'Data - P&amp;L'!$C$9*'Data - P&amp;L'!$C$54</f>
        <v>0</v>
      </c>
      <c r="AE254" s="263">
        <f>(AE154+AE155)*'Data - P&amp;L'!$C$9*'Data - P&amp;L'!$C$54</f>
        <v>0</v>
      </c>
      <c r="AF254" s="263">
        <f>(AF154+AF155)*'Data - P&amp;L'!$C$9*'Data - P&amp;L'!$C$54</f>
        <v>3.33</v>
      </c>
      <c r="AG254" s="303">
        <f t="shared" si="68"/>
        <v>14.985</v>
      </c>
    </row>
    <row r="255">
      <c r="A255" s="215" t="s">
        <v>426</v>
      </c>
      <c r="B255" s="263">
        <f>(B156+B157)*'Data - P&amp;L'!$C$5*'Data - P&amp;L'!$C$54</f>
        <v>0</v>
      </c>
      <c r="C255" s="263">
        <f>(C156+C157)*'Data - P&amp;L'!$C$5*'Data - P&amp;L'!$C$54</f>
        <v>0</v>
      </c>
      <c r="D255" s="263">
        <f>(D156+D157)*'Data - P&amp;L'!$C$5*'Data - P&amp;L'!$C$54</f>
        <v>0</v>
      </c>
      <c r="E255" s="263">
        <f>(E156+E157)*'Data - P&amp;L'!$C$5*'Data - P&amp;L'!$C$54</f>
        <v>0</v>
      </c>
      <c r="F255" s="263">
        <f>(F156+F157)*'Data - P&amp;L'!$C$5*'Data - P&amp;L'!$C$54</f>
        <v>0</v>
      </c>
      <c r="G255" s="263">
        <f>(G156+G157)*'Data - P&amp;L'!$C$5*'Data - P&amp;L'!$C$54</f>
        <v>0</v>
      </c>
      <c r="H255" s="263">
        <f>(H156+H157)*'Data - P&amp;L'!$C$5*'Data - P&amp;L'!$C$54</f>
        <v>0</v>
      </c>
      <c r="I255" s="263">
        <f>(I156+I157)*'Data - P&amp;L'!$C$5*'Data - P&amp;L'!$C$54</f>
        <v>0</v>
      </c>
      <c r="J255" s="263">
        <f>(J156+J157)*'Data - P&amp;L'!$C$5*'Data - P&amp;L'!$C$54</f>
        <v>0</v>
      </c>
      <c r="K255" s="263">
        <f>(K156+K157)*'Data - P&amp;L'!$C$5*'Data - P&amp;L'!$C$54</f>
        <v>0</v>
      </c>
      <c r="L255" s="263">
        <f>(L156+L157)*'Data - P&amp;L'!$C$5*'Data - P&amp;L'!$C$54</f>
        <v>0</v>
      </c>
      <c r="M255" s="263">
        <f>(M156+M157)*'Data - P&amp;L'!$C$5*'Data - P&amp;L'!$C$54</f>
        <v>0</v>
      </c>
      <c r="N255" s="263">
        <f>(N156+N157)*'Data - P&amp;L'!$C$5*'Data - P&amp;L'!$C$54</f>
        <v>0</v>
      </c>
      <c r="O255" s="263">
        <f>(O156+O157)*'Data - P&amp;L'!$C$5*'Data - P&amp;L'!$C$54</f>
        <v>0</v>
      </c>
      <c r="P255" s="263">
        <f>(P156+P157)*'Data - P&amp;L'!$C$5*'Data - P&amp;L'!$C$54</f>
        <v>0</v>
      </c>
      <c r="Q255" s="263">
        <f>(Q156+Q157)*'Data - P&amp;L'!$C$5*'Data - P&amp;L'!$C$54</f>
        <v>0</v>
      </c>
      <c r="R255" s="263">
        <f>(R156+R157)*'Data - P&amp;L'!$C$5*'Data - P&amp;L'!$C$54</f>
        <v>0</v>
      </c>
      <c r="S255" s="263">
        <f>(S156+S157)*'Data - P&amp;L'!$C$5*'Data - P&amp;L'!$C$54</f>
        <v>0</v>
      </c>
      <c r="T255" s="263">
        <f>(T156+T157)*'Data - P&amp;L'!$C$5*'Data - P&amp;L'!$C$54</f>
        <v>0</v>
      </c>
      <c r="U255" s="263">
        <f>(U156+U157)*'Data - P&amp;L'!$C$5*'Data - P&amp;L'!$C$54</f>
        <v>0</v>
      </c>
      <c r="V255" s="263">
        <f>(V156+V157)*'Data - P&amp;L'!$C$5*'Data - P&amp;L'!$C$54</f>
        <v>0</v>
      </c>
      <c r="W255" s="263">
        <f>(W156+W157)*'Data - P&amp;L'!$C$5*'Data - P&amp;L'!$C$54</f>
        <v>0</v>
      </c>
      <c r="X255" s="263">
        <f>(X156+X157)*'Data - P&amp;L'!$C$5*'Data - P&amp;L'!$C$54</f>
        <v>0</v>
      </c>
      <c r="Y255" s="263">
        <f>(Y156+Y157)*'Data - P&amp;L'!$C$5*'Data - P&amp;L'!$C$54</f>
        <v>0</v>
      </c>
      <c r="Z255" s="263">
        <f>(Z156+Z157)*'Data - P&amp;L'!$C$5*'Data - P&amp;L'!$C$54</f>
        <v>0</v>
      </c>
      <c r="AA255" s="263">
        <f>(AA156+AA157)*'Data - P&amp;L'!$C$5*'Data - P&amp;L'!$C$54</f>
        <v>0</v>
      </c>
      <c r="AB255" s="263">
        <f>(AB156+AB157)*'Data - P&amp;L'!$C$5*'Data - P&amp;L'!$C$54</f>
        <v>0</v>
      </c>
      <c r="AC255" s="263">
        <f>(AC156+AC157)*'Data - P&amp;L'!$C$5*'Data - P&amp;L'!$C$54</f>
        <v>0</v>
      </c>
      <c r="AD255" s="263">
        <f>(AD156+AD157)*'Data - P&amp;L'!$C$5*'Data - P&amp;L'!$C$54</f>
        <v>0</v>
      </c>
      <c r="AE255" s="263">
        <f>(AE156+AE157)*'Data - P&amp;L'!$C$5*'Data - P&amp;L'!$C$54</f>
        <v>0</v>
      </c>
      <c r="AF255" s="263">
        <f>(AF156+AF157)*'Data - P&amp;L'!$C$5*'Data - P&amp;L'!$C$54</f>
        <v>0</v>
      </c>
      <c r="AG255" s="303">
        <f t="shared" si="68"/>
        <v>0</v>
      </c>
    </row>
    <row r="256">
      <c r="A256" s="215" t="s">
        <v>427</v>
      </c>
      <c r="B256" s="263">
        <f>(B158+B159)*'Data - P&amp;L'!$C$10*'Data - P&amp;L'!$C$54</f>
        <v>0</v>
      </c>
      <c r="C256" s="263">
        <f>(C158+C159)*'Data - P&amp;L'!$C$10*'Data - P&amp;L'!$C$54</f>
        <v>1.5</v>
      </c>
      <c r="D256" s="263">
        <f>(D158+D159)*'Data - P&amp;L'!$C$10*'Data - P&amp;L'!$C$54</f>
        <v>0</v>
      </c>
      <c r="E256" s="263">
        <f>(E158+E159)*'Data - P&amp;L'!$C$10*'Data - P&amp;L'!$C$54</f>
        <v>3</v>
      </c>
      <c r="F256" s="263">
        <f>(F158+F159)*'Data - P&amp;L'!$C$10*'Data - P&amp;L'!$C$54</f>
        <v>0</v>
      </c>
      <c r="G256" s="263">
        <f>(G158+G159)*'Data - P&amp;L'!$C$10*'Data - P&amp;L'!$C$54</f>
        <v>0</v>
      </c>
      <c r="H256" s="263">
        <f>(H158+H159)*'Data - P&amp;L'!$C$10*'Data - P&amp;L'!$C$54</f>
        <v>1.5</v>
      </c>
      <c r="I256" s="263">
        <f>(I158+I159)*'Data - P&amp;L'!$C$10*'Data - P&amp;L'!$C$54</f>
        <v>0</v>
      </c>
      <c r="J256" s="263">
        <f>(J158+J159)*'Data - P&amp;L'!$C$10*'Data - P&amp;L'!$C$54</f>
        <v>0</v>
      </c>
      <c r="K256" s="263">
        <f>(K158+K159)*'Data - P&amp;L'!$C$10*'Data - P&amp;L'!$C$54</f>
        <v>0</v>
      </c>
      <c r="L256" s="263">
        <f>(L158+L159)*'Data - P&amp;L'!$C$10*'Data - P&amp;L'!$C$54</f>
        <v>0</v>
      </c>
      <c r="M256" s="263">
        <f>(M158+M159)*'Data - P&amp;L'!$C$10*'Data - P&amp;L'!$C$54</f>
        <v>0</v>
      </c>
      <c r="N256" s="263">
        <f>(N158+N159)*'Data - P&amp;L'!$C$10*'Data - P&amp;L'!$C$54</f>
        <v>1.5</v>
      </c>
      <c r="O256" s="263">
        <f>(O158+O159)*'Data - P&amp;L'!$C$10*'Data - P&amp;L'!$C$54</f>
        <v>3</v>
      </c>
      <c r="P256" s="263">
        <f>(P158+P159)*'Data - P&amp;L'!$C$10*'Data - P&amp;L'!$C$54</f>
        <v>1.5</v>
      </c>
      <c r="Q256" s="263">
        <f>(Q158+Q159)*'Data - P&amp;L'!$C$10*'Data - P&amp;L'!$C$54</f>
        <v>4.5</v>
      </c>
      <c r="R256" s="263">
        <f>(R158+R159)*'Data - P&amp;L'!$C$10*'Data - P&amp;L'!$C$54</f>
        <v>3</v>
      </c>
      <c r="S256" s="263">
        <f>(S158+S159)*'Data - P&amp;L'!$C$10*'Data - P&amp;L'!$C$54</f>
        <v>0</v>
      </c>
      <c r="T256" s="263">
        <f>(T158+T159)*'Data - P&amp;L'!$C$10*'Data - P&amp;L'!$C$54</f>
        <v>1.5</v>
      </c>
      <c r="U256" s="263">
        <f>(U158+U159)*'Data - P&amp;L'!$C$10*'Data - P&amp;L'!$C$54</f>
        <v>1.5</v>
      </c>
      <c r="V256" s="263">
        <f>(V158+V159)*'Data - P&amp;L'!$C$10*'Data - P&amp;L'!$C$54</f>
        <v>1.5</v>
      </c>
      <c r="W256" s="263">
        <f>(W158+W159)*'Data - P&amp;L'!$C$10*'Data - P&amp;L'!$C$54</f>
        <v>0</v>
      </c>
      <c r="X256" s="263">
        <f>(X158+X159)*'Data - P&amp;L'!$C$10*'Data - P&amp;L'!$C$54</f>
        <v>0</v>
      </c>
      <c r="Y256" s="263">
        <f>(Y158+Y159)*'Data - P&amp;L'!$C$10*'Data - P&amp;L'!$C$54</f>
        <v>0</v>
      </c>
      <c r="Z256" s="263">
        <f>(Z158+Z159)*'Data - P&amp;L'!$C$10*'Data - P&amp;L'!$C$54</f>
        <v>0</v>
      </c>
      <c r="AA256" s="263">
        <f>(AA158+AA159)*'Data - P&amp;L'!$C$10*'Data - P&amp;L'!$C$54</f>
        <v>3</v>
      </c>
      <c r="AB256" s="263">
        <f>(AB158+AB159)*'Data - P&amp;L'!$C$10*'Data - P&amp;L'!$C$54</f>
        <v>3</v>
      </c>
      <c r="AC256" s="263">
        <f>(AC158+AC159)*'Data - P&amp;L'!$C$10*'Data - P&amp;L'!$C$54</f>
        <v>1.5</v>
      </c>
      <c r="AD256" s="263">
        <f>(AD158+AD159)*'Data - P&amp;L'!$C$10*'Data - P&amp;L'!$C$54</f>
        <v>1.5</v>
      </c>
      <c r="AE256" s="263">
        <f>(AE158+AE159)*'Data - P&amp;L'!$C$10*'Data - P&amp;L'!$C$54</f>
        <v>0</v>
      </c>
      <c r="AF256" s="263">
        <f>(AF158+AF159)*'Data - P&amp;L'!$C$10*'Data - P&amp;L'!$C$54</f>
        <v>3</v>
      </c>
      <c r="AG256" s="303">
        <f t="shared" si="68"/>
        <v>36</v>
      </c>
    </row>
    <row r="257">
      <c r="A257" s="375" t="s">
        <v>428</v>
      </c>
      <c r="B257" s="263">
        <f>(B149+B150)*'Data - P&amp;L'!$C$43*'Data - P&amp;L'!$C$54</f>
        <v>5.97</v>
      </c>
      <c r="C257" s="263">
        <f>(C149+C150)*'Data - P&amp;L'!$C$43*'Data - P&amp;L'!$C$54</f>
        <v>5.97</v>
      </c>
      <c r="D257" s="263">
        <f>(D149+D150)*'Data - P&amp;L'!$C$43*'Data - P&amp;L'!$C$54</f>
        <v>2.985</v>
      </c>
      <c r="E257" s="263">
        <f>(E149+E150)*'Data - P&amp;L'!$C$43*'Data - P&amp;L'!$C$54</f>
        <v>2.985</v>
      </c>
      <c r="F257" s="263">
        <f>(F149+F150)*'Data - P&amp;L'!$C$43*'Data - P&amp;L'!$C$54</f>
        <v>11.94</v>
      </c>
      <c r="G257" s="263">
        <f>(G149+G150)*'Data - P&amp;L'!$C$43*'Data - P&amp;L'!$C$54</f>
        <v>8.955</v>
      </c>
      <c r="H257" s="263">
        <f>(H149+H150)*'Data - P&amp;L'!$C$43*'Data - P&amp;L'!$C$54</f>
        <v>0</v>
      </c>
      <c r="I257" s="263">
        <f>(I149+I150)*'Data - P&amp;L'!$C$43*'Data - P&amp;L'!$C$54</f>
        <v>11.94</v>
      </c>
      <c r="J257" s="263">
        <f>(J149+J150)*'Data - P&amp;L'!$C$43*'Data - P&amp;L'!$C$54</f>
        <v>5.97</v>
      </c>
      <c r="K257" s="263">
        <f>(K149+K150)*'Data - P&amp;L'!$C$43*'Data - P&amp;L'!$C$54</f>
        <v>2.985</v>
      </c>
      <c r="L257" s="263">
        <f>(L149+L150)*'Data - P&amp;L'!$C$43*'Data - P&amp;L'!$C$54</f>
        <v>5.97</v>
      </c>
      <c r="M257" s="263">
        <f>(M149+M150)*'Data - P&amp;L'!$C$43*'Data - P&amp;L'!$C$54</f>
        <v>8.955</v>
      </c>
      <c r="N257" s="263">
        <f>(N149+N150)*'Data - P&amp;L'!$C$43*'Data - P&amp;L'!$C$54</f>
        <v>8.955</v>
      </c>
      <c r="O257" s="263">
        <f>(O149+O150)*'Data - P&amp;L'!$C$43*'Data - P&amp;L'!$C$54</f>
        <v>20.895</v>
      </c>
      <c r="P257" s="263">
        <f>(P149+P150)*'Data - P&amp;L'!$C$43*'Data - P&amp;L'!$C$54</f>
        <v>8.955</v>
      </c>
      <c r="Q257" s="263">
        <f>(Q149+Q150)*'Data - P&amp;L'!$C$43*'Data - P&amp;L'!$C$54</f>
        <v>11.94</v>
      </c>
      <c r="R257" s="263">
        <f>(R149+R150)*'Data - P&amp;L'!$C$43*'Data - P&amp;L'!$C$54</f>
        <v>8.955</v>
      </c>
      <c r="S257" s="263">
        <f>(S149+S150)*'Data - P&amp;L'!$C$43*'Data - P&amp;L'!$C$54</f>
        <v>20.895</v>
      </c>
      <c r="T257" s="263">
        <f>(T149+T150)*'Data - P&amp;L'!$C$43*'Data - P&amp;L'!$C$54</f>
        <v>23.88</v>
      </c>
      <c r="U257" s="263">
        <f>(U149+U150)*'Data - P&amp;L'!$C$43*'Data - P&amp;L'!$C$54</f>
        <v>17.91</v>
      </c>
      <c r="V257" s="263">
        <f>(V149+V150)*'Data - P&amp;L'!$C$43*'Data - P&amp;L'!$C$54</f>
        <v>23.88</v>
      </c>
      <c r="W257" s="263">
        <f>(W149+W150)*'Data - P&amp;L'!$C$43*'Data - P&amp;L'!$C$54</f>
        <v>23.88</v>
      </c>
      <c r="X257" s="263">
        <f>(X149+X150)*'Data - P&amp;L'!$C$43*'Data - P&amp;L'!$C$54</f>
        <v>23.88</v>
      </c>
      <c r="Y257" s="263">
        <f>(Y149+Y150)*'Data - P&amp;L'!$C$43*'Data - P&amp;L'!$C$54</f>
        <v>5.97</v>
      </c>
      <c r="Z257" s="263">
        <f>(Z149+Z150)*'Data - P&amp;L'!$C$43*'Data - P&amp;L'!$C$54</f>
        <v>8.955</v>
      </c>
      <c r="AA257" s="263">
        <f>(AA149+AA150)*'Data - P&amp;L'!$C$43*'Data - P&amp;L'!$C$54</f>
        <v>14.925</v>
      </c>
      <c r="AB257" s="263">
        <f>(AB149+AB150)*'Data - P&amp;L'!$C$43*'Data - P&amp;L'!$C$54</f>
        <v>5.97</v>
      </c>
      <c r="AC257" s="263">
        <f>(AC149+AC150)*'Data - P&amp;L'!$C$43*'Data - P&amp;L'!$C$54</f>
        <v>11.94</v>
      </c>
      <c r="AD257" s="263">
        <f>(AD149+AD150)*'Data - P&amp;L'!$C$43*'Data - P&amp;L'!$C$54</f>
        <v>29.85</v>
      </c>
      <c r="AE257" s="263">
        <f>(AE149+AE150)*'Data - P&amp;L'!$C$43*'Data - P&amp;L'!$C$54</f>
        <v>20.895</v>
      </c>
      <c r="AF257" s="263">
        <f>(AF149+AF150)*'Data - P&amp;L'!$C$43*'Data - P&amp;L'!$C$54</f>
        <v>20.895</v>
      </c>
      <c r="AG257" s="303">
        <f t="shared" si="68"/>
        <v>388.05</v>
      </c>
    </row>
    <row r="258">
      <c r="A258" s="375" t="s">
        <v>430</v>
      </c>
      <c r="B258" s="263">
        <f>(B160)*'Data - P&amp;L'!$C$43*'Data - P&amp;L'!$C$54</f>
        <v>5.97</v>
      </c>
      <c r="C258" s="263">
        <f>(C160)*'Data - P&amp;L'!$C$43*'Data - P&amp;L'!$C$54</f>
        <v>2.985</v>
      </c>
      <c r="D258" s="263">
        <f>(D160)*'Data - P&amp;L'!$C$43*'Data - P&amp;L'!$C$54</f>
        <v>8.955</v>
      </c>
      <c r="E258" s="263">
        <f>(E160)*'Data - P&amp;L'!$C$43*'Data - P&amp;L'!$C$54</f>
        <v>14.925</v>
      </c>
      <c r="F258" s="263">
        <f>(F160)*'Data - P&amp;L'!$C$43*'Data - P&amp;L'!$C$54</f>
        <v>0</v>
      </c>
      <c r="G258" s="263">
        <f>(G160)*'Data - P&amp;L'!$C$43*'Data - P&amp;L'!$C$54</f>
        <v>0</v>
      </c>
      <c r="H258" s="263">
        <f>(H160)*'Data - P&amp;L'!$C$43*'Data - P&amp;L'!$C$54</f>
        <v>8.955</v>
      </c>
      <c r="I258" s="263">
        <f>(I160)*'Data - P&amp;L'!$C$43*'Data - P&amp;L'!$C$54</f>
        <v>11.94</v>
      </c>
      <c r="J258" s="263">
        <f>(J160)*'Data - P&amp;L'!$C$43*'Data - P&amp;L'!$C$54</f>
        <v>0</v>
      </c>
      <c r="K258" s="263">
        <f>(K160)*'Data - P&amp;L'!$C$43*'Data - P&amp;L'!$C$54</f>
        <v>2.985</v>
      </c>
      <c r="L258" s="263">
        <f>(L160)*'Data - P&amp;L'!$C$43*'Data - P&amp;L'!$C$54</f>
        <v>0</v>
      </c>
      <c r="M258" s="263">
        <f>(M160)*'Data - P&amp;L'!$C$43*'Data - P&amp;L'!$C$54</f>
        <v>2.985</v>
      </c>
      <c r="N258" s="263">
        <f>(N160)*'Data - P&amp;L'!$C$43*'Data - P&amp;L'!$C$54</f>
        <v>8.955</v>
      </c>
      <c r="O258" s="263">
        <f>(O160)*'Data - P&amp;L'!$C$43*'Data - P&amp;L'!$C$54</f>
        <v>8.955</v>
      </c>
      <c r="P258" s="263">
        <f>(P160)*'Data - P&amp;L'!$C$43*'Data - P&amp;L'!$C$54</f>
        <v>11.94</v>
      </c>
      <c r="Q258" s="263">
        <f>(Q160)*'Data - P&amp;L'!$C$43*'Data - P&amp;L'!$C$54</f>
        <v>17.91</v>
      </c>
      <c r="R258" s="263">
        <f>(R160)*'Data - P&amp;L'!$C$43*'Data - P&amp;L'!$C$54</f>
        <v>11.94</v>
      </c>
      <c r="S258" s="263">
        <f>(S160)*'Data - P&amp;L'!$C$43*'Data - P&amp;L'!$C$54</f>
        <v>5.97</v>
      </c>
      <c r="T258" s="263">
        <f>(T160)*'Data - P&amp;L'!$C$43*'Data - P&amp;L'!$C$54</f>
        <v>5.97</v>
      </c>
      <c r="U258" s="263">
        <f>(U160)*'Data - P&amp;L'!$C$43*'Data - P&amp;L'!$C$54</f>
        <v>17.91</v>
      </c>
      <c r="V258" s="263">
        <f>(V160)*'Data - P&amp;L'!$C$43*'Data - P&amp;L'!$C$54</f>
        <v>8.955</v>
      </c>
      <c r="W258" s="263">
        <f>(W160)*'Data - P&amp;L'!$C$43*'Data - P&amp;L'!$C$54</f>
        <v>0</v>
      </c>
      <c r="X258" s="263">
        <f>(X160)*'Data - P&amp;L'!$C$43*'Data - P&amp;L'!$C$54</f>
        <v>5.97</v>
      </c>
      <c r="Y258" s="263">
        <f>(Y160)*'Data - P&amp;L'!$C$43*'Data - P&amp;L'!$C$54</f>
        <v>8.955</v>
      </c>
      <c r="Z258" s="263">
        <f>(Z160)*'Data - P&amp;L'!$C$43*'Data - P&amp;L'!$C$54</f>
        <v>2.985</v>
      </c>
      <c r="AA258" s="263">
        <f>(AA160)*'Data - P&amp;L'!$C$43*'Data - P&amp;L'!$C$54</f>
        <v>8.955</v>
      </c>
      <c r="AB258" s="263">
        <f>(AB160)*'Data - P&amp;L'!$C$43*'Data - P&amp;L'!$C$54</f>
        <v>17.91</v>
      </c>
      <c r="AC258" s="263">
        <f>(AC160)*'Data - P&amp;L'!$C$43*'Data - P&amp;L'!$C$54</f>
        <v>11.94</v>
      </c>
      <c r="AD258" s="263">
        <f>(AD160)*'Data - P&amp;L'!$C$43*'Data - P&amp;L'!$C$54</f>
        <v>17.91</v>
      </c>
      <c r="AE258" s="263">
        <f>(AE160)*'Data - P&amp;L'!$C$43*'Data - P&amp;L'!$C$54</f>
        <v>0</v>
      </c>
      <c r="AF258" s="263">
        <f>(AF160)*'Data - P&amp;L'!$C$43*'Data - P&amp;L'!$C$54</f>
        <v>17.91</v>
      </c>
      <c r="AG258" s="303">
        <f t="shared" si="68"/>
        <v>250.74</v>
      </c>
    </row>
    <row r="259">
      <c r="A259" s="376" t="s">
        <v>606</v>
      </c>
      <c r="B259" s="263">
        <f>(((B149+B150)*'Data - P&amp;L'!$C$62)*(1-'Data - P&amp;L'!$C$58))+((B160*'Data - P&amp;L'!$C$63)*(1-'Data - P&amp;L'!$C$58))</f>
        <v>6.760512</v>
      </c>
      <c r="C259" s="263">
        <f>(((C149+C150)*'Data - P&amp;L'!$C$62)*(1-'Data - P&amp;L'!$C$58))+((C160*'Data - P&amp;L'!$C$63)*(1-'Data - P&amp;L'!$C$58))</f>
        <v>5.802192</v>
      </c>
      <c r="D259" s="263">
        <f>(((D149+D150)*'Data - P&amp;L'!$C$62)*(1-'Data - P&amp;L'!$C$58))+((D160*'Data - P&amp;L'!$C$63)*(1-'Data - P&amp;L'!$C$58))</f>
        <v>5.296896</v>
      </c>
      <c r="E259" s="263">
        <f>(((E149+E150)*'Data - P&amp;L'!$C$62)*(1-'Data - P&amp;L'!$C$58))+((E160*'Data - P&amp;L'!$C$63)*(1-'Data - P&amp;L'!$C$58))</f>
        <v>7.213536</v>
      </c>
      <c r="F259" s="263">
        <f>(((F149+F150)*'Data - P&amp;L'!$C$62)*(1-'Data - P&amp;L'!$C$58))+((F160*'Data - P&amp;L'!$C$63)*(1-'Data - P&amp;L'!$C$58))</f>
        <v>9.687744</v>
      </c>
      <c r="G259" s="263">
        <f>(((G149+G150)*'Data - P&amp;L'!$C$62)*(1-'Data - P&amp;L'!$C$58))+((G160*'Data - P&amp;L'!$C$63)*(1-'Data - P&amp;L'!$C$58))</f>
        <v>7.265808</v>
      </c>
      <c r="H259" s="263">
        <f>(((H149+H150)*'Data - P&amp;L'!$C$62)*(1-'Data - P&amp;L'!$C$58))+((H160*'Data - P&amp;L'!$C$63)*(1-'Data - P&amp;L'!$C$58))</f>
        <v>2.87496</v>
      </c>
      <c r="I259" s="263">
        <f>(((I149+I150)*'Data - P&amp;L'!$C$62)*(1-'Data - P&amp;L'!$C$58))+((I160*'Data - P&amp;L'!$C$63)*(1-'Data - P&amp;L'!$C$58))</f>
        <v>13.521024</v>
      </c>
      <c r="J259" s="263">
        <f>(((J149+J150)*'Data - P&amp;L'!$C$62)*(1-'Data - P&amp;L'!$C$58))+((J160*'Data - P&amp;L'!$C$63)*(1-'Data - P&amp;L'!$C$58))</f>
        <v>4.843872</v>
      </c>
      <c r="K259" s="263">
        <f>(((K149+K150)*'Data - P&amp;L'!$C$62)*(1-'Data - P&amp;L'!$C$58))+((K160*'Data - P&amp;L'!$C$63)*(1-'Data - P&amp;L'!$C$58))</f>
        <v>3.380256</v>
      </c>
      <c r="L259" s="263">
        <f>(((L149+L150)*'Data - P&amp;L'!$C$62)*(1-'Data - P&amp;L'!$C$58))+((L160*'Data - P&amp;L'!$C$63)*(1-'Data - P&amp;L'!$C$58))</f>
        <v>4.843872</v>
      </c>
      <c r="M259" s="263">
        <f>(((M149+M150)*'Data - P&amp;L'!$C$62)*(1-'Data - P&amp;L'!$C$58))+((M160*'Data - P&amp;L'!$C$63)*(1-'Data - P&amp;L'!$C$58))</f>
        <v>8.224128</v>
      </c>
      <c r="N259" s="263">
        <f>(((N149+N150)*'Data - P&amp;L'!$C$62)*(1-'Data - P&amp;L'!$C$58))+((N160*'Data - P&amp;L'!$C$63)*(1-'Data - P&amp;L'!$C$58))</f>
        <v>10.140768</v>
      </c>
      <c r="O259" s="263">
        <f>(((O149+O150)*'Data - P&amp;L'!$C$62)*(1-'Data - P&amp;L'!$C$58))+((O160*'Data - P&amp;L'!$C$63)*(1-'Data - P&amp;L'!$C$58))</f>
        <v>19.828512</v>
      </c>
      <c r="P259" s="263">
        <f>(((P149+P150)*'Data - P&amp;L'!$C$62)*(1-'Data - P&amp;L'!$C$58))+((P160*'Data - P&amp;L'!$C$63)*(1-'Data - P&amp;L'!$C$58))</f>
        <v>11.099088</v>
      </c>
      <c r="Q259" s="263">
        <f>(((Q149+Q150)*'Data - P&amp;L'!$C$62)*(1-'Data - P&amp;L'!$C$58))+((Q160*'Data - P&amp;L'!$C$63)*(1-'Data - P&amp;L'!$C$58))</f>
        <v>15.437664</v>
      </c>
      <c r="R259" s="263">
        <f>(((R149+R150)*'Data - P&amp;L'!$C$62)*(1-'Data - P&amp;L'!$C$58))+((R160*'Data - P&amp;L'!$C$63)*(1-'Data - P&amp;L'!$C$58))</f>
        <v>11.099088</v>
      </c>
      <c r="S259" s="263">
        <f>(((S149+S150)*'Data - P&amp;L'!$C$62)*(1-'Data - P&amp;L'!$C$58))+((S160*'Data - P&amp;L'!$C$63)*(1-'Data - P&amp;L'!$C$58))</f>
        <v>18.870192</v>
      </c>
      <c r="T259" s="263">
        <f>(((T149+T150)*'Data - P&amp;L'!$C$62)*(1-'Data - P&amp;L'!$C$58))+((T160*'Data - P&amp;L'!$C$63)*(1-'Data - P&amp;L'!$C$58))</f>
        <v>21.292128</v>
      </c>
      <c r="U259" s="263">
        <f>(((U149+U150)*'Data - P&amp;L'!$C$62)*(1-'Data - P&amp;L'!$C$58))+((U160*'Data - P&amp;L'!$C$63)*(1-'Data - P&amp;L'!$C$58))</f>
        <v>20.281536</v>
      </c>
      <c r="V259" s="263">
        <f>(((V149+V150)*'Data - P&amp;L'!$C$62)*(1-'Data - P&amp;L'!$C$58))+((V160*'Data - P&amp;L'!$C$63)*(1-'Data - P&amp;L'!$C$58))</f>
        <v>22.250448</v>
      </c>
      <c r="W259" s="263">
        <f>(((W149+W150)*'Data - P&amp;L'!$C$62)*(1-'Data - P&amp;L'!$C$58))+((W160*'Data - P&amp;L'!$C$63)*(1-'Data - P&amp;L'!$C$58))</f>
        <v>19.375488</v>
      </c>
      <c r="X259" s="263">
        <f>(((X149+X150)*'Data - P&amp;L'!$C$62)*(1-'Data - P&amp;L'!$C$58))+((X160*'Data - P&amp;L'!$C$63)*(1-'Data - P&amp;L'!$C$58))</f>
        <v>21.292128</v>
      </c>
      <c r="Y259" s="263">
        <f>(((Y149+Y150)*'Data - P&amp;L'!$C$62)*(1-'Data - P&amp;L'!$C$58))+((Y160*'Data - P&amp;L'!$C$63)*(1-'Data - P&amp;L'!$C$58))</f>
        <v>7.718832</v>
      </c>
      <c r="Z259" s="263">
        <f>(((Z149+Z150)*'Data - P&amp;L'!$C$62)*(1-'Data - P&amp;L'!$C$58))+((Z160*'Data - P&amp;L'!$C$63)*(1-'Data - P&amp;L'!$C$58))</f>
        <v>8.224128</v>
      </c>
      <c r="AA259" s="263">
        <f>(((AA149+AA150)*'Data - P&amp;L'!$C$62)*(1-'Data - P&amp;L'!$C$58))+((AA160*'Data - P&amp;L'!$C$63)*(1-'Data - P&amp;L'!$C$58))</f>
        <v>14.98464</v>
      </c>
      <c r="AB259" s="263">
        <f>(((AB149+AB150)*'Data - P&amp;L'!$C$62)*(1-'Data - P&amp;L'!$C$58))+((AB160*'Data - P&amp;L'!$C$63)*(1-'Data - P&amp;L'!$C$58))</f>
        <v>10.593792</v>
      </c>
      <c r="AC259" s="263">
        <f>(((AC149+AC150)*'Data - P&amp;L'!$C$62)*(1-'Data - P&amp;L'!$C$58))+((AC160*'Data - P&amp;L'!$C$63)*(1-'Data - P&amp;L'!$C$58))</f>
        <v>13.521024</v>
      </c>
      <c r="AD259" s="263">
        <f>(((AD149+AD150)*'Data - P&amp;L'!$C$62)*(1-'Data - P&amp;L'!$C$58))+((AD160*'Data - P&amp;L'!$C$63)*(1-'Data - P&amp;L'!$C$58))</f>
        <v>29.96928</v>
      </c>
      <c r="AE259" s="263">
        <f>(((AE149+AE150)*'Data - P&amp;L'!$C$62)*(1-'Data - P&amp;L'!$C$58))+((AE160*'Data - P&amp;L'!$C$63)*(1-'Data - P&amp;L'!$C$58))</f>
        <v>16.953552</v>
      </c>
      <c r="AF259" s="263">
        <f>(((AF149+AF150)*'Data - P&amp;L'!$C$62)*(1-'Data - P&amp;L'!$C$58))+((AF160*'Data - P&amp;L'!$C$63)*(1-'Data - P&amp;L'!$C$58))</f>
        <v>22.703472</v>
      </c>
      <c r="AG259" s="303">
        <f t="shared" si="68"/>
        <v>395.35056</v>
      </c>
    </row>
    <row r="260">
      <c r="A260" s="376" t="s">
        <v>439</v>
      </c>
      <c r="B260" s="263">
        <f t="shared" ref="B260:AF260" si="71">B171</f>
        <v>700.99</v>
      </c>
      <c r="C260" s="263">
        <f t="shared" si="71"/>
        <v>492.82</v>
      </c>
      <c r="D260" s="263">
        <f t="shared" si="71"/>
        <v>543.82</v>
      </c>
      <c r="E260" s="263">
        <f t="shared" si="71"/>
        <v>569.34</v>
      </c>
      <c r="F260" s="263">
        <f t="shared" si="71"/>
        <v>284.67</v>
      </c>
      <c r="G260" s="263">
        <f t="shared" si="71"/>
        <v>1011.16</v>
      </c>
      <c r="H260" s="263">
        <f t="shared" si="71"/>
        <v>1906.48</v>
      </c>
      <c r="I260" s="263">
        <f t="shared" si="71"/>
        <v>1295.83</v>
      </c>
      <c r="J260" s="263">
        <f t="shared" si="71"/>
        <v>1503.94</v>
      </c>
      <c r="K260" s="263">
        <f t="shared" si="71"/>
        <v>603.66</v>
      </c>
      <c r="L260" s="263">
        <f t="shared" si="71"/>
        <v>1582.14</v>
      </c>
      <c r="M260" s="263">
        <f t="shared" si="71"/>
        <v>1378.1</v>
      </c>
      <c r="N260" s="263">
        <f t="shared" si="71"/>
        <v>2549.71</v>
      </c>
      <c r="O260" s="263">
        <f t="shared" si="71"/>
        <v>3571</v>
      </c>
      <c r="P260" s="263">
        <f t="shared" si="71"/>
        <v>2048.66</v>
      </c>
      <c r="Q260" s="263">
        <f t="shared" si="71"/>
        <v>1990.5</v>
      </c>
      <c r="R260" s="263">
        <f t="shared" si="71"/>
        <v>1539.12</v>
      </c>
      <c r="S260" s="263">
        <f t="shared" si="71"/>
        <v>671.31</v>
      </c>
      <c r="T260" s="263">
        <f t="shared" si="71"/>
        <v>416.3</v>
      </c>
      <c r="U260" s="263">
        <f t="shared" si="71"/>
        <v>996.2</v>
      </c>
      <c r="V260" s="263">
        <f t="shared" si="71"/>
        <v>2187.49</v>
      </c>
      <c r="W260" s="263">
        <f t="shared" si="71"/>
        <v>1275.01</v>
      </c>
      <c r="X260" s="263">
        <f t="shared" si="71"/>
        <v>2435.7</v>
      </c>
      <c r="Y260" s="263">
        <f t="shared" si="71"/>
        <v>828.39</v>
      </c>
      <c r="Z260" s="263">
        <f t="shared" si="71"/>
        <v>1437.12</v>
      </c>
      <c r="AA260" s="263">
        <f t="shared" si="71"/>
        <v>493.64</v>
      </c>
      <c r="AB260" s="263">
        <f t="shared" si="71"/>
        <v>233.67</v>
      </c>
      <c r="AC260" s="263">
        <f t="shared" si="71"/>
        <v>1564.6</v>
      </c>
      <c r="AD260" s="263">
        <f t="shared" si="71"/>
        <v>1574.28</v>
      </c>
      <c r="AE260" s="263">
        <f t="shared" si="71"/>
        <v>1948.26</v>
      </c>
      <c r="AF260" s="263">
        <f t="shared" si="71"/>
        <v>1169.95</v>
      </c>
      <c r="AG260" s="303">
        <f t="shared" si="68"/>
        <v>40803.86</v>
      </c>
    </row>
    <row r="261">
      <c r="A261" s="245" t="s">
        <v>607</v>
      </c>
      <c r="B261" s="277">
        <f t="shared" ref="B261:AF261" si="72">sum(B262:B270)-B271</f>
        <v>0</v>
      </c>
      <c r="C261" s="277">
        <f t="shared" si="72"/>
        <v>0</v>
      </c>
      <c r="D261" s="277">
        <f t="shared" si="72"/>
        <v>0</v>
      </c>
      <c r="E261" s="277">
        <f t="shared" si="72"/>
        <v>0</v>
      </c>
      <c r="F261" s="277">
        <f t="shared" si="72"/>
        <v>0</v>
      </c>
      <c r="G261" s="277">
        <f t="shared" si="72"/>
        <v>1.35066</v>
      </c>
      <c r="H261" s="277">
        <f t="shared" si="72"/>
        <v>0</v>
      </c>
      <c r="I261" s="277">
        <f t="shared" si="72"/>
        <v>0</v>
      </c>
      <c r="J261" s="277">
        <f t="shared" si="72"/>
        <v>2.70132</v>
      </c>
      <c r="K261" s="277">
        <f t="shared" si="72"/>
        <v>0</v>
      </c>
      <c r="L261" s="277">
        <f t="shared" si="72"/>
        <v>0</v>
      </c>
      <c r="M261" s="277">
        <f t="shared" si="72"/>
        <v>0</v>
      </c>
      <c r="N261" s="277">
        <f t="shared" si="72"/>
        <v>0</v>
      </c>
      <c r="O261" s="277">
        <f t="shared" si="72"/>
        <v>0</v>
      </c>
      <c r="P261" s="277">
        <f t="shared" si="72"/>
        <v>4.05198</v>
      </c>
      <c r="Q261" s="277">
        <f t="shared" si="72"/>
        <v>1.47632</v>
      </c>
      <c r="R261" s="277">
        <f t="shared" si="72"/>
        <v>0</v>
      </c>
      <c r="S261" s="277">
        <f t="shared" si="72"/>
        <v>0</v>
      </c>
      <c r="T261" s="277">
        <f t="shared" si="72"/>
        <v>0</v>
      </c>
      <c r="U261" s="277">
        <f t="shared" si="72"/>
        <v>0</v>
      </c>
      <c r="V261" s="277">
        <f t="shared" si="72"/>
        <v>0</v>
      </c>
      <c r="W261" s="277">
        <f t="shared" si="72"/>
        <v>0</v>
      </c>
      <c r="X261" s="277">
        <f t="shared" si="72"/>
        <v>0</v>
      </c>
      <c r="Y261" s="277">
        <f t="shared" si="72"/>
        <v>0</v>
      </c>
      <c r="Z261" s="277">
        <f t="shared" si="72"/>
        <v>0</v>
      </c>
      <c r="AA261" s="277">
        <f t="shared" si="72"/>
        <v>0</v>
      </c>
      <c r="AB261" s="277">
        <f t="shared" si="72"/>
        <v>0</v>
      </c>
      <c r="AC261" s="277">
        <f t="shared" si="72"/>
        <v>0</v>
      </c>
      <c r="AD261" s="277">
        <f t="shared" si="72"/>
        <v>0</v>
      </c>
      <c r="AE261" s="277">
        <f t="shared" si="72"/>
        <v>1.35066</v>
      </c>
      <c r="AF261" s="277">
        <f t="shared" si="72"/>
        <v>0</v>
      </c>
      <c r="AG261" s="303">
        <f t="shared" si="68"/>
        <v>10.93094</v>
      </c>
    </row>
    <row r="262">
      <c r="A262" s="215" t="s">
        <v>421</v>
      </c>
      <c r="B262" s="263">
        <f>B183*'Data - P&amp;L'!$C$3*'Data - P&amp;L'!$C$55</f>
        <v>0</v>
      </c>
      <c r="C262" s="263">
        <f>C183*'Data - P&amp;L'!$C$3*'Data - P&amp;L'!$C$55</f>
        <v>0</v>
      </c>
      <c r="D262" s="263">
        <f>D183*'Data - P&amp;L'!$C$3*'Data - P&amp;L'!$C$55</f>
        <v>0</v>
      </c>
      <c r="E262" s="263">
        <f>E183*'Data - P&amp;L'!$C$3*'Data - P&amp;L'!$C$55</f>
        <v>0</v>
      </c>
      <c r="F262" s="263">
        <f>F183*'Data - P&amp;L'!$C$3*'Data - P&amp;L'!$C$55</f>
        <v>0</v>
      </c>
      <c r="G262" s="263">
        <f>G183*'Data - P&amp;L'!$C$3*'Data - P&amp;L'!$C$55</f>
        <v>0</v>
      </c>
      <c r="H262" s="263">
        <f>H183*'Data - P&amp;L'!$C$3*'Data - P&amp;L'!$C$55</f>
        <v>0</v>
      </c>
      <c r="I262" s="263">
        <f>I183*'Data - P&amp;L'!$C$3*'Data - P&amp;L'!$C$55</f>
        <v>0</v>
      </c>
      <c r="J262" s="263">
        <f>J183*'Data - P&amp;L'!$C$3*'Data - P&amp;L'!$C$55</f>
        <v>0</v>
      </c>
      <c r="K262" s="263">
        <f>K183*'Data - P&amp;L'!$C$3*'Data - P&amp;L'!$C$55</f>
        <v>0</v>
      </c>
      <c r="L262" s="263">
        <f>L183*'Data - P&amp;L'!$C$3*'Data - P&amp;L'!$C$55</f>
        <v>0</v>
      </c>
      <c r="M262" s="263">
        <f>M183*'Data - P&amp;L'!$C$3*'Data - P&amp;L'!$C$55</f>
        <v>0</v>
      </c>
      <c r="N262" s="263">
        <f>N183*'Data - P&amp;L'!$C$3*'Data - P&amp;L'!$C$55</f>
        <v>0</v>
      </c>
      <c r="O262" s="263">
        <f>O183*'Data - P&amp;L'!$C$3*'Data - P&amp;L'!$C$55</f>
        <v>0</v>
      </c>
      <c r="P262" s="263">
        <f>P183*'Data - P&amp;L'!$C$3*'Data - P&amp;L'!$C$55</f>
        <v>0</v>
      </c>
      <c r="Q262" s="263">
        <f>Q183*'Data - P&amp;L'!$C$3*'Data - P&amp;L'!$C$55</f>
        <v>0</v>
      </c>
      <c r="R262" s="263">
        <f>R183*'Data - P&amp;L'!$C$3*'Data - P&amp;L'!$C$55</f>
        <v>0</v>
      </c>
      <c r="S262" s="263">
        <f>S183*'Data - P&amp;L'!$C$3*'Data - P&amp;L'!$C$55</f>
        <v>0</v>
      </c>
      <c r="T262" s="263">
        <f>T183*'Data - P&amp;L'!$C$3*'Data - P&amp;L'!$C$55</f>
        <v>0</v>
      </c>
      <c r="U262" s="263">
        <f>U183*'Data - P&amp;L'!$C$3*'Data - P&amp;L'!$C$55</f>
        <v>0</v>
      </c>
      <c r="V262" s="263">
        <f>V183*'Data - P&amp;L'!$C$3*'Data - P&amp;L'!$C$55</f>
        <v>0</v>
      </c>
      <c r="W262" s="263">
        <f>W183*'Data - P&amp;L'!$C$3*'Data - P&amp;L'!$C$55</f>
        <v>0</v>
      </c>
      <c r="X262" s="263">
        <f>X183*'Data - P&amp;L'!$C$3*'Data - P&amp;L'!$C$55</f>
        <v>0</v>
      </c>
      <c r="Y262" s="263">
        <f>Y183*'Data - P&amp;L'!$C$3*'Data - P&amp;L'!$C$55</f>
        <v>0</v>
      </c>
      <c r="Z262" s="263">
        <f>Z183*'Data - P&amp;L'!$C$3*'Data - P&amp;L'!$C$55</f>
        <v>0</v>
      </c>
      <c r="AA262" s="263">
        <f>AA183*'Data - P&amp;L'!$C$3*'Data - P&amp;L'!$C$55</f>
        <v>0</v>
      </c>
      <c r="AB262" s="263">
        <f>AB183*'Data - P&amp;L'!$C$3*'Data - P&amp;L'!$C$55</f>
        <v>0</v>
      </c>
      <c r="AC262" s="263">
        <f>AC183*'Data - P&amp;L'!$C$3*'Data - P&amp;L'!$C$55</f>
        <v>0</v>
      </c>
      <c r="AD262" s="263">
        <f>AD183*'Data - P&amp;L'!$C$3*'Data - P&amp;L'!$C$55</f>
        <v>0</v>
      </c>
      <c r="AE262" s="263">
        <f>AE183*'Data - P&amp;L'!$C$3*'Data - P&amp;L'!$C$55</f>
        <v>0</v>
      </c>
      <c r="AF262" s="263">
        <f>AF183*'Data - P&amp;L'!$C$3*'Data - P&amp;L'!$C$55</f>
        <v>0</v>
      </c>
      <c r="AG262" s="303">
        <f t="shared" si="68"/>
        <v>0</v>
      </c>
    </row>
    <row r="263">
      <c r="A263" s="215" t="s">
        <v>422</v>
      </c>
      <c r="B263" s="263">
        <f>B184*'Data - P&amp;L'!$C$4*'Data - P&amp;L'!$C$55</f>
        <v>0</v>
      </c>
      <c r="C263" s="263">
        <f>C184*'Data - P&amp;L'!$C$4*'Data - P&amp;L'!$C$55</f>
        <v>0</v>
      </c>
      <c r="D263" s="263">
        <f>D184*'Data - P&amp;L'!$C$4*'Data - P&amp;L'!$C$55</f>
        <v>0</v>
      </c>
      <c r="E263" s="263">
        <f>E184*'Data - P&amp;L'!$C$4*'Data - P&amp;L'!$C$55</f>
        <v>0</v>
      </c>
      <c r="F263" s="263">
        <f>F184*'Data - P&amp;L'!$C$4*'Data - P&amp;L'!$C$55</f>
        <v>0</v>
      </c>
      <c r="G263" s="263">
        <f>G184*'Data - P&amp;L'!$C$4*'Data - P&amp;L'!$C$55</f>
        <v>0</v>
      </c>
      <c r="H263" s="263">
        <f>H184*'Data - P&amp;L'!$C$4*'Data - P&amp;L'!$C$55</f>
        <v>0</v>
      </c>
      <c r="I263" s="263">
        <f>I184*'Data - P&amp;L'!$C$4*'Data - P&amp;L'!$C$55</f>
        <v>0</v>
      </c>
      <c r="J263" s="263">
        <f>J184*'Data - P&amp;L'!$C$4*'Data - P&amp;L'!$C$55</f>
        <v>0</v>
      </c>
      <c r="K263" s="263">
        <f>K184*'Data - P&amp;L'!$C$4*'Data - P&amp;L'!$C$55</f>
        <v>0</v>
      </c>
      <c r="L263" s="263">
        <f>L184*'Data - P&amp;L'!$C$4*'Data - P&amp;L'!$C$55</f>
        <v>0</v>
      </c>
      <c r="M263" s="263">
        <f>M184*'Data - P&amp;L'!$C$4*'Data - P&amp;L'!$C$55</f>
        <v>0</v>
      </c>
      <c r="N263" s="263">
        <f>N184*'Data - P&amp;L'!$C$4*'Data - P&amp;L'!$C$55</f>
        <v>0</v>
      </c>
      <c r="O263" s="263">
        <f>O184*'Data - P&amp;L'!$C$4*'Data - P&amp;L'!$C$55</f>
        <v>0</v>
      </c>
      <c r="P263" s="263">
        <f>P184*'Data - P&amp;L'!$C$4*'Data - P&amp;L'!$C$55</f>
        <v>0</v>
      </c>
      <c r="Q263" s="263">
        <f>Q184*'Data - P&amp;L'!$C$4*'Data - P&amp;L'!$C$55</f>
        <v>0</v>
      </c>
      <c r="R263" s="263">
        <f>R184*'Data - P&amp;L'!$C$4*'Data - P&amp;L'!$C$55</f>
        <v>0</v>
      </c>
      <c r="S263" s="263">
        <f>S184*'Data - P&amp;L'!$C$4*'Data - P&amp;L'!$C$55</f>
        <v>0</v>
      </c>
      <c r="T263" s="263">
        <f>T184*'Data - P&amp;L'!$C$4*'Data - P&amp;L'!$C$55</f>
        <v>0</v>
      </c>
      <c r="U263" s="263">
        <f>U184*'Data - P&amp;L'!$C$4*'Data - P&amp;L'!$C$55</f>
        <v>0</v>
      </c>
      <c r="V263" s="263">
        <f>V184*'Data - P&amp;L'!$C$4*'Data - P&amp;L'!$C$55</f>
        <v>0</v>
      </c>
      <c r="W263" s="263">
        <f>W184*'Data - P&amp;L'!$C$4*'Data - P&amp;L'!$C$55</f>
        <v>0</v>
      </c>
      <c r="X263" s="263">
        <f>X184*'Data - P&amp;L'!$C$4*'Data - P&amp;L'!$C$55</f>
        <v>0</v>
      </c>
      <c r="Y263" s="263">
        <f>Y184*'Data - P&amp;L'!$C$4*'Data - P&amp;L'!$C$55</f>
        <v>0</v>
      </c>
      <c r="Z263" s="263">
        <f>Z184*'Data - P&amp;L'!$C$4*'Data - P&amp;L'!$C$55</f>
        <v>0</v>
      </c>
      <c r="AA263" s="263">
        <f>AA184*'Data - P&amp;L'!$C$4*'Data - P&amp;L'!$C$55</f>
        <v>0</v>
      </c>
      <c r="AB263" s="263">
        <f>AB184*'Data - P&amp;L'!$C$4*'Data - P&amp;L'!$C$55</f>
        <v>0</v>
      </c>
      <c r="AC263" s="263">
        <f>AC184*'Data - P&amp;L'!$C$4*'Data - P&amp;L'!$C$55</f>
        <v>0</v>
      </c>
      <c r="AD263" s="263">
        <f>AD184*'Data - P&amp;L'!$C$4*'Data - P&amp;L'!$C$55</f>
        <v>0</v>
      </c>
      <c r="AE263" s="263">
        <f>AE184*'Data - P&amp;L'!$C$4*'Data - P&amp;L'!$C$55</f>
        <v>0</v>
      </c>
      <c r="AF263" s="263">
        <f>AF184*'Data - P&amp;L'!$C$4*'Data - P&amp;L'!$C$55</f>
        <v>0</v>
      </c>
      <c r="AG263" s="303">
        <f t="shared" si="68"/>
        <v>0</v>
      </c>
    </row>
    <row r="264">
      <c r="A264" s="215" t="s">
        <v>423</v>
      </c>
      <c r="B264" s="263">
        <f>B186*'Data - P&amp;L'!$C$6*'Data - P&amp;L'!$C$55</f>
        <v>0</v>
      </c>
      <c r="C264" s="263">
        <f>C186*'Data - P&amp;L'!$C$6*'Data - P&amp;L'!$C$55</f>
        <v>0</v>
      </c>
      <c r="D264" s="263">
        <f>D186*'Data - P&amp;L'!$C$6*'Data - P&amp;L'!$C$55</f>
        <v>0</v>
      </c>
      <c r="E264" s="263">
        <f>E186*'Data - P&amp;L'!$C$6*'Data - P&amp;L'!$C$55</f>
        <v>0</v>
      </c>
      <c r="F264" s="263">
        <f>F186*'Data - P&amp;L'!$C$6*'Data - P&amp;L'!$C$55</f>
        <v>0</v>
      </c>
      <c r="G264" s="263">
        <f>G186*'Data - P&amp;L'!$C$6*'Data - P&amp;L'!$C$55</f>
        <v>0</v>
      </c>
      <c r="H264" s="263">
        <f>H186*'Data - P&amp;L'!$C$6*'Data - P&amp;L'!$C$55</f>
        <v>0</v>
      </c>
      <c r="I264" s="263">
        <f>I186*'Data - P&amp;L'!$C$6*'Data - P&amp;L'!$C$55</f>
        <v>0</v>
      </c>
      <c r="J264" s="263">
        <f>J186*'Data - P&amp;L'!$C$6*'Data - P&amp;L'!$C$55</f>
        <v>0</v>
      </c>
      <c r="K264" s="263">
        <f>K186*'Data - P&amp;L'!$C$6*'Data - P&amp;L'!$C$55</f>
        <v>0</v>
      </c>
      <c r="L264" s="263">
        <f>L186*'Data - P&amp;L'!$C$6*'Data - P&amp;L'!$C$55</f>
        <v>0</v>
      </c>
      <c r="M264" s="263">
        <f>M186*'Data - P&amp;L'!$C$6*'Data - P&amp;L'!$C$55</f>
        <v>0</v>
      </c>
      <c r="N264" s="263">
        <f>N186*'Data - P&amp;L'!$C$6*'Data - P&amp;L'!$C$55</f>
        <v>0</v>
      </c>
      <c r="O264" s="263">
        <f>O186*'Data - P&amp;L'!$C$6*'Data - P&amp;L'!$C$55</f>
        <v>0</v>
      </c>
      <c r="P264" s="263">
        <f>P186*'Data - P&amp;L'!$C$6*'Data - P&amp;L'!$C$55</f>
        <v>0</v>
      </c>
      <c r="Q264" s="263">
        <f>Q186*'Data - P&amp;L'!$C$6*'Data - P&amp;L'!$C$55</f>
        <v>0</v>
      </c>
      <c r="R264" s="263">
        <f>R186*'Data - P&amp;L'!$C$6*'Data - P&amp;L'!$C$55</f>
        <v>0</v>
      </c>
      <c r="S264" s="263">
        <f>S186*'Data - P&amp;L'!$C$6*'Data - P&amp;L'!$C$55</f>
        <v>0</v>
      </c>
      <c r="T264" s="263">
        <f>T186*'Data - P&amp;L'!$C$6*'Data - P&amp;L'!$C$55</f>
        <v>0</v>
      </c>
      <c r="U264" s="263">
        <f>U186*'Data - P&amp;L'!$C$6*'Data - P&amp;L'!$C$55</f>
        <v>0</v>
      </c>
      <c r="V264" s="263">
        <f>V186*'Data - P&amp;L'!$C$6*'Data - P&amp;L'!$C$55</f>
        <v>0</v>
      </c>
      <c r="W264" s="263">
        <f>W186*'Data - P&amp;L'!$C$6*'Data - P&amp;L'!$C$55</f>
        <v>0</v>
      </c>
      <c r="X264" s="263">
        <f>X186*'Data - P&amp;L'!$C$6*'Data - P&amp;L'!$C$55</f>
        <v>0</v>
      </c>
      <c r="Y264" s="263">
        <f>Y186*'Data - P&amp;L'!$C$6*'Data - P&amp;L'!$C$55</f>
        <v>0</v>
      </c>
      <c r="Z264" s="263">
        <f>Z186*'Data - P&amp;L'!$C$6*'Data - P&amp;L'!$C$55</f>
        <v>0</v>
      </c>
      <c r="AA264" s="263">
        <f>AA186*'Data - P&amp;L'!$C$6*'Data - P&amp;L'!$C$55</f>
        <v>0</v>
      </c>
      <c r="AB264" s="263">
        <f>AB186*'Data - P&amp;L'!$C$6*'Data - P&amp;L'!$C$55</f>
        <v>0</v>
      </c>
      <c r="AC264" s="263">
        <f>AC186*'Data - P&amp;L'!$C$6*'Data - P&amp;L'!$C$55</f>
        <v>0</v>
      </c>
      <c r="AD264" s="263">
        <f>AD186*'Data - P&amp;L'!$C$6*'Data - P&amp;L'!$C$55</f>
        <v>0</v>
      </c>
      <c r="AE264" s="263">
        <f>AE186*'Data - P&amp;L'!$C$6*'Data - P&amp;L'!$C$55</f>
        <v>0</v>
      </c>
      <c r="AF264" s="263">
        <f>AF186*'Data - P&amp;L'!$C$6*'Data - P&amp;L'!$C$55</f>
        <v>0</v>
      </c>
      <c r="AG264" s="303">
        <f t="shared" si="68"/>
        <v>0</v>
      </c>
    </row>
    <row r="265">
      <c r="A265" s="215" t="s">
        <v>424</v>
      </c>
      <c r="B265" s="263">
        <f>B187*'Data - P&amp;L'!$C$8*'Data - P&amp;L'!$C$55</f>
        <v>0</v>
      </c>
      <c r="C265" s="263">
        <f>C187*'Data - P&amp;L'!$C$8*'Data - P&amp;L'!$C$55</f>
        <v>0</v>
      </c>
      <c r="D265" s="263">
        <f>D187*'Data - P&amp;L'!$C$8*'Data - P&amp;L'!$C$55</f>
        <v>0</v>
      </c>
      <c r="E265" s="263">
        <f>E187*'Data - P&amp;L'!$C$8*'Data - P&amp;L'!$C$55</f>
        <v>0</v>
      </c>
      <c r="F265" s="263">
        <f>F187*'Data - P&amp;L'!$C$8*'Data - P&amp;L'!$C$55</f>
        <v>0</v>
      </c>
      <c r="G265" s="263">
        <f>G187*'Data - P&amp;L'!$C$8*'Data - P&amp;L'!$C$55</f>
        <v>0</v>
      </c>
      <c r="H265" s="263">
        <f>H187*'Data - P&amp;L'!$C$8*'Data - P&amp;L'!$C$55</f>
        <v>0</v>
      </c>
      <c r="I265" s="263">
        <f>I187*'Data - P&amp;L'!$C$8*'Data - P&amp;L'!$C$55</f>
        <v>0</v>
      </c>
      <c r="J265" s="263">
        <f>J187*'Data - P&amp;L'!$C$8*'Data - P&amp;L'!$C$55</f>
        <v>0</v>
      </c>
      <c r="K265" s="263">
        <f>K187*'Data - P&amp;L'!$C$8*'Data - P&amp;L'!$C$55</f>
        <v>0</v>
      </c>
      <c r="L265" s="263">
        <f>L187*'Data - P&amp;L'!$C$8*'Data - P&amp;L'!$C$55</f>
        <v>0</v>
      </c>
      <c r="M265" s="263">
        <f>M187*'Data - P&amp;L'!$C$8*'Data - P&amp;L'!$C$55</f>
        <v>0</v>
      </c>
      <c r="N265" s="263">
        <f>N187*'Data - P&amp;L'!$C$8*'Data - P&amp;L'!$C$55</f>
        <v>0</v>
      </c>
      <c r="O265" s="263">
        <f>O187*'Data - P&amp;L'!$C$8*'Data - P&amp;L'!$C$55</f>
        <v>0</v>
      </c>
      <c r="P265" s="263">
        <f>P187*'Data - P&amp;L'!$C$8*'Data - P&amp;L'!$C$55</f>
        <v>0</v>
      </c>
      <c r="Q265" s="263">
        <f>Q187*'Data - P&amp;L'!$C$8*'Data - P&amp;L'!$C$55</f>
        <v>0.119</v>
      </c>
      <c r="R265" s="263">
        <f>R187*'Data - P&amp;L'!$C$8*'Data - P&amp;L'!$C$55</f>
        <v>0</v>
      </c>
      <c r="S265" s="263">
        <f>S187*'Data - P&amp;L'!$C$8*'Data - P&amp;L'!$C$55</f>
        <v>0</v>
      </c>
      <c r="T265" s="263">
        <f>T187*'Data - P&amp;L'!$C$8*'Data - P&amp;L'!$C$55</f>
        <v>0</v>
      </c>
      <c r="U265" s="263">
        <f>U187*'Data - P&amp;L'!$C$8*'Data - P&amp;L'!$C$55</f>
        <v>0</v>
      </c>
      <c r="V265" s="263">
        <f>V187*'Data - P&amp;L'!$C$8*'Data - P&amp;L'!$C$55</f>
        <v>0</v>
      </c>
      <c r="W265" s="263">
        <f>W187*'Data - P&amp;L'!$C$8*'Data - P&amp;L'!$C$55</f>
        <v>0</v>
      </c>
      <c r="X265" s="263">
        <f>X187*'Data - P&amp;L'!$C$8*'Data - P&amp;L'!$C$55</f>
        <v>0</v>
      </c>
      <c r="Y265" s="263">
        <f>Y187*'Data - P&amp;L'!$C$8*'Data - P&amp;L'!$C$55</f>
        <v>0</v>
      </c>
      <c r="Z265" s="263">
        <f>Z187*'Data - P&amp;L'!$C$8*'Data - P&amp;L'!$C$55</f>
        <v>0</v>
      </c>
      <c r="AA265" s="263">
        <f>AA187*'Data - P&amp;L'!$C$8*'Data - P&amp;L'!$C$55</f>
        <v>0</v>
      </c>
      <c r="AB265" s="263">
        <f>AB187*'Data - P&amp;L'!$C$8*'Data - P&amp;L'!$C$55</f>
        <v>0</v>
      </c>
      <c r="AC265" s="263">
        <f>AC187*'Data - P&amp;L'!$C$8*'Data - P&amp;L'!$C$55</f>
        <v>0</v>
      </c>
      <c r="AD265" s="263">
        <f>AD187*'Data - P&amp;L'!$C$8*'Data - P&amp;L'!$C$55</f>
        <v>0</v>
      </c>
      <c r="AE265" s="263">
        <f>AE187*'Data - P&amp;L'!$C$8*'Data - P&amp;L'!$C$55</f>
        <v>0</v>
      </c>
      <c r="AF265" s="263">
        <f>AF187*'Data - P&amp;L'!$C$8*'Data - P&amp;L'!$C$55</f>
        <v>0</v>
      </c>
      <c r="AG265" s="303">
        <f t="shared" si="68"/>
        <v>0.119</v>
      </c>
    </row>
    <row r="266">
      <c r="A266" s="215" t="s">
        <v>425</v>
      </c>
      <c r="B266" s="263">
        <f>(B188+B189)*'Data - P&amp;L'!$C$9*'Data - P&amp;L'!$C$55</f>
        <v>0</v>
      </c>
      <c r="C266" s="263">
        <f>(C188+C189)*'Data - P&amp;L'!$C$9*'Data - P&amp;L'!$C$55</f>
        <v>0</v>
      </c>
      <c r="D266" s="263">
        <f>(D188+D189)*'Data - P&amp;L'!$C$9*'Data - P&amp;L'!$C$55</f>
        <v>0</v>
      </c>
      <c r="E266" s="263">
        <f>(E188+E189)*'Data - P&amp;L'!$C$9*'Data - P&amp;L'!$C$55</f>
        <v>0</v>
      </c>
      <c r="F266" s="263">
        <f>(F188+F189)*'Data - P&amp;L'!$C$9*'Data - P&amp;L'!$C$55</f>
        <v>0</v>
      </c>
      <c r="G266" s="263">
        <f>(G188+G189)*'Data - P&amp;L'!$C$9*'Data - P&amp;L'!$C$55</f>
        <v>0</v>
      </c>
      <c r="H266" s="263">
        <f>(H188+H189)*'Data - P&amp;L'!$C$9*'Data - P&amp;L'!$C$55</f>
        <v>0</v>
      </c>
      <c r="I266" s="263">
        <f>(I188+I189)*'Data - P&amp;L'!$C$9*'Data - P&amp;L'!$C$55</f>
        <v>0</v>
      </c>
      <c r="J266" s="263">
        <f>(J188+J189)*'Data - P&amp;L'!$C$9*'Data - P&amp;L'!$C$55</f>
        <v>0</v>
      </c>
      <c r="K266" s="263">
        <f>(K188+K189)*'Data - P&amp;L'!$C$9*'Data - P&amp;L'!$C$55</f>
        <v>0</v>
      </c>
      <c r="L266" s="263">
        <f>(L188+L189)*'Data - P&amp;L'!$C$9*'Data - P&amp;L'!$C$55</f>
        <v>0</v>
      </c>
      <c r="M266" s="263">
        <f>(M188+M189)*'Data - P&amp;L'!$C$9*'Data - P&amp;L'!$C$55</f>
        <v>0</v>
      </c>
      <c r="N266" s="263">
        <f>(N188+N189)*'Data - P&amp;L'!$C$9*'Data - P&amp;L'!$C$55</f>
        <v>0</v>
      </c>
      <c r="O266" s="263">
        <f>(O188+O189)*'Data - P&amp;L'!$C$9*'Data - P&amp;L'!$C$55</f>
        <v>0</v>
      </c>
      <c r="P266" s="263">
        <f>(P188+P189)*'Data - P&amp;L'!$C$9*'Data - P&amp;L'!$C$55</f>
        <v>0</v>
      </c>
      <c r="Q266" s="263">
        <f>(Q188+Q189)*'Data - P&amp;L'!$C$9*'Data - P&amp;L'!$C$55</f>
        <v>0</v>
      </c>
      <c r="R266" s="263">
        <f>(R188+R189)*'Data - P&amp;L'!$C$9*'Data - P&amp;L'!$C$55</f>
        <v>0</v>
      </c>
      <c r="S266" s="263">
        <f>(S188+S189)*'Data - P&amp;L'!$C$9*'Data - P&amp;L'!$C$55</f>
        <v>0</v>
      </c>
      <c r="T266" s="263">
        <f>(T188+T189)*'Data - P&amp;L'!$C$9*'Data - P&amp;L'!$C$55</f>
        <v>0</v>
      </c>
      <c r="U266" s="263">
        <f>(U188+U189)*'Data - P&amp;L'!$C$9*'Data - P&amp;L'!$C$55</f>
        <v>0</v>
      </c>
      <c r="V266" s="263">
        <f>(V188+V189)*'Data - P&amp;L'!$C$9*'Data - P&amp;L'!$C$55</f>
        <v>0</v>
      </c>
      <c r="W266" s="263">
        <f>(W188+W189)*'Data - P&amp;L'!$C$9*'Data - P&amp;L'!$C$55</f>
        <v>0</v>
      </c>
      <c r="X266" s="263">
        <f>(X188+X189)*'Data - P&amp;L'!$C$9*'Data - P&amp;L'!$C$55</f>
        <v>0</v>
      </c>
      <c r="Y266" s="263">
        <f>(Y188+Y189)*'Data - P&amp;L'!$C$9*'Data - P&amp;L'!$C$55</f>
        <v>0</v>
      </c>
      <c r="Z266" s="263">
        <f>(Z188+Z189)*'Data - P&amp;L'!$C$9*'Data - P&amp;L'!$C$55</f>
        <v>0</v>
      </c>
      <c r="AA266" s="263">
        <f>(AA188+AA189)*'Data - P&amp;L'!$C$9*'Data - P&amp;L'!$C$55</f>
        <v>0</v>
      </c>
      <c r="AB266" s="263">
        <f>(AB188+AB189)*'Data - P&amp;L'!$C$9*'Data - P&amp;L'!$C$55</f>
        <v>0</v>
      </c>
      <c r="AC266" s="263">
        <f>(AC188+AC189)*'Data - P&amp;L'!$C$9*'Data - P&amp;L'!$C$55</f>
        <v>0</v>
      </c>
      <c r="AD266" s="263">
        <f>(AD188+AD189)*'Data - P&amp;L'!$C$9*'Data - P&amp;L'!$C$55</f>
        <v>0</v>
      </c>
      <c r="AE266" s="263">
        <f>(AE188+AE189)*'Data - P&amp;L'!$C$9*'Data - P&amp;L'!$C$55</f>
        <v>0</v>
      </c>
      <c r="AF266" s="263">
        <f>(AF188+AF189)*'Data - P&amp;L'!$C$9*'Data - P&amp;L'!$C$55</f>
        <v>0</v>
      </c>
      <c r="AG266" s="303">
        <f t="shared" si="68"/>
        <v>0</v>
      </c>
    </row>
    <row r="267">
      <c r="A267" s="215" t="s">
        <v>426</v>
      </c>
      <c r="B267" s="263">
        <f>(B190+B191)*'Data - P&amp;L'!$C$5*'Data - P&amp;L'!$C$55</f>
        <v>0</v>
      </c>
      <c r="C267" s="263">
        <f>(C190+C191)*'Data - P&amp;L'!$C$5*'Data - P&amp;L'!$C$55</f>
        <v>0</v>
      </c>
      <c r="D267" s="263">
        <f>(D190+D191)*'Data - P&amp;L'!$C$5*'Data - P&amp;L'!$C$55</f>
        <v>0</v>
      </c>
      <c r="E267" s="263">
        <f>(E190+E191)*'Data - P&amp;L'!$C$5*'Data - P&amp;L'!$C$55</f>
        <v>0</v>
      </c>
      <c r="F267" s="263">
        <f>(F190+F191)*'Data - P&amp;L'!$C$5*'Data - P&amp;L'!$C$55</f>
        <v>0</v>
      </c>
      <c r="G267" s="263">
        <f>(G190+G191)*'Data - P&amp;L'!$C$5*'Data - P&amp;L'!$C$55</f>
        <v>1.344</v>
      </c>
      <c r="H267" s="263">
        <f>(H190+H191)*'Data - P&amp;L'!$C$5*'Data - P&amp;L'!$C$55</f>
        <v>0</v>
      </c>
      <c r="I267" s="263">
        <f>(I190+I191)*'Data - P&amp;L'!$C$5*'Data - P&amp;L'!$C$55</f>
        <v>0</v>
      </c>
      <c r="J267" s="263">
        <f>(J190+J191)*'Data - P&amp;L'!$C$5*'Data - P&amp;L'!$C$55</f>
        <v>2.688</v>
      </c>
      <c r="K267" s="263">
        <f>(K190+K191)*'Data - P&amp;L'!$C$5*'Data - P&amp;L'!$C$55</f>
        <v>0</v>
      </c>
      <c r="L267" s="263">
        <f>(L190+L191)*'Data - P&amp;L'!$C$5*'Data - P&amp;L'!$C$55</f>
        <v>0</v>
      </c>
      <c r="M267" s="263">
        <f>(M190+M191)*'Data - P&amp;L'!$C$5*'Data - P&amp;L'!$C$55</f>
        <v>0</v>
      </c>
      <c r="N267" s="263">
        <f>(N190+N191)*'Data - P&amp;L'!$C$5*'Data - P&amp;L'!$C$55</f>
        <v>0</v>
      </c>
      <c r="O267" s="263">
        <f>(O190+O191)*'Data - P&amp;L'!$C$5*'Data - P&amp;L'!$C$55</f>
        <v>0</v>
      </c>
      <c r="P267" s="263">
        <f>(P190+P191)*'Data - P&amp;L'!$C$5*'Data - P&amp;L'!$C$55</f>
        <v>4.032</v>
      </c>
      <c r="Q267" s="263">
        <f>(Q190+Q191)*'Data - P&amp;L'!$C$5*'Data - P&amp;L'!$C$55</f>
        <v>1.344</v>
      </c>
      <c r="R267" s="263">
        <f>(R190+R191)*'Data - P&amp;L'!$C$5*'Data - P&amp;L'!$C$55</f>
        <v>0</v>
      </c>
      <c r="S267" s="263">
        <f>(S190+S191)*'Data - P&amp;L'!$C$5*'Data - P&amp;L'!$C$55</f>
        <v>0</v>
      </c>
      <c r="T267" s="263">
        <f>(T190+T191)*'Data - P&amp;L'!$C$5*'Data - P&amp;L'!$C$55</f>
        <v>0</v>
      </c>
      <c r="U267" s="263">
        <f>(U190+U191)*'Data - P&amp;L'!$C$5*'Data - P&amp;L'!$C$55</f>
        <v>0</v>
      </c>
      <c r="V267" s="263">
        <f>(V190+V191)*'Data - P&amp;L'!$C$5*'Data - P&amp;L'!$C$55</f>
        <v>0</v>
      </c>
      <c r="W267" s="263">
        <f>(W190+W191)*'Data - P&amp;L'!$C$5*'Data - P&amp;L'!$C$55</f>
        <v>0</v>
      </c>
      <c r="X267" s="263">
        <f>(X190+X191)*'Data - P&amp;L'!$C$5*'Data - P&amp;L'!$C$55</f>
        <v>0</v>
      </c>
      <c r="Y267" s="263">
        <f>(Y190+Y191)*'Data - P&amp;L'!$C$5*'Data - P&amp;L'!$C$55</f>
        <v>0</v>
      </c>
      <c r="Z267" s="263">
        <f>(Z190+Z191)*'Data - P&amp;L'!$C$5*'Data - P&amp;L'!$C$55</f>
        <v>0</v>
      </c>
      <c r="AA267" s="263">
        <f>(AA190+AA191)*'Data - P&amp;L'!$C$5*'Data - P&amp;L'!$C$55</f>
        <v>0</v>
      </c>
      <c r="AB267" s="263">
        <f>(AB190+AB191)*'Data - P&amp;L'!$C$5*'Data - P&amp;L'!$C$55</f>
        <v>0</v>
      </c>
      <c r="AC267" s="263">
        <f>(AC190+AC191)*'Data - P&amp;L'!$C$5*'Data - P&amp;L'!$C$55</f>
        <v>0</v>
      </c>
      <c r="AD267" s="263">
        <f>(AD190+AD191)*'Data - P&amp;L'!$C$5*'Data - P&amp;L'!$C$55</f>
        <v>0</v>
      </c>
      <c r="AE267" s="263">
        <f>(AE190+AE191)*'Data - P&amp;L'!$C$5*'Data - P&amp;L'!$C$55</f>
        <v>1.344</v>
      </c>
      <c r="AF267" s="263">
        <f>(AF190+AF191)*'Data - P&amp;L'!$C$5*'Data - P&amp;L'!$C$55</f>
        <v>0</v>
      </c>
      <c r="AG267" s="303">
        <f t="shared" si="68"/>
        <v>10.752</v>
      </c>
    </row>
    <row r="268">
      <c r="A268" s="215" t="s">
        <v>427</v>
      </c>
      <c r="B268" s="263">
        <f>(B192+B193)*'Data - P&amp;L'!$C$10*'Data - P&amp;L'!$C$55</f>
        <v>0</v>
      </c>
      <c r="C268" s="263">
        <f>(C192+C193)*'Data - P&amp;L'!$C$10*'Data - P&amp;L'!$C$55</f>
        <v>0</v>
      </c>
      <c r="D268" s="263">
        <f>(D192+D193)*'Data - P&amp;L'!$C$10*'Data - P&amp;L'!$C$55</f>
        <v>0</v>
      </c>
      <c r="E268" s="263">
        <f>(E192+E193)*'Data - P&amp;L'!$C$10*'Data - P&amp;L'!$C$55</f>
        <v>0</v>
      </c>
      <c r="F268" s="263">
        <f>(F192+F193)*'Data - P&amp;L'!$C$10*'Data - P&amp;L'!$C$55</f>
        <v>0</v>
      </c>
      <c r="G268" s="263">
        <f>(G192+G193)*'Data - P&amp;L'!$C$10*'Data - P&amp;L'!$C$55</f>
        <v>0</v>
      </c>
      <c r="H268" s="263">
        <f>(H192+H193)*'Data - P&amp;L'!$C$10*'Data - P&amp;L'!$C$55</f>
        <v>0</v>
      </c>
      <c r="I268" s="263">
        <f>(I192+I193)*'Data - P&amp;L'!$C$10*'Data - P&amp;L'!$C$55</f>
        <v>0</v>
      </c>
      <c r="J268" s="263">
        <f>(J192+J193)*'Data - P&amp;L'!$C$10*'Data - P&amp;L'!$C$55</f>
        <v>0</v>
      </c>
      <c r="K268" s="263">
        <f>(K192+K193)*'Data - P&amp;L'!$C$10*'Data - P&amp;L'!$C$55</f>
        <v>0</v>
      </c>
      <c r="L268" s="263">
        <f>(L192+L193)*'Data - P&amp;L'!$C$10*'Data - P&amp;L'!$C$55</f>
        <v>0</v>
      </c>
      <c r="M268" s="263">
        <f>(M192+M193)*'Data - P&amp;L'!$C$10*'Data - P&amp;L'!$C$55</f>
        <v>0</v>
      </c>
      <c r="N268" s="263">
        <f>(N192+N193)*'Data - P&amp;L'!$C$10*'Data - P&amp;L'!$C$55</f>
        <v>0</v>
      </c>
      <c r="O268" s="263">
        <f>(O192+O193)*'Data - P&amp;L'!$C$10*'Data - P&amp;L'!$C$55</f>
        <v>0</v>
      </c>
      <c r="P268" s="263">
        <f>(P192+P193)*'Data - P&amp;L'!$C$10*'Data - P&amp;L'!$C$55</f>
        <v>0</v>
      </c>
      <c r="Q268" s="263">
        <f>(Q192+Q193)*'Data - P&amp;L'!$C$10*'Data - P&amp;L'!$C$55</f>
        <v>0</v>
      </c>
      <c r="R268" s="263">
        <f>(R192+R193)*'Data - P&amp;L'!$C$10*'Data - P&amp;L'!$C$55</f>
        <v>0</v>
      </c>
      <c r="S268" s="263">
        <f>(S192+S193)*'Data - P&amp;L'!$C$10*'Data - P&amp;L'!$C$55</f>
        <v>0</v>
      </c>
      <c r="T268" s="263">
        <f>(T192+T193)*'Data - P&amp;L'!$C$10*'Data - P&amp;L'!$C$55</f>
        <v>0</v>
      </c>
      <c r="U268" s="263">
        <f>(U192+U193)*'Data - P&amp;L'!$C$10*'Data - P&amp;L'!$C$55</f>
        <v>0</v>
      </c>
      <c r="V268" s="263">
        <f>(V192+V193)*'Data - P&amp;L'!$C$10*'Data - P&amp;L'!$C$55</f>
        <v>0</v>
      </c>
      <c r="W268" s="263">
        <f>(W192+W193)*'Data - P&amp;L'!$C$10*'Data - P&amp;L'!$C$55</f>
        <v>0</v>
      </c>
      <c r="X268" s="263">
        <f>(X192+X193)*'Data - P&amp;L'!$C$10*'Data - P&amp;L'!$C$55</f>
        <v>0</v>
      </c>
      <c r="Y268" s="263">
        <f>(Y192+Y193)*'Data - P&amp;L'!$C$10*'Data - P&amp;L'!$C$55</f>
        <v>0</v>
      </c>
      <c r="Z268" s="263">
        <f>(Z192+Z193)*'Data - P&amp;L'!$C$10*'Data - P&amp;L'!$C$55</f>
        <v>0</v>
      </c>
      <c r="AA268" s="263">
        <f>(AA192+AA193)*'Data - P&amp;L'!$C$10*'Data - P&amp;L'!$C$55</f>
        <v>0</v>
      </c>
      <c r="AB268" s="263">
        <f>(AB192+AB193)*'Data - P&amp;L'!$C$10*'Data - P&amp;L'!$C$55</f>
        <v>0</v>
      </c>
      <c r="AC268" s="263">
        <f>(AC192+AC193)*'Data - P&amp;L'!$C$10*'Data - P&amp;L'!$C$55</f>
        <v>0</v>
      </c>
      <c r="AD268" s="263">
        <f>(AD192+AD193)*'Data - P&amp;L'!$C$10*'Data - P&amp;L'!$C$55</f>
        <v>0</v>
      </c>
      <c r="AE268" s="263">
        <f>(AE192+AE193)*'Data - P&amp;L'!$C$10*'Data - P&amp;L'!$C$55</f>
        <v>0</v>
      </c>
      <c r="AF268" s="263">
        <f>(AF192+AF193)*'Data - P&amp;L'!$C$10*'Data - P&amp;L'!$C$55</f>
        <v>0</v>
      </c>
      <c r="AG268" s="303">
        <f t="shared" si="68"/>
        <v>0</v>
      </c>
    </row>
    <row r="269">
      <c r="A269" s="375" t="s">
        <v>428</v>
      </c>
      <c r="B269" s="263">
        <f>(B183+B184)*'Data - P&amp;L'!$C$43*'Data - P&amp;L'!$C$55</f>
        <v>0</v>
      </c>
      <c r="C269" s="263">
        <f>(C183+C184)*'Data - P&amp;L'!$C$43*'Data - P&amp;L'!$C$55</f>
        <v>0</v>
      </c>
      <c r="D269" s="263">
        <f>(D183+D184)*'Data - P&amp;L'!$C$43*'Data - P&amp;L'!$C$55</f>
        <v>0</v>
      </c>
      <c r="E269" s="263">
        <f>(E183+E184)*'Data - P&amp;L'!$C$43*'Data - P&amp;L'!$C$55</f>
        <v>0</v>
      </c>
      <c r="F269" s="263">
        <f>(F183+F184)*'Data - P&amp;L'!$C$43*'Data - P&amp;L'!$C$55</f>
        <v>0</v>
      </c>
      <c r="G269" s="263">
        <f>(G183+G184)*'Data - P&amp;L'!$C$43*'Data - P&amp;L'!$C$55</f>
        <v>0</v>
      </c>
      <c r="H269" s="263">
        <f>(H183+H184)*'Data - P&amp;L'!$C$43*'Data - P&amp;L'!$C$55</f>
        <v>0</v>
      </c>
      <c r="I269" s="263">
        <f>(I183+I184)*'Data - P&amp;L'!$C$43*'Data - P&amp;L'!$C$55</f>
        <v>0</v>
      </c>
      <c r="J269" s="263">
        <f>(J183+J184)*'Data - P&amp;L'!$C$43*'Data - P&amp;L'!$C$55</f>
        <v>0</v>
      </c>
      <c r="K269" s="263">
        <f>(K183+K184)*'Data - P&amp;L'!$C$43*'Data - P&amp;L'!$C$55</f>
        <v>0</v>
      </c>
      <c r="L269" s="263">
        <f>(L183+L184)*'Data - P&amp;L'!$C$43*'Data - P&amp;L'!$C$55</f>
        <v>0</v>
      </c>
      <c r="M269" s="263">
        <f>(M183+M184)*'Data - P&amp;L'!$C$43*'Data - P&amp;L'!$C$55</f>
        <v>0</v>
      </c>
      <c r="N269" s="263">
        <f>(N183+N184)*'Data - P&amp;L'!$C$43*'Data - P&amp;L'!$C$55</f>
        <v>0</v>
      </c>
      <c r="O269" s="263">
        <f>(O183+O184)*'Data - P&amp;L'!$C$43*'Data - P&amp;L'!$C$55</f>
        <v>0</v>
      </c>
      <c r="P269" s="263">
        <f>(P183+P184)*'Data - P&amp;L'!$C$43*'Data - P&amp;L'!$C$55</f>
        <v>0</v>
      </c>
      <c r="Q269" s="263">
        <f>(Q183+Q184)*'Data - P&amp;L'!$C$43*'Data - P&amp;L'!$C$55</f>
        <v>0</v>
      </c>
      <c r="R269" s="263">
        <f>(R183+R184)*'Data - P&amp;L'!$C$43*'Data - P&amp;L'!$C$55</f>
        <v>0</v>
      </c>
      <c r="S269" s="263">
        <f>(S183+S184)*'Data - P&amp;L'!$C$43*'Data - P&amp;L'!$C$55</f>
        <v>0</v>
      </c>
      <c r="T269" s="263">
        <f>(T183+T184)*'Data - P&amp;L'!$C$43*'Data - P&amp;L'!$C$55</f>
        <v>0</v>
      </c>
      <c r="U269" s="263">
        <f>(U183+U184)*'Data - P&amp;L'!$C$43*'Data - P&amp;L'!$C$55</f>
        <v>0</v>
      </c>
      <c r="V269" s="263">
        <f>(V183+V184)*'Data - P&amp;L'!$C$43*'Data - P&amp;L'!$C$55</f>
        <v>0</v>
      </c>
      <c r="W269" s="263">
        <f>(W183+W184)*'Data - P&amp;L'!$C$43*'Data - P&amp;L'!$C$55</f>
        <v>0</v>
      </c>
      <c r="X269" s="263">
        <f>(X183+X184)*'Data - P&amp;L'!$C$43*'Data - P&amp;L'!$C$55</f>
        <v>0</v>
      </c>
      <c r="Y269" s="263">
        <f>(Y183+Y184)*'Data - P&amp;L'!$C$43*'Data - P&amp;L'!$C$55</f>
        <v>0</v>
      </c>
      <c r="Z269" s="263">
        <f>(Z183+Z184)*'Data - P&amp;L'!$C$43*'Data - P&amp;L'!$C$55</f>
        <v>0</v>
      </c>
      <c r="AA269" s="263">
        <f>(AA183+AA184)*'Data - P&amp;L'!$C$43*'Data - P&amp;L'!$C$55</f>
        <v>0</v>
      </c>
      <c r="AB269" s="263">
        <f>(AB183+AB184)*'Data - P&amp;L'!$C$43*'Data - P&amp;L'!$C$55</f>
        <v>0</v>
      </c>
      <c r="AC269" s="263">
        <f>(AC183+AC184)*'Data - P&amp;L'!$C$43*'Data - P&amp;L'!$C$55</f>
        <v>0</v>
      </c>
      <c r="AD269" s="263">
        <f>(AD183+AD184)*'Data - P&amp;L'!$C$43*'Data - P&amp;L'!$C$55</f>
        <v>0</v>
      </c>
      <c r="AE269" s="263">
        <f>(AE183+AE184)*'Data - P&amp;L'!$C$43*'Data - P&amp;L'!$C$55</f>
        <v>0</v>
      </c>
      <c r="AF269" s="263">
        <f>(AF183+AF184)*'Data - P&amp;L'!$C$43*'Data - P&amp;L'!$C$55</f>
        <v>0</v>
      </c>
      <c r="AG269" s="303">
        <f t="shared" si="68"/>
        <v>0</v>
      </c>
    </row>
    <row r="270">
      <c r="A270" s="375" t="s">
        <v>430</v>
      </c>
      <c r="B270" s="263">
        <f>B194*'Data - P&amp;L'!$C$43*'Data - P&amp;L'!$C$55</f>
        <v>0</v>
      </c>
      <c r="C270" s="263">
        <f>C194*'Data - P&amp;L'!$C$43*'Data - P&amp;L'!$C$55</f>
        <v>0</v>
      </c>
      <c r="D270" s="263">
        <f>D194*'Data - P&amp;L'!$C$43*'Data - P&amp;L'!$C$55</f>
        <v>0</v>
      </c>
      <c r="E270" s="263">
        <f>E194*'Data - P&amp;L'!$C$43*'Data - P&amp;L'!$C$55</f>
        <v>0</v>
      </c>
      <c r="F270" s="263">
        <f>F194*'Data - P&amp;L'!$C$43*'Data - P&amp;L'!$C$55</f>
        <v>0</v>
      </c>
      <c r="G270" s="263">
        <f>G194*'Data - P&amp;L'!$C$43*'Data - P&amp;L'!$C$55</f>
        <v>1.194</v>
      </c>
      <c r="H270" s="263">
        <f>H194*'Data - P&amp;L'!$C$43*'Data - P&amp;L'!$C$55</f>
        <v>0</v>
      </c>
      <c r="I270" s="263">
        <f>I194*'Data - P&amp;L'!$C$43*'Data - P&amp;L'!$C$55</f>
        <v>0</v>
      </c>
      <c r="J270" s="263">
        <f>J194*'Data - P&amp;L'!$C$43*'Data - P&amp;L'!$C$55</f>
        <v>2.388</v>
      </c>
      <c r="K270" s="263">
        <f>K194*'Data - P&amp;L'!$C$43*'Data - P&amp;L'!$C$55</f>
        <v>0</v>
      </c>
      <c r="L270" s="263">
        <f>L194*'Data - P&amp;L'!$C$43*'Data - P&amp;L'!$C$55</f>
        <v>0</v>
      </c>
      <c r="M270" s="263">
        <f>M194*'Data - P&amp;L'!$C$43*'Data - P&amp;L'!$C$55</f>
        <v>0</v>
      </c>
      <c r="N270" s="263">
        <f>N194*'Data - P&amp;L'!$C$43*'Data - P&amp;L'!$C$55</f>
        <v>0</v>
      </c>
      <c r="O270" s="263">
        <f>O194*'Data - P&amp;L'!$C$43*'Data - P&amp;L'!$C$55</f>
        <v>0</v>
      </c>
      <c r="P270" s="263">
        <f>P194*'Data - P&amp;L'!$C$43*'Data - P&amp;L'!$C$55</f>
        <v>3.582</v>
      </c>
      <c r="Q270" s="263">
        <f>Q194*'Data - P&amp;L'!$C$43*'Data - P&amp;L'!$C$55</f>
        <v>2.388</v>
      </c>
      <c r="R270" s="263">
        <f>R194*'Data - P&amp;L'!$C$43*'Data - P&amp;L'!$C$55</f>
        <v>0</v>
      </c>
      <c r="S270" s="263">
        <f>S194*'Data - P&amp;L'!$C$43*'Data - P&amp;L'!$C$55</f>
        <v>0</v>
      </c>
      <c r="T270" s="263">
        <f>T194*'Data - P&amp;L'!$C$43*'Data - P&amp;L'!$C$55</f>
        <v>0</v>
      </c>
      <c r="U270" s="263">
        <f>U194*'Data - P&amp;L'!$C$43*'Data - P&amp;L'!$C$55</f>
        <v>0</v>
      </c>
      <c r="V270" s="263">
        <f>V194*'Data - P&amp;L'!$C$43*'Data - P&amp;L'!$C$55</f>
        <v>0</v>
      </c>
      <c r="W270" s="263">
        <f>W194*'Data - P&amp;L'!$C$43*'Data - P&amp;L'!$C$55</f>
        <v>0</v>
      </c>
      <c r="X270" s="263">
        <f>X194*'Data - P&amp;L'!$C$43*'Data - P&amp;L'!$C$55</f>
        <v>0</v>
      </c>
      <c r="Y270" s="263">
        <f>Y194*'Data - P&amp;L'!$C$43*'Data - P&amp;L'!$C$55</f>
        <v>0</v>
      </c>
      <c r="Z270" s="263">
        <f>Z194*'Data - P&amp;L'!$C$43*'Data - P&amp;L'!$C$55</f>
        <v>0</v>
      </c>
      <c r="AA270" s="263">
        <f>AA194*'Data - P&amp;L'!$C$43*'Data - P&amp;L'!$C$55</f>
        <v>0</v>
      </c>
      <c r="AB270" s="263">
        <f>AB194*'Data - P&amp;L'!$C$43*'Data - P&amp;L'!$C$55</f>
        <v>0</v>
      </c>
      <c r="AC270" s="263">
        <f>AC194*'Data - P&amp;L'!$C$43*'Data - P&amp;L'!$C$55</f>
        <v>0</v>
      </c>
      <c r="AD270" s="263">
        <f>AD194*'Data - P&amp;L'!$C$43*'Data - P&amp;L'!$C$55</f>
        <v>0</v>
      </c>
      <c r="AE270" s="263">
        <f>AE194*'Data - P&amp;L'!$C$43*'Data - P&amp;L'!$C$55</f>
        <v>1.194</v>
      </c>
      <c r="AF270" s="263">
        <f>AF194*'Data - P&amp;L'!$C$43*'Data - P&amp;L'!$C$55</f>
        <v>0</v>
      </c>
      <c r="AG270" s="303">
        <f t="shared" si="68"/>
        <v>10.746</v>
      </c>
    </row>
    <row r="271">
      <c r="A271" s="215" t="s">
        <v>606</v>
      </c>
      <c r="B271" s="263">
        <f>(((B183+B184)*'Data - P&amp;L'!$C$62)*(1-'Data - P&amp;L'!$C$59))+((B194*'Data - P&amp;L'!$C$63)*(1-'Data - P&amp;L'!$C$59))</f>
        <v>0</v>
      </c>
      <c r="C271" s="263">
        <f>(((C183+C184)*'Data - P&amp;L'!$C$62)*(1-'Data - P&amp;L'!$C$59))+((C194*'Data - P&amp;L'!$C$63)*(1-'Data - P&amp;L'!$C$59))</f>
        <v>0</v>
      </c>
      <c r="D271" s="263">
        <f>(((D183+D184)*'Data - P&amp;L'!$C$62)*(1-'Data - P&amp;L'!$C$59))+((D194*'Data - P&amp;L'!$C$63)*(1-'Data - P&amp;L'!$C$59))</f>
        <v>0</v>
      </c>
      <c r="E271" s="263">
        <f>(((E183+E184)*'Data - P&amp;L'!$C$62)*(1-'Data - P&amp;L'!$C$59))+((E194*'Data - P&amp;L'!$C$63)*(1-'Data - P&amp;L'!$C$59))</f>
        <v>0</v>
      </c>
      <c r="F271" s="263">
        <f>(((F183+F184)*'Data - P&amp;L'!$C$62)*(1-'Data - P&amp;L'!$C$59))+((F194*'Data - P&amp;L'!$C$63)*(1-'Data - P&amp;L'!$C$59))</f>
        <v>0</v>
      </c>
      <c r="G271" s="263">
        <f>(((G183+G184)*'Data - P&amp;L'!$C$62)*(1-'Data - P&amp;L'!$C$59))+((G194*'Data - P&amp;L'!$C$63)*(1-'Data - P&amp;L'!$C$59))</f>
        <v>1.18734</v>
      </c>
      <c r="H271" s="263">
        <f>(((H183+H184)*'Data - P&amp;L'!$C$62)*(1-'Data - P&amp;L'!$C$59))+((H194*'Data - P&amp;L'!$C$63)*(1-'Data - P&amp;L'!$C$59))</f>
        <v>0</v>
      </c>
      <c r="I271" s="263">
        <f>(((I183+I184)*'Data - P&amp;L'!$C$62)*(1-'Data - P&amp;L'!$C$59))+((I194*'Data - P&amp;L'!$C$63)*(1-'Data - P&amp;L'!$C$59))</f>
        <v>0</v>
      </c>
      <c r="J271" s="263">
        <f>(((J183+J184)*'Data - P&amp;L'!$C$62)*(1-'Data - P&amp;L'!$C$59))+((J194*'Data - P&amp;L'!$C$63)*(1-'Data - P&amp;L'!$C$59))</f>
        <v>2.37468</v>
      </c>
      <c r="K271" s="263">
        <f>(((K183+K184)*'Data - P&amp;L'!$C$62)*(1-'Data - P&amp;L'!$C$59))+((K194*'Data - P&amp;L'!$C$63)*(1-'Data - P&amp;L'!$C$59))</f>
        <v>0</v>
      </c>
      <c r="L271" s="263">
        <f>(((L183+L184)*'Data - P&amp;L'!$C$62)*(1-'Data - P&amp;L'!$C$59))+((L194*'Data - P&amp;L'!$C$63)*(1-'Data - P&amp;L'!$C$59))</f>
        <v>0</v>
      </c>
      <c r="M271" s="263">
        <f>(((M183+M184)*'Data - P&amp;L'!$C$62)*(1-'Data - P&amp;L'!$C$59))+((M194*'Data - P&amp;L'!$C$63)*(1-'Data - P&amp;L'!$C$59))</f>
        <v>0</v>
      </c>
      <c r="N271" s="263">
        <f>(((N183+N184)*'Data - P&amp;L'!$C$62)*(1-'Data - P&amp;L'!$C$59))+((N194*'Data - P&amp;L'!$C$63)*(1-'Data - P&amp;L'!$C$59))</f>
        <v>0</v>
      </c>
      <c r="O271" s="263">
        <f>(((O183+O184)*'Data - P&amp;L'!$C$62)*(1-'Data - P&amp;L'!$C$59))+((O194*'Data - P&amp;L'!$C$63)*(1-'Data - P&amp;L'!$C$59))</f>
        <v>0</v>
      </c>
      <c r="P271" s="263">
        <f>(((P183+P184)*'Data - P&amp;L'!$C$62)*(1-'Data - P&amp;L'!$C$59))+((P194*'Data - P&amp;L'!$C$63)*(1-'Data - P&amp;L'!$C$59))</f>
        <v>3.56202</v>
      </c>
      <c r="Q271" s="263">
        <f>(((Q183+Q184)*'Data - P&amp;L'!$C$62)*(1-'Data - P&amp;L'!$C$59))+((Q194*'Data - P&amp;L'!$C$63)*(1-'Data - P&amp;L'!$C$59))</f>
        <v>2.37468</v>
      </c>
      <c r="R271" s="263">
        <f>(((R183+R184)*'Data - P&amp;L'!$C$62)*(1-'Data - P&amp;L'!$C$59))+((R194*'Data - P&amp;L'!$C$63)*(1-'Data - P&amp;L'!$C$59))</f>
        <v>0</v>
      </c>
      <c r="S271" s="263">
        <f>(((S183+S184)*'Data - P&amp;L'!$C$62)*(1-'Data - P&amp;L'!$C$59))+((S194*'Data - P&amp;L'!$C$63)*(1-'Data - P&amp;L'!$C$59))</f>
        <v>0</v>
      </c>
      <c r="T271" s="263">
        <f>(((T183+T184)*'Data - P&amp;L'!$C$62)*(1-'Data - P&amp;L'!$C$59))+((T194*'Data - P&amp;L'!$C$63)*(1-'Data - P&amp;L'!$C$59))</f>
        <v>0</v>
      </c>
      <c r="U271" s="263">
        <f>(((U183+U184)*'Data - P&amp;L'!$C$62)*(1-'Data - P&amp;L'!$C$59))+((U194*'Data - P&amp;L'!$C$63)*(1-'Data - P&amp;L'!$C$59))</f>
        <v>0</v>
      </c>
      <c r="V271" s="263">
        <f>(((V183+V184)*'Data - P&amp;L'!$C$62)*(1-'Data - P&amp;L'!$C$59))+((V194*'Data - P&amp;L'!$C$63)*(1-'Data - P&amp;L'!$C$59))</f>
        <v>0</v>
      </c>
      <c r="W271" s="263">
        <f>(((W183+W184)*'Data - P&amp;L'!$C$62)*(1-'Data - P&amp;L'!$C$59))+((W194*'Data - P&amp;L'!$C$63)*(1-'Data - P&amp;L'!$C$59))</f>
        <v>0</v>
      </c>
      <c r="X271" s="263">
        <f>(((X183+X184)*'Data - P&amp;L'!$C$62)*(1-'Data - P&amp;L'!$C$59))+((X194*'Data - P&amp;L'!$C$63)*(1-'Data - P&amp;L'!$C$59))</f>
        <v>0</v>
      </c>
      <c r="Y271" s="263">
        <f>(((Y183+Y184)*'Data - P&amp;L'!$C$62)*(1-'Data - P&amp;L'!$C$59))+((Y194*'Data - P&amp;L'!$C$63)*(1-'Data - P&amp;L'!$C$59))</f>
        <v>0</v>
      </c>
      <c r="Z271" s="263">
        <f>(((Z183+Z184)*'Data - P&amp;L'!$C$62)*(1-'Data - P&amp;L'!$C$59))+((Z194*'Data - P&amp;L'!$C$63)*(1-'Data - P&amp;L'!$C$59))</f>
        <v>0</v>
      </c>
      <c r="AA271" s="263">
        <f>(((AA183+AA184)*'Data - P&amp;L'!$C$62)*(1-'Data - P&amp;L'!$C$59))+((AA194*'Data - P&amp;L'!$C$63)*(1-'Data - P&amp;L'!$C$59))</f>
        <v>0</v>
      </c>
      <c r="AB271" s="263">
        <f>(((AB183+AB184)*'Data - P&amp;L'!$C$62)*(1-'Data - P&amp;L'!$C$59))+((AB194*'Data - P&amp;L'!$C$63)*(1-'Data - P&amp;L'!$C$59))</f>
        <v>0</v>
      </c>
      <c r="AC271" s="263">
        <f>(((AC183+AC184)*'Data - P&amp;L'!$C$62)*(1-'Data - P&amp;L'!$C$59))+((AC194*'Data - P&amp;L'!$C$63)*(1-'Data - P&amp;L'!$C$59))</f>
        <v>0</v>
      </c>
      <c r="AD271" s="263">
        <f>(((AD183+AD184)*'Data - P&amp;L'!$C$62)*(1-'Data - P&amp;L'!$C$59))+((AD194*'Data - P&amp;L'!$C$63)*(1-'Data - P&amp;L'!$C$59))</f>
        <v>0</v>
      </c>
      <c r="AE271" s="263">
        <f>(((AE183+AE184)*'Data - P&amp;L'!$C$62)*(1-'Data - P&amp;L'!$C$59))+((AE194*'Data - P&amp;L'!$C$63)*(1-'Data - P&amp;L'!$C$59))</f>
        <v>1.18734</v>
      </c>
      <c r="AF271" s="263">
        <f>(((AF183+AF184)*'Data - P&amp;L'!$C$62)*(1-'Data - P&amp;L'!$C$59))+((AF194*'Data - P&amp;L'!$C$63)*(1-'Data - P&amp;L'!$C$59))</f>
        <v>0</v>
      </c>
      <c r="AG271" s="303">
        <f t="shared" si="68"/>
        <v>10.68606</v>
      </c>
    </row>
    <row r="272">
      <c r="A272" s="245" t="s">
        <v>608</v>
      </c>
      <c r="B272" s="277">
        <f t="shared" ref="B272:AF272" si="73">sum(B273:B281)</f>
        <v>0</v>
      </c>
      <c r="C272" s="277">
        <f t="shared" si="73"/>
        <v>0</v>
      </c>
      <c r="D272" s="277">
        <f t="shared" si="73"/>
        <v>0</v>
      </c>
      <c r="E272" s="277">
        <f t="shared" si="73"/>
        <v>0</v>
      </c>
      <c r="F272" s="277">
        <f t="shared" si="73"/>
        <v>0</v>
      </c>
      <c r="G272" s="277">
        <f t="shared" si="73"/>
        <v>14.634</v>
      </c>
      <c r="H272" s="277">
        <f t="shared" si="73"/>
        <v>0</v>
      </c>
      <c r="I272" s="277">
        <f t="shared" si="73"/>
        <v>0</v>
      </c>
      <c r="J272" s="277">
        <f t="shared" si="73"/>
        <v>29.268</v>
      </c>
      <c r="K272" s="277">
        <f t="shared" si="73"/>
        <v>0</v>
      </c>
      <c r="L272" s="277">
        <f t="shared" si="73"/>
        <v>0</v>
      </c>
      <c r="M272" s="277">
        <f t="shared" si="73"/>
        <v>0</v>
      </c>
      <c r="N272" s="277">
        <f t="shared" si="73"/>
        <v>0</v>
      </c>
      <c r="O272" s="277">
        <f t="shared" si="73"/>
        <v>0</v>
      </c>
      <c r="P272" s="277">
        <f t="shared" si="73"/>
        <v>43.902</v>
      </c>
      <c r="Q272" s="277">
        <f t="shared" si="73"/>
        <v>17.018</v>
      </c>
      <c r="R272" s="277">
        <f t="shared" si="73"/>
        <v>0</v>
      </c>
      <c r="S272" s="277">
        <f t="shared" si="73"/>
        <v>0</v>
      </c>
      <c r="T272" s="277">
        <f t="shared" si="73"/>
        <v>0</v>
      </c>
      <c r="U272" s="277">
        <f t="shared" si="73"/>
        <v>0</v>
      </c>
      <c r="V272" s="277">
        <f t="shared" si="73"/>
        <v>0</v>
      </c>
      <c r="W272" s="277">
        <f t="shared" si="73"/>
        <v>0</v>
      </c>
      <c r="X272" s="277">
        <f t="shared" si="73"/>
        <v>0</v>
      </c>
      <c r="Y272" s="277">
        <f t="shared" si="73"/>
        <v>0</v>
      </c>
      <c r="Z272" s="277">
        <f t="shared" si="73"/>
        <v>0</v>
      </c>
      <c r="AA272" s="277">
        <f t="shared" si="73"/>
        <v>0</v>
      </c>
      <c r="AB272" s="277">
        <f t="shared" si="73"/>
        <v>0</v>
      </c>
      <c r="AC272" s="277">
        <f t="shared" si="73"/>
        <v>0</v>
      </c>
      <c r="AD272" s="277">
        <f t="shared" si="73"/>
        <v>0</v>
      </c>
      <c r="AE272" s="277">
        <f t="shared" si="73"/>
        <v>14.634</v>
      </c>
      <c r="AF272" s="277">
        <f t="shared" si="73"/>
        <v>0</v>
      </c>
      <c r="AG272" s="303">
        <f t="shared" si="68"/>
        <v>119.456</v>
      </c>
    </row>
    <row r="273">
      <c r="A273" s="215" t="s">
        <v>421</v>
      </c>
      <c r="B273" s="263">
        <f>B183*'Data - P&amp;L'!$C$3</f>
        <v>0</v>
      </c>
      <c r="C273" s="263">
        <f>C183*'Data - P&amp;L'!$C$3</f>
        <v>0</v>
      </c>
      <c r="D273" s="263">
        <f>D183*'Data - P&amp;L'!$C$3</f>
        <v>0</v>
      </c>
      <c r="E273" s="263">
        <f>E183*'Data - P&amp;L'!$C$3</f>
        <v>0</v>
      </c>
      <c r="F273" s="263">
        <f>F183*'Data - P&amp;L'!$C$3</f>
        <v>0</v>
      </c>
      <c r="G273" s="263">
        <f>G183*'Data - P&amp;L'!$C$3</f>
        <v>0</v>
      </c>
      <c r="H273" s="263">
        <f>H183*'Data - P&amp;L'!$C$3</f>
        <v>0</v>
      </c>
      <c r="I273" s="263">
        <f>I183*'Data - P&amp;L'!$C$3</f>
        <v>0</v>
      </c>
      <c r="J273" s="263">
        <f>J183*'Data - P&amp;L'!$C$3</f>
        <v>0</v>
      </c>
      <c r="K273" s="263">
        <f>K183*'Data - P&amp;L'!$C$3</f>
        <v>0</v>
      </c>
      <c r="L273" s="263">
        <f>L183*'Data - P&amp;L'!$C$3</f>
        <v>0</v>
      </c>
      <c r="M273" s="263">
        <f>M183*'Data - P&amp;L'!$C$3</f>
        <v>0</v>
      </c>
      <c r="N273" s="263">
        <f>N183*'Data - P&amp;L'!$C$3</f>
        <v>0</v>
      </c>
      <c r="O273" s="263">
        <f>O183*'Data - P&amp;L'!$C$3</f>
        <v>0</v>
      </c>
      <c r="P273" s="263">
        <f>P183*'Data - P&amp;L'!$C$3</f>
        <v>0</v>
      </c>
      <c r="Q273" s="263">
        <f>Q183*'Data - P&amp;L'!$C$3</f>
        <v>0</v>
      </c>
      <c r="R273" s="263">
        <f>R183*'Data - P&amp;L'!$C$3</f>
        <v>0</v>
      </c>
      <c r="S273" s="263">
        <f>S183*'Data - P&amp;L'!$C$3</f>
        <v>0</v>
      </c>
      <c r="T273" s="263">
        <f>T183*'Data - P&amp;L'!$C$3</f>
        <v>0</v>
      </c>
      <c r="U273" s="263">
        <f>U183*'Data - P&amp;L'!$C$3</f>
        <v>0</v>
      </c>
      <c r="V273" s="263">
        <f>V183*'Data - P&amp;L'!$C$3</f>
        <v>0</v>
      </c>
      <c r="W273" s="263">
        <f>W183*'Data - P&amp;L'!$C$3</f>
        <v>0</v>
      </c>
      <c r="X273" s="263">
        <f>X183*'Data - P&amp;L'!$C$3</f>
        <v>0</v>
      </c>
      <c r="Y273" s="263">
        <f>Y183*'Data - P&amp;L'!$C$3</f>
        <v>0</v>
      </c>
      <c r="Z273" s="263">
        <f>Z183*'Data - P&amp;L'!$C$3</f>
        <v>0</v>
      </c>
      <c r="AA273" s="263">
        <f>AA183*'Data - P&amp;L'!$C$3</f>
        <v>0</v>
      </c>
      <c r="AB273" s="263">
        <f>AB183*'Data - P&amp;L'!$C$3</f>
        <v>0</v>
      </c>
      <c r="AC273" s="263">
        <f>AC183*'Data - P&amp;L'!$C$3</f>
        <v>0</v>
      </c>
      <c r="AD273" s="263">
        <f>AD183*'Data - P&amp;L'!$C$3</f>
        <v>0</v>
      </c>
      <c r="AE273" s="263">
        <f>AE183*'Data - P&amp;L'!$C$3</f>
        <v>0</v>
      </c>
      <c r="AF273" s="263">
        <f>AF183*'Data - P&amp;L'!$C$3</f>
        <v>0</v>
      </c>
      <c r="AG273" s="303">
        <f t="shared" si="68"/>
        <v>0</v>
      </c>
    </row>
    <row r="274">
      <c r="A274" s="215" t="s">
        <v>422</v>
      </c>
      <c r="B274" s="263">
        <f>B184*'Data - P&amp;L'!$C$4</f>
        <v>0</v>
      </c>
      <c r="C274" s="263">
        <f>C184*'Data - P&amp;L'!$C$4</f>
        <v>0</v>
      </c>
      <c r="D274" s="263">
        <f>D184*'Data - P&amp;L'!$C$4</f>
        <v>0</v>
      </c>
      <c r="E274" s="263">
        <f>E184*'Data - P&amp;L'!$C$4</f>
        <v>0</v>
      </c>
      <c r="F274" s="263">
        <f>F184*'Data - P&amp;L'!$C$4</f>
        <v>0</v>
      </c>
      <c r="G274" s="263">
        <f>G184*'Data - P&amp;L'!$C$4</f>
        <v>0</v>
      </c>
      <c r="H274" s="263">
        <f>H184*'Data - P&amp;L'!$C$4</f>
        <v>0</v>
      </c>
      <c r="I274" s="263">
        <f>I184*'Data - P&amp;L'!$C$4</f>
        <v>0</v>
      </c>
      <c r="J274" s="263">
        <f>J184*'Data - P&amp;L'!$C$4</f>
        <v>0</v>
      </c>
      <c r="K274" s="263">
        <f>K184*'Data - P&amp;L'!$C$4</f>
        <v>0</v>
      </c>
      <c r="L274" s="263">
        <f>L184*'Data - P&amp;L'!$C$4</f>
        <v>0</v>
      </c>
      <c r="M274" s="263">
        <f>M184*'Data - P&amp;L'!$C$4</f>
        <v>0</v>
      </c>
      <c r="N274" s="263">
        <f>N184*'Data - P&amp;L'!$C$4</f>
        <v>0</v>
      </c>
      <c r="O274" s="263">
        <f>O184*'Data - P&amp;L'!$C$4</f>
        <v>0</v>
      </c>
      <c r="P274" s="263">
        <f>P184*'Data - P&amp;L'!$C$4</f>
        <v>0</v>
      </c>
      <c r="Q274" s="263">
        <f>Q184*'Data - P&amp;L'!$C$4</f>
        <v>0</v>
      </c>
      <c r="R274" s="263">
        <f>R184*'Data - P&amp;L'!$C$4</f>
        <v>0</v>
      </c>
      <c r="S274" s="263">
        <f>S184*'Data - P&amp;L'!$C$4</f>
        <v>0</v>
      </c>
      <c r="T274" s="263">
        <f>T184*'Data - P&amp;L'!$C$4</f>
        <v>0</v>
      </c>
      <c r="U274" s="263">
        <f>U184*'Data - P&amp;L'!$C$4</f>
        <v>0</v>
      </c>
      <c r="V274" s="263">
        <f>V184*'Data - P&amp;L'!$C$4</f>
        <v>0</v>
      </c>
      <c r="W274" s="263">
        <f>W184*'Data - P&amp;L'!$C$4</f>
        <v>0</v>
      </c>
      <c r="X274" s="263">
        <f>X184*'Data - P&amp;L'!$C$4</f>
        <v>0</v>
      </c>
      <c r="Y274" s="263">
        <f>Y184*'Data - P&amp;L'!$C$4</f>
        <v>0</v>
      </c>
      <c r="Z274" s="263">
        <f>Z184*'Data - P&amp;L'!$C$4</f>
        <v>0</v>
      </c>
      <c r="AA274" s="263">
        <f>AA184*'Data - P&amp;L'!$C$4</f>
        <v>0</v>
      </c>
      <c r="AB274" s="263">
        <f>AB184*'Data - P&amp;L'!$C$4</f>
        <v>0</v>
      </c>
      <c r="AC274" s="263">
        <f>AC184*'Data - P&amp;L'!$C$4</f>
        <v>0</v>
      </c>
      <c r="AD274" s="263">
        <f>AD184*'Data - P&amp;L'!$C$4</f>
        <v>0</v>
      </c>
      <c r="AE274" s="263">
        <f>AE184*'Data - P&amp;L'!$C$4</f>
        <v>0</v>
      </c>
      <c r="AF274" s="263">
        <f>AF184*'Data - P&amp;L'!$C$4</f>
        <v>0</v>
      </c>
      <c r="AG274" s="303">
        <f t="shared" si="68"/>
        <v>0</v>
      </c>
    </row>
    <row r="275">
      <c r="A275" s="215" t="s">
        <v>423</v>
      </c>
      <c r="B275" s="263">
        <f>B186*'Data - P&amp;L'!$C$6</f>
        <v>0</v>
      </c>
      <c r="C275" s="263">
        <f>C186*'Data - P&amp;L'!$C$6</f>
        <v>0</v>
      </c>
      <c r="D275" s="263">
        <f>D186*'Data - P&amp;L'!$C$6</f>
        <v>0</v>
      </c>
      <c r="E275" s="263">
        <f>E186*'Data - P&amp;L'!$C$6</f>
        <v>0</v>
      </c>
      <c r="F275" s="263">
        <f>F186*'Data - P&amp;L'!$C$6</f>
        <v>0</v>
      </c>
      <c r="G275" s="263">
        <f>G186*'Data - P&amp;L'!$C$6</f>
        <v>0</v>
      </c>
      <c r="H275" s="263">
        <f>H186*'Data - P&amp;L'!$C$6</f>
        <v>0</v>
      </c>
      <c r="I275" s="263">
        <f>I186*'Data - P&amp;L'!$C$6</f>
        <v>0</v>
      </c>
      <c r="J275" s="263">
        <f>J186*'Data - P&amp;L'!$C$6</f>
        <v>0</v>
      </c>
      <c r="K275" s="263">
        <f>K186*'Data - P&amp;L'!$C$6</f>
        <v>0</v>
      </c>
      <c r="L275" s="263">
        <f>L186*'Data - P&amp;L'!$C$6</f>
        <v>0</v>
      </c>
      <c r="M275" s="263">
        <f>M186*'Data - P&amp;L'!$C$6</f>
        <v>0</v>
      </c>
      <c r="N275" s="263">
        <f>N186*'Data - P&amp;L'!$C$6</f>
        <v>0</v>
      </c>
      <c r="O275" s="263">
        <f>O186*'Data - P&amp;L'!$C$6</f>
        <v>0</v>
      </c>
      <c r="P275" s="263">
        <f>P186*'Data - P&amp;L'!$C$6</f>
        <v>0</v>
      </c>
      <c r="Q275" s="263">
        <f>Q186*'Data - P&amp;L'!$C$6</f>
        <v>0</v>
      </c>
      <c r="R275" s="263">
        <f>R186*'Data - P&amp;L'!$C$6</f>
        <v>0</v>
      </c>
      <c r="S275" s="263">
        <f>S186*'Data - P&amp;L'!$C$6</f>
        <v>0</v>
      </c>
      <c r="T275" s="263">
        <f>T186*'Data - P&amp;L'!$C$6</f>
        <v>0</v>
      </c>
      <c r="U275" s="263">
        <f>U186*'Data - P&amp;L'!$C$6</f>
        <v>0</v>
      </c>
      <c r="V275" s="263">
        <f>V186*'Data - P&amp;L'!$C$6</f>
        <v>0</v>
      </c>
      <c r="W275" s="263">
        <f>W186*'Data - P&amp;L'!$C$6</f>
        <v>0</v>
      </c>
      <c r="X275" s="263">
        <f>X186*'Data - P&amp;L'!$C$6</f>
        <v>0</v>
      </c>
      <c r="Y275" s="263">
        <f>Y186*'Data - P&amp;L'!$C$6</f>
        <v>0</v>
      </c>
      <c r="Z275" s="263">
        <f>Z186*'Data - P&amp;L'!$C$6</f>
        <v>0</v>
      </c>
      <c r="AA275" s="263">
        <f>AA186*'Data - P&amp;L'!$C$6</f>
        <v>0</v>
      </c>
      <c r="AB275" s="263">
        <f>AB186*'Data - P&amp;L'!$C$6</f>
        <v>0</v>
      </c>
      <c r="AC275" s="263">
        <f>AC186*'Data - P&amp;L'!$C$6</f>
        <v>0</v>
      </c>
      <c r="AD275" s="263">
        <f>AD186*'Data - P&amp;L'!$C$6</f>
        <v>0</v>
      </c>
      <c r="AE275" s="263">
        <f>AE186*'Data - P&amp;L'!$C$6</f>
        <v>0</v>
      </c>
      <c r="AF275" s="263">
        <f>AF186*'Data - P&amp;L'!$C$6</f>
        <v>0</v>
      </c>
      <c r="AG275" s="303">
        <f t="shared" si="68"/>
        <v>0</v>
      </c>
    </row>
    <row r="276">
      <c r="A276" s="215" t="s">
        <v>424</v>
      </c>
      <c r="B276" s="263">
        <f>B187*'Data - P&amp;L'!$C$8</f>
        <v>0</v>
      </c>
      <c r="C276" s="263">
        <f>C187*'Data - P&amp;L'!$C$8</f>
        <v>0</v>
      </c>
      <c r="D276" s="263">
        <f>D187*'Data - P&amp;L'!$C$8</f>
        <v>0</v>
      </c>
      <c r="E276" s="263">
        <f>E187*'Data - P&amp;L'!$C$8</f>
        <v>0</v>
      </c>
      <c r="F276" s="263">
        <f>F187*'Data - P&amp;L'!$C$8</f>
        <v>0</v>
      </c>
      <c r="G276" s="263">
        <f>G187*'Data - P&amp;L'!$C$8</f>
        <v>0</v>
      </c>
      <c r="H276" s="263">
        <f>H187*'Data - P&amp;L'!$C$8</f>
        <v>0</v>
      </c>
      <c r="I276" s="263">
        <f>I187*'Data - P&amp;L'!$C$8</f>
        <v>0</v>
      </c>
      <c r="J276" s="263">
        <f>J187*'Data - P&amp;L'!$C$8</f>
        <v>0</v>
      </c>
      <c r="K276" s="263">
        <f>K187*'Data - P&amp;L'!$C$8</f>
        <v>0</v>
      </c>
      <c r="L276" s="263">
        <f>L187*'Data - P&amp;L'!$C$8</f>
        <v>0</v>
      </c>
      <c r="M276" s="263">
        <f>M187*'Data - P&amp;L'!$C$8</f>
        <v>0</v>
      </c>
      <c r="N276" s="263">
        <f>N187*'Data - P&amp;L'!$C$8</f>
        <v>0</v>
      </c>
      <c r="O276" s="263">
        <f>O187*'Data - P&amp;L'!$C$8</f>
        <v>0</v>
      </c>
      <c r="P276" s="263">
        <f>P187*'Data - P&amp;L'!$C$8</f>
        <v>0</v>
      </c>
      <c r="Q276" s="263">
        <f>Q187*'Data - P&amp;L'!$C$8</f>
        <v>1.19</v>
      </c>
      <c r="R276" s="263">
        <f>R187*'Data - P&amp;L'!$C$8</f>
        <v>0</v>
      </c>
      <c r="S276" s="263">
        <f>S187*'Data - P&amp;L'!$C$8</f>
        <v>0</v>
      </c>
      <c r="T276" s="263">
        <f>T187*'Data - P&amp;L'!$C$8</f>
        <v>0</v>
      </c>
      <c r="U276" s="263">
        <f>U187*'Data - P&amp;L'!$C$8</f>
        <v>0</v>
      </c>
      <c r="V276" s="263">
        <f>V187*'Data - P&amp;L'!$C$8</f>
        <v>0</v>
      </c>
      <c r="W276" s="263">
        <f>W187*'Data - P&amp;L'!$C$8</f>
        <v>0</v>
      </c>
      <c r="X276" s="263">
        <f>X187*'Data - P&amp;L'!$C$8</f>
        <v>0</v>
      </c>
      <c r="Y276" s="263">
        <f>Y187*'Data - P&amp;L'!$C$8</f>
        <v>0</v>
      </c>
      <c r="Z276" s="263">
        <f>Z187*'Data - P&amp;L'!$C$8</f>
        <v>0</v>
      </c>
      <c r="AA276" s="263">
        <f>AA187*'Data - P&amp;L'!$C$8</f>
        <v>0</v>
      </c>
      <c r="AB276" s="263">
        <f>AB187*'Data - P&amp;L'!$C$8</f>
        <v>0</v>
      </c>
      <c r="AC276" s="263">
        <f>AC187*'Data - P&amp;L'!$C$8</f>
        <v>0</v>
      </c>
      <c r="AD276" s="263">
        <f>AD187*'Data - P&amp;L'!$C$8</f>
        <v>0</v>
      </c>
      <c r="AE276" s="263">
        <f>AE187*'Data - P&amp;L'!$C$8</f>
        <v>0</v>
      </c>
      <c r="AF276" s="263">
        <f>AF187*'Data - P&amp;L'!$C$8</f>
        <v>0</v>
      </c>
      <c r="AG276" s="303">
        <f t="shared" si="68"/>
        <v>1.19</v>
      </c>
    </row>
    <row r="277">
      <c r="A277" s="215" t="s">
        <v>425</v>
      </c>
      <c r="B277" s="263">
        <f>(B188+B189)*'Data - P&amp;L'!$C$9</f>
        <v>0</v>
      </c>
      <c r="C277" s="263">
        <f>(C188+C189)*'Data - P&amp;L'!$C$9</f>
        <v>0</v>
      </c>
      <c r="D277" s="263">
        <f>(D188+D189)*'Data - P&amp;L'!$C$9</f>
        <v>0</v>
      </c>
      <c r="E277" s="263">
        <f>(E188+E189)*'Data - P&amp;L'!$C$9</f>
        <v>0</v>
      </c>
      <c r="F277" s="263">
        <f>(F188+F189)*'Data - P&amp;L'!$C$9</f>
        <v>0</v>
      </c>
      <c r="G277" s="263">
        <f>(G188+G189)*'Data - P&amp;L'!$C$9</f>
        <v>0</v>
      </c>
      <c r="H277" s="263">
        <f>(H188+H189)*'Data - P&amp;L'!$C$9</f>
        <v>0</v>
      </c>
      <c r="I277" s="263">
        <f>(I188+I189)*'Data - P&amp;L'!$C$9</f>
        <v>0</v>
      </c>
      <c r="J277" s="263">
        <f>(J188+J189)*'Data - P&amp;L'!$C$9</f>
        <v>0</v>
      </c>
      <c r="K277" s="263">
        <f>(K188+K189)*'Data - P&amp;L'!$C$9</f>
        <v>0</v>
      </c>
      <c r="L277" s="263">
        <f>(L188+L189)*'Data - P&amp;L'!$C$9</f>
        <v>0</v>
      </c>
      <c r="M277" s="263">
        <f>(M188+M189)*'Data - P&amp;L'!$C$9</f>
        <v>0</v>
      </c>
      <c r="N277" s="263">
        <f>(N188+N189)*'Data - P&amp;L'!$C$9</f>
        <v>0</v>
      </c>
      <c r="O277" s="263">
        <f>(O188+O189)*'Data - P&amp;L'!$C$9</f>
        <v>0</v>
      </c>
      <c r="P277" s="263">
        <f>(P188+P189)*'Data - P&amp;L'!$C$9</f>
        <v>0</v>
      </c>
      <c r="Q277" s="263">
        <f>(Q188+Q189)*'Data - P&amp;L'!$C$9</f>
        <v>0</v>
      </c>
      <c r="R277" s="263">
        <f>(R188+R189)*'Data - P&amp;L'!$C$9</f>
        <v>0</v>
      </c>
      <c r="S277" s="263">
        <f>(S188+S189)*'Data - P&amp;L'!$C$9</f>
        <v>0</v>
      </c>
      <c r="T277" s="263">
        <f>(T188+T189)*'Data - P&amp;L'!$C$9</f>
        <v>0</v>
      </c>
      <c r="U277" s="263">
        <f>(U188+U189)*'Data - P&amp;L'!$C$9</f>
        <v>0</v>
      </c>
      <c r="V277" s="263">
        <f>(V188+V189)*'Data - P&amp;L'!$C$9</f>
        <v>0</v>
      </c>
      <c r="W277" s="263">
        <f>(W188+W189)*'Data - P&amp;L'!$C$9</f>
        <v>0</v>
      </c>
      <c r="X277" s="263">
        <f>(X188+X189)*'Data - P&amp;L'!$C$9</f>
        <v>0</v>
      </c>
      <c r="Y277" s="263">
        <f>(Y188+Y189)*'Data - P&amp;L'!$C$9</f>
        <v>0</v>
      </c>
      <c r="Z277" s="263">
        <f>(Z188+Z189)*'Data - P&amp;L'!$C$9</f>
        <v>0</v>
      </c>
      <c r="AA277" s="263">
        <f>(AA188+AA189)*'Data - P&amp;L'!$C$9</f>
        <v>0</v>
      </c>
      <c r="AB277" s="263">
        <f>(AB188+AB189)*'Data - P&amp;L'!$C$9</f>
        <v>0</v>
      </c>
      <c r="AC277" s="263">
        <f>(AC188+AC189)*'Data - P&amp;L'!$C$9</f>
        <v>0</v>
      </c>
      <c r="AD277" s="263">
        <f>(AD188+AD189)*'Data - P&amp;L'!$C$9</f>
        <v>0</v>
      </c>
      <c r="AE277" s="263">
        <f>(AE188+AE189)*'Data - P&amp;L'!$C$9</f>
        <v>0</v>
      </c>
      <c r="AF277" s="263">
        <f>(AF188+AF189)*'Data - P&amp;L'!$C$9</f>
        <v>0</v>
      </c>
      <c r="AG277" s="303">
        <f t="shared" si="68"/>
        <v>0</v>
      </c>
    </row>
    <row r="278">
      <c r="A278" s="215" t="s">
        <v>426</v>
      </c>
      <c r="B278" s="263">
        <f>(B190+B191)*'Data - P&amp;L'!$C$5</f>
        <v>0</v>
      </c>
      <c r="C278" s="263">
        <f>(C190+C191)*'Data - P&amp;L'!$C$5</f>
        <v>0</v>
      </c>
      <c r="D278" s="263">
        <f>(D190+D191)*'Data - P&amp;L'!$C$5</f>
        <v>0</v>
      </c>
      <c r="E278" s="263">
        <f>(E190+E191)*'Data - P&amp;L'!$C$5</f>
        <v>0</v>
      </c>
      <c r="F278" s="263">
        <f>(F190+F191)*'Data - P&amp;L'!$C$5</f>
        <v>0</v>
      </c>
      <c r="G278" s="263">
        <f>(G190+G191)*'Data - P&amp;L'!$C$5</f>
        <v>13.44</v>
      </c>
      <c r="H278" s="263">
        <f>(H190+H191)*'Data - P&amp;L'!$C$5</f>
        <v>0</v>
      </c>
      <c r="I278" s="263">
        <f>(I190+I191)*'Data - P&amp;L'!$C$5</f>
        <v>0</v>
      </c>
      <c r="J278" s="263">
        <f>(J190+J191)*'Data - P&amp;L'!$C$5</f>
        <v>26.88</v>
      </c>
      <c r="K278" s="263">
        <f>(K190+K191)*'Data - P&amp;L'!$C$5</f>
        <v>0</v>
      </c>
      <c r="L278" s="263">
        <f>(L190+L191)*'Data - P&amp;L'!$C$5</f>
        <v>0</v>
      </c>
      <c r="M278" s="263">
        <f>(M190+M191)*'Data - P&amp;L'!$C$5</f>
        <v>0</v>
      </c>
      <c r="N278" s="263">
        <f>(N190+N191)*'Data - P&amp;L'!$C$5</f>
        <v>0</v>
      </c>
      <c r="O278" s="263">
        <f>(O190+O191)*'Data - P&amp;L'!$C$5</f>
        <v>0</v>
      </c>
      <c r="P278" s="263">
        <f>(P190+P191)*'Data - P&amp;L'!$C$5</f>
        <v>40.32</v>
      </c>
      <c r="Q278" s="263">
        <f>(Q190+Q191)*'Data - P&amp;L'!$C$5</f>
        <v>13.44</v>
      </c>
      <c r="R278" s="263">
        <f>(R190+R191)*'Data - P&amp;L'!$C$5</f>
        <v>0</v>
      </c>
      <c r="S278" s="263">
        <f>(S190+S191)*'Data - P&amp;L'!$C$5</f>
        <v>0</v>
      </c>
      <c r="T278" s="263">
        <f>(T190+T191)*'Data - P&amp;L'!$C$5</f>
        <v>0</v>
      </c>
      <c r="U278" s="263">
        <f>(U190+U191)*'Data - P&amp;L'!$C$5</f>
        <v>0</v>
      </c>
      <c r="V278" s="263">
        <f>(V190+V191)*'Data - P&amp;L'!$C$5</f>
        <v>0</v>
      </c>
      <c r="W278" s="263">
        <f>(W190+W191)*'Data - P&amp;L'!$C$5</f>
        <v>0</v>
      </c>
      <c r="X278" s="263">
        <f>(X190+X191)*'Data - P&amp;L'!$C$5</f>
        <v>0</v>
      </c>
      <c r="Y278" s="263">
        <f>(Y190+Y191)*'Data - P&amp;L'!$C$5</f>
        <v>0</v>
      </c>
      <c r="Z278" s="263">
        <f>(Z190+Z191)*'Data - P&amp;L'!$C$5</f>
        <v>0</v>
      </c>
      <c r="AA278" s="263">
        <f>(AA190+AA191)*'Data - P&amp;L'!$C$5</f>
        <v>0</v>
      </c>
      <c r="AB278" s="263">
        <f>(AB190+AB191)*'Data - P&amp;L'!$C$5</f>
        <v>0</v>
      </c>
      <c r="AC278" s="263">
        <f>(AC190+AC191)*'Data - P&amp;L'!$C$5</f>
        <v>0</v>
      </c>
      <c r="AD278" s="263">
        <f>(AD190+AD191)*'Data - P&amp;L'!$C$5</f>
        <v>0</v>
      </c>
      <c r="AE278" s="263">
        <f>(AE190+AE191)*'Data - P&amp;L'!$C$5</f>
        <v>13.44</v>
      </c>
      <c r="AF278" s="263">
        <f>(AF190+AF191)*'Data - P&amp;L'!$C$5</f>
        <v>0</v>
      </c>
      <c r="AG278" s="303">
        <f t="shared" si="68"/>
        <v>107.52</v>
      </c>
    </row>
    <row r="279">
      <c r="A279" s="215" t="s">
        <v>427</v>
      </c>
      <c r="B279" s="263">
        <f>(B192+B193)*'Data - P&amp;L'!$C$10</f>
        <v>0</v>
      </c>
      <c r="C279" s="263">
        <f>(C192+C193)*'Data - P&amp;L'!$C$10</f>
        <v>0</v>
      </c>
      <c r="D279" s="263">
        <f>(D192+D193)*'Data - P&amp;L'!$C$10</f>
        <v>0</v>
      </c>
      <c r="E279" s="263">
        <f>(E192+E193)*'Data - P&amp;L'!$C$10</f>
        <v>0</v>
      </c>
      <c r="F279" s="263">
        <f>(F192+F193)*'Data - P&amp;L'!$C$10</f>
        <v>0</v>
      </c>
      <c r="G279" s="263">
        <f>(G192+G193)*'Data - P&amp;L'!$C$10</f>
        <v>0</v>
      </c>
      <c r="H279" s="263">
        <f>(H192+H193)*'Data - P&amp;L'!$C$10</f>
        <v>0</v>
      </c>
      <c r="I279" s="263">
        <f>(I192+I193)*'Data - P&amp;L'!$C$10</f>
        <v>0</v>
      </c>
      <c r="J279" s="263">
        <f>(J192+J193)*'Data - P&amp;L'!$C$10</f>
        <v>0</v>
      </c>
      <c r="K279" s="263">
        <f>(K192+K193)*'Data - P&amp;L'!$C$10</f>
        <v>0</v>
      </c>
      <c r="L279" s="263">
        <f>(L192+L193)*'Data - P&amp;L'!$C$10</f>
        <v>0</v>
      </c>
      <c r="M279" s="263">
        <f>(M192+M193)*'Data - P&amp;L'!$C$10</f>
        <v>0</v>
      </c>
      <c r="N279" s="263">
        <f>(N192+N193)*'Data - P&amp;L'!$C$10</f>
        <v>0</v>
      </c>
      <c r="O279" s="263">
        <f>(O192+O193)*'Data - P&amp;L'!$C$10</f>
        <v>0</v>
      </c>
      <c r="P279" s="263">
        <f>(P192+P193)*'Data - P&amp;L'!$C$10</f>
        <v>0</v>
      </c>
      <c r="Q279" s="263">
        <f>(Q192+Q193)*'Data - P&amp;L'!$C$10</f>
        <v>0</v>
      </c>
      <c r="R279" s="263">
        <f>(R192+R193)*'Data - P&amp;L'!$C$10</f>
        <v>0</v>
      </c>
      <c r="S279" s="263">
        <f>(S192+S193)*'Data - P&amp;L'!$C$10</f>
        <v>0</v>
      </c>
      <c r="T279" s="263">
        <f>(T192+T193)*'Data - P&amp;L'!$C$10</f>
        <v>0</v>
      </c>
      <c r="U279" s="263">
        <f>(U192+U193)*'Data - P&amp;L'!$C$10</f>
        <v>0</v>
      </c>
      <c r="V279" s="263">
        <f>(V192+V193)*'Data - P&amp;L'!$C$10</f>
        <v>0</v>
      </c>
      <c r="W279" s="263">
        <f>(W192+W193)*'Data - P&amp;L'!$C$10</f>
        <v>0</v>
      </c>
      <c r="X279" s="263">
        <f>(X192+X193)*'Data - P&amp;L'!$C$10</f>
        <v>0</v>
      </c>
      <c r="Y279" s="263">
        <f>(Y192+Y193)*'Data - P&amp;L'!$C$10</f>
        <v>0</v>
      </c>
      <c r="Z279" s="263">
        <f>(Z192+Z193)*'Data - P&amp;L'!$C$10</f>
        <v>0</v>
      </c>
      <c r="AA279" s="263">
        <f>(AA192+AA193)*'Data - P&amp;L'!$C$10</f>
        <v>0</v>
      </c>
      <c r="AB279" s="263">
        <f>(AB192+AB193)*'Data - P&amp;L'!$C$10</f>
        <v>0</v>
      </c>
      <c r="AC279" s="263">
        <f>(AC192+AC193)*'Data - P&amp;L'!$C$10</f>
        <v>0</v>
      </c>
      <c r="AD279" s="263">
        <f>(AD192+AD193)*'Data - P&amp;L'!$C$10</f>
        <v>0</v>
      </c>
      <c r="AE279" s="263">
        <f>(AE192+AE193)*'Data - P&amp;L'!$C$10</f>
        <v>0</v>
      </c>
      <c r="AF279" s="263">
        <f>(AF192+AF193)*'Data - P&amp;L'!$C$10</f>
        <v>0</v>
      </c>
      <c r="AG279" s="303">
        <f t="shared" si="68"/>
        <v>0</v>
      </c>
    </row>
    <row r="280">
      <c r="A280" s="215" t="s">
        <v>428</v>
      </c>
      <c r="B280" s="263">
        <f>(B183+B184)*'Data - P&amp;L'!$C$43*'Data - P&amp;L'!$C$55</f>
        <v>0</v>
      </c>
      <c r="C280" s="263">
        <f>(C183+C184)*'Data - P&amp;L'!$C$43*'Data - P&amp;L'!$C$55</f>
        <v>0</v>
      </c>
      <c r="D280" s="263">
        <f>(D183+D184)*'Data - P&amp;L'!$C$43*'Data - P&amp;L'!$C$55</f>
        <v>0</v>
      </c>
      <c r="E280" s="263">
        <f>(E183+E184)*'Data - P&amp;L'!$C$43*'Data - P&amp;L'!$C$55</f>
        <v>0</v>
      </c>
      <c r="F280" s="263">
        <f>(F183+F184)*'Data - P&amp;L'!$C$43*'Data - P&amp;L'!$C$55</f>
        <v>0</v>
      </c>
      <c r="G280" s="263">
        <f>(G183+G184)*'Data - P&amp;L'!$C$43*'Data - P&amp;L'!$C$55</f>
        <v>0</v>
      </c>
      <c r="H280" s="263">
        <f>(H183+H184)*'Data - P&amp;L'!$C$43*'Data - P&amp;L'!$C$55</f>
        <v>0</v>
      </c>
      <c r="I280" s="263">
        <f>(I183+I184)*'Data - P&amp;L'!$C$43*'Data - P&amp;L'!$C$55</f>
        <v>0</v>
      </c>
      <c r="J280" s="263">
        <f>(J183+J184)*'Data - P&amp;L'!$C$43*'Data - P&amp;L'!$C$55</f>
        <v>0</v>
      </c>
      <c r="K280" s="263">
        <f>(K183+K184)*'Data - P&amp;L'!$C$43*'Data - P&amp;L'!$C$55</f>
        <v>0</v>
      </c>
      <c r="L280" s="263">
        <f>(L183+L184)*'Data - P&amp;L'!$C$43*'Data - P&amp;L'!$C$55</f>
        <v>0</v>
      </c>
      <c r="M280" s="263">
        <f>(M183+M184)*'Data - P&amp;L'!$C$43*'Data - P&amp;L'!$C$55</f>
        <v>0</v>
      </c>
      <c r="N280" s="263">
        <f>(N183+N184)*'Data - P&amp;L'!$C$43*'Data - P&amp;L'!$C$55</f>
        <v>0</v>
      </c>
      <c r="O280" s="263">
        <f>(O183+O184)*'Data - P&amp;L'!$C$43*'Data - P&amp;L'!$C$55</f>
        <v>0</v>
      </c>
      <c r="P280" s="263">
        <f>(P183+P184)*'Data - P&amp;L'!$C$43*'Data - P&amp;L'!$C$55</f>
        <v>0</v>
      </c>
      <c r="Q280" s="263">
        <f>(Q183+Q184)*'Data - P&amp;L'!$C$43*'Data - P&amp;L'!$C$55</f>
        <v>0</v>
      </c>
      <c r="R280" s="263">
        <f>(R183+R184)*'Data - P&amp;L'!$C$43*'Data - P&amp;L'!$C$55</f>
        <v>0</v>
      </c>
      <c r="S280" s="263">
        <f>(S183+S184)*'Data - P&amp;L'!$C$43*'Data - P&amp;L'!$C$55</f>
        <v>0</v>
      </c>
      <c r="T280" s="263">
        <f>(T183+T184)*'Data - P&amp;L'!$C$43*'Data - P&amp;L'!$C$55</f>
        <v>0</v>
      </c>
      <c r="U280" s="263">
        <f>(U183+U184)*'Data - P&amp;L'!$C$43*'Data - P&amp;L'!$C$55</f>
        <v>0</v>
      </c>
      <c r="V280" s="263">
        <f>(V183+V184)*'Data - P&amp;L'!$C$43*'Data - P&amp;L'!$C$55</f>
        <v>0</v>
      </c>
      <c r="W280" s="263">
        <f>(W183+W184)*'Data - P&amp;L'!$C$43*'Data - P&amp;L'!$C$55</f>
        <v>0</v>
      </c>
      <c r="X280" s="263">
        <f>(X183+X184)*'Data - P&amp;L'!$C$43*'Data - P&amp;L'!$C$55</f>
        <v>0</v>
      </c>
      <c r="Y280" s="263">
        <f>(Y183+Y184)*'Data - P&amp;L'!$C$43*'Data - P&amp;L'!$C$55</f>
        <v>0</v>
      </c>
      <c r="Z280" s="263">
        <f>(Z183+Z184)*'Data - P&amp;L'!$C$43*'Data - P&amp;L'!$C$55</f>
        <v>0</v>
      </c>
      <c r="AA280" s="263">
        <f>(AA183+AA184)*'Data - P&amp;L'!$C$43*'Data - P&amp;L'!$C$55</f>
        <v>0</v>
      </c>
      <c r="AB280" s="263">
        <f>(AB183+AB184)*'Data - P&amp;L'!$C$43*'Data - P&amp;L'!$C$55</f>
        <v>0</v>
      </c>
      <c r="AC280" s="263">
        <f>(AC183+AC184)*'Data - P&amp;L'!$C$43*'Data - P&amp;L'!$C$55</f>
        <v>0</v>
      </c>
      <c r="AD280" s="263">
        <f>(AD183+AD184)*'Data - P&amp;L'!$C$43*'Data - P&amp;L'!$C$55</f>
        <v>0</v>
      </c>
      <c r="AE280" s="263">
        <f>(AE183+AE184)*'Data - P&amp;L'!$C$43*'Data - P&amp;L'!$C$55</f>
        <v>0</v>
      </c>
      <c r="AF280" s="263">
        <f>(AF183+AF184)*'Data - P&amp;L'!$C$43*'Data - P&amp;L'!$C$55</f>
        <v>0</v>
      </c>
      <c r="AG280" s="303">
        <f t="shared" si="68"/>
        <v>0</v>
      </c>
    </row>
    <row r="281">
      <c r="A281" s="215" t="s">
        <v>430</v>
      </c>
      <c r="B281" s="263">
        <f>B194*'Data - P&amp;L'!$C$43*'Data - P&amp;L'!$C$55</f>
        <v>0</v>
      </c>
      <c r="C281" s="263">
        <f>C194*'Data - P&amp;L'!$C$43*'Data - P&amp;L'!$C$55</f>
        <v>0</v>
      </c>
      <c r="D281" s="263">
        <f>D194*'Data - P&amp;L'!$C$43*'Data - P&amp;L'!$C$55</f>
        <v>0</v>
      </c>
      <c r="E281" s="263">
        <f>E194*'Data - P&amp;L'!$C$43*'Data - P&amp;L'!$C$55</f>
        <v>0</v>
      </c>
      <c r="F281" s="263">
        <f>F194*'Data - P&amp;L'!$C$43*'Data - P&amp;L'!$C$55</f>
        <v>0</v>
      </c>
      <c r="G281" s="263">
        <f>G194*'Data - P&amp;L'!$C$43*'Data - P&amp;L'!$C$55</f>
        <v>1.194</v>
      </c>
      <c r="H281" s="263">
        <f>H194*'Data - P&amp;L'!$C$43*'Data - P&amp;L'!$C$55</f>
        <v>0</v>
      </c>
      <c r="I281" s="263">
        <f>I194*'Data - P&amp;L'!$C$43*'Data - P&amp;L'!$C$55</f>
        <v>0</v>
      </c>
      <c r="J281" s="263">
        <f>J194*'Data - P&amp;L'!$C$43*'Data - P&amp;L'!$C$55</f>
        <v>2.388</v>
      </c>
      <c r="K281" s="263">
        <f>K194*'Data - P&amp;L'!$C$43*'Data - P&amp;L'!$C$55</f>
        <v>0</v>
      </c>
      <c r="L281" s="263">
        <f>L194*'Data - P&amp;L'!$C$43*'Data - P&amp;L'!$C$55</f>
        <v>0</v>
      </c>
      <c r="M281" s="263">
        <f>M194*'Data - P&amp;L'!$C$43*'Data - P&amp;L'!$C$55</f>
        <v>0</v>
      </c>
      <c r="N281" s="263">
        <f>N194*'Data - P&amp;L'!$C$43*'Data - P&amp;L'!$C$55</f>
        <v>0</v>
      </c>
      <c r="O281" s="263">
        <f>O194*'Data - P&amp;L'!$C$43*'Data - P&amp;L'!$C$55</f>
        <v>0</v>
      </c>
      <c r="P281" s="263">
        <f>P194*'Data - P&amp;L'!$C$43*'Data - P&amp;L'!$C$55</f>
        <v>3.582</v>
      </c>
      <c r="Q281" s="263">
        <f>Q194*'Data - P&amp;L'!$C$43*'Data - P&amp;L'!$C$55</f>
        <v>2.388</v>
      </c>
      <c r="R281" s="263">
        <f>R194*'Data - P&amp;L'!$C$43*'Data - P&amp;L'!$C$55</f>
        <v>0</v>
      </c>
      <c r="S281" s="263">
        <f>S194*'Data - P&amp;L'!$C$43*'Data - P&amp;L'!$C$55</f>
        <v>0</v>
      </c>
      <c r="T281" s="263">
        <f>T194*'Data - P&amp;L'!$C$43*'Data - P&amp;L'!$C$55</f>
        <v>0</v>
      </c>
      <c r="U281" s="263">
        <f>U194*'Data - P&amp;L'!$C$43*'Data - P&amp;L'!$C$55</f>
        <v>0</v>
      </c>
      <c r="V281" s="263">
        <f>V194*'Data - P&amp;L'!$C$43*'Data - P&amp;L'!$C$55</f>
        <v>0</v>
      </c>
      <c r="W281" s="263">
        <f>W194*'Data - P&amp;L'!$C$43*'Data - P&amp;L'!$C$55</f>
        <v>0</v>
      </c>
      <c r="X281" s="263">
        <f>X194*'Data - P&amp;L'!$C$43*'Data - P&amp;L'!$C$55</f>
        <v>0</v>
      </c>
      <c r="Y281" s="263">
        <f>Y194*'Data - P&amp;L'!$C$43*'Data - P&amp;L'!$C$55</f>
        <v>0</v>
      </c>
      <c r="Z281" s="263">
        <f>Z194*'Data - P&amp;L'!$C$43*'Data - P&amp;L'!$C$55</f>
        <v>0</v>
      </c>
      <c r="AA281" s="263">
        <f>AA194*'Data - P&amp;L'!$C$43*'Data - P&amp;L'!$C$55</f>
        <v>0</v>
      </c>
      <c r="AB281" s="263">
        <f>AB194*'Data - P&amp;L'!$C$43*'Data - P&amp;L'!$C$55</f>
        <v>0</v>
      </c>
      <c r="AC281" s="263">
        <f>AC194*'Data - P&amp;L'!$C$43*'Data - P&amp;L'!$C$55</f>
        <v>0</v>
      </c>
      <c r="AD281" s="263">
        <f>AD194*'Data - P&amp;L'!$C$43*'Data - P&amp;L'!$C$55</f>
        <v>0</v>
      </c>
      <c r="AE281" s="263">
        <f>AE194*'Data - P&amp;L'!$C$43*'Data - P&amp;L'!$C$55</f>
        <v>1.194</v>
      </c>
      <c r="AF281" s="263">
        <f>AF194*'Data - P&amp;L'!$C$43*'Data - P&amp;L'!$C$55</f>
        <v>0</v>
      </c>
      <c r="AG281" s="303">
        <f t="shared" si="68"/>
        <v>10.746</v>
      </c>
    </row>
    <row r="282">
      <c r="A282" s="245" t="s">
        <v>386</v>
      </c>
      <c r="B282" s="263">
        <v>0.0</v>
      </c>
      <c r="C282" s="263">
        <v>0.0</v>
      </c>
      <c r="D282" s="263">
        <v>0.0</v>
      </c>
      <c r="E282" s="263">
        <v>0.0</v>
      </c>
      <c r="F282" s="263">
        <v>0.0</v>
      </c>
      <c r="G282" s="263">
        <v>0.0</v>
      </c>
      <c r="H282" s="263">
        <v>0.0</v>
      </c>
      <c r="I282" s="263">
        <v>0.0</v>
      </c>
      <c r="J282" s="263">
        <v>0.0</v>
      </c>
      <c r="K282" s="263">
        <v>0.0</v>
      </c>
      <c r="L282" s="263">
        <v>0.0</v>
      </c>
      <c r="M282" s="263">
        <v>0.0</v>
      </c>
      <c r="N282" s="263">
        <v>0.0</v>
      </c>
      <c r="O282" s="263">
        <v>0.0</v>
      </c>
      <c r="P282" s="263">
        <v>0.0</v>
      </c>
      <c r="Q282" s="263">
        <v>0.0</v>
      </c>
      <c r="R282" s="263">
        <v>0.0</v>
      </c>
      <c r="S282" s="263">
        <v>0.0</v>
      </c>
      <c r="T282" s="263">
        <v>0.0</v>
      </c>
      <c r="U282" s="263">
        <v>0.0</v>
      </c>
      <c r="V282" s="263">
        <v>0.0</v>
      </c>
      <c r="W282" s="263">
        <v>0.0</v>
      </c>
      <c r="X282" s="263">
        <v>0.0</v>
      </c>
      <c r="Y282" s="263">
        <v>0.0</v>
      </c>
      <c r="Z282" s="263">
        <v>0.0</v>
      </c>
      <c r="AA282" s="263">
        <v>0.0</v>
      </c>
      <c r="AB282" s="263">
        <v>0.0</v>
      </c>
      <c r="AC282" s="263">
        <v>0.0</v>
      </c>
      <c r="AD282" s="263">
        <v>0.0</v>
      </c>
      <c r="AE282" s="263">
        <v>0.0</v>
      </c>
      <c r="AF282" s="263">
        <v>0.0</v>
      </c>
      <c r="AG282" s="303">
        <f t="shared" si="68"/>
        <v>0</v>
      </c>
    </row>
    <row r="283">
      <c r="A283" s="245" t="s">
        <v>609</v>
      </c>
      <c r="B283" s="263">
        <f t="shared" ref="B283:AF283" si="74">B204*15</f>
        <v>0</v>
      </c>
      <c r="C283" s="263">
        <f t="shared" si="74"/>
        <v>0</v>
      </c>
      <c r="D283" s="263">
        <f t="shared" si="74"/>
        <v>0</v>
      </c>
      <c r="E283" s="263">
        <f t="shared" si="74"/>
        <v>0</v>
      </c>
      <c r="F283" s="263">
        <f t="shared" si="74"/>
        <v>0</v>
      </c>
      <c r="G283" s="263">
        <f t="shared" si="74"/>
        <v>0</v>
      </c>
      <c r="H283" s="263">
        <f t="shared" si="74"/>
        <v>0</v>
      </c>
      <c r="I283" s="263">
        <f t="shared" si="74"/>
        <v>0</v>
      </c>
      <c r="J283" s="263">
        <f t="shared" si="74"/>
        <v>0</v>
      </c>
      <c r="K283" s="263">
        <f t="shared" si="74"/>
        <v>0</v>
      </c>
      <c r="L283" s="263">
        <f t="shared" si="74"/>
        <v>0</v>
      </c>
      <c r="M283" s="263">
        <f t="shared" si="74"/>
        <v>0</v>
      </c>
      <c r="N283" s="263">
        <f t="shared" si="74"/>
        <v>0</v>
      </c>
      <c r="O283" s="263">
        <f t="shared" si="74"/>
        <v>0</v>
      </c>
      <c r="P283" s="263">
        <f t="shared" si="74"/>
        <v>0</v>
      </c>
      <c r="Q283" s="263">
        <f t="shared" si="74"/>
        <v>0</v>
      </c>
      <c r="R283" s="263">
        <f t="shared" si="74"/>
        <v>0</v>
      </c>
      <c r="S283" s="263">
        <f t="shared" si="74"/>
        <v>0</v>
      </c>
      <c r="T283" s="263">
        <f t="shared" si="74"/>
        <v>0</v>
      </c>
      <c r="U283" s="263">
        <f t="shared" si="74"/>
        <v>0</v>
      </c>
      <c r="V283" s="263">
        <f t="shared" si="74"/>
        <v>0</v>
      </c>
      <c r="W283" s="263">
        <f t="shared" si="74"/>
        <v>0</v>
      </c>
      <c r="X283" s="263">
        <f t="shared" si="74"/>
        <v>0</v>
      </c>
      <c r="Y283" s="263">
        <f t="shared" si="74"/>
        <v>0</v>
      </c>
      <c r="Z283" s="263">
        <f t="shared" si="74"/>
        <v>0</v>
      </c>
      <c r="AA283" s="263">
        <f t="shared" si="74"/>
        <v>0</v>
      </c>
      <c r="AB283" s="263">
        <f t="shared" si="74"/>
        <v>0</v>
      </c>
      <c r="AC283" s="263">
        <f t="shared" si="74"/>
        <v>0</v>
      </c>
      <c r="AD283" s="263">
        <f t="shared" si="74"/>
        <v>0</v>
      </c>
      <c r="AE283" s="263">
        <f t="shared" si="74"/>
        <v>0</v>
      </c>
      <c r="AF283" s="263">
        <f t="shared" si="74"/>
        <v>0</v>
      </c>
      <c r="AG283" s="303">
        <f t="shared" si="68"/>
        <v>0</v>
      </c>
    </row>
    <row r="284">
      <c r="A284" s="245" t="s">
        <v>470</v>
      </c>
      <c r="B284" s="377">
        <v>0.0</v>
      </c>
      <c r="C284" s="377">
        <v>0.0</v>
      </c>
      <c r="D284" s="377">
        <v>0.0</v>
      </c>
      <c r="E284" s="377">
        <v>0.0</v>
      </c>
      <c r="F284" s="377">
        <v>0.0</v>
      </c>
      <c r="G284" s="377">
        <v>0.0</v>
      </c>
      <c r="H284" s="377">
        <v>0.0</v>
      </c>
      <c r="I284" s="377">
        <v>0.0</v>
      </c>
      <c r="J284" s="377">
        <v>0.0</v>
      </c>
      <c r="K284" s="377">
        <v>0.0</v>
      </c>
      <c r="L284" s="377">
        <v>0.0</v>
      </c>
      <c r="M284" s="377">
        <v>0.0</v>
      </c>
      <c r="N284" s="377">
        <v>0.0</v>
      </c>
      <c r="O284" s="377">
        <v>0.0</v>
      </c>
      <c r="P284" s="377"/>
      <c r="Q284" s="377"/>
      <c r="R284" s="377"/>
      <c r="S284" s="377"/>
      <c r="T284" s="377"/>
      <c r="U284" s="377"/>
      <c r="V284" s="377"/>
      <c r="W284" s="377"/>
      <c r="X284" s="377"/>
      <c r="Y284" s="377"/>
      <c r="Z284" s="377"/>
      <c r="AA284" s="377"/>
      <c r="AB284" s="377"/>
      <c r="AC284" s="377"/>
      <c r="AD284" s="377"/>
      <c r="AE284" s="377"/>
      <c r="AF284" s="377"/>
      <c r="AG284" s="303">
        <f t="shared" si="68"/>
        <v>0</v>
      </c>
    </row>
    <row r="285">
      <c r="A285" s="105"/>
      <c r="B285" s="83"/>
      <c r="C285" s="83"/>
      <c r="D285" s="83"/>
      <c r="E285" s="83"/>
      <c r="F285" s="83"/>
      <c r="G285" s="83"/>
      <c r="H285" s="83"/>
      <c r="I285" s="83"/>
      <c r="J285" s="83"/>
      <c r="K285" s="83"/>
      <c r="L285" s="83"/>
      <c r="M285" s="83"/>
      <c r="N285" s="83"/>
      <c r="O285" s="83"/>
      <c r="P285" s="83"/>
      <c r="Q285" s="83"/>
      <c r="R285" s="83"/>
      <c r="S285" s="83"/>
      <c r="T285" s="83"/>
      <c r="U285" s="83"/>
      <c r="V285" s="83"/>
      <c r="W285" s="83"/>
      <c r="X285" s="83"/>
      <c r="Y285" s="83"/>
      <c r="Z285" s="83"/>
      <c r="AA285" s="83"/>
      <c r="AB285" s="83"/>
      <c r="AC285" s="83"/>
      <c r="AD285" s="83"/>
      <c r="AE285" s="83"/>
      <c r="AF285" s="83"/>
      <c r="AG285" s="303"/>
    </row>
    <row r="286">
      <c r="A286" s="378" t="s">
        <v>471</v>
      </c>
      <c r="B286" s="260">
        <f t="shared" ref="B286:AF286" si="75">B248+B260+B282+B283+B284</f>
        <v>1178.99</v>
      </c>
      <c r="C286" s="260">
        <f t="shared" si="75"/>
        <v>731.82</v>
      </c>
      <c r="D286" s="260">
        <f t="shared" si="75"/>
        <v>1021.82</v>
      </c>
      <c r="E286" s="260">
        <f t="shared" si="75"/>
        <v>926.34</v>
      </c>
      <c r="F286" s="260">
        <f t="shared" si="75"/>
        <v>1480.67</v>
      </c>
      <c r="G286" s="260">
        <f t="shared" si="75"/>
        <v>1667.15</v>
      </c>
      <c r="H286" s="260">
        <f t="shared" si="75"/>
        <v>3073.44</v>
      </c>
      <c r="I286" s="260">
        <f t="shared" si="75"/>
        <v>2199.81</v>
      </c>
      <c r="J286" s="260">
        <f t="shared" si="75"/>
        <v>3191.88</v>
      </c>
      <c r="K286" s="260">
        <f t="shared" si="75"/>
        <v>1461.63</v>
      </c>
      <c r="L286" s="260">
        <f t="shared" si="75"/>
        <v>3559.07</v>
      </c>
      <c r="M286" s="260">
        <f t="shared" si="75"/>
        <v>1465.1</v>
      </c>
      <c r="N286" s="260">
        <f t="shared" si="75"/>
        <v>2848.71</v>
      </c>
      <c r="O286" s="260">
        <f t="shared" si="75"/>
        <v>3810</v>
      </c>
      <c r="P286" s="260">
        <f t="shared" si="75"/>
        <v>3213.66</v>
      </c>
      <c r="Q286" s="260">
        <f t="shared" si="75"/>
        <v>4081.5</v>
      </c>
      <c r="R286" s="260">
        <f t="shared" si="75"/>
        <v>1867.12</v>
      </c>
      <c r="S286" s="260">
        <f t="shared" si="75"/>
        <v>999.31</v>
      </c>
      <c r="T286" s="260">
        <f t="shared" si="75"/>
        <v>561.3</v>
      </c>
      <c r="U286" s="260">
        <f t="shared" si="75"/>
        <v>996.2</v>
      </c>
      <c r="V286" s="260">
        <f t="shared" si="75"/>
        <v>2187.49</v>
      </c>
      <c r="W286" s="260">
        <f t="shared" si="75"/>
        <v>1873.01</v>
      </c>
      <c r="X286" s="260">
        <f t="shared" si="75"/>
        <v>3033.7</v>
      </c>
      <c r="Y286" s="260">
        <f t="shared" si="75"/>
        <v>876.39</v>
      </c>
      <c r="Z286" s="260">
        <f t="shared" si="75"/>
        <v>1736.12</v>
      </c>
      <c r="AA286" s="260">
        <f t="shared" si="75"/>
        <v>792.64</v>
      </c>
      <c r="AB286" s="260">
        <f t="shared" si="75"/>
        <v>233.67</v>
      </c>
      <c r="AC286" s="260">
        <f t="shared" si="75"/>
        <v>1564.6</v>
      </c>
      <c r="AD286" s="260">
        <f t="shared" si="75"/>
        <v>1873.28</v>
      </c>
      <c r="AE286" s="260">
        <f t="shared" si="75"/>
        <v>2266.26</v>
      </c>
      <c r="AF286" s="260">
        <f t="shared" si="75"/>
        <v>1497.95</v>
      </c>
      <c r="AG286" s="303">
        <f>SUM(B286:AF286)</f>
        <v>58270.63</v>
      </c>
    </row>
    <row r="287">
      <c r="A287" s="105"/>
      <c r="B287" s="83"/>
      <c r="C287" s="83"/>
      <c r="D287" s="83"/>
      <c r="E287" s="83"/>
      <c r="F287" s="83"/>
      <c r="G287" s="83"/>
      <c r="H287" s="83"/>
      <c r="I287" s="83"/>
      <c r="J287" s="83"/>
      <c r="K287" s="83"/>
      <c r="L287" s="83"/>
      <c r="M287" s="83"/>
      <c r="N287" s="83"/>
      <c r="O287" s="83"/>
      <c r="P287" s="83"/>
      <c r="Q287" s="83"/>
      <c r="R287" s="83"/>
      <c r="S287" s="83"/>
      <c r="T287" s="83"/>
      <c r="U287" s="83"/>
      <c r="V287" s="83"/>
      <c r="W287" s="83"/>
      <c r="X287" s="83"/>
      <c r="Y287" s="83"/>
      <c r="Z287" s="83"/>
      <c r="AA287" s="83"/>
      <c r="AB287" s="83"/>
      <c r="AC287" s="83"/>
      <c r="AD287" s="83"/>
      <c r="AE287" s="83"/>
      <c r="AF287" s="83"/>
      <c r="AG287" s="303"/>
    </row>
    <row r="288">
      <c r="A288" s="223" t="s">
        <v>414</v>
      </c>
      <c r="B288" s="379">
        <f t="shared" ref="B288:AF288" si="76">B238+B249+B261-B272-B282-B284</f>
        <v>-924.580512</v>
      </c>
      <c r="C288" s="379">
        <f t="shared" si="76"/>
        <v>-582.199692</v>
      </c>
      <c r="D288" s="379">
        <f t="shared" si="76"/>
        <v>-792.436896</v>
      </c>
      <c r="E288" s="379">
        <f t="shared" si="76"/>
        <v>-739.476036</v>
      </c>
      <c r="F288" s="379">
        <f t="shared" si="76"/>
        <v>-942.607744</v>
      </c>
      <c r="G288" s="379">
        <f t="shared" si="76"/>
        <v>-1343.176648</v>
      </c>
      <c r="H288" s="379">
        <f t="shared" si="76"/>
        <v>-2576.82996</v>
      </c>
      <c r="I288" s="379">
        <f t="shared" si="76"/>
        <v>-1693.103524</v>
      </c>
      <c r="J288" s="379">
        <f t="shared" si="76"/>
        <v>-2477.863052</v>
      </c>
      <c r="K288" s="379">
        <f t="shared" si="76"/>
        <v>-1076.732756</v>
      </c>
      <c r="L288" s="379">
        <f t="shared" si="76"/>
        <v>-2695.806372</v>
      </c>
      <c r="M288" s="379">
        <f t="shared" si="76"/>
        <v>-1337.134128</v>
      </c>
      <c r="N288" s="379">
        <f t="shared" si="76"/>
        <v>-2656.615768</v>
      </c>
      <c r="O288" s="379">
        <f t="shared" si="76"/>
        <v>-3532.378512</v>
      </c>
      <c r="P288" s="379">
        <f t="shared" si="76"/>
        <v>-2723.721608</v>
      </c>
      <c r="Q288" s="379">
        <f t="shared" si="76"/>
        <v>-3194.799344</v>
      </c>
      <c r="R288" s="379">
        <f t="shared" si="76"/>
        <v>-1651.664088</v>
      </c>
      <c r="S288" s="379">
        <f t="shared" si="76"/>
        <v>-695.617692</v>
      </c>
      <c r="T288" s="379">
        <f t="shared" si="76"/>
        <v>-277.859628</v>
      </c>
      <c r="U288" s="379">
        <f t="shared" si="76"/>
        <v>-829.636536</v>
      </c>
      <c r="V288" s="379">
        <f t="shared" si="76"/>
        <v>-1988.150448</v>
      </c>
      <c r="W288" s="379">
        <f t="shared" si="76"/>
        <v>-1470.250488</v>
      </c>
      <c r="X288" s="379">
        <f t="shared" si="76"/>
        <v>-2624.142128</v>
      </c>
      <c r="Y288" s="379">
        <f t="shared" si="76"/>
        <v>-787.868832</v>
      </c>
      <c r="Z288" s="379">
        <f t="shared" si="76"/>
        <v>-1553.629128</v>
      </c>
      <c r="AA288" s="379">
        <f t="shared" si="76"/>
        <v>-547.80964</v>
      </c>
      <c r="AB288" s="379">
        <f t="shared" si="76"/>
        <v>-162.796292</v>
      </c>
      <c r="AC288" s="379">
        <f t="shared" si="76"/>
        <v>-1456.076024</v>
      </c>
      <c r="AD288" s="379">
        <f t="shared" si="76"/>
        <v>-1498.90678</v>
      </c>
      <c r="AE288" s="379">
        <f t="shared" si="76"/>
        <v>-1984.781892</v>
      </c>
      <c r="AF288" s="379">
        <f t="shared" si="76"/>
        <v>-1183.008472</v>
      </c>
      <c r="AG288" s="303">
        <f>SUM(B288:AF288)</f>
        <v>-48001.66062</v>
      </c>
    </row>
    <row r="289">
      <c r="A289" s="98"/>
      <c r="B289" s="83"/>
      <c r="C289" s="83"/>
      <c r="D289" s="83"/>
      <c r="E289" s="83"/>
      <c r="F289" s="83"/>
      <c r="G289" s="83"/>
      <c r="H289" s="83"/>
      <c r="I289" s="83"/>
      <c r="J289" s="83"/>
      <c r="K289" s="83"/>
      <c r="L289" s="83"/>
      <c r="M289" s="83"/>
      <c r="N289" s="83"/>
      <c r="O289" s="83"/>
      <c r="P289" s="83"/>
      <c r="Q289" s="83"/>
      <c r="R289" s="83"/>
      <c r="S289" s="83"/>
      <c r="T289" s="83"/>
      <c r="U289" s="83"/>
      <c r="V289" s="83"/>
      <c r="W289" s="83"/>
      <c r="X289" s="83"/>
      <c r="Y289" s="83"/>
      <c r="Z289" s="83"/>
      <c r="AA289" s="83"/>
      <c r="AB289" s="83"/>
      <c r="AC289" s="83"/>
      <c r="AD289" s="83"/>
      <c r="AE289" s="83"/>
      <c r="AF289" s="83"/>
      <c r="AG289" s="303">
        <f>SUM(B289:AD289)</f>
        <v>0</v>
      </c>
    </row>
    <row r="290">
      <c r="A290" s="98"/>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263"/>
      <c r="Z290" s="263"/>
      <c r="AA290" s="263"/>
      <c r="AB290" s="263"/>
      <c r="AC290" s="263"/>
      <c r="AD290" s="263"/>
      <c r="AE290" s="263"/>
      <c r="AF290" s="263"/>
      <c r="AG290" s="303"/>
    </row>
    <row r="291">
      <c r="A291" s="266" t="s">
        <v>415</v>
      </c>
      <c r="B291" s="267"/>
      <c r="C291" s="267"/>
      <c r="D291" s="267"/>
      <c r="E291" s="267"/>
      <c r="F291" s="267"/>
      <c r="G291" s="267"/>
      <c r="H291" s="267"/>
      <c r="I291" s="267"/>
      <c r="J291" s="267"/>
      <c r="K291" s="267"/>
      <c r="L291" s="267"/>
      <c r="M291" s="267"/>
      <c r="N291" s="267"/>
      <c r="O291" s="267"/>
      <c r="P291" s="267"/>
      <c r="Q291" s="267"/>
      <c r="R291" s="267"/>
      <c r="S291" s="267"/>
      <c r="T291" s="267"/>
      <c r="U291" s="267"/>
      <c r="V291" s="267"/>
      <c r="W291" s="267"/>
      <c r="X291" s="267"/>
      <c r="Y291" s="267"/>
      <c r="Z291" s="267"/>
      <c r="AA291" s="267"/>
      <c r="AB291" s="267"/>
      <c r="AC291" s="267"/>
      <c r="AD291" s="267"/>
      <c r="AE291" s="267"/>
      <c r="AF291" s="267"/>
      <c r="AG291" s="370"/>
    </row>
    <row r="292">
      <c r="A292" s="380">
        <f>A229</f>
        <v>1009936.53</v>
      </c>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263"/>
      <c r="Z292" s="263"/>
      <c r="AA292" s="263"/>
      <c r="AB292" s="263"/>
      <c r="AC292" s="263"/>
      <c r="AD292" s="263"/>
      <c r="AE292" s="263"/>
      <c r="AF292" s="263"/>
      <c r="AG292" s="303"/>
    </row>
    <row r="293">
      <c r="A293" s="381" t="s">
        <v>472</v>
      </c>
      <c r="B293" s="263">
        <f t="shared" ref="B293:AF293" si="77">B230+B288</f>
        <v>752.576988</v>
      </c>
      <c r="C293" s="263">
        <f t="shared" si="77"/>
        <v>1330.797308</v>
      </c>
      <c r="D293" s="263">
        <f t="shared" si="77"/>
        <v>5211.864604</v>
      </c>
      <c r="E293" s="263">
        <f t="shared" si="77"/>
        <v>14072.57696</v>
      </c>
      <c r="F293" s="263">
        <f t="shared" si="77"/>
        <v>15642.59826</v>
      </c>
      <c r="G293" s="263">
        <f t="shared" si="77"/>
        <v>21283.88035</v>
      </c>
      <c r="H293" s="263">
        <f t="shared" si="77"/>
        <v>20814.25704</v>
      </c>
      <c r="I293" s="263">
        <f t="shared" si="77"/>
        <v>20884.06848</v>
      </c>
      <c r="J293" s="263">
        <f t="shared" si="77"/>
        <v>17233.88295</v>
      </c>
      <c r="K293" s="263">
        <f t="shared" si="77"/>
        <v>16338.87474</v>
      </c>
      <c r="L293" s="263">
        <f t="shared" si="77"/>
        <v>9957.403128</v>
      </c>
      <c r="M293" s="263">
        <f t="shared" si="77"/>
        <v>10733.79487</v>
      </c>
      <c r="N293" s="263">
        <f t="shared" si="77"/>
        <v>3351.344732</v>
      </c>
      <c r="O293" s="263">
        <f t="shared" si="77"/>
        <v>2314.846988</v>
      </c>
      <c r="P293" s="263">
        <f t="shared" si="77"/>
        <v>3427.488392</v>
      </c>
      <c r="Q293" s="263">
        <f t="shared" si="77"/>
        <v>947.607656</v>
      </c>
      <c r="R293" s="263">
        <f t="shared" si="77"/>
        <v>1344.426912</v>
      </c>
      <c r="S293" s="263">
        <f t="shared" si="77"/>
        <v>4505.623308</v>
      </c>
      <c r="T293" s="263">
        <f t="shared" si="77"/>
        <v>4051.754872</v>
      </c>
      <c r="U293" s="263">
        <f t="shared" si="77"/>
        <v>5924.435464</v>
      </c>
      <c r="V293" s="263">
        <f t="shared" si="77"/>
        <v>1709.328552</v>
      </c>
      <c r="W293" s="263">
        <f t="shared" si="77"/>
        <v>6265.596512</v>
      </c>
      <c r="X293" s="263">
        <f t="shared" si="77"/>
        <v>409.886872</v>
      </c>
      <c r="Y293" s="263">
        <f t="shared" si="77"/>
        <v>3228.780168</v>
      </c>
      <c r="Z293" s="263">
        <f t="shared" si="77"/>
        <v>1889.723872</v>
      </c>
      <c r="AA293" s="263">
        <f t="shared" si="77"/>
        <v>3150.37586</v>
      </c>
      <c r="AB293" s="263">
        <f t="shared" si="77"/>
        <v>4435.256708</v>
      </c>
      <c r="AC293" s="263">
        <f t="shared" si="77"/>
        <v>2276.654476</v>
      </c>
      <c r="AD293" s="263">
        <f t="shared" si="77"/>
        <v>1643.96122</v>
      </c>
      <c r="AE293" s="263">
        <f t="shared" si="77"/>
        <v>883.622608</v>
      </c>
      <c r="AF293" s="263">
        <f t="shared" si="77"/>
        <v>2387.789028</v>
      </c>
      <c r="AG293" s="382">
        <f>SUM(B293:AF293)</f>
        <v>208405.0799</v>
      </c>
    </row>
    <row r="294">
      <c r="A294" s="380">
        <f>SUM(B293:AF293)</f>
        <v>208405.0799</v>
      </c>
      <c r="B294" s="260"/>
      <c r="C294" s="260"/>
      <c r="D294" s="260"/>
      <c r="E294" s="260"/>
      <c r="F294" s="260"/>
      <c r="G294" s="260"/>
      <c r="H294" s="260"/>
      <c r="I294" s="260"/>
      <c r="J294" s="260"/>
      <c r="K294" s="260"/>
      <c r="L294" s="260"/>
      <c r="M294" s="260"/>
      <c r="N294" s="260"/>
      <c r="O294" s="260"/>
      <c r="P294" s="260"/>
      <c r="Q294" s="260"/>
      <c r="R294" s="260"/>
      <c r="S294" s="260"/>
      <c r="T294" s="260"/>
      <c r="U294" s="260"/>
      <c r="V294" s="260"/>
      <c r="W294" s="260"/>
      <c r="X294" s="260"/>
      <c r="Y294" s="260"/>
      <c r="Z294" s="260"/>
      <c r="AA294" s="260"/>
      <c r="AB294" s="260"/>
      <c r="AC294" s="260"/>
      <c r="AD294" s="260"/>
      <c r="AE294" s="260"/>
      <c r="AF294" s="260"/>
      <c r="AG294" s="303"/>
    </row>
    <row r="295">
      <c r="A295" s="98"/>
      <c r="B295" s="260"/>
      <c r="C295" s="260"/>
      <c r="D295" s="260"/>
      <c r="E295" s="260"/>
      <c r="F295" s="260"/>
      <c r="G295" s="260"/>
      <c r="H295" s="260"/>
      <c r="I295" s="260"/>
      <c r="J295" s="260"/>
      <c r="K295" s="260"/>
      <c r="L295" s="260"/>
      <c r="M295" s="260"/>
      <c r="N295" s="260"/>
      <c r="O295" s="260"/>
      <c r="P295" s="260"/>
      <c r="Q295" s="260"/>
      <c r="R295" s="260"/>
      <c r="S295" s="260"/>
      <c r="T295" s="260"/>
      <c r="U295" s="260"/>
      <c r="V295" s="260"/>
      <c r="W295" s="260"/>
      <c r="X295" s="260"/>
      <c r="Y295" s="260"/>
      <c r="Z295" s="260"/>
      <c r="AA295" s="260"/>
      <c r="AB295" s="260"/>
      <c r="AC295" s="260"/>
      <c r="AD295" s="260"/>
      <c r="AE295" s="260"/>
      <c r="AF295" s="260"/>
      <c r="AG295" s="303"/>
    </row>
    <row r="296">
      <c r="A296" s="284" t="s">
        <v>473</v>
      </c>
      <c r="B296" s="272">
        <f t="shared" ref="B296:AF296" si="78">B293/(B20+B21)</f>
        <v>0.06933279543</v>
      </c>
      <c r="C296" s="272">
        <f t="shared" si="78"/>
        <v>0.1125642253</v>
      </c>
      <c r="D296" s="272">
        <f t="shared" si="78"/>
        <v>0.1947623779</v>
      </c>
      <c r="E296" s="272">
        <f t="shared" si="78"/>
        <v>0.2832035497</v>
      </c>
      <c r="F296" s="272">
        <f t="shared" si="78"/>
        <v>0.2901223849</v>
      </c>
      <c r="G296" s="272">
        <f t="shared" si="78"/>
        <v>0.2744714853</v>
      </c>
      <c r="H296" s="272">
        <f t="shared" si="78"/>
        <v>0.2578443989</v>
      </c>
      <c r="I296" s="272">
        <f t="shared" si="78"/>
        <v>0.2665790047</v>
      </c>
      <c r="J296" s="272">
        <f t="shared" si="78"/>
        <v>0.2676217967</v>
      </c>
      <c r="K296" s="272">
        <f t="shared" si="78"/>
        <v>0.2888667906</v>
      </c>
      <c r="L296" s="272">
        <f t="shared" si="78"/>
        <v>0.2355366356</v>
      </c>
      <c r="M296" s="272">
        <f t="shared" si="78"/>
        <v>0.2557217433</v>
      </c>
      <c r="N296" s="272">
        <f t="shared" si="78"/>
        <v>0.1404947427</v>
      </c>
      <c r="O296" s="272">
        <f t="shared" si="78"/>
        <v>0.1045098407</v>
      </c>
      <c r="P296" s="272">
        <f t="shared" si="78"/>
        <v>0.1500423049</v>
      </c>
      <c r="Q296" s="272">
        <f t="shared" si="78"/>
        <v>0.05504073167</v>
      </c>
      <c r="R296" s="272">
        <f t="shared" si="78"/>
        <v>0.09800372879</v>
      </c>
      <c r="S296" s="272">
        <f t="shared" si="78"/>
        <v>0.2254376191</v>
      </c>
      <c r="T296" s="272">
        <f t="shared" si="78"/>
        <v>0.2199076718</v>
      </c>
      <c r="U296" s="272">
        <f t="shared" si="78"/>
        <v>0.2509231236</v>
      </c>
      <c r="V296" s="272">
        <f t="shared" si="78"/>
        <v>0.108570157</v>
      </c>
      <c r="W296" s="272">
        <f t="shared" si="78"/>
        <v>0.2413773693</v>
      </c>
      <c r="X296" s="272">
        <f t="shared" si="78"/>
        <v>0.02973737351</v>
      </c>
      <c r="Y296" s="272">
        <f t="shared" si="78"/>
        <v>0.1799252481</v>
      </c>
      <c r="Z296" s="272">
        <f t="shared" si="78"/>
        <v>0.1071933183</v>
      </c>
      <c r="AA296" s="272">
        <f t="shared" si="78"/>
        <v>0.1925003397</v>
      </c>
      <c r="AB296" s="272">
        <f t="shared" si="78"/>
        <v>0.2289282909</v>
      </c>
      <c r="AC296" s="272">
        <f t="shared" si="78"/>
        <v>0.1493573756</v>
      </c>
      <c r="AD296" s="272">
        <f t="shared" si="78"/>
        <v>0.1120737973</v>
      </c>
      <c r="AE296" s="272">
        <f t="shared" si="78"/>
        <v>0.06685439854</v>
      </c>
      <c r="AF296" s="272">
        <f t="shared" si="78"/>
        <v>0.1533811736</v>
      </c>
      <c r="AG296" s="303"/>
    </row>
    <row r="297">
      <c r="A297" s="294">
        <f>A294/A229</f>
        <v>0.2063546309</v>
      </c>
      <c r="B297" s="260"/>
      <c r="C297" s="260"/>
      <c r="D297" s="260"/>
      <c r="E297" s="260"/>
      <c r="F297" s="260"/>
      <c r="G297" s="260"/>
      <c r="H297" s="260"/>
      <c r="I297" s="260"/>
      <c r="J297" s="260"/>
      <c r="K297" s="260"/>
      <c r="L297" s="260"/>
      <c r="M297" s="260"/>
      <c r="N297" s="260"/>
      <c r="O297" s="260"/>
      <c r="P297" s="260"/>
      <c r="Q297" s="260"/>
      <c r="R297" s="260"/>
      <c r="S297" s="260"/>
      <c r="T297" s="260"/>
      <c r="U297" s="260"/>
      <c r="V297" s="260"/>
      <c r="W297" s="260"/>
      <c r="X297" s="260"/>
      <c r="Y297" s="260"/>
      <c r="Z297" s="260"/>
      <c r="AA297" s="260"/>
      <c r="AB297" s="260"/>
      <c r="AC297" s="260"/>
      <c r="AD297" s="260"/>
      <c r="AE297" s="260"/>
      <c r="AF297" s="260"/>
      <c r="AG297" s="303"/>
    </row>
    <row r="298">
      <c r="A298" s="274" t="s">
        <v>418</v>
      </c>
      <c r="B298" s="275">
        <f t="shared" ref="B298:AF298" si="79">B234</f>
        <v>6.565724819</v>
      </c>
      <c r="C298" s="275">
        <f t="shared" si="79"/>
        <v>7.287521624</v>
      </c>
      <c r="D298" s="275">
        <f t="shared" si="79"/>
        <v>9.918289013</v>
      </c>
      <c r="E298" s="275">
        <f t="shared" si="79"/>
        <v>16.2035026</v>
      </c>
      <c r="F298" s="275">
        <f t="shared" si="79"/>
        <v>16.17300891</v>
      </c>
      <c r="G298" s="275">
        <f t="shared" si="79"/>
        <v>20.92777444</v>
      </c>
      <c r="H298" s="275">
        <f t="shared" si="79"/>
        <v>22.92933541</v>
      </c>
      <c r="I298" s="275">
        <f t="shared" si="79"/>
        <v>22.47977508</v>
      </c>
      <c r="J298" s="275">
        <f t="shared" si="79"/>
        <v>34.50376772</v>
      </c>
      <c r="K298" s="275">
        <f t="shared" si="79"/>
        <v>37.76493406</v>
      </c>
      <c r="L298" s="275">
        <f t="shared" si="79"/>
        <v>29.28394289</v>
      </c>
      <c r="M298" s="275">
        <f t="shared" si="79"/>
        <v>27.00241042</v>
      </c>
      <c r="N298" s="275">
        <f t="shared" si="79"/>
        <v>10.78756273</v>
      </c>
      <c r="O298" s="275">
        <f t="shared" si="79"/>
        <v>10.91220463</v>
      </c>
      <c r="P298" s="275">
        <f t="shared" si="79"/>
        <v>11.59180662</v>
      </c>
      <c r="Q298" s="275">
        <f t="shared" si="79"/>
        <v>8.582370527</v>
      </c>
      <c r="R298" s="275">
        <f t="shared" si="79"/>
        <v>7.619329878</v>
      </c>
      <c r="S298" s="275">
        <f t="shared" si="79"/>
        <v>10.08492925</v>
      </c>
      <c r="T298" s="275">
        <f t="shared" si="79"/>
        <v>8.215583231</v>
      </c>
      <c r="U298" s="275">
        <f t="shared" si="79"/>
        <v>12.55065824</v>
      </c>
      <c r="V298" s="275">
        <f t="shared" si="79"/>
        <v>8.146742917</v>
      </c>
      <c r="W298" s="275">
        <f t="shared" si="79"/>
        <v>13.74639106</v>
      </c>
      <c r="X298" s="275">
        <f t="shared" si="79"/>
        <v>7.149914582</v>
      </c>
      <c r="Y298" s="275">
        <f t="shared" si="79"/>
        <v>7.351170031</v>
      </c>
      <c r="Z298" s="275">
        <f t="shared" si="79"/>
        <v>5.997386605</v>
      </c>
      <c r="AA298" s="275">
        <f t="shared" si="79"/>
        <v>7.520496153</v>
      </c>
      <c r="AB298" s="275">
        <f t="shared" si="79"/>
        <v>8.33453678</v>
      </c>
      <c r="AC298" s="275">
        <f t="shared" si="79"/>
        <v>8.390094921</v>
      </c>
      <c r="AD298" s="275">
        <f t="shared" si="79"/>
        <v>6.513426298</v>
      </c>
      <c r="AE298" s="275">
        <f t="shared" si="79"/>
        <v>6.857675963</v>
      </c>
      <c r="AF298" s="275">
        <f t="shared" si="79"/>
        <v>7.673413203</v>
      </c>
      <c r="AG298" s="373"/>
    </row>
    <row r="299">
      <c r="A299" s="166"/>
      <c r="AG299" s="383"/>
    </row>
    <row r="300">
      <c r="A300" s="166"/>
      <c r="AG300" s="383"/>
    </row>
    <row r="301">
      <c r="A301" s="86" t="s">
        <v>474</v>
      </c>
      <c r="B301" s="203">
        <f t="shared" ref="B301:AF301" si="80">B230/B6</f>
        <v>18.84446629</v>
      </c>
      <c r="C301" s="203">
        <f t="shared" si="80"/>
        <v>17.87847664</v>
      </c>
      <c r="D301" s="203">
        <f t="shared" si="80"/>
        <v>35.9539012</v>
      </c>
      <c r="E301" s="203">
        <f t="shared" si="80"/>
        <v>58.7779881</v>
      </c>
      <c r="F301" s="203">
        <f t="shared" si="80"/>
        <v>53.15771154</v>
      </c>
      <c r="G301" s="203">
        <f t="shared" si="80"/>
        <v>55.86927654</v>
      </c>
      <c r="H301" s="203">
        <f t="shared" si="80"/>
        <v>55.95953828</v>
      </c>
      <c r="I301" s="203">
        <f t="shared" si="80"/>
        <v>57.89018462</v>
      </c>
      <c r="J301" s="203">
        <f t="shared" si="80"/>
        <v>68.68204181</v>
      </c>
      <c r="K301" s="203">
        <f t="shared" si="80"/>
        <v>67.76500973</v>
      </c>
      <c r="L301" s="203">
        <f t="shared" si="80"/>
        <v>50.21114881</v>
      </c>
      <c r="M301" s="203">
        <f t="shared" si="80"/>
        <v>44.0544854</v>
      </c>
      <c r="N301" s="203">
        <f t="shared" si="80"/>
        <v>43.53594565</v>
      </c>
      <c r="O301" s="203">
        <f t="shared" si="80"/>
        <v>40.88968881</v>
      </c>
      <c r="P301" s="203">
        <f t="shared" si="80"/>
        <v>50.4197541</v>
      </c>
      <c r="Q301" s="203">
        <f t="shared" si="80"/>
        <v>51.7800875</v>
      </c>
      <c r="R301" s="203">
        <f t="shared" si="80"/>
        <v>28.26500943</v>
      </c>
      <c r="S301" s="203">
        <f t="shared" si="80"/>
        <v>42.63312295</v>
      </c>
      <c r="T301" s="203">
        <f t="shared" si="80"/>
        <v>31.14830576</v>
      </c>
      <c r="U301" s="203">
        <f t="shared" si="80"/>
        <v>61.40065455</v>
      </c>
      <c r="V301" s="203">
        <f t="shared" si="80"/>
        <v>33.61344545</v>
      </c>
      <c r="W301" s="203">
        <f t="shared" si="80"/>
        <v>70.32588182</v>
      </c>
      <c r="X301" s="203">
        <f t="shared" si="80"/>
        <v>32.27690426</v>
      </c>
      <c r="Y301" s="203">
        <f t="shared" si="80"/>
        <v>41.84009375</v>
      </c>
      <c r="Z301" s="203">
        <f t="shared" si="80"/>
        <v>32.7938381</v>
      </c>
      <c r="AA301" s="203">
        <f t="shared" si="80"/>
        <v>36.25672059</v>
      </c>
      <c r="AB301" s="203">
        <f t="shared" si="80"/>
        <v>35.92228906</v>
      </c>
      <c r="AC301" s="203">
        <f t="shared" si="80"/>
        <v>46.08309259</v>
      </c>
      <c r="AD301" s="203">
        <f t="shared" si="80"/>
        <v>38.32765854</v>
      </c>
      <c r="AE301" s="203">
        <f t="shared" si="80"/>
        <v>37.74216447</v>
      </c>
      <c r="AF301" s="203">
        <f t="shared" si="80"/>
        <v>39.67552778</v>
      </c>
      <c r="AG301" s="383"/>
    </row>
    <row r="302">
      <c r="A302" s="86" t="s">
        <v>475</v>
      </c>
      <c r="B302" s="203">
        <f t="shared" ref="B302:AF302" si="81">B293/B6</f>
        <v>8.455921213</v>
      </c>
      <c r="C302" s="203">
        <f t="shared" si="81"/>
        <v>12.43735802</v>
      </c>
      <c r="D302" s="203">
        <f t="shared" si="81"/>
        <v>31.20877008</v>
      </c>
      <c r="E302" s="203">
        <f t="shared" si="81"/>
        <v>55.84355938</v>
      </c>
      <c r="F302" s="203">
        <f t="shared" si="81"/>
        <v>50.13653287</v>
      </c>
      <c r="G302" s="203">
        <f t="shared" si="81"/>
        <v>52.55279099</v>
      </c>
      <c r="H302" s="203">
        <f t="shared" si="81"/>
        <v>49.7948733</v>
      </c>
      <c r="I302" s="203">
        <f t="shared" si="81"/>
        <v>53.54889353</v>
      </c>
      <c r="J302" s="203">
        <f t="shared" si="81"/>
        <v>60.04837264</v>
      </c>
      <c r="K302" s="203">
        <f t="shared" si="81"/>
        <v>63.57538811</v>
      </c>
      <c r="L302" s="203">
        <f t="shared" si="81"/>
        <v>39.51350448</v>
      </c>
      <c r="M302" s="203">
        <f t="shared" si="81"/>
        <v>39.17443384</v>
      </c>
      <c r="N302" s="203">
        <f t="shared" si="81"/>
        <v>24.28510675</v>
      </c>
      <c r="O302" s="203">
        <f t="shared" si="81"/>
        <v>16.18774117</v>
      </c>
      <c r="P302" s="203">
        <f t="shared" si="81"/>
        <v>28.09416715</v>
      </c>
      <c r="Q302" s="203">
        <f t="shared" si="81"/>
        <v>11.8450957</v>
      </c>
      <c r="R302" s="203">
        <f t="shared" si="81"/>
        <v>12.68327275</v>
      </c>
      <c r="S302" s="203">
        <f t="shared" si="81"/>
        <v>36.93133859</v>
      </c>
      <c r="T302" s="203">
        <f t="shared" si="81"/>
        <v>29.14931563</v>
      </c>
      <c r="U302" s="203">
        <f t="shared" si="81"/>
        <v>53.85850422</v>
      </c>
      <c r="V302" s="203">
        <f t="shared" si="81"/>
        <v>15.53935047</v>
      </c>
      <c r="W302" s="203">
        <f t="shared" si="81"/>
        <v>56.95996829</v>
      </c>
      <c r="X302" s="203">
        <f t="shared" si="81"/>
        <v>4.360498638</v>
      </c>
      <c r="Y302" s="203">
        <f t="shared" si="81"/>
        <v>33.63312675</v>
      </c>
      <c r="Z302" s="203">
        <f t="shared" si="81"/>
        <v>17.99737021</v>
      </c>
      <c r="AA302" s="203">
        <f t="shared" si="81"/>
        <v>30.88603784</v>
      </c>
      <c r="AB302" s="203">
        <f t="shared" si="81"/>
        <v>34.65044303</v>
      </c>
      <c r="AC302" s="203">
        <f t="shared" si="81"/>
        <v>28.10684538</v>
      </c>
      <c r="AD302" s="203">
        <f t="shared" si="81"/>
        <v>20.04830756</v>
      </c>
      <c r="AE302" s="203">
        <f t="shared" si="81"/>
        <v>11.62661326</v>
      </c>
      <c r="AF302" s="203">
        <f t="shared" si="81"/>
        <v>26.5309892</v>
      </c>
      <c r="AG302" s="383"/>
    </row>
    <row r="303">
      <c r="A303" s="166"/>
      <c r="AG303" s="383"/>
    </row>
    <row r="304">
      <c r="A304" s="86" t="s">
        <v>476</v>
      </c>
      <c r="B304" s="203">
        <f t="shared" ref="B304:AF304" si="82">B230/B32</f>
        <v>43.00403846</v>
      </c>
      <c r="C304" s="203">
        <f t="shared" si="82"/>
        <v>44.48830233</v>
      </c>
      <c r="D304" s="203">
        <f t="shared" si="82"/>
        <v>60.043015</v>
      </c>
      <c r="E304" s="203">
        <f t="shared" si="82"/>
        <v>87.64528402</v>
      </c>
      <c r="F304" s="203">
        <f t="shared" si="82"/>
        <v>96.42561628</v>
      </c>
      <c r="G304" s="203">
        <f t="shared" si="82"/>
        <v>83.49467528</v>
      </c>
      <c r="H304" s="203">
        <f t="shared" si="82"/>
        <v>81.5020453</v>
      </c>
      <c r="I304" s="203">
        <f t="shared" si="82"/>
        <v>81.5060361</v>
      </c>
      <c r="J304" s="203">
        <f t="shared" si="82"/>
        <v>86.07749345</v>
      </c>
      <c r="K304" s="203">
        <f t="shared" si="82"/>
        <v>87.0780375</v>
      </c>
      <c r="L304" s="203">
        <f t="shared" si="82"/>
        <v>86.0762551</v>
      </c>
      <c r="M304" s="203">
        <f t="shared" si="82"/>
        <v>86.22092143</v>
      </c>
      <c r="N304" s="203">
        <f t="shared" si="82"/>
        <v>80.10614</v>
      </c>
      <c r="O304" s="203">
        <f t="shared" si="82"/>
        <v>84.74239855</v>
      </c>
      <c r="P304" s="203">
        <f t="shared" si="82"/>
        <v>83.12445946</v>
      </c>
      <c r="Q304" s="203">
        <f t="shared" si="82"/>
        <v>72.67380702</v>
      </c>
      <c r="R304" s="203">
        <f t="shared" si="82"/>
        <v>71.3355</v>
      </c>
      <c r="S304" s="203">
        <f t="shared" si="82"/>
        <v>83.89098387</v>
      </c>
      <c r="T304" s="203">
        <f t="shared" si="82"/>
        <v>77.31454464</v>
      </c>
      <c r="U304" s="203">
        <f t="shared" si="82"/>
        <v>91.27124324</v>
      </c>
      <c r="V304" s="203">
        <f t="shared" si="82"/>
        <v>77.0308125</v>
      </c>
      <c r="W304" s="203">
        <f t="shared" si="82"/>
        <v>95.50428395</v>
      </c>
      <c r="X304" s="203">
        <f t="shared" si="82"/>
        <v>70.55881395</v>
      </c>
      <c r="Y304" s="203">
        <f t="shared" si="82"/>
        <v>71.725875</v>
      </c>
      <c r="Z304" s="203">
        <f t="shared" si="82"/>
        <v>61.48844643</v>
      </c>
      <c r="AA304" s="203">
        <f t="shared" si="82"/>
        <v>72.51344118</v>
      </c>
      <c r="AB304" s="203">
        <f t="shared" si="82"/>
        <v>79.27677586</v>
      </c>
      <c r="AC304" s="203">
        <f t="shared" si="82"/>
        <v>77.76521875</v>
      </c>
      <c r="AD304" s="203">
        <f t="shared" si="82"/>
        <v>68.32321739</v>
      </c>
      <c r="AE304" s="203">
        <f t="shared" si="82"/>
        <v>69.96108537</v>
      </c>
      <c r="AF304" s="203">
        <f t="shared" si="82"/>
        <v>75.97441489</v>
      </c>
      <c r="AG304" s="383"/>
    </row>
    <row r="305">
      <c r="A305" s="86" t="s">
        <v>477</v>
      </c>
      <c r="B305" s="203">
        <f t="shared" ref="B305:AF305" si="83">B293/B32</f>
        <v>19.29684585</v>
      </c>
      <c r="C305" s="203">
        <f t="shared" si="83"/>
        <v>30.9487746</v>
      </c>
      <c r="D305" s="203">
        <f t="shared" si="83"/>
        <v>52.11864604</v>
      </c>
      <c r="E305" s="203">
        <f t="shared" si="83"/>
        <v>83.26968618</v>
      </c>
      <c r="F305" s="203">
        <f t="shared" si="83"/>
        <v>90.9453387</v>
      </c>
      <c r="G305" s="203">
        <f t="shared" si="83"/>
        <v>78.53830388</v>
      </c>
      <c r="H305" s="203">
        <f t="shared" si="83"/>
        <v>72.52354369</v>
      </c>
      <c r="I305" s="203">
        <f t="shared" si="83"/>
        <v>75.39374901</v>
      </c>
      <c r="J305" s="203">
        <f t="shared" si="83"/>
        <v>75.25713078</v>
      </c>
      <c r="K305" s="203">
        <f t="shared" si="83"/>
        <v>81.69437372</v>
      </c>
      <c r="L305" s="203">
        <f t="shared" si="83"/>
        <v>67.73743624</v>
      </c>
      <c r="M305" s="203">
        <f t="shared" si="83"/>
        <v>76.66996337</v>
      </c>
      <c r="N305" s="203">
        <f t="shared" si="83"/>
        <v>44.68459643</v>
      </c>
      <c r="O305" s="203">
        <f t="shared" si="83"/>
        <v>33.54850707</v>
      </c>
      <c r="P305" s="203">
        <f t="shared" si="83"/>
        <v>46.3174107</v>
      </c>
      <c r="Q305" s="203">
        <f t="shared" si="83"/>
        <v>16.62469572</v>
      </c>
      <c r="R305" s="203">
        <f t="shared" si="83"/>
        <v>32.01016457</v>
      </c>
      <c r="S305" s="203">
        <f t="shared" si="83"/>
        <v>72.67134368</v>
      </c>
      <c r="T305" s="203">
        <f t="shared" si="83"/>
        <v>72.35276557</v>
      </c>
      <c r="U305" s="203">
        <f t="shared" si="83"/>
        <v>80.0599387</v>
      </c>
      <c r="V305" s="203">
        <f t="shared" si="83"/>
        <v>35.6110115</v>
      </c>
      <c r="W305" s="203">
        <f t="shared" si="83"/>
        <v>77.35304336</v>
      </c>
      <c r="X305" s="203">
        <f t="shared" si="83"/>
        <v>9.532252837</v>
      </c>
      <c r="Y305" s="203">
        <f t="shared" si="83"/>
        <v>57.65678871</v>
      </c>
      <c r="Z305" s="203">
        <f t="shared" si="83"/>
        <v>33.74506914</v>
      </c>
      <c r="AA305" s="203">
        <f t="shared" si="83"/>
        <v>61.77207569</v>
      </c>
      <c r="AB305" s="203">
        <f t="shared" si="83"/>
        <v>76.46994324</v>
      </c>
      <c r="AC305" s="203">
        <f t="shared" si="83"/>
        <v>47.43030158</v>
      </c>
      <c r="AD305" s="203">
        <f t="shared" si="83"/>
        <v>35.73828739</v>
      </c>
      <c r="AE305" s="203">
        <f t="shared" si="83"/>
        <v>21.55177093</v>
      </c>
      <c r="AF305" s="203">
        <f t="shared" si="83"/>
        <v>50.80402187</v>
      </c>
      <c r="AG305" s="383"/>
    </row>
    <row r="306">
      <c r="A306" s="166"/>
      <c r="AG306" s="383"/>
    </row>
    <row r="307">
      <c r="A307" s="166"/>
      <c r="AG307" s="383"/>
    </row>
    <row r="308">
      <c r="A308" s="98"/>
      <c r="B308" s="260"/>
      <c r="C308" s="260"/>
      <c r="D308" s="260"/>
      <c r="E308" s="260"/>
      <c r="F308" s="260"/>
      <c r="G308" s="260"/>
      <c r="H308" s="260"/>
      <c r="I308" s="260"/>
      <c r="J308" s="260"/>
      <c r="K308" s="260"/>
      <c r="L308" s="260"/>
      <c r="M308" s="260"/>
      <c r="N308" s="260"/>
      <c r="O308" s="260"/>
      <c r="P308" s="260"/>
      <c r="Q308" s="260"/>
      <c r="R308" s="260"/>
      <c r="S308" s="260"/>
      <c r="T308" s="260"/>
      <c r="U308" s="260"/>
      <c r="V308" s="260"/>
      <c r="W308" s="260"/>
      <c r="X308" s="260"/>
      <c r="Y308" s="260"/>
      <c r="Z308" s="260"/>
      <c r="AA308" s="260"/>
      <c r="AB308" s="260"/>
      <c r="AC308" s="260"/>
      <c r="AD308" s="260"/>
      <c r="AE308" s="260"/>
      <c r="AF308" s="260"/>
      <c r="AG308" s="303"/>
    </row>
    <row r="309">
      <c r="A309" s="166"/>
      <c r="AG309" s="383"/>
    </row>
    <row r="310">
      <c r="A310" s="166"/>
      <c r="AG310" s="383"/>
    </row>
    <row r="311">
      <c r="A311" s="166"/>
      <c r="AG311" s="383"/>
    </row>
    <row r="312">
      <c r="A312" s="166"/>
      <c r="AG312" s="383"/>
    </row>
    <row r="313">
      <c r="A313" s="166"/>
      <c r="AG313" s="383"/>
    </row>
    <row r="314">
      <c r="A314" s="166"/>
      <c r="AG314" s="383"/>
    </row>
    <row r="315">
      <c r="A315" s="166"/>
      <c r="AG315" s="383"/>
    </row>
    <row r="316">
      <c r="A316" s="166"/>
      <c r="AG316" s="383"/>
    </row>
    <row r="317">
      <c r="A317" s="166"/>
      <c r="AG317" s="383"/>
    </row>
    <row r="318">
      <c r="A318" s="166"/>
      <c r="AG318" s="383"/>
    </row>
    <row r="319">
      <c r="A319" s="166"/>
      <c r="AG319" s="383"/>
    </row>
    <row r="320">
      <c r="A320" s="166"/>
      <c r="AG320" s="383"/>
    </row>
    <row r="321">
      <c r="A321" s="166"/>
      <c r="AG321" s="383"/>
    </row>
    <row r="322">
      <c r="A322" s="166"/>
      <c r="AG322" s="383"/>
    </row>
    <row r="323">
      <c r="A323" s="166"/>
      <c r="AG323" s="383"/>
    </row>
    <row r="324">
      <c r="A324" s="166"/>
      <c r="AG324" s="383"/>
    </row>
    <row r="325">
      <c r="A325" s="166"/>
      <c r="AG325" s="383"/>
    </row>
    <row r="326">
      <c r="A326" s="166"/>
      <c r="AG326" s="383"/>
    </row>
    <row r="327">
      <c r="A327" s="166"/>
      <c r="AG327" s="383"/>
    </row>
    <row r="328">
      <c r="A328" s="166"/>
      <c r="AG328" s="383"/>
    </row>
    <row r="329">
      <c r="A329" s="166"/>
      <c r="AG329" s="383"/>
    </row>
    <row r="330">
      <c r="A330" s="166"/>
      <c r="AG330" s="383"/>
    </row>
    <row r="331">
      <c r="A331" s="166"/>
      <c r="AG331" s="383"/>
    </row>
    <row r="332">
      <c r="A332" s="166"/>
      <c r="AG332" s="383"/>
    </row>
    <row r="333">
      <c r="A333" s="166"/>
      <c r="AG333" s="383"/>
    </row>
    <row r="334">
      <c r="A334" s="166"/>
      <c r="AG334" s="383"/>
    </row>
    <row r="335">
      <c r="A335" s="166"/>
      <c r="AG335" s="383"/>
    </row>
    <row r="336">
      <c r="A336" s="166"/>
      <c r="AG336" s="383"/>
    </row>
    <row r="337">
      <c r="A337" s="166"/>
      <c r="AG337" s="383"/>
    </row>
    <row r="338">
      <c r="A338" s="166"/>
      <c r="AG338" s="383"/>
    </row>
    <row r="339">
      <c r="A339" s="166"/>
      <c r="AG339" s="383"/>
    </row>
    <row r="340">
      <c r="A340" s="166"/>
      <c r="AG340" s="383"/>
    </row>
    <row r="341">
      <c r="A341" s="166"/>
      <c r="AG341" s="383"/>
    </row>
    <row r="342">
      <c r="A342" s="166"/>
      <c r="AG342" s="383"/>
    </row>
    <row r="343">
      <c r="A343" s="166"/>
      <c r="AG343" s="383"/>
    </row>
    <row r="344">
      <c r="A344" s="166"/>
      <c r="AG344" s="383"/>
    </row>
    <row r="345">
      <c r="A345" s="166"/>
      <c r="AG345" s="383"/>
    </row>
    <row r="346">
      <c r="A346" s="166"/>
      <c r="AG346" s="383"/>
    </row>
    <row r="347">
      <c r="A347" s="166"/>
      <c r="AG347" s="383"/>
    </row>
    <row r="348">
      <c r="A348" s="166"/>
      <c r="AG348" s="383"/>
    </row>
    <row r="349">
      <c r="A349" s="166"/>
      <c r="AG349" s="383"/>
    </row>
    <row r="350">
      <c r="A350" s="166"/>
      <c r="AG350" s="383"/>
    </row>
    <row r="351">
      <c r="A351" s="166"/>
      <c r="AG351" s="383"/>
    </row>
    <row r="352">
      <c r="A352" s="166"/>
      <c r="AG352" s="383"/>
    </row>
    <row r="353">
      <c r="A353" s="166"/>
      <c r="AG353" s="383"/>
    </row>
    <row r="354">
      <c r="A354" s="166"/>
      <c r="AG354" s="383"/>
    </row>
    <row r="355">
      <c r="A355" s="166"/>
      <c r="AG355" s="383"/>
    </row>
    <row r="356">
      <c r="A356" s="166"/>
      <c r="AG356" s="383"/>
    </row>
    <row r="357">
      <c r="A357" s="166"/>
      <c r="AG357" s="383"/>
    </row>
    <row r="358">
      <c r="A358" s="166"/>
      <c r="AG358" s="383"/>
    </row>
    <row r="359">
      <c r="A359" s="166"/>
      <c r="AG359" s="383"/>
    </row>
    <row r="360">
      <c r="A360" s="166"/>
      <c r="AG360" s="383"/>
    </row>
    <row r="361">
      <c r="A361" s="166"/>
      <c r="AG361" s="383"/>
    </row>
    <row r="362">
      <c r="A362" s="166"/>
      <c r="AG362" s="383"/>
    </row>
    <row r="363">
      <c r="A363" s="166"/>
      <c r="AG363" s="383"/>
    </row>
    <row r="364">
      <c r="A364" s="166"/>
      <c r="AG364" s="383"/>
    </row>
    <row r="365">
      <c r="A365" s="166"/>
      <c r="AG365" s="383"/>
    </row>
    <row r="366">
      <c r="A366" s="166"/>
      <c r="AG366" s="383"/>
    </row>
    <row r="367">
      <c r="A367" s="166"/>
      <c r="AG367" s="383"/>
    </row>
    <row r="368">
      <c r="A368" s="86"/>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263"/>
      <c r="Z368" s="263"/>
      <c r="AA368" s="263"/>
      <c r="AB368" s="263"/>
      <c r="AC368" s="263"/>
      <c r="AD368" s="263"/>
      <c r="AE368" s="263"/>
      <c r="AF368" s="263"/>
      <c r="AG368" s="303"/>
    </row>
    <row r="369">
      <c r="A369" s="166"/>
      <c r="AG369" s="383"/>
    </row>
    <row r="370">
      <c r="A370" s="166"/>
      <c r="AG370" s="383"/>
    </row>
    <row r="371">
      <c r="A371" s="166"/>
      <c r="AG371" s="383"/>
    </row>
    <row r="372">
      <c r="A372" s="166"/>
      <c r="AG372" s="383"/>
    </row>
    <row r="373">
      <c r="A373" s="166"/>
      <c r="AG373" s="383"/>
    </row>
    <row r="374">
      <c r="A374" s="166"/>
      <c r="AG374" s="383"/>
    </row>
    <row r="375">
      <c r="A375" s="166"/>
      <c r="AG375" s="383"/>
    </row>
    <row r="376">
      <c r="A376" s="166"/>
      <c r="AG376" s="383"/>
    </row>
    <row r="377">
      <c r="A377" s="166"/>
      <c r="AG377" s="383"/>
    </row>
    <row r="378">
      <c r="A378" s="166"/>
      <c r="AG378" s="383"/>
    </row>
    <row r="379">
      <c r="A379" s="166"/>
      <c r="AG379" s="383"/>
    </row>
    <row r="380">
      <c r="A380" s="166"/>
      <c r="AG380" s="383"/>
    </row>
    <row r="381">
      <c r="A381" s="166"/>
      <c r="AG381" s="383"/>
    </row>
    <row r="382">
      <c r="A382" s="166"/>
      <c r="AG382" s="383"/>
    </row>
    <row r="383">
      <c r="A383" s="166"/>
      <c r="AG383" s="383"/>
    </row>
    <row r="384">
      <c r="A384" s="166"/>
      <c r="AG384" s="383"/>
    </row>
    <row r="385">
      <c r="A385" s="166"/>
      <c r="AG385" s="383"/>
    </row>
    <row r="386">
      <c r="A386" s="166"/>
      <c r="AG386" s="383"/>
    </row>
    <row r="387">
      <c r="A387" s="166"/>
      <c r="AG387" s="383"/>
    </row>
    <row r="388">
      <c r="A388" s="166"/>
      <c r="AG388" s="383"/>
    </row>
    <row r="389">
      <c r="A389" s="166"/>
      <c r="AG389" s="383"/>
    </row>
    <row r="390">
      <c r="A390" s="166"/>
      <c r="AG390" s="383"/>
    </row>
    <row r="391">
      <c r="A391" s="166"/>
      <c r="AG391" s="383"/>
    </row>
    <row r="392">
      <c r="A392" s="166"/>
      <c r="AG392" s="383"/>
    </row>
    <row r="393">
      <c r="A393" s="166"/>
      <c r="AG393" s="383"/>
    </row>
    <row r="394">
      <c r="A394" s="166"/>
      <c r="AG394" s="383"/>
    </row>
    <row r="395">
      <c r="A395" s="166"/>
      <c r="AG395" s="383"/>
    </row>
    <row r="396">
      <c r="A396" s="166"/>
      <c r="AG396" s="383"/>
    </row>
    <row r="397">
      <c r="A397" s="166"/>
      <c r="AG397" s="383"/>
    </row>
    <row r="398">
      <c r="A398" s="166"/>
      <c r="AG398" s="383"/>
    </row>
    <row r="399">
      <c r="A399" s="166"/>
      <c r="AG399" s="383"/>
    </row>
    <row r="400">
      <c r="A400" s="166"/>
      <c r="AG400" s="383"/>
    </row>
    <row r="401">
      <c r="A401" s="166"/>
      <c r="AG401" s="383"/>
    </row>
    <row r="402">
      <c r="A402" s="166"/>
      <c r="AG402" s="383"/>
    </row>
    <row r="403">
      <c r="A403" s="166"/>
      <c r="AG403" s="383"/>
    </row>
    <row r="404">
      <c r="A404" s="166"/>
      <c r="AG404" s="383"/>
    </row>
    <row r="405">
      <c r="A405" s="166"/>
      <c r="AG405" s="383"/>
    </row>
    <row r="406">
      <c r="A406" s="166"/>
      <c r="AG406" s="383"/>
    </row>
    <row r="407">
      <c r="A407" s="166"/>
      <c r="AG407" s="383"/>
    </row>
    <row r="408">
      <c r="A408" s="166"/>
      <c r="AG408" s="383"/>
    </row>
    <row r="409">
      <c r="A409" s="166"/>
      <c r="AG409" s="383"/>
    </row>
    <row r="410">
      <c r="A410" s="166"/>
      <c r="AG410" s="383"/>
    </row>
    <row r="411">
      <c r="A411" s="166"/>
      <c r="AG411" s="383"/>
    </row>
    <row r="412">
      <c r="A412" s="166"/>
      <c r="AG412" s="383"/>
    </row>
    <row r="413">
      <c r="A413" s="166"/>
      <c r="AG413" s="383"/>
    </row>
    <row r="414">
      <c r="A414" s="166"/>
      <c r="AG414" s="383"/>
    </row>
    <row r="415">
      <c r="A415" s="166"/>
      <c r="AG415" s="383"/>
    </row>
    <row r="416">
      <c r="A416" s="166"/>
      <c r="AG416" s="383"/>
    </row>
    <row r="417">
      <c r="A417" s="166"/>
      <c r="AG417" s="383"/>
    </row>
    <row r="418">
      <c r="A418" s="166"/>
      <c r="AG418" s="383"/>
    </row>
    <row r="419">
      <c r="A419" s="166"/>
      <c r="AG419" s="383"/>
    </row>
    <row r="420">
      <c r="A420" s="166"/>
      <c r="AG420" s="383"/>
    </row>
    <row r="421">
      <c r="A421" s="166"/>
      <c r="AG421" s="383"/>
    </row>
    <row r="422">
      <c r="A422" s="166"/>
      <c r="AG422" s="383"/>
    </row>
    <row r="423">
      <c r="A423" s="166"/>
      <c r="AG423" s="383"/>
    </row>
    <row r="424">
      <c r="A424" s="166"/>
      <c r="AG424" s="383"/>
    </row>
    <row r="425">
      <c r="A425" s="166"/>
      <c r="AG425" s="383"/>
    </row>
    <row r="426">
      <c r="A426" s="166"/>
      <c r="AG426" s="383"/>
    </row>
    <row r="427">
      <c r="A427" s="166"/>
      <c r="AG427" s="383"/>
    </row>
    <row r="428">
      <c r="A428" s="166"/>
      <c r="AG428" s="383"/>
    </row>
    <row r="429">
      <c r="A429" s="166"/>
      <c r="AG429" s="383"/>
    </row>
    <row r="430">
      <c r="A430" s="166"/>
      <c r="AG430" s="383"/>
    </row>
    <row r="431">
      <c r="A431" s="166"/>
      <c r="AG431" s="383"/>
    </row>
    <row r="432">
      <c r="A432" s="166"/>
      <c r="AG432" s="383"/>
    </row>
    <row r="433">
      <c r="A433" s="166"/>
      <c r="AG433" s="383"/>
    </row>
    <row r="434">
      <c r="A434" s="166"/>
      <c r="AG434" s="383"/>
    </row>
    <row r="435">
      <c r="A435" s="166"/>
      <c r="AG435" s="383"/>
    </row>
    <row r="436">
      <c r="A436" s="166"/>
      <c r="AG436" s="383"/>
    </row>
    <row r="437">
      <c r="A437" s="166"/>
      <c r="AG437" s="383"/>
    </row>
    <row r="438">
      <c r="A438" s="166"/>
      <c r="AG438" s="383"/>
    </row>
    <row r="439">
      <c r="A439" s="166"/>
      <c r="AG439" s="383"/>
    </row>
    <row r="440">
      <c r="A440" s="166"/>
      <c r="AG440" s="383"/>
    </row>
    <row r="441">
      <c r="A441" s="166"/>
      <c r="AG441" s="383"/>
    </row>
    <row r="442">
      <c r="A442" s="166"/>
      <c r="AG442" s="383"/>
    </row>
    <row r="443">
      <c r="A443" s="166"/>
      <c r="AG443" s="383"/>
    </row>
    <row r="444">
      <c r="A444" s="166"/>
      <c r="AG444" s="383"/>
    </row>
    <row r="445">
      <c r="A445" s="166"/>
      <c r="AG445" s="383"/>
    </row>
    <row r="446">
      <c r="A446" s="166"/>
      <c r="AG446" s="383"/>
    </row>
    <row r="447">
      <c r="A447" s="166"/>
      <c r="AG447" s="383"/>
    </row>
    <row r="448">
      <c r="A448" s="166"/>
      <c r="AG448" s="383"/>
    </row>
    <row r="449">
      <c r="A449" s="166"/>
      <c r="AG449" s="383"/>
    </row>
    <row r="450">
      <c r="A450" s="166"/>
      <c r="AG450" s="383"/>
    </row>
    <row r="451">
      <c r="A451" s="166"/>
      <c r="AG451" s="383"/>
    </row>
    <row r="452">
      <c r="A452" s="166"/>
      <c r="AG452" s="383"/>
    </row>
    <row r="453">
      <c r="A453" s="166"/>
      <c r="AG453" s="383"/>
    </row>
    <row r="454">
      <c r="A454" s="166"/>
      <c r="AG454" s="383"/>
    </row>
    <row r="455">
      <c r="A455" s="166"/>
      <c r="AG455" s="383"/>
    </row>
    <row r="456">
      <c r="A456" s="166"/>
      <c r="AG456" s="383"/>
    </row>
    <row r="457">
      <c r="A457" s="166"/>
      <c r="AG457" s="383"/>
    </row>
    <row r="458">
      <c r="A458" s="166"/>
      <c r="AG458" s="383"/>
    </row>
    <row r="459">
      <c r="A459" s="166"/>
      <c r="AG459" s="383"/>
    </row>
    <row r="460">
      <c r="A460" s="166"/>
      <c r="AG460" s="383"/>
    </row>
    <row r="461">
      <c r="A461" s="166"/>
      <c r="AG461" s="383"/>
    </row>
    <row r="462">
      <c r="A462" s="166"/>
      <c r="AG462" s="383"/>
    </row>
    <row r="463">
      <c r="A463" s="166"/>
      <c r="AG463" s="383"/>
    </row>
    <row r="464">
      <c r="A464" s="166"/>
      <c r="AG464" s="383"/>
    </row>
    <row r="465">
      <c r="A465" s="166"/>
      <c r="AG465" s="383"/>
    </row>
    <row r="466">
      <c r="A466" s="166"/>
      <c r="AG466" s="383"/>
    </row>
    <row r="467">
      <c r="A467" s="166"/>
      <c r="AG467" s="383"/>
    </row>
    <row r="468">
      <c r="A468" s="166"/>
      <c r="AG468" s="383"/>
    </row>
    <row r="469">
      <c r="A469" s="166"/>
      <c r="AG469" s="383"/>
    </row>
    <row r="470">
      <c r="A470" s="166"/>
      <c r="AG470" s="383"/>
    </row>
    <row r="471">
      <c r="A471" s="166"/>
      <c r="AG471" s="383"/>
    </row>
    <row r="472">
      <c r="A472" s="166"/>
      <c r="AG472" s="383"/>
    </row>
    <row r="473">
      <c r="A473" s="166"/>
      <c r="AG473" s="383"/>
    </row>
    <row r="474">
      <c r="A474" s="166"/>
      <c r="AG474" s="383"/>
    </row>
    <row r="475">
      <c r="A475" s="166"/>
      <c r="AG475" s="383"/>
    </row>
    <row r="476">
      <c r="A476" s="166"/>
      <c r="AG476" s="383"/>
    </row>
    <row r="477">
      <c r="A477" s="166"/>
      <c r="AG477" s="383"/>
    </row>
    <row r="478">
      <c r="A478" s="166"/>
      <c r="AG478" s="383"/>
    </row>
    <row r="479">
      <c r="A479" s="166"/>
      <c r="AG479" s="383"/>
    </row>
    <row r="480">
      <c r="A480" s="166"/>
      <c r="AG480" s="383"/>
    </row>
    <row r="481">
      <c r="A481" s="166"/>
      <c r="AG481" s="383"/>
    </row>
    <row r="482">
      <c r="A482" s="166"/>
      <c r="AG482" s="383"/>
    </row>
    <row r="483">
      <c r="A483" s="166"/>
      <c r="AG483" s="383"/>
    </row>
    <row r="484">
      <c r="A484" s="166"/>
      <c r="AG484" s="383"/>
    </row>
    <row r="485">
      <c r="A485" s="166"/>
      <c r="AG485" s="383"/>
    </row>
    <row r="486">
      <c r="A486" s="166"/>
      <c r="AG486" s="383"/>
    </row>
    <row r="487">
      <c r="A487" s="166"/>
      <c r="AG487" s="383"/>
    </row>
    <row r="488">
      <c r="A488" s="166"/>
      <c r="AG488" s="383"/>
    </row>
    <row r="489">
      <c r="A489" s="166"/>
      <c r="AG489" s="383"/>
    </row>
    <row r="490">
      <c r="A490" s="166"/>
      <c r="AG490" s="383"/>
    </row>
    <row r="491">
      <c r="A491" s="166"/>
      <c r="AG491" s="383"/>
    </row>
    <row r="492">
      <c r="A492" s="166"/>
      <c r="AG492" s="383"/>
    </row>
    <row r="493">
      <c r="A493" s="166"/>
      <c r="AG493" s="383"/>
    </row>
    <row r="494">
      <c r="A494" s="166"/>
      <c r="AG494" s="383"/>
    </row>
    <row r="495">
      <c r="A495" s="166"/>
      <c r="AG495" s="383"/>
    </row>
    <row r="496">
      <c r="A496" s="166"/>
      <c r="AG496" s="383"/>
    </row>
    <row r="497">
      <c r="A497" s="166"/>
      <c r="AG497" s="383"/>
    </row>
    <row r="498">
      <c r="A498" s="166"/>
      <c r="AG498" s="383"/>
    </row>
    <row r="499">
      <c r="A499" s="166"/>
      <c r="AG499" s="383"/>
    </row>
    <row r="500">
      <c r="A500" s="166"/>
      <c r="AG500" s="383"/>
    </row>
    <row r="501">
      <c r="A501" s="166"/>
      <c r="AG501" s="383"/>
    </row>
    <row r="502">
      <c r="A502" s="166"/>
      <c r="AG502" s="383"/>
    </row>
    <row r="503">
      <c r="A503" s="166"/>
      <c r="AG503" s="383"/>
    </row>
    <row r="504">
      <c r="A504" s="166"/>
      <c r="AG504" s="383"/>
    </row>
    <row r="505">
      <c r="A505" s="166"/>
      <c r="AG505" s="383"/>
    </row>
    <row r="506">
      <c r="A506" s="166"/>
      <c r="AG506" s="383"/>
    </row>
    <row r="507">
      <c r="A507" s="166"/>
      <c r="AG507" s="383"/>
    </row>
    <row r="508">
      <c r="A508" s="166"/>
      <c r="AG508" s="383"/>
    </row>
    <row r="509">
      <c r="A509" s="166"/>
      <c r="AG509" s="383"/>
    </row>
    <row r="510">
      <c r="A510" s="166"/>
      <c r="AG510" s="383"/>
    </row>
    <row r="511">
      <c r="A511" s="166"/>
      <c r="AG511" s="383"/>
    </row>
    <row r="512">
      <c r="A512" s="166"/>
      <c r="AG512" s="383"/>
    </row>
    <row r="513">
      <c r="A513" s="166"/>
      <c r="AG513" s="383"/>
    </row>
    <row r="514">
      <c r="A514" s="166"/>
      <c r="AG514" s="383"/>
    </row>
    <row r="515">
      <c r="A515" s="166"/>
      <c r="AG515" s="383"/>
    </row>
    <row r="516">
      <c r="A516" s="166"/>
      <c r="AG516" s="383"/>
    </row>
    <row r="517">
      <c r="A517" s="166"/>
      <c r="AG517" s="383"/>
    </row>
    <row r="518">
      <c r="A518" s="166"/>
      <c r="AG518" s="383"/>
    </row>
    <row r="519">
      <c r="A519" s="166"/>
      <c r="AG519" s="383"/>
    </row>
    <row r="520">
      <c r="A520" s="166"/>
      <c r="AG520" s="383"/>
    </row>
    <row r="521">
      <c r="A521" s="166"/>
      <c r="AG521" s="383"/>
    </row>
    <row r="522">
      <c r="A522" s="166"/>
      <c r="AG522" s="383"/>
    </row>
    <row r="523">
      <c r="A523" s="166"/>
      <c r="AG523" s="383"/>
    </row>
    <row r="524">
      <c r="A524" s="166"/>
      <c r="AG524" s="383"/>
    </row>
    <row r="525">
      <c r="A525" s="166"/>
      <c r="AG525" s="383"/>
    </row>
    <row r="526">
      <c r="A526" s="166"/>
      <c r="AG526" s="383"/>
    </row>
    <row r="527">
      <c r="A527" s="166"/>
      <c r="AG527" s="383"/>
    </row>
    <row r="528">
      <c r="A528" s="166"/>
      <c r="AG528" s="383"/>
    </row>
    <row r="529">
      <c r="A529" s="166"/>
      <c r="AG529" s="383"/>
    </row>
    <row r="530">
      <c r="A530" s="166"/>
      <c r="AG530" s="383"/>
    </row>
    <row r="531">
      <c r="A531" s="166"/>
      <c r="AG531" s="383"/>
    </row>
    <row r="532">
      <c r="A532" s="166"/>
      <c r="AG532" s="383"/>
    </row>
    <row r="533">
      <c r="A533" s="166"/>
      <c r="AG533" s="383"/>
    </row>
    <row r="534">
      <c r="A534" s="166"/>
      <c r="AG534" s="383"/>
    </row>
    <row r="535">
      <c r="A535" s="166"/>
      <c r="AG535" s="383"/>
    </row>
    <row r="536">
      <c r="A536" s="166"/>
      <c r="AG536" s="383"/>
    </row>
    <row r="537">
      <c r="A537" s="166"/>
      <c r="AG537" s="383"/>
    </row>
    <row r="538">
      <c r="A538" s="166"/>
      <c r="AG538" s="383"/>
    </row>
    <row r="539">
      <c r="A539" s="166"/>
      <c r="AG539" s="383"/>
    </row>
    <row r="540">
      <c r="A540" s="166"/>
      <c r="AG540" s="383"/>
    </row>
    <row r="541">
      <c r="A541" s="166"/>
      <c r="AG541" s="383"/>
    </row>
    <row r="542">
      <c r="A542" s="166"/>
      <c r="AG542" s="383"/>
    </row>
    <row r="543">
      <c r="A543" s="166"/>
      <c r="AG543" s="383"/>
    </row>
    <row r="544">
      <c r="A544" s="166"/>
      <c r="AG544" s="383"/>
    </row>
    <row r="545">
      <c r="A545" s="166"/>
      <c r="AG545" s="383"/>
    </row>
    <row r="546">
      <c r="A546" s="166"/>
      <c r="AG546" s="383"/>
    </row>
    <row r="547">
      <c r="A547" s="166"/>
      <c r="AG547" s="383"/>
    </row>
    <row r="548">
      <c r="A548" s="166"/>
      <c r="AG548" s="383"/>
    </row>
    <row r="549">
      <c r="A549" s="166"/>
      <c r="AG549" s="383"/>
    </row>
    <row r="550">
      <c r="A550" s="166"/>
      <c r="AG550" s="383"/>
    </row>
    <row r="551">
      <c r="A551" s="166"/>
      <c r="AG551" s="383"/>
    </row>
    <row r="552">
      <c r="A552" s="166"/>
      <c r="AG552" s="383"/>
    </row>
    <row r="553">
      <c r="A553" s="166"/>
      <c r="AG553" s="383"/>
    </row>
    <row r="554">
      <c r="A554" s="166"/>
      <c r="AG554" s="383"/>
    </row>
    <row r="555">
      <c r="A555" s="166"/>
      <c r="AG555" s="383"/>
    </row>
    <row r="556">
      <c r="A556" s="166"/>
      <c r="AG556" s="383"/>
    </row>
    <row r="557">
      <c r="A557" s="166"/>
      <c r="AG557" s="383"/>
    </row>
    <row r="558">
      <c r="A558" s="166"/>
      <c r="AG558" s="383"/>
    </row>
    <row r="559">
      <c r="A559" s="166"/>
      <c r="AG559" s="383"/>
    </row>
    <row r="560">
      <c r="A560" s="166"/>
      <c r="AG560" s="383"/>
    </row>
    <row r="561">
      <c r="A561" s="166"/>
      <c r="AG561" s="383"/>
    </row>
    <row r="562">
      <c r="A562" s="166"/>
      <c r="AG562" s="383"/>
    </row>
    <row r="563">
      <c r="A563" s="166"/>
      <c r="AG563" s="383"/>
    </row>
    <row r="564">
      <c r="A564" s="166"/>
      <c r="AG564" s="383"/>
    </row>
    <row r="565">
      <c r="A565" s="166"/>
      <c r="AG565" s="383"/>
    </row>
    <row r="566">
      <c r="A566" s="166"/>
      <c r="AG566" s="383"/>
    </row>
    <row r="567">
      <c r="A567" s="166"/>
      <c r="AG567" s="383"/>
    </row>
    <row r="568">
      <c r="A568" s="166"/>
      <c r="AG568" s="383"/>
    </row>
    <row r="569">
      <c r="A569" s="166"/>
      <c r="AG569" s="383"/>
    </row>
    <row r="570">
      <c r="A570" s="166"/>
      <c r="AG570" s="383"/>
    </row>
    <row r="571">
      <c r="A571" s="166"/>
      <c r="AG571" s="383"/>
    </row>
    <row r="572">
      <c r="A572" s="166"/>
      <c r="AG572" s="383"/>
    </row>
    <row r="573">
      <c r="A573" s="166"/>
      <c r="AG573" s="383"/>
    </row>
    <row r="574">
      <c r="A574" s="166"/>
      <c r="AG574" s="383"/>
    </row>
    <row r="575">
      <c r="A575" s="166"/>
      <c r="AG575" s="383"/>
    </row>
    <row r="576">
      <c r="A576" s="166"/>
      <c r="AG576" s="383"/>
    </row>
    <row r="577">
      <c r="A577" s="166"/>
      <c r="AG577" s="383"/>
    </row>
    <row r="578">
      <c r="A578" s="166"/>
      <c r="AG578" s="383"/>
    </row>
    <row r="579">
      <c r="A579" s="166"/>
      <c r="AG579" s="383"/>
    </row>
    <row r="580">
      <c r="A580" s="166"/>
      <c r="AG580" s="383"/>
    </row>
    <row r="581">
      <c r="A581" s="166"/>
      <c r="AG581" s="383"/>
    </row>
    <row r="582">
      <c r="A582" s="166"/>
      <c r="AG582" s="383"/>
    </row>
    <row r="583">
      <c r="A583" s="166"/>
      <c r="AG583" s="383"/>
    </row>
    <row r="584">
      <c r="A584" s="166"/>
      <c r="AG584" s="383"/>
    </row>
    <row r="585">
      <c r="A585" s="166"/>
      <c r="AG585" s="383"/>
    </row>
    <row r="586">
      <c r="A586" s="166"/>
      <c r="AG586" s="383"/>
    </row>
    <row r="587">
      <c r="A587" s="166"/>
      <c r="AG587" s="383"/>
    </row>
    <row r="588">
      <c r="A588" s="166"/>
      <c r="AG588" s="383"/>
    </row>
    <row r="589">
      <c r="A589" s="166"/>
      <c r="AG589" s="383"/>
    </row>
    <row r="590">
      <c r="A590" s="166"/>
      <c r="AG590" s="383"/>
    </row>
    <row r="591">
      <c r="A591" s="166"/>
      <c r="AG591" s="383"/>
    </row>
    <row r="592">
      <c r="A592" s="166"/>
      <c r="AG592" s="383"/>
    </row>
    <row r="593">
      <c r="A593" s="166"/>
      <c r="AG593" s="383"/>
    </row>
    <row r="594">
      <c r="A594" s="166"/>
      <c r="AG594" s="383"/>
    </row>
    <row r="595">
      <c r="A595" s="166"/>
      <c r="AG595" s="383"/>
    </row>
    <row r="596">
      <c r="A596" s="166"/>
      <c r="AG596" s="383"/>
    </row>
    <row r="597">
      <c r="A597" s="166"/>
      <c r="AG597" s="383"/>
    </row>
    <row r="598">
      <c r="A598" s="166"/>
      <c r="AG598" s="383"/>
    </row>
    <row r="599">
      <c r="A599" s="166"/>
      <c r="AG599" s="383"/>
    </row>
    <row r="600">
      <c r="A600" s="166"/>
      <c r="AG600" s="383"/>
    </row>
    <row r="601">
      <c r="A601" s="166"/>
      <c r="AG601" s="383"/>
    </row>
    <row r="602">
      <c r="A602" s="166"/>
      <c r="AG602" s="383"/>
    </row>
    <row r="603">
      <c r="A603" s="166"/>
      <c r="AG603" s="383"/>
    </row>
    <row r="604">
      <c r="A604" s="166"/>
      <c r="AG604" s="383"/>
    </row>
    <row r="605">
      <c r="A605" s="166"/>
      <c r="AG605" s="383"/>
    </row>
    <row r="606">
      <c r="A606" s="166"/>
      <c r="AG606" s="383"/>
    </row>
    <row r="607">
      <c r="A607" s="166"/>
      <c r="AG607" s="383"/>
    </row>
    <row r="608">
      <c r="A608" s="166"/>
      <c r="AG608" s="383"/>
    </row>
    <row r="609">
      <c r="A609" s="166"/>
      <c r="AG609" s="383"/>
    </row>
    <row r="610">
      <c r="A610" s="166"/>
      <c r="AG610" s="383"/>
    </row>
    <row r="611">
      <c r="A611" s="166"/>
      <c r="AG611" s="383"/>
    </row>
    <row r="612">
      <c r="A612" s="166"/>
      <c r="AG612" s="383"/>
    </row>
    <row r="613">
      <c r="A613" s="166"/>
      <c r="AG613" s="383"/>
    </row>
    <row r="614">
      <c r="A614" s="166"/>
      <c r="AG614" s="383"/>
    </row>
    <row r="615">
      <c r="A615" s="166"/>
      <c r="AG615" s="383"/>
    </row>
    <row r="616">
      <c r="A616" s="166"/>
      <c r="AG616" s="383"/>
    </row>
    <row r="617">
      <c r="A617" s="166"/>
      <c r="AG617" s="383"/>
    </row>
    <row r="618">
      <c r="A618" s="166"/>
      <c r="AG618" s="383"/>
    </row>
    <row r="619">
      <c r="A619" s="166"/>
      <c r="AG619" s="383"/>
    </row>
    <row r="620">
      <c r="A620" s="166"/>
      <c r="AG620" s="383"/>
    </row>
    <row r="621">
      <c r="A621" s="166"/>
      <c r="AG621" s="383"/>
    </row>
    <row r="622">
      <c r="A622" s="166"/>
      <c r="AG622" s="383"/>
    </row>
    <row r="623">
      <c r="A623" s="166"/>
      <c r="AG623" s="383"/>
    </row>
    <row r="624">
      <c r="A624" s="166"/>
      <c r="AG624" s="383"/>
    </row>
    <row r="625">
      <c r="A625" s="166"/>
      <c r="AG625" s="383"/>
    </row>
    <row r="626">
      <c r="A626" s="166"/>
      <c r="AG626" s="383"/>
    </row>
    <row r="627">
      <c r="A627" s="166"/>
      <c r="AG627" s="383"/>
    </row>
    <row r="628">
      <c r="A628" s="166"/>
      <c r="AG628" s="383"/>
    </row>
    <row r="629">
      <c r="A629" s="166"/>
      <c r="AG629" s="383"/>
    </row>
    <row r="630">
      <c r="A630" s="166"/>
      <c r="AG630" s="383"/>
    </row>
    <row r="631">
      <c r="A631" s="166"/>
      <c r="AG631" s="383"/>
    </row>
    <row r="632">
      <c r="A632" s="166"/>
      <c r="AG632" s="383"/>
    </row>
    <row r="633">
      <c r="A633" s="166"/>
      <c r="AG633" s="383"/>
    </row>
    <row r="634">
      <c r="A634" s="166"/>
      <c r="AG634" s="383"/>
    </row>
    <row r="635">
      <c r="A635" s="166"/>
      <c r="AG635" s="383"/>
    </row>
    <row r="636">
      <c r="A636" s="166"/>
      <c r="AG636" s="383"/>
    </row>
    <row r="637">
      <c r="A637" s="166"/>
      <c r="AG637" s="383"/>
    </row>
    <row r="638">
      <c r="A638" s="166"/>
      <c r="AG638" s="383"/>
    </row>
    <row r="639">
      <c r="A639" s="166"/>
      <c r="AG639" s="383"/>
    </row>
    <row r="640">
      <c r="A640" s="166"/>
      <c r="AG640" s="383"/>
    </row>
    <row r="641">
      <c r="A641" s="166"/>
      <c r="AG641" s="383"/>
    </row>
    <row r="642">
      <c r="A642" s="166"/>
      <c r="AG642" s="383"/>
    </row>
    <row r="643">
      <c r="A643" s="166"/>
      <c r="AG643" s="383"/>
    </row>
    <row r="644">
      <c r="A644" s="166"/>
      <c r="AG644" s="383"/>
    </row>
    <row r="645">
      <c r="A645" s="166"/>
      <c r="AG645" s="383"/>
    </row>
    <row r="646">
      <c r="A646" s="166"/>
      <c r="AG646" s="383"/>
    </row>
    <row r="647">
      <c r="A647" s="166"/>
      <c r="AG647" s="383"/>
    </row>
    <row r="648">
      <c r="A648" s="166"/>
      <c r="AG648" s="383"/>
    </row>
    <row r="649">
      <c r="A649" s="166"/>
      <c r="AG649" s="383"/>
    </row>
    <row r="650">
      <c r="A650" s="166"/>
      <c r="AG650" s="383"/>
    </row>
    <row r="651">
      <c r="A651" s="166"/>
      <c r="AG651" s="383"/>
    </row>
    <row r="652">
      <c r="A652" s="166"/>
      <c r="AG652" s="383"/>
    </row>
    <row r="653">
      <c r="A653" s="166"/>
      <c r="AG653" s="383"/>
    </row>
    <row r="654">
      <c r="A654" s="166"/>
      <c r="AG654" s="383"/>
    </row>
    <row r="655">
      <c r="A655" s="166"/>
      <c r="AG655" s="383"/>
    </row>
    <row r="656">
      <c r="A656" s="166"/>
      <c r="AG656" s="383"/>
    </row>
    <row r="657">
      <c r="A657" s="166"/>
      <c r="AG657" s="383"/>
    </row>
    <row r="658">
      <c r="A658" s="166"/>
      <c r="AG658" s="383"/>
    </row>
    <row r="659">
      <c r="A659" s="166"/>
      <c r="AG659" s="383"/>
    </row>
    <row r="660">
      <c r="A660" s="166"/>
      <c r="AG660" s="383"/>
    </row>
    <row r="661">
      <c r="A661" s="166"/>
      <c r="AG661" s="383"/>
    </row>
    <row r="662">
      <c r="A662" s="166"/>
      <c r="AG662" s="383"/>
    </row>
    <row r="663">
      <c r="A663" s="166"/>
      <c r="AG663" s="383"/>
    </row>
    <row r="664">
      <c r="A664" s="166"/>
      <c r="AG664" s="383"/>
    </row>
    <row r="665">
      <c r="A665" s="166"/>
      <c r="AG665" s="383"/>
    </row>
    <row r="666">
      <c r="A666" s="166"/>
      <c r="AG666" s="383"/>
    </row>
    <row r="667">
      <c r="A667" s="166"/>
      <c r="AG667" s="383"/>
    </row>
    <row r="668">
      <c r="A668" s="166"/>
      <c r="AG668" s="383"/>
    </row>
    <row r="669">
      <c r="A669" s="166"/>
      <c r="AG669" s="383"/>
    </row>
    <row r="670">
      <c r="A670" s="166"/>
      <c r="AG670" s="383"/>
    </row>
    <row r="671">
      <c r="A671" s="166"/>
      <c r="AG671" s="383"/>
    </row>
    <row r="672">
      <c r="A672" s="166"/>
      <c r="AG672" s="383"/>
    </row>
    <row r="673">
      <c r="A673" s="166"/>
      <c r="AG673" s="383"/>
    </row>
    <row r="674">
      <c r="A674" s="166"/>
      <c r="AG674" s="383"/>
    </row>
    <row r="675">
      <c r="A675" s="166"/>
      <c r="AG675" s="383"/>
    </row>
    <row r="676">
      <c r="A676" s="166"/>
      <c r="AG676" s="383"/>
    </row>
    <row r="677">
      <c r="A677" s="166"/>
      <c r="AG677" s="383"/>
    </row>
    <row r="678">
      <c r="A678" s="166"/>
      <c r="AG678" s="383"/>
    </row>
    <row r="679">
      <c r="A679" s="166"/>
      <c r="AG679" s="383"/>
    </row>
    <row r="680">
      <c r="A680" s="166"/>
      <c r="AG680" s="383"/>
    </row>
    <row r="681">
      <c r="A681" s="166"/>
      <c r="AG681" s="383"/>
    </row>
    <row r="682">
      <c r="A682" s="166"/>
      <c r="AG682" s="383"/>
    </row>
    <row r="683">
      <c r="A683" s="166"/>
      <c r="AG683" s="383"/>
    </row>
    <row r="684">
      <c r="A684" s="166"/>
      <c r="AG684" s="383"/>
    </row>
    <row r="685">
      <c r="A685" s="166"/>
      <c r="AG685" s="383"/>
    </row>
    <row r="686">
      <c r="A686" s="166"/>
      <c r="AG686" s="383"/>
    </row>
    <row r="687">
      <c r="A687" s="166"/>
      <c r="AG687" s="383"/>
    </row>
    <row r="688">
      <c r="A688" s="166"/>
      <c r="AG688" s="383"/>
    </row>
    <row r="689">
      <c r="A689" s="166"/>
      <c r="AG689" s="383"/>
    </row>
    <row r="690">
      <c r="A690" s="166"/>
      <c r="AG690" s="383"/>
    </row>
    <row r="691">
      <c r="A691" s="166"/>
      <c r="AG691" s="383"/>
    </row>
    <row r="692">
      <c r="A692" s="166"/>
      <c r="AG692" s="383"/>
    </row>
    <row r="693">
      <c r="A693" s="166"/>
      <c r="AG693" s="383"/>
    </row>
    <row r="694">
      <c r="A694" s="166"/>
      <c r="AG694" s="383"/>
    </row>
    <row r="695">
      <c r="A695" s="166"/>
      <c r="AG695" s="383"/>
    </row>
    <row r="696">
      <c r="A696" s="166"/>
      <c r="AG696" s="383"/>
    </row>
    <row r="697">
      <c r="A697" s="166"/>
      <c r="AG697" s="383"/>
    </row>
    <row r="698">
      <c r="A698" s="166"/>
      <c r="AG698" s="383"/>
    </row>
    <row r="699">
      <c r="A699" s="166"/>
      <c r="AG699" s="383"/>
    </row>
    <row r="700">
      <c r="A700" s="166"/>
      <c r="AG700" s="383"/>
    </row>
    <row r="701">
      <c r="A701" s="166"/>
      <c r="AG701" s="383"/>
    </row>
    <row r="702">
      <c r="A702" s="166"/>
      <c r="AG702" s="383"/>
    </row>
    <row r="703">
      <c r="A703" s="166"/>
      <c r="AG703" s="383"/>
    </row>
    <row r="704">
      <c r="A704" s="166"/>
      <c r="AG704" s="383"/>
    </row>
    <row r="705">
      <c r="A705" s="166"/>
      <c r="AG705" s="383"/>
    </row>
    <row r="706">
      <c r="A706" s="166"/>
      <c r="AG706" s="383"/>
    </row>
    <row r="707">
      <c r="A707" s="166"/>
      <c r="AG707" s="383"/>
    </row>
    <row r="708">
      <c r="A708" s="166"/>
      <c r="AG708" s="383"/>
    </row>
    <row r="709">
      <c r="A709" s="166"/>
      <c r="AG709" s="383"/>
    </row>
    <row r="710">
      <c r="A710" s="166"/>
      <c r="AG710" s="383"/>
    </row>
    <row r="711">
      <c r="A711" s="166"/>
      <c r="AG711" s="383"/>
    </row>
    <row r="712">
      <c r="A712" s="166"/>
      <c r="AG712" s="383"/>
    </row>
    <row r="713">
      <c r="A713" s="166"/>
      <c r="AG713" s="383"/>
    </row>
    <row r="714">
      <c r="A714" s="166"/>
      <c r="AG714" s="383"/>
    </row>
    <row r="715">
      <c r="A715" s="166"/>
      <c r="AG715" s="383"/>
    </row>
    <row r="716">
      <c r="A716" s="166"/>
      <c r="AG716" s="383"/>
    </row>
    <row r="717">
      <c r="A717" s="166"/>
      <c r="AG717" s="383"/>
    </row>
    <row r="718">
      <c r="A718" s="166"/>
      <c r="AG718" s="383"/>
    </row>
    <row r="719">
      <c r="A719" s="166"/>
      <c r="AG719" s="383"/>
    </row>
    <row r="720">
      <c r="A720" s="166"/>
      <c r="AG720" s="383"/>
    </row>
    <row r="721">
      <c r="A721" s="166"/>
      <c r="AG721" s="383"/>
    </row>
    <row r="722">
      <c r="A722" s="166"/>
      <c r="AG722" s="383"/>
    </row>
    <row r="723">
      <c r="A723" s="166"/>
      <c r="AG723" s="383"/>
    </row>
    <row r="724">
      <c r="A724" s="166"/>
      <c r="AG724" s="383"/>
    </row>
    <row r="725">
      <c r="A725" s="166"/>
      <c r="AG725" s="383"/>
    </row>
    <row r="726">
      <c r="A726" s="166"/>
      <c r="AG726" s="383"/>
    </row>
    <row r="727">
      <c r="A727" s="166"/>
      <c r="AG727" s="383"/>
    </row>
    <row r="728">
      <c r="A728" s="166"/>
      <c r="AG728" s="383"/>
    </row>
    <row r="729">
      <c r="A729" s="166"/>
      <c r="AG729" s="383"/>
    </row>
    <row r="730">
      <c r="A730" s="166"/>
      <c r="AG730" s="383"/>
    </row>
    <row r="731">
      <c r="A731" s="166"/>
      <c r="AG731" s="383"/>
    </row>
    <row r="732">
      <c r="A732" s="166"/>
      <c r="AG732" s="383"/>
    </row>
    <row r="733">
      <c r="A733" s="166"/>
      <c r="AG733" s="383"/>
    </row>
    <row r="734">
      <c r="A734" s="166"/>
      <c r="AG734" s="383"/>
    </row>
    <row r="735">
      <c r="A735" s="166"/>
      <c r="AG735" s="383"/>
    </row>
    <row r="736">
      <c r="A736" s="166"/>
      <c r="AG736" s="383"/>
    </row>
    <row r="737">
      <c r="A737" s="166"/>
      <c r="AG737" s="383"/>
    </row>
    <row r="738">
      <c r="A738" s="166"/>
      <c r="AG738" s="383"/>
    </row>
    <row r="739">
      <c r="A739" s="166"/>
      <c r="AG739" s="383"/>
    </row>
    <row r="740">
      <c r="A740" s="166"/>
      <c r="AG740" s="383"/>
    </row>
    <row r="741">
      <c r="A741" s="166"/>
      <c r="AG741" s="383"/>
    </row>
    <row r="742">
      <c r="A742" s="166"/>
      <c r="AG742" s="383"/>
    </row>
    <row r="743">
      <c r="A743" s="166"/>
      <c r="AG743" s="383"/>
    </row>
    <row r="744">
      <c r="A744" s="166"/>
      <c r="AG744" s="383"/>
    </row>
    <row r="745">
      <c r="A745" s="166"/>
      <c r="AG745" s="383"/>
    </row>
    <row r="746">
      <c r="A746" s="166"/>
      <c r="AG746" s="383"/>
    </row>
    <row r="747">
      <c r="A747" s="166"/>
      <c r="AG747" s="383"/>
    </row>
    <row r="748">
      <c r="A748" s="166"/>
      <c r="AG748" s="383"/>
    </row>
    <row r="749">
      <c r="A749" s="166"/>
      <c r="AG749" s="383"/>
    </row>
    <row r="750">
      <c r="A750" s="166"/>
      <c r="AG750" s="383"/>
    </row>
    <row r="751">
      <c r="A751" s="166"/>
      <c r="AG751" s="383"/>
    </row>
    <row r="752">
      <c r="A752" s="166"/>
      <c r="AG752" s="383"/>
    </row>
    <row r="753">
      <c r="A753" s="166"/>
      <c r="AG753" s="383"/>
    </row>
    <row r="754">
      <c r="A754" s="166"/>
      <c r="AG754" s="383"/>
    </row>
    <row r="755">
      <c r="A755" s="166"/>
      <c r="AG755" s="383"/>
    </row>
    <row r="756">
      <c r="A756" s="166"/>
      <c r="AG756" s="383"/>
    </row>
    <row r="757">
      <c r="A757" s="166"/>
      <c r="AG757" s="383"/>
    </row>
    <row r="758">
      <c r="A758" s="166"/>
      <c r="AG758" s="383"/>
    </row>
    <row r="759">
      <c r="A759" s="166"/>
      <c r="AG759" s="383"/>
    </row>
    <row r="760">
      <c r="A760" s="166"/>
      <c r="AG760" s="383"/>
    </row>
    <row r="761">
      <c r="A761" s="166"/>
      <c r="AG761" s="383"/>
    </row>
    <row r="762">
      <c r="A762" s="166"/>
      <c r="AG762" s="383"/>
    </row>
    <row r="763">
      <c r="A763" s="166"/>
      <c r="AG763" s="383"/>
    </row>
    <row r="764">
      <c r="A764" s="166"/>
      <c r="AG764" s="383"/>
    </row>
    <row r="765">
      <c r="A765" s="166"/>
      <c r="AG765" s="383"/>
    </row>
  </sheetData>
  <conditionalFormatting sqref="B207:AF207">
    <cfRule type="colorScale" priority="1">
      <colorScale>
        <cfvo type="min"/>
        <cfvo type="max"/>
        <color rgb="FFFFFFFF"/>
        <color rgb="FFE67C73"/>
      </colorScale>
    </cfRule>
  </conditionalFormatting>
  <conditionalFormatting sqref="B234:AF234 B298:AF298">
    <cfRule type="colorScale" priority="2">
      <colorScale>
        <cfvo type="min"/>
        <cfvo type="max"/>
        <color rgb="FFFFFFFF"/>
        <color rgb="FF57BB8A"/>
      </colorScale>
    </cfRule>
  </conditionalFormatting>
  <conditionalFormatting sqref="B225:AF225">
    <cfRule type="colorScale" priority="3">
      <colorScale>
        <cfvo type="min"/>
        <cfvo type="max"/>
        <color rgb="FFFFFFFF"/>
        <color rgb="FFE67C73"/>
      </colorScale>
    </cfRule>
  </conditionalFormatting>
  <conditionalFormatting sqref="B232:AF232">
    <cfRule type="cellIs" dxfId="2" priority="4" operator="greaterThan">
      <formula>0</formula>
    </cfRule>
  </conditionalFormatting>
  <conditionalFormatting sqref="B232:AF232">
    <cfRule type="cellIs" dxfId="1" priority="5" operator="lessThan">
      <formula>0</formula>
    </cfRule>
  </conditionalFormatting>
  <conditionalFormatting sqref="B230:AF230">
    <cfRule type="cellIs" dxfId="2" priority="6" operator="greaterThan">
      <formula>0</formula>
    </cfRule>
  </conditionalFormatting>
  <conditionalFormatting sqref="B230:AF230">
    <cfRule type="cellIs" dxfId="1" priority="7" operator="lessThan">
      <formula>0</formula>
    </cfRule>
  </conditionalFormatting>
  <conditionalFormatting sqref="B296:AF296">
    <cfRule type="cellIs" dxfId="0" priority="8" operator="greaterThan">
      <formula>0</formula>
    </cfRule>
  </conditionalFormatting>
  <conditionalFormatting sqref="B296:AF296">
    <cfRule type="cellIs" dxfId="1" priority="9" operator="lessThan">
      <formula>0</formula>
    </cfRule>
  </conditionalFormatting>
  <conditionalFormatting sqref="B226:AF226 B290:AF293">
    <cfRule type="cellIs" dxfId="0" priority="10" operator="greaterThan">
      <formula>0</formula>
    </cfRule>
  </conditionalFormatting>
  <conditionalFormatting sqref="B226:AF226 B290:AF293">
    <cfRule type="cellIs" dxfId="1" priority="11" operator="lessThan">
      <formula>0</formula>
    </cfRule>
  </conditionalFormatting>
  <conditionalFormatting sqref="B286:AF286">
    <cfRule type="colorScale" priority="12">
      <colorScale>
        <cfvo type="min"/>
        <cfvo type="max"/>
        <color rgb="FFE67C73"/>
        <color rgb="FFFFFFFF"/>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2.63"/>
  </cols>
  <sheetData>
    <row r="1">
      <c r="A1" s="77" t="s">
        <v>104</v>
      </c>
      <c r="B1" s="78">
        <v>45413.0</v>
      </c>
      <c r="C1" s="78">
        <v>45414.0</v>
      </c>
      <c r="D1" s="78">
        <v>45415.0</v>
      </c>
      <c r="E1" s="78">
        <v>45416.0</v>
      </c>
      <c r="F1" s="78">
        <v>45417.0</v>
      </c>
      <c r="G1" s="78">
        <v>45418.0</v>
      </c>
      <c r="H1" s="78">
        <v>45419.0</v>
      </c>
      <c r="I1" s="78">
        <v>45420.0</v>
      </c>
      <c r="J1" s="78">
        <v>45421.0</v>
      </c>
      <c r="K1" s="78">
        <v>45422.0</v>
      </c>
      <c r="L1" s="78">
        <v>45423.0</v>
      </c>
      <c r="M1" s="78">
        <v>45424.0</v>
      </c>
      <c r="N1" s="78">
        <v>45425.0</v>
      </c>
      <c r="O1" s="78">
        <v>45426.0</v>
      </c>
      <c r="P1" s="78">
        <v>45427.0</v>
      </c>
      <c r="Q1" s="78">
        <v>45428.0</v>
      </c>
      <c r="R1" s="78">
        <v>45429.0</v>
      </c>
      <c r="S1" s="78">
        <v>45430.0</v>
      </c>
      <c r="T1" s="78">
        <v>45431.0</v>
      </c>
      <c r="U1" s="78">
        <v>45432.0</v>
      </c>
      <c r="V1" s="78">
        <v>45433.0</v>
      </c>
      <c r="W1" s="78">
        <v>45434.0</v>
      </c>
      <c r="X1" s="78">
        <v>45435.0</v>
      </c>
      <c r="Y1" s="78">
        <v>45436.0</v>
      </c>
      <c r="Z1" s="78">
        <v>45437.0</v>
      </c>
      <c r="AA1" s="78">
        <v>45438.0</v>
      </c>
      <c r="AB1" s="78">
        <v>45439.0</v>
      </c>
      <c r="AC1" s="78">
        <v>45440.0</v>
      </c>
      <c r="AD1" s="78">
        <v>45441.0</v>
      </c>
      <c r="AE1" s="78">
        <v>45442.0</v>
      </c>
      <c r="AF1" s="78">
        <v>45443.0</v>
      </c>
      <c r="AG1" s="298"/>
    </row>
    <row r="2">
      <c r="A2" s="80" t="s">
        <v>105</v>
      </c>
      <c r="B2" s="81" t="s">
        <v>0</v>
      </c>
      <c r="C2" s="81" t="s">
        <v>1</v>
      </c>
      <c r="D2" s="81" t="s">
        <v>2</v>
      </c>
      <c r="E2" s="81" t="s">
        <v>3</v>
      </c>
      <c r="F2" s="81" t="s">
        <v>4</v>
      </c>
      <c r="G2" s="81" t="s">
        <v>5</v>
      </c>
      <c r="H2" s="81" t="s">
        <v>6</v>
      </c>
      <c r="I2" s="81" t="s">
        <v>0</v>
      </c>
      <c r="J2" s="81" t="s">
        <v>1</v>
      </c>
      <c r="K2" s="81" t="s">
        <v>2</v>
      </c>
      <c r="L2" s="81" t="s">
        <v>3</v>
      </c>
      <c r="M2" s="81" t="s">
        <v>4</v>
      </c>
      <c r="N2" s="81" t="s">
        <v>5</v>
      </c>
      <c r="O2" s="81" t="s">
        <v>6</v>
      </c>
      <c r="P2" s="81" t="s">
        <v>0</v>
      </c>
      <c r="Q2" s="81" t="s">
        <v>1</v>
      </c>
      <c r="R2" s="81" t="s">
        <v>2</v>
      </c>
      <c r="S2" s="81" t="s">
        <v>3</v>
      </c>
      <c r="T2" s="81" t="s">
        <v>4</v>
      </c>
      <c r="U2" s="81" t="s">
        <v>5</v>
      </c>
      <c r="V2" s="81" t="s">
        <v>6</v>
      </c>
      <c r="W2" s="81" t="s">
        <v>0</v>
      </c>
      <c r="X2" s="81" t="s">
        <v>1</v>
      </c>
      <c r="Y2" s="81" t="s">
        <v>2</v>
      </c>
      <c r="Z2" s="81" t="s">
        <v>3</v>
      </c>
      <c r="AA2" s="81" t="s">
        <v>4</v>
      </c>
      <c r="AB2" s="81" t="s">
        <v>5</v>
      </c>
      <c r="AC2" s="81" t="s">
        <v>6</v>
      </c>
      <c r="AD2" s="81" t="s">
        <v>0</v>
      </c>
      <c r="AE2" s="81" t="s">
        <v>1</v>
      </c>
      <c r="AF2" s="81" t="s">
        <v>2</v>
      </c>
      <c r="AG2" s="298"/>
    </row>
    <row r="3">
      <c r="A3" s="384"/>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312"/>
    </row>
    <row r="4">
      <c r="A4" s="138" t="s">
        <v>415</v>
      </c>
      <c r="B4" s="83"/>
      <c r="C4" s="83"/>
      <c r="D4" s="83"/>
      <c r="E4" s="83"/>
      <c r="F4" s="83"/>
      <c r="G4" s="83"/>
      <c r="H4" s="83"/>
      <c r="I4" s="83"/>
      <c r="J4" s="83"/>
      <c r="K4" s="83"/>
      <c r="L4" s="83"/>
      <c r="M4" s="83"/>
      <c r="N4" s="83"/>
      <c r="O4" s="83"/>
      <c r="P4" s="83"/>
      <c r="Q4" s="83"/>
      <c r="R4" s="83"/>
      <c r="S4" s="83"/>
      <c r="T4" s="83"/>
      <c r="U4" s="83"/>
      <c r="V4" s="83"/>
      <c r="W4" s="83"/>
      <c r="X4" s="83"/>
      <c r="Y4" s="83"/>
      <c r="Z4" s="83"/>
      <c r="AA4" s="83"/>
      <c r="AB4" s="83"/>
      <c r="AC4" s="83"/>
      <c r="AD4" s="83"/>
      <c r="AE4" s="83"/>
      <c r="AF4" s="83"/>
      <c r="AG4" s="312"/>
    </row>
    <row r="5">
      <c r="A5" s="153" t="s">
        <v>610</v>
      </c>
      <c r="B5" s="385">
        <v>1833.959533</v>
      </c>
      <c r="C5" s="385">
        <v>1902.920791</v>
      </c>
      <c r="D5" s="385">
        <v>2136.058474</v>
      </c>
      <c r="E5" s="385">
        <v>2873.7177039999997</v>
      </c>
      <c r="F5" s="385">
        <v>3567.4653420000004</v>
      </c>
      <c r="G5" s="385">
        <v>2444.63</v>
      </c>
      <c r="H5" s="385">
        <f t="shared" ref="H5:I5" si="1">H6+H7</f>
        <v>1993.017552</v>
      </c>
      <c r="I5" s="385">
        <f t="shared" si="1"/>
        <v>1920.182521</v>
      </c>
      <c r="J5" s="385">
        <v>2591.931477</v>
      </c>
      <c r="K5" s="385">
        <v>2486.07327</v>
      </c>
      <c r="L5" s="385">
        <v>4079.790057</v>
      </c>
      <c r="M5" s="385">
        <v>8644.447065</v>
      </c>
      <c r="N5" s="385">
        <v>5421.143995</v>
      </c>
      <c r="O5" s="385">
        <v>2766.309793</v>
      </c>
      <c r="P5" s="385">
        <v>2199.982305</v>
      </c>
      <c r="Q5" s="385">
        <f t="shared" ref="Q5:AF5" si="2">SUM(Q6:Q7)</f>
        <v>2011.784584</v>
      </c>
      <c r="R5" s="385">
        <f t="shared" si="2"/>
        <v>2160.531196</v>
      </c>
      <c r="S5" s="385">
        <f t="shared" si="2"/>
        <v>3585.488661</v>
      </c>
      <c r="T5" s="385">
        <f t="shared" si="2"/>
        <v>5163.636921</v>
      </c>
      <c r="U5" s="385">
        <f t="shared" si="2"/>
        <v>2944.130458</v>
      </c>
      <c r="V5" s="385">
        <f t="shared" si="2"/>
        <v>2196.095638</v>
      </c>
      <c r="W5" s="385">
        <f t="shared" si="2"/>
        <v>2481.674483</v>
      </c>
      <c r="X5" s="385">
        <f t="shared" si="2"/>
        <v>2426.635728</v>
      </c>
      <c r="Y5" s="385">
        <f t="shared" si="2"/>
        <v>2239.724642</v>
      </c>
      <c r="Z5" s="385">
        <f t="shared" si="2"/>
        <v>3966.690592</v>
      </c>
      <c r="AA5" s="385">
        <f t="shared" si="2"/>
        <v>3502.55106</v>
      </c>
      <c r="AB5" s="385">
        <f t="shared" si="2"/>
        <v>3715.159052</v>
      </c>
      <c r="AC5" s="385">
        <f t="shared" si="2"/>
        <v>2433.012392</v>
      </c>
      <c r="AD5" s="385">
        <f t="shared" si="2"/>
        <v>1981.673819</v>
      </c>
      <c r="AE5" s="385">
        <f t="shared" si="2"/>
        <v>1557.926525</v>
      </c>
      <c r="AF5" s="385">
        <f t="shared" si="2"/>
        <v>2020.086535</v>
      </c>
      <c r="AG5" s="303">
        <f t="shared" ref="AG5:AG11" si="3">SUM(B5:AF5)</f>
        <v>91248.43217</v>
      </c>
    </row>
    <row r="6" outlineLevel="1">
      <c r="A6" s="153" t="s">
        <v>611</v>
      </c>
      <c r="B6" s="386">
        <v>1382.130487</v>
      </c>
      <c r="C6" s="386">
        <v>1528.994412</v>
      </c>
      <c r="D6" s="386">
        <v>1625.13655</v>
      </c>
      <c r="E6" s="386">
        <v>2393.991204</v>
      </c>
      <c r="F6" s="386">
        <v>3305.29919</v>
      </c>
      <c r="G6" s="386">
        <v>2101.548979</v>
      </c>
      <c r="H6" s="386">
        <v>1649.10218</v>
      </c>
      <c r="I6" s="386">
        <v>1588.216805</v>
      </c>
      <c r="J6" s="386">
        <v>2167.677945</v>
      </c>
      <c r="K6" s="386">
        <v>2131.090639</v>
      </c>
      <c r="L6" s="386">
        <v>3683.333719</v>
      </c>
      <c r="M6" s="386">
        <v>8238.966805</v>
      </c>
      <c r="N6" s="386">
        <v>5037.811166</v>
      </c>
      <c r="O6" s="386">
        <v>2368.663901</v>
      </c>
      <c r="P6" s="386">
        <v>1863.579315</v>
      </c>
      <c r="Q6" s="386">
        <v>1652.701258</v>
      </c>
      <c r="R6" s="386">
        <v>1829.51</v>
      </c>
      <c r="S6" s="387">
        <v>3296.273094</v>
      </c>
      <c r="T6" s="386">
        <v>4807.35366</v>
      </c>
      <c r="U6" s="386">
        <v>2640.804458</v>
      </c>
      <c r="V6" s="386">
        <v>1772.449038</v>
      </c>
      <c r="W6" s="386">
        <v>2188.771166</v>
      </c>
      <c r="X6" s="386">
        <v>1947.671151</v>
      </c>
      <c r="Y6" s="386">
        <v>1797.192156</v>
      </c>
      <c r="Z6" s="386">
        <v>3150.336258</v>
      </c>
      <c r="AA6" s="386">
        <v>2704.883773</v>
      </c>
      <c r="AB6" s="386">
        <v>3154.067674</v>
      </c>
      <c r="AC6" s="386">
        <v>1889.53</v>
      </c>
      <c r="AD6" s="386">
        <v>1528.691943</v>
      </c>
      <c r="AE6" s="386">
        <v>1199.7</v>
      </c>
      <c r="AF6" s="386">
        <v>1648.671943</v>
      </c>
      <c r="AG6" s="303">
        <f t="shared" si="3"/>
        <v>78274.15087</v>
      </c>
    </row>
    <row r="7" outlineLevel="1">
      <c r="A7" s="153" t="s">
        <v>612</v>
      </c>
      <c r="B7" s="386">
        <v>451.829046</v>
      </c>
      <c r="C7" s="386">
        <v>373.926379</v>
      </c>
      <c r="D7" s="386">
        <v>510.921924</v>
      </c>
      <c r="E7" s="386">
        <v>479.7265</v>
      </c>
      <c r="F7" s="386">
        <v>262.166152</v>
      </c>
      <c r="G7" s="386">
        <v>343.082953</v>
      </c>
      <c r="H7" s="386">
        <v>343.915372</v>
      </c>
      <c r="I7" s="386">
        <v>331.965716</v>
      </c>
      <c r="J7" s="386">
        <v>424.253532</v>
      </c>
      <c r="K7" s="386">
        <v>354.982631</v>
      </c>
      <c r="L7" s="386">
        <v>396.456338</v>
      </c>
      <c r="M7" s="386">
        <v>405.48026</v>
      </c>
      <c r="N7" s="386">
        <v>383.332829</v>
      </c>
      <c r="O7" s="386">
        <v>397.645892</v>
      </c>
      <c r="P7" s="386">
        <v>336.40299</v>
      </c>
      <c r="Q7" s="386">
        <v>359.083326</v>
      </c>
      <c r="R7" s="386">
        <v>331.021196</v>
      </c>
      <c r="S7" s="386">
        <v>289.215567</v>
      </c>
      <c r="T7" s="386">
        <v>356.283261</v>
      </c>
      <c r="U7" s="386">
        <v>303.326</v>
      </c>
      <c r="V7" s="386">
        <v>423.6466</v>
      </c>
      <c r="W7" s="386">
        <v>292.903317</v>
      </c>
      <c r="X7" s="386">
        <v>478.964577</v>
      </c>
      <c r="Y7" s="386">
        <v>442.532486</v>
      </c>
      <c r="Z7" s="386">
        <v>816.354334</v>
      </c>
      <c r="AA7" s="386">
        <v>797.667287</v>
      </c>
      <c r="AB7" s="386">
        <v>561.091378</v>
      </c>
      <c r="AC7" s="386">
        <v>543.482392</v>
      </c>
      <c r="AD7" s="386">
        <v>452.981876</v>
      </c>
      <c r="AE7" s="386">
        <v>358.226525</v>
      </c>
      <c r="AF7" s="386">
        <v>371.414592</v>
      </c>
      <c r="AG7" s="303">
        <f t="shared" si="3"/>
        <v>12974.28323</v>
      </c>
    </row>
    <row r="8">
      <c r="A8" s="153" t="s">
        <v>613</v>
      </c>
      <c r="B8" s="386">
        <v>442.13</v>
      </c>
      <c r="C8" s="386">
        <v>600.57</v>
      </c>
      <c r="D8" s="386">
        <v>430.03</v>
      </c>
      <c r="E8" s="386">
        <v>638.13</v>
      </c>
      <c r="F8" s="386">
        <v>553.3</v>
      </c>
      <c r="G8" s="386">
        <v>600.66</v>
      </c>
      <c r="H8" s="386">
        <v>430.73</v>
      </c>
      <c r="I8" s="386">
        <v>358.99</v>
      </c>
      <c r="J8" s="386">
        <v>572.1</v>
      </c>
      <c r="K8" s="386">
        <v>263.69</v>
      </c>
      <c r="L8" s="386">
        <v>710.78</v>
      </c>
      <c r="M8" s="386">
        <v>1490.46</v>
      </c>
      <c r="N8" s="386">
        <v>738.87</v>
      </c>
      <c r="O8" s="386">
        <v>585.43</v>
      </c>
      <c r="P8" s="386">
        <f t="shared" ref="P8:AF8" si="4">SUM(P9:P10)</f>
        <v>608.68</v>
      </c>
      <c r="Q8" s="386">
        <f t="shared" si="4"/>
        <v>466.5</v>
      </c>
      <c r="R8" s="386">
        <f t="shared" si="4"/>
        <v>268.9</v>
      </c>
      <c r="S8" s="386">
        <f t="shared" si="4"/>
        <v>434.21</v>
      </c>
      <c r="T8" s="386">
        <f t="shared" si="4"/>
        <v>570.31</v>
      </c>
      <c r="U8" s="386">
        <f t="shared" si="4"/>
        <v>324.51</v>
      </c>
      <c r="V8" s="386">
        <f t="shared" si="4"/>
        <v>365.23</v>
      </c>
      <c r="W8" s="386">
        <f t="shared" si="4"/>
        <v>449.2</v>
      </c>
      <c r="X8" s="386">
        <f t="shared" si="4"/>
        <v>379.12</v>
      </c>
      <c r="Y8" s="386">
        <f t="shared" si="4"/>
        <v>374.86</v>
      </c>
      <c r="Z8" s="386">
        <f t="shared" si="4"/>
        <v>584.85</v>
      </c>
      <c r="AA8" s="386">
        <f t="shared" si="4"/>
        <v>637.58</v>
      </c>
      <c r="AB8" s="386">
        <f t="shared" si="4"/>
        <v>189.8</v>
      </c>
      <c r="AC8" s="386">
        <f t="shared" si="4"/>
        <v>473.69</v>
      </c>
      <c r="AD8" s="386">
        <f t="shared" si="4"/>
        <v>483.43</v>
      </c>
      <c r="AE8" s="386">
        <f t="shared" si="4"/>
        <v>280.06</v>
      </c>
      <c r="AF8" s="386">
        <f t="shared" si="4"/>
        <v>236.68</v>
      </c>
      <c r="AG8" s="303">
        <f t="shared" si="3"/>
        <v>15543.48</v>
      </c>
    </row>
    <row r="9" outlineLevel="1">
      <c r="A9" s="153" t="s">
        <v>611</v>
      </c>
      <c r="B9" s="388">
        <v>391.31</v>
      </c>
      <c r="C9" s="388">
        <v>504.58000000000004</v>
      </c>
      <c r="D9" s="388">
        <v>354.15</v>
      </c>
      <c r="E9" s="388">
        <v>570.4</v>
      </c>
      <c r="F9" s="388">
        <f>282.49+194.68</f>
        <v>477.17</v>
      </c>
      <c r="G9" s="388">
        <f>161.33+380.18</f>
        <v>541.51</v>
      </c>
      <c r="H9" s="388">
        <f>120.55+252.89</f>
        <v>373.44</v>
      </c>
      <c r="I9" s="388">
        <f>219.67+64.94</f>
        <v>284.61</v>
      </c>
      <c r="J9" s="388">
        <v>445.16999999999996</v>
      </c>
      <c r="K9" s="388">
        <v>190.85000000000002</v>
      </c>
      <c r="L9" s="388">
        <v>630.73</v>
      </c>
      <c r="M9" s="388">
        <v>1419.6</v>
      </c>
      <c r="N9" s="388">
        <v>659.5799999999999</v>
      </c>
      <c r="O9" s="388">
        <v>506.08000000000004</v>
      </c>
      <c r="P9" s="388">
        <f>413.13+115.36</f>
        <v>528.49</v>
      </c>
      <c r="Q9" s="388">
        <f>216.97+188.74</f>
        <v>405.71</v>
      </c>
      <c r="R9" s="388">
        <f>127.18+65.54</f>
        <v>192.72</v>
      </c>
      <c r="S9" s="388">
        <f>224.11+123.58</f>
        <v>347.69</v>
      </c>
      <c r="T9" s="388">
        <f>380.55+128.98</f>
        <v>509.53</v>
      </c>
      <c r="U9" s="388">
        <v>250.73</v>
      </c>
      <c r="V9" s="388">
        <v>286.63</v>
      </c>
      <c r="W9" s="388">
        <v>377.58000000000004</v>
      </c>
      <c r="X9" s="388">
        <v>290.01</v>
      </c>
      <c r="Y9" s="388">
        <v>282.79</v>
      </c>
      <c r="Z9" s="388">
        <v>435.62</v>
      </c>
      <c r="AA9" s="388">
        <v>514.05</v>
      </c>
      <c r="AB9" s="388">
        <v>123.30000000000001</v>
      </c>
      <c r="AC9" s="388">
        <v>313.42</v>
      </c>
      <c r="AD9" s="388">
        <v>316.93</v>
      </c>
      <c r="AE9" s="388">
        <v>219.97</v>
      </c>
      <c r="AF9" s="388">
        <v>217.91</v>
      </c>
      <c r="AG9" s="303">
        <f t="shared" si="3"/>
        <v>12962.26</v>
      </c>
    </row>
    <row r="10" outlineLevel="1">
      <c r="A10" s="153" t="s">
        <v>612</v>
      </c>
      <c r="B10" s="388">
        <v>50.82</v>
      </c>
      <c r="C10" s="388">
        <v>95.99</v>
      </c>
      <c r="D10" s="388">
        <v>75.88</v>
      </c>
      <c r="E10" s="388">
        <v>67.73</v>
      </c>
      <c r="F10" s="388">
        <v>76.13</v>
      </c>
      <c r="G10" s="388">
        <v>59.15</v>
      </c>
      <c r="H10" s="388">
        <v>57.29</v>
      </c>
      <c r="I10" s="388">
        <v>74.38</v>
      </c>
      <c r="J10" s="388">
        <v>126.93</v>
      </c>
      <c r="K10" s="388">
        <v>72.84</v>
      </c>
      <c r="L10" s="388">
        <v>80.05</v>
      </c>
      <c r="M10" s="388">
        <v>70.86</v>
      </c>
      <c r="N10" s="388">
        <v>79.29</v>
      </c>
      <c r="O10" s="388">
        <v>79.35</v>
      </c>
      <c r="P10" s="388">
        <v>80.19</v>
      </c>
      <c r="Q10" s="388">
        <v>60.79</v>
      </c>
      <c r="R10" s="388">
        <v>76.18</v>
      </c>
      <c r="S10" s="388">
        <v>86.52</v>
      </c>
      <c r="T10" s="388">
        <v>60.78</v>
      </c>
      <c r="U10" s="388">
        <v>73.78</v>
      </c>
      <c r="V10" s="388">
        <v>78.6</v>
      </c>
      <c r="W10" s="388">
        <v>71.62</v>
      </c>
      <c r="X10" s="388">
        <v>89.11</v>
      </c>
      <c r="Y10" s="388">
        <v>92.07</v>
      </c>
      <c r="Z10" s="388">
        <v>149.23</v>
      </c>
      <c r="AA10" s="388">
        <v>123.53</v>
      </c>
      <c r="AB10" s="388">
        <v>66.5</v>
      </c>
      <c r="AC10" s="388">
        <v>160.27</v>
      </c>
      <c r="AD10" s="388">
        <v>166.5</v>
      </c>
      <c r="AE10" s="388">
        <v>60.09</v>
      </c>
      <c r="AF10" s="388">
        <v>18.77</v>
      </c>
      <c r="AG10" s="303">
        <f t="shared" si="3"/>
        <v>2581.22</v>
      </c>
    </row>
    <row r="11">
      <c r="A11" s="158" t="s">
        <v>119</v>
      </c>
      <c r="B11" s="389">
        <f t="shared" ref="B11:AF11" si="5">sum(B5+B8)</f>
        <v>2276.089533</v>
      </c>
      <c r="C11" s="389">
        <f t="shared" si="5"/>
        <v>2503.490791</v>
      </c>
      <c r="D11" s="389">
        <f t="shared" si="5"/>
        <v>2566.088474</v>
      </c>
      <c r="E11" s="389">
        <f t="shared" si="5"/>
        <v>3511.847704</v>
      </c>
      <c r="F11" s="389">
        <f t="shared" si="5"/>
        <v>4120.765342</v>
      </c>
      <c r="G11" s="389">
        <f t="shared" si="5"/>
        <v>3045.29</v>
      </c>
      <c r="H11" s="389">
        <f t="shared" si="5"/>
        <v>2423.747552</v>
      </c>
      <c r="I11" s="389">
        <f t="shared" si="5"/>
        <v>2279.172521</v>
      </c>
      <c r="J11" s="389">
        <f t="shared" si="5"/>
        <v>3164.031477</v>
      </c>
      <c r="K11" s="389">
        <f t="shared" si="5"/>
        <v>2749.76327</v>
      </c>
      <c r="L11" s="389">
        <f t="shared" si="5"/>
        <v>4790.570057</v>
      </c>
      <c r="M11" s="389">
        <f t="shared" si="5"/>
        <v>10134.90707</v>
      </c>
      <c r="N11" s="389">
        <f t="shared" si="5"/>
        <v>6160.013995</v>
      </c>
      <c r="O11" s="389">
        <f t="shared" si="5"/>
        <v>3351.739793</v>
      </c>
      <c r="P11" s="389">
        <f t="shared" si="5"/>
        <v>2808.662305</v>
      </c>
      <c r="Q11" s="389">
        <f t="shared" si="5"/>
        <v>2478.284584</v>
      </c>
      <c r="R11" s="389">
        <f t="shared" si="5"/>
        <v>2429.431196</v>
      </c>
      <c r="S11" s="389">
        <f t="shared" si="5"/>
        <v>4019.698661</v>
      </c>
      <c r="T11" s="389">
        <f t="shared" si="5"/>
        <v>5733.946921</v>
      </c>
      <c r="U11" s="389">
        <f t="shared" si="5"/>
        <v>3268.640458</v>
      </c>
      <c r="V11" s="389">
        <f t="shared" si="5"/>
        <v>2561.325638</v>
      </c>
      <c r="W11" s="389">
        <f t="shared" si="5"/>
        <v>2930.874483</v>
      </c>
      <c r="X11" s="389">
        <f t="shared" si="5"/>
        <v>2805.755728</v>
      </c>
      <c r="Y11" s="389">
        <f t="shared" si="5"/>
        <v>2614.584642</v>
      </c>
      <c r="Z11" s="389">
        <f t="shared" si="5"/>
        <v>4551.540592</v>
      </c>
      <c r="AA11" s="389">
        <f t="shared" si="5"/>
        <v>4140.13106</v>
      </c>
      <c r="AB11" s="389">
        <f t="shared" si="5"/>
        <v>3904.959052</v>
      </c>
      <c r="AC11" s="389">
        <f t="shared" si="5"/>
        <v>2906.702392</v>
      </c>
      <c r="AD11" s="389">
        <f t="shared" si="5"/>
        <v>2465.103819</v>
      </c>
      <c r="AE11" s="389">
        <f t="shared" si="5"/>
        <v>1837.986525</v>
      </c>
      <c r="AF11" s="389">
        <f t="shared" si="5"/>
        <v>2256.766535</v>
      </c>
      <c r="AG11" s="303">
        <f t="shared" si="3"/>
        <v>106791.9122</v>
      </c>
    </row>
    <row r="12">
      <c r="A12" s="98"/>
      <c r="B12" s="83"/>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307"/>
    </row>
    <row r="13">
      <c r="A13" s="138" t="s">
        <v>614</v>
      </c>
      <c r="B13" s="83"/>
      <c r="C13" s="83"/>
      <c r="D13" s="83"/>
      <c r="E13" s="83"/>
      <c r="F13" s="83"/>
      <c r="G13" s="83"/>
      <c r="H13" s="83"/>
      <c r="I13" s="83"/>
      <c r="J13" s="83"/>
      <c r="K13" s="83"/>
      <c r="L13" s="83"/>
      <c r="M13" s="83"/>
      <c r="N13" s="83"/>
      <c r="O13" s="83"/>
      <c r="P13" s="83"/>
      <c r="Q13" s="83"/>
      <c r="R13" s="83"/>
      <c r="S13" s="83"/>
      <c r="T13" s="83"/>
      <c r="U13" s="83"/>
      <c r="V13" s="83"/>
      <c r="W13" s="83"/>
      <c r="X13" s="83"/>
      <c r="Y13" s="83"/>
      <c r="Z13" s="83"/>
      <c r="AA13" s="83"/>
      <c r="AB13" s="83"/>
      <c r="AC13" s="83"/>
      <c r="AD13" s="83"/>
      <c r="AE13" s="83"/>
      <c r="AF13" s="83"/>
      <c r="AG13" s="307"/>
    </row>
    <row r="14">
      <c r="A14" s="153" t="s">
        <v>615</v>
      </c>
      <c r="B14" s="141">
        <f t="shared" ref="B14:AF14" si="6">sum(B15:B16)</f>
        <v>120</v>
      </c>
      <c r="C14" s="141">
        <f t="shared" si="6"/>
        <v>111</v>
      </c>
      <c r="D14" s="141">
        <f t="shared" si="6"/>
        <v>143</v>
      </c>
      <c r="E14" s="141">
        <f t="shared" si="6"/>
        <v>143</v>
      </c>
      <c r="F14" s="141">
        <f t="shared" si="6"/>
        <v>139</v>
      </c>
      <c r="G14" s="141">
        <f t="shared" si="6"/>
        <v>117</v>
      </c>
      <c r="H14" s="141">
        <f t="shared" si="6"/>
        <v>109</v>
      </c>
      <c r="I14" s="141">
        <f t="shared" si="6"/>
        <v>106</v>
      </c>
      <c r="J14" s="141">
        <f t="shared" si="6"/>
        <v>135</v>
      </c>
      <c r="K14" s="141">
        <f t="shared" si="6"/>
        <v>127</v>
      </c>
      <c r="L14" s="141">
        <f t="shared" si="6"/>
        <v>179</v>
      </c>
      <c r="M14" s="141">
        <f t="shared" si="6"/>
        <v>326</v>
      </c>
      <c r="N14" s="141">
        <f t="shared" si="6"/>
        <v>222</v>
      </c>
      <c r="O14" s="141">
        <f t="shared" si="6"/>
        <v>141</v>
      </c>
      <c r="P14" s="141">
        <f t="shared" si="6"/>
        <v>115</v>
      </c>
      <c r="Q14" s="141">
        <f t="shared" si="6"/>
        <v>116</v>
      </c>
      <c r="R14" s="141">
        <f t="shared" si="6"/>
        <v>113</v>
      </c>
      <c r="S14" s="141">
        <f t="shared" si="6"/>
        <v>146</v>
      </c>
      <c r="T14" s="141">
        <f t="shared" si="6"/>
        <v>189</v>
      </c>
      <c r="U14" s="141">
        <f t="shared" si="6"/>
        <v>124</v>
      </c>
      <c r="V14" s="141">
        <f t="shared" si="6"/>
        <v>121</v>
      </c>
      <c r="W14" s="141">
        <f t="shared" si="6"/>
        <v>110</v>
      </c>
      <c r="X14" s="141">
        <f t="shared" si="6"/>
        <v>130</v>
      </c>
      <c r="Y14" s="141">
        <f t="shared" si="6"/>
        <v>125</v>
      </c>
      <c r="Z14" s="141">
        <f t="shared" si="6"/>
        <v>225</v>
      </c>
      <c r="AA14" s="141">
        <f t="shared" si="6"/>
        <v>216</v>
      </c>
      <c r="AB14" s="141">
        <f t="shared" si="6"/>
        <v>185</v>
      </c>
      <c r="AC14" s="141">
        <f t="shared" si="6"/>
        <v>146</v>
      </c>
      <c r="AD14" s="141">
        <f t="shared" si="6"/>
        <v>119</v>
      </c>
      <c r="AE14" s="141">
        <f t="shared" si="6"/>
        <v>97</v>
      </c>
      <c r="AF14" s="141">
        <f t="shared" si="6"/>
        <v>103</v>
      </c>
      <c r="AG14" s="312">
        <f t="shared" ref="AG14:AG20" si="7">SUM(B14:AF14)</f>
        <v>4498</v>
      </c>
    </row>
    <row r="15" outlineLevel="1">
      <c r="A15" s="153" t="s">
        <v>611</v>
      </c>
      <c r="B15" s="390">
        <v>37.0</v>
      </c>
      <c r="C15" s="390">
        <v>42.0</v>
      </c>
      <c r="D15" s="390">
        <v>46.0</v>
      </c>
      <c r="E15" s="390">
        <v>56.0</v>
      </c>
      <c r="F15" s="390">
        <v>86.0</v>
      </c>
      <c r="G15" s="390">
        <v>53.0</v>
      </c>
      <c r="H15" s="141">
        <v>43.0</v>
      </c>
      <c r="I15" s="141">
        <v>41.0</v>
      </c>
      <c r="J15" s="141">
        <v>54.0</v>
      </c>
      <c r="K15" s="141">
        <v>59.0</v>
      </c>
      <c r="L15" s="141">
        <v>106.0</v>
      </c>
      <c r="M15" s="141">
        <v>251.0</v>
      </c>
      <c r="N15" s="141">
        <v>152.0</v>
      </c>
      <c r="O15" s="141">
        <v>67.0</v>
      </c>
      <c r="P15" s="141">
        <v>53.0</v>
      </c>
      <c r="Q15" s="141">
        <v>47.0</v>
      </c>
      <c r="R15" s="141">
        <v>49.0</v>
      </c>
      <c r="S15" s="141">
        <v>91.0</v>
      </c>
      <c r="T15" s="141">
        <v>123.0</v>
      </c>
      <c r="U15" s="141">
        <v>68.0</v>
      </c>
      <c r="V15" s="141">
        <v>44.0</v>
      </c>
      <c r="W15" s="141">
        <v>56.0</v>
      </c>
      <c r="X15" s="141">
        <v>45.0</v>
      </c>
      <c r="Y15" s="141">
        <v>43.0</v>
      </c>
      <c r="Z15" s="141">
        <v>78.0</v>
      </c>
      <c r="AA15" s="141">
        <v>71.0</v>
      </c>
      <c r="AB15" s="141">
        <v>86.0</v>
      </c>
      <c r="AC15" s="141">
        <v>47.0</v>
      </c>
      <c r="AD15" s="141">
        <v>37.0</v>
      </c>
      <c r="AE15" s="141">
        <v>30.0</v>
      </c>
      <c r="AF15" s="141">
        <v>39.0</v>
      </c>
      <c r="AG15" s="312">
        <f t="shared" si="7"/>
        <v>2100</v>
      </c>
    </row>
    <row r="16" outlineLevel="1">
      <c r="A16" s="153" t="s">
        <v>612</v>
      </c>
      <c r="B16" s="390">
        <v>83.0</v>
      </c>
      <c r="C16" s="390">
        <v>69.0</v>
      </c>
      <c r="D16" s="390">
        <v>97.0</v>
      </c>
      <c r="E16" s="390">
        <v>87.0</v>
      </c>
      <c r="F16" s="390">
        <v>53.0</v>
      </c>
      <c r="G16" s="390">
        <v>64.0</v>
      </c>
      <c r="H16" s="141">
        <v>66.0</v>
      </c>
      <c r="I16" s="141">
        <v>65.0</v>
      </c>
      <c r="J16" s="141">
        <v>81.0</v>
      </c>
      <c r="K16" s="141">
        <v>68.0</v>
      </c>
      <c r="L16" s="141">
        <v>73.0</v>
      </c>
      <c r="M16" s="141">
        <v>75.0</v>
      </c>
      <c r="N16" s="141">
        <v>70.0</v>
      </c>
      <c r="O16" s="141">
        <v>74.0</v>
      </c>
      <c r="P16" s="141">
        <v>62.0</v>
      </c>
      <c r="Q16" s="141">
        <v>69.0</v>
      </c>
      <c r="R16" s="141">
        <v>64.0</v>
      </c>
      <c r="S16" s="141">
        <v>55.0</v>
      </c>
      <c r="T16" s="141">
        <v>66.0</v>
      </c>
      <c r="U16" s="141">
        <v>56.0</v>
      </c>
      <c r="V16" s="141">
        <v>77.0</v>
      </c>
      <c r="W16" s="141">
        <v>54.0</v>
      </c>
      <c r="X16" s="141">
        <v>85.0</v>
      </c>
      <c r="Y16" s="141">
        <v>82.0</v>
      </c>
      <c r="Z16" s="141">
        <v>147.0</v>
      </c>
      <c r="AA16" s="141">
        <v>145.0</v>
      </c>
      <c r="AB16" s="141">
        <v>99.0</v>
      </c>
      <c r="AC16" s="141">
        <v>99.0</v>
      </c>
      <c r="AD16" s="141">
        <v>82.0</v>
      </c>
      <c r="AE16" s="141">
        <v>67.0</v>
      </c>
      <c r="AF16" s="141">
        <v>64.0</v>
      </c>
      <c r="AG16" s="312">
        <f t="shared" si="7"/>
        <v>2398</v>
      </c>
    </row>
    <row r="17">
      <c r="A17" s="153" t="s">
        <v>616</v>
      </c>
      <c r="B17" s="390">
        <f t="shared" ref="B17:AF17" si="8">sum(B18:B19)</f>
        <v>17</v>
      </c>
      <c r="C17" s="390">
        <f t="shared" si="8"/>
        <v>30</v>
      </c>
      <c r="D17" s="390">
        <f t="shared" si="8"/>
        <v>22</v>
      </c>
      <c r="E17" s="390">
        <f t="shared" si="8"/>
        <v>26</v>
      </c>
      <c r="F17" s="390">
        <f t="shared" si="8"/>
        <v>26</v>
      </c>
      <c r="G17" s="390">
        <f t="shared" si="8"/>
        <v>22</v>
      </c>
      <c r="H17" s="390">
        <f t="shared" si="8"/>
        <v>21</v>
      </c>
      <c r="I17" s="390">
        <f t="shared" si="8"/>
        <v>22</v>
      </c>
      <c r="J17" s="390">
        <f t="shared" si="8"/>
        <v>33</v>
      </c>
      <c r="K17" s="390">
        <f t="shared" si="8"/>
        <v>18</v>
      </c>
      <c r="L17" s="390">
        <f t="shared" si="8"/>
        <v>31</v>
      </c>
      <c r="M17" s="390">
        <f t="shared" si="8"/>
        <v>54</v>
      </c>
      <c r="N17" s="390">
        <f t="shared" si="8"/>
        <v>33</v>
      </c>
      <c r="O17" s="390">
        <f t="shared" si="8"/>
        <v>28</v>
      </c>
      <c r="P17" s="390">
        <f t="shared" si="8"/>
        <v>31</v>
      </c>
      <c r="Q17" s="390">
        <f t="shared" si="8"/>
        <v>20</v>
      </c>
      <c r="R17" s="390">
        <f t="shared" si="8"/>
        <v>17</v>
      </c>
      <c r="S17" s="390">
        <f t="shared" si="8"/>
        <v>25</v>
      </c>
      <c r="T17" s="390">
        <f t="shared" si="8"/>
        <v>26</v>
      </c>
      <c r="U17" s="390">
        <f t="shared" si="8"/>
        <v>19</v>
      </c>
      <c r="V17" s="390">
        <f t="shared" si="8"/>
        <v>23</v>
      </c>
      <c r="W17" s="390">
        <f t="shared" si="8"/>
        <v>21</v>
      </c>
      <c r="X17" s="390">
        <f t="shared" si="8"/>
        <v>22</v>
      </c>
      <c r="Y17" s="390">
        <f t="shared" si="8"/>
        <v>22</v>
      </c>
      <c r="Z17" s="390">
        <f t="shared" si="8"/>
        <v>35</v>
      </c>
      <c r="AA17" s="390">
        <f t="shared" si="8"/>
        <v>31</v>
      </c>
      <c r="AB17" s="390">
        <f t="shared" si="8"/>
        <v>15</v>
      </c>
      <c r="AC17" s="390">
        <f t="shared" si="8"/>
        <v>37</v>
      </c>
      <c r="AD17" s="390">
        <f t="shared" si="8"/>
        <v>38</v>
      </c>
      <c r="AE17" s="390">
        <f t="shared" si="8"/>
        <v>16</v>
      </c>
      <c r="AF17" s="390">
        <f t="shared" si="8"/>
        <v>7</v>
      </c>
      <c r="AG17" s="312">
        <f t="shared" si="7"/>
        <v>788</v>
      </c>
    </row>
    <row r="18" outlineLevel="1">
      <c r="A18" s="153" t="s">
        <v>611</v>
      </c>
      <c r="B18" s="141">
        <v>9.0</v>
      </c>
      <c r="C18" s="141">
        <v>13.0</v>
      </c>
      <c r="D18" s="141">
        <v>7.0</v>
      </c>
      <c r="E18" s="141">
        <v>13.0</v>
      </c>
      <c r="F18" s="141">
        <v>12.0</v>
      </c>
      <c r="G18" s="141">
        <v>11.0</v>
      </c>
      <c r="H18" s="141">
        <v>10.0</v>
      </c>
      <c r="I18" s="141">
        <v>8.0</v>
      </c>
      <c r="J18" s="141">
        <v>10.0</v>
      </c>
      <c r="K18" s="141">
        <v>5.0</v>
      </c>
      <c r="L18" s="141">
        <v>13.0</v>
      </c>
      <c r="M18" s="141">
        <v>41.0</v>
      </c>
      <c r="N18" s="141">
        <v>19.0</v>
      </c>
      <c r="O18" s="141">
        <v>14.0</v>
      </c>
      <c r="P18" s="141">
        <v>15.0</v>
      </c>
      <c r="Q18" s="141">
        <v>10.0</v>
      </c>
      <c r="R18" s="141">
        <v>5.0</v>
      </c>
      <c r="S18" s="141">
        <v>9.0</v>
      </c>
      <c r="T18" s="141">
        <v>14.0</v>
      </c>
      <c r="U18" s="141">
        <v>5.0</v>
      </c>
      <c r="V18" s="141">
        <v>8.0</v>
      </c>
      <c r="W18" s="141">
        <v>8.0</v>
      </c>
      <c r="X18" s="141">
        <v>7.0</v>
      </c>
      <c r="Y18" s="141">
        <v>7.0</v>
      </c>
      <c r="Z18" s="141">
        <v>10.0</v>
      </c>
      <c r="AA18" s="141">
        <v>10.0</v>
      </c>
      <c r="AB18" s="141">
        <v>3.0</v>
      </c>
      <c r="AC18" s="141">
        <v>9.0</v>
      </c>
      <c r="AD18" s="141">
        <v>6.0</v>
      </c>
      <c r="AE18" s="141">
        <v>6.0</v>
      </c>
      <c r="AF18" s="141">
        <v>3.0</v>
      </c>
      <c r="AG18" s="312">
        <f t="shared" si="7"/>
        <v>320</v>
      </c>
    </row>
    <row r="19" outlineLevel="1">
      <c r="A19" s="153" t="s">
        <v>612</v>
      </c>
      <c r="B19" s="141">
        <v>8.0</v>
      </c>
      <c r="C19" s="141">
        <v>17.0</v>
      </c>
      <c r="D19" s="141">
        <v>15.0</v>
      </c>
      <c r="E19" s="141">
        <v>13.0</v>
      </c>
      <c r="F19" s="141">
        <v>14.0</v>
      </c>
      <c r="G19" s="141">
        <v>11.0</v>
      </c>
      <c r="H19" s="141">
        <v>11.0</v>
      </c>
      <c r="I19" s="141">
        <v>14.0</v>
      </c>
      <c r="J19" s="141">
        <v>23.0</v>
      </c>
      <c r="K19" s="141">
        <v>13.0</v>
      </c>
      <c r="L19" s="141">
        <v>18.0</v>
      </c>
      <c r="M19" s="141">
        <v>13.0</v>
      </c>
      <c r="N19" s="141">
        <v>14.0</v>
      </c>
      <c r="O19" s="141">
        <v>14.0</v>
      </c>
      <c r="P19" s="141">
        <v>16.0</v>
      </c>
      <c r="Q19" s="141">
        <v>10.0</v>
      </c>
      <c r="R19" s="141">
        <v>12.0</v>
      </c>
      <c r="S19" s="141">
        <v>16.0</v>
      </c>
      <c r="T19" s="141">
        <v>12.0</v>
      </c>
      <c r="U19" s="141">
        <v>14.0</v>
      </c>
      <c r="V19" s="141">
        <v>15.0</v>
      </c>
      <c r="W19" s="141">
        <v>13.0</v>
      </c>
      <c r="X19" s="141">
        <v>15.0</v>
      </c>
      <c r="Y19" s="141">
        <v>15.0</v>
      </c>
      <c r="Z19" s="141">
        <v>25.0</v>
      </c>
      <c r="AA19" s="141">
        <v>21.0</v>
      </c>
      <c r="AB19" s="141">
        <v>12.0</v>
      </c>
      <c r="AC19" s="141">
        <v>28.0</v>
      </c>
      <c r="AD19" s="141">
        <v>32.0</v>
      </c>
      <c r="AE19" s="141">
        <v>10.0</v>
      </c>
      <c r="AF19" s="141">
        <v>4.0</v>
      </c>
      <c r="AG19" s="312">
        <f t="shared" si="7"/>
        <v>468</v>
      </c>
    </row>
    <row r="20">
      <c r="A20" s="158" t="s">
        <v>119</v>
      </c>
      <c r="B20" s="391">
        <f t="shared" ref="B20:AF20" si="9">sum(B14+B17)</f>
        <v>137</v>
      </c>
      <c r="C20" s="391">
        <f t="shared" si="9"/>
        <v>141</v>
      </c>
      <c r="D20" s="391">
        <f t="shared" si="9"/>
        <v>165</v>
      </c>
      <c r="E20" s="391">
        <f t="shared" si="9"/>
        <v>169</v>
      </c>
      <c r="F20" s="391">
        <f t="shared" si="9"/>
        <v>165</v>
      </c>
      <c r="G20" s="391">
        <f t="shared" si="9"/>
        <v>139</v>
      </c>
      <c r="H20" s="391">
        <f t="shared" si="9"/>
        <v>130</v>
      </c>
      <c r="I20" s="391">
        <f t="shared" si="9"/>
        <v>128</v>
      </c>
      <c r="J20" s="391">
        <f t="shared" si="9"/>
        <v>168</v>
      </c>
      <c r="K20" s="391">
        <f t="shared" si="9"/>
        <v>145</v>
      </c>
      <c r="L20" s="391">
        <f t="shared" si="9"/>
        <v>210</v>
      </c>
      <c r="M20" s="391">
        <f t="shared" si="9"/>
        <v>380</v>
      </c>
      <c r="N20" s="391">
        <f t="shared" si="9"/>
        <v>255</v>
      </c>
      <c r="O20" s="391">
        <f t="shared" si="9"/>
        <v>169</v>
      </c>
      <c r="P20" s="391">
        <f t="shared" si="9"/>
        <v>146</v>
      </c>
      <c r="Q20" s="391">
        <f t="shared" si="9"/>
        <v>136</v>
      </c>
      <c r="R20" s="391">
        <f t="shared" si="9"/>
        <v>130</v>
      </c>
      <c r="S20" s="391">
        <f t="shared" si="9"/>
        <v>171</v>
      </c>
      <c r="T20" s="391">
        <f t="shared" si="9"/>
        <v>215</v>
      </c>
      <c r="U20" s="391">
        <f t="shared" si="9"/>
        <v>143</v>
      </c>
      <c r="V20" s="391">
        <f t="shared" si="9"/>
        <v>144</v>
      </c>
      <c r="W20" s="391">
        <f t="shared" si="9"/>
        <v>131</v>
      </c>
      <c r="X20" s="391">
        <f t="shared" si="9"/>
        <v>152</v>
      </c>
      <c r="Y20" s="391">
        <f t="shared" si="9"/>
        <v>147</v>
      </c>
      <c r="Z20" s="391">
        <f t="shared" si="9"/>
        <v>260</v>
      </c>
      <c r="AA20" s="391">
        <f t="shared" si="9"/>
        <v>247</v>
      </c>
      <c r="AB20" s="391">
        <f t="shared" si="9"/>
        <v>200</v>
      </c>
      <c r="AC20" s="391">
        <f t="shared" si="9"/>
        <v>183</v>
      </c>
      <c r="AD20" s="391">
        <f t="shared" si="9"/>
        <v>157</v>
      </c>
      <c r="AE20" s="391">
        <f t="shared" si="9"/>
        <v>113</v>
      </c>
      <c r="AF20" s="391">
        <f t="shared" si="9"/>
        <v>110</v>
      </c>
      <c r="AG20" s="312">
        <f t="shared" si="7"/>
        <v>5286</v>
      </c>
    </row>
    <row r="21" outlineLevel="1">
      <c r="A21" s="392" t="s">
        <v>611</v>
      </c>
      <c r="B21" s="83">
        <f t="shared" ref="B21:AF21" si="10">B15+B18</f>
        <v>46</v>
      </c>
      <c r="C21" s="83">
        <f t="shared" si="10"/>
        <v>55</v>
      </c>
      <c r="D21" s="83">
        <f t="shared" si="10"/>
        <v>53</v>
      </c>
      <c r="E21" s="83">
        <f t="shared" si="10"/>
        <v>69</v>
      </c>
      <c r="F21" s="83">
        <f t="shared" si="10"/>
        <v>98</v>
      </c>
      <c r="G21" s="83">
        <f t="shared" si="10"/>
        <v>64</v>
      </c>
      <c r="H21" s="83">
        <f t="shared" si="10"/>
        <v>53</v>
      </c>
      <c r="I21" s="83">
        <f t="shared" si="10"/>
        <v>49</v>
      </c>
      <c r="J21" s="83">
        <f t="shared" si="10"/>
        <v>64</v>
      </c>
      <c r="K21" s="83">
        <f t="shared" si="10"/>
        <v>64</v>
      </c>
      <c r="L21" s="83">
        <f t="shared" si="10"/>
        <v>119</v>
      </c>
      <c r="M21" s="83">
        <f t="shared" si="10"/>
        <v>292</v>
      </c>
      <c r="N21" s="83">
        <f t="shared" si="10"/>
        <v>171</v>
      </c>
      <c r="O21" s="83">
        <f t="shared" si="10"/>
        <v>81</v>
      </c>
      <c r="P21" s="83">
        <f t="shared" si="10"/>
        <v>68</v>
      </c>
      <c r="Q21" s="83">
        <f t="shared" si="10"/>
        <v>57</v>
      </c>
      <c r="R21" s="83">
        <f t="shared" si="10"/>
        <v>54</v>
      </c>
      <c r="S21" s="83">
        <f t="shared" si="10"/>
        <v>100</v>
      </c>
      <c r="T21" s="83">
        <f t="shared" si="10"/>
        <v>137</v>
      </c>
      <c r="U21" s="83">
        <f t="shared" si="10"/>
        <v>73</v>
      </c>
      <c r="V21" s="83">
        <f t="shared" si="10"/>
        <v>52</v>
      </c>
      <c r="W21" s="83">
        <f t="shared" si="10"/>
        <v>64</v>
      </c>
      <c r="X21" s="83">
        <f t="shared" si="10"/>
        <v>52</v>
      </c>
      <c r="Y21" s="83">
        <f t="shared" si="10"/>
        <v>50</v>
      </c>
      <c r="Z21" s="83">
        <f t="shared" si="10"/>
        <v>88</v>
      </c>
      <c r="AA21" s="83">
        <f t="shared" si="10"/>
        <v>81</v>
      </c>
      <c r="AB21" s="83">
        <f t="shared" si="10"/>
        <v>89</v>
      </c>
      <c r="AC21" s="83">
        <f t="shared" si="10"/>
        <v>56</v>
      </c>
      <c r="AD21" s="83">
        <f t="shared" si="10"/>
        <v>43</v>
      </c>
      <c r="AE21" s="83">
        <f t="shared" si="10"/>
        <v>36</v>
      </c>
      <c r="AF21" s="83">
        <f t="shared" si="10"/>
        <v>42</v>
      </c>
      <c r="AG21" s="312">
        <f t="shared" ref="AG21:AG22" si="12">sum(B21:AF21)</f>
        <v>2420</v>
      </c>
    </row>
    <row r="22" outlineLevel="1">
      <c r="A22" s="392" t="s">
        <v>612</v>
      </c>
      <c r="B22" s="83">
        <f t="shared" ref="B22:AF22" si="11">B16+B19</f>
        <v>91</v>
      </c>
      <c r="C22" s="83">
        <f t="shared" si="11"/>
        <v>86</v>
      </c>
      <c r="D22" s="83">
        <f t="shared" si="11"/>
        <v>112</v>
      </c>
      <c r="E22" s="83">
        <f t="shared" si="11"/>
        <v>100</v>
      </c>
      <c r="F22" s="83">
        <f t="shared" si="11"/>
        <v>67</v>
      </c>
      <c r="G22" s="83">
        <f t="shared" si="11"/>
        <v>75</v>
      </c>
      <c r="H22" s="83">
        <f t="shared" si="11"/>
        <v>77</v>
      </c>
      <c r="I22" s="83">
        <f t="shared" si="11"/>
        <v>79</v>
      </c>
      <c r="J22" s="83">
        <f t="shared" si="11"/>
        <v>104</v>
      </c>
      <c r="K22" s="83">
        <f t="shared" si="11"/>
        <v>81</v>
      </c>
      <c r="L22" s="83">
        <f t="shared" si="11"/>
        <v>91</v>
      </c>
      <c r="M22" s="83">
        <f t="shared" si="11"/>
        <v>88</v>
      </c>
      <c r="N22" s="83">
        <f t="shared" si="11"/>
        <v>84</v>
      </c>
      <c r="O22" s="83">
        <f t="shared" si="11"/>
        <v>88</v>
      </c>
      <c r="P22" s="83">
        <f t="shared" si="11"/>
        <v>78</v>
      </c>
      <c r="Q22" s="83">
        <f t="shared" si="11"/>
        <v>79</v>
      </c>
      <c r="R22" s="83">
        <f t="shared" si="11"/>
        <v>76</v>
      </c>
      <c r="S22" s="83">
        <f t="shared" si="11"/>
        <v>71</v>
      </c>
      <c r="T22" s="83">
        <f t="shared" si="11"/>
        <v>78</v>
      </c>
      <c r="U22" s="83">
        <f t="shared" si="11"/>
        <v>70</v>
      </c>
      <c r="V22" s="83">
        <f t="shared" si="11"/>
        <v>92</v>
      </c>
      <c r="W22" s="83">
        <f t="shared" si="11"/>
        <v>67</v>
      </c>
      <c r="X22" s="83">
        <f t="shared" si="11"/>
        <v>100</v>
      </c>
      <c r="Y22" s="83">
        <f t="shared" si="11"/>
        <v>97</v>
      </c>
      <c r="Z22" s="83">
        <f t="shared" si="11"/>
        <v>172</v>
      </c>
      <c r="AA22" s="83">
        <f t="shared" si="11"/>
        <v>166</v>
      </c>
      <c r="AB22" s="83">
        <f t="shared" si="11"/>
        <v>111</v>
      </c>
      <c r="AC22" s="83">
        <f t="shared" si="11"/>
        <v>127</v>
      </c>
      <c r="AD22" s="83">
        <f t="shared" si="11"/>
        <v>114</v>
      </c>
      <c r="AE22" s="83">
        <f t="shared" si="11"/>
        <v>77</v>
      </c>
      <c r="AF22" s="83">
        <f t="shared" si="11"/>
        <v>68</v>
      </c>
      <c r="AG22" s="312">
        <f t="shared" si="12"/>
        <v>2866</v>
      </c>
    </row>
    <row r="23">
      <c r="A23" s="98"/>
      <c r="B23" s="83"/>
      <c r="C23" s="83"/>
      <c r="D23" s="83"/>
      <c r="E23" s="83"/>
      <c r="F23" s="83"/>
      <c r="G23" s="83"/>
      <c r="H23" s="83"/>
      <c r="I23" s="83"/>
      <c r="J23" s="83"/>
      <c r="K23" s="83"/>
      <c r="L23" s="83"/>
      <c r="M23" s="83"/>
      <c r="N23" s="83"/>
      <c r="O23" s="83"/>
      <c r="P23" s="83"/>
      <c r="Q23" s="83"/>
      <c r="R23" s="83"/>
      <c r="S23" s="83"/>
      <c r="T23" s="83"/>
      <c r="U23" s="83"/>
      <c r="V23" s="83"/>
      <c r="W23" s="83"/>
      <c r="X23" s="83"/>
      <c r="Y23" s="83"/>
      <c r="Z23" s="83"/>
      <c r="AA23" s="83"/>
      <c r="AB23" s="83"/>
      <c r="AC23" s="83"/>
      <c r="AD23" s="83"/>
      <c r="AE23" s="83"/>
      <c r="AF23" s="83"/>
      <c r="AG23" s="312"/>
    </row>
    <row r="24">
      <c r="A24" s="138" t="s">
        <v>617</v>
      </c>
      <c r="B24" s="83"/>
      <c r="C24" s="83"/>
      <c r="D24" s="83"/>
      <c r="E24" s="83"/>
      <c r="F24" s="83"/>
      <c r="G24" s="83"/>
      <c r="H24" s="83"/>
      <c r="I24" s="83"/>
      <c r="J24" s="83"/>
      <c r="K24" s="83"/>
      <c r="L24" s="83"/>
      <c r="M24" s="83"/>
      <c r="N24" s="83"/>
      <c r="O24" s="83"/>
      <c r="P24" s="83"/>
      <c r="Q24" s="83"/>
      <c r="R24" s="83"/>
      <c r="S24" s="83"/>
      <c r="T24" s="83"/>
      <c r="U24" s="83"/>
      <c r="V24" s="83"/>
      <c r="W24" s="83"/>
      <c r="X24" s="83"/>
      <c r="Y24" s="83"/>
      <c r="Z24" s="83"/>
      <c r="AA24" s="83"/>
      <c r="AB24" s="83"/>
      <c r="AC24" s="83"/>
      <c r="AD24" s="83"/>
      <c r="AE24" s="83"/>
      <c r="AF24" s="83"/>
      <c r="AG24" s="312"/>
    </row>
    <row r="25">
      <c r="A25" s="215" t="s">
        <v>610</v>
      </c>
      <c r="B25" s="393">
        <f t="shared" ref="B25:AF25" si="13">sum(B26:B27)</f>
        <v>11.98</v>
      </c>
      <c r="C25" s="393">
        <f t="shared" si="13"/>
        <v>29.11</v>
      </c>
      <c r="D25" s="393">
        <f t="shared" si="13"/>
        <v>44.4</v>
      </c>
      <c r="E25" s="393">
        <f t="shared" si="13"/>
        <v>0</v>
      </c>
      <c r="F25" s="393">
        <f t="shared" si="13"/>
        <v>108.96</v>
      </c>
      <c r="G25" s="393">
        <f t="shared" si="13"/>
        <v>29.58</v>
      </c>
      <c r="H25" s="393">
        <f t="shared" si="13"/>
        <v>59.99</v>
      </c>
      <c r="I25" s="393">
        <f t="shared" si="13"/>
        <v>29.99</v>
      </c>
      <c r="J25" s="393">
        <f t="shared" si="13"/>
        <v>94.09</v>
      </c>
      <c r="K25" s="393">
        <f t="shared" si="13"/>
        <v>52.27</v>
      </c>
      <c r="L25" s="393">
        <f t="shared" si="13"/>
        <v>0</v>
      </c>
      <c r="M25" s="393">
        <f t="shared" si="13"/>
        <v>0</v>
      </c>
      <c r="N25" s="393">
        <f t="shared" si="13"/>
        <v>5.02</v>
      </c>
      <c r="O25" s="393">
        <f t="shared" si="13"/>
        <v>29.99</v>
      </c>
      <c r="P25" s="393">
        <f t="shared" si="13"/>
        <v>29.99</v>
      </c>
      <c r="Q25" s="393">
        <f t="shared" si="13"/>
        <v>5.99</v>
      </c>
      <c r="R25" s="393">
        <f t="shared" si="13"/>
        <v>0.4</v>
      </c>
      <c r="S25" s="393">
        <f t="shared" si="13"/>
        <v>63.46</v>
      </c>
      <c r="T25" s="393">
        <f t="shared" si="13"/>
        <v>5.99</v>
      </c>
      <c r="U25" s="393">
        <f t="shared" si="13"/>
        <v>0</v>
      </c>
      <c r="V25" s="393">
        <f t="shared" si="13"/>
        <v>65.98</v>
      </c>
      <c r="W25" s="393">
        <f t="shared" si="13"/>
        <v>0</v>
      </c>
      <c r="X25" s="393">
        <f t="shared" si="13"/>
        <v>68.87</v>
      </c>
      <c r="Y25" s="393">
        <f t="shared" si="13"/>
        <v>92.99</v>
      </c>
      <c r="Z25" s="393">
        <f t="shared" si="13"/>
        <v>59.98</v>
      </c>
      <c r="AA25" s="393">
        <f t="shared" si="13"/>
        <v>0</v>
      </c>
      <c r="AB25" s="393">
        <f t="shared" si="13"/>
        <v>17.7</v>
      </c>
      <c r="AC25" s="393">
        <f t="shared" si="13"/>
        <v>0</v>
      </c>
      <c r="AD25" s="393">
        <f t="shared" si="13"/>
        <v>59.98</v>
      </c>
      <c r="AE25" s="393">
        <f t="shared" si="13"/>
        <v>62.89</v>
      </c>
      <c r="AF25" s="393">
        <f t="shared" si="13"/>
        <v>35.79</v>
      </c>
      <c r="AG25" s="303">
        <f t="shared" ref="AG25:AG31" si="14">SUM(B25:AF25)</f>
        <v>1065.39</v>
      </c>
    </row>
    <row r="26" outlineLevel="1">
      <c r="A26" s="215" t="s">
        <v>611</v>
      </c>
      <c r="B26" s="393">
        <v>0.0</v>
      </c>
      <c r="C26" s="393">
        <v>29.11</v>
      </c>
      <c r="D26" s="393">
        <v>40.81</v>
      </c>
      <c r="E26" s="393">
        <v>0.0</v>
      </c>
      <c r="F26" s="393">
        <v>108.96</v>
      </c>
      <c r="G26" s="393">
        <v>29.58</v>
      </c>
      <c r="H26" s="393">
        <v>59.99</v>
      </c>
      <c r="I26" s="393">
        <v>29.99</v>
      </c>
      <c r="J26" s="393">
        <v>94.09</v>
      </c>
      <c r="K26" s="393">
        <v>52.27</v>
      </c>
      <c r="L26" s="393">
        <v>0.0</v>
      </c>
      <c r="M26" s="393">
        <v>0.0</v>
      </c>
      <c r="N26" s="393">
        <v>0.0</v>
      </c>
      <c r="O26" s="393">
        <v>29.99</v>
      </c>
      <c r="P26" s="393">
        <v>29.99</v>
      </c>
      <c r="Q26" s="393">
        <v>0.0</v>
      </c>
      <c r="R26" s="393">
        <v>0.0</v>
      </c>
      <c r="S26" s="393">
        <v>59.98</v>
      </c>
      <c r="T26" s="393">
        <v>0.0</v>
      </c>
      <c r="U26" s="393">
        <v>0.0</v>
      </c>
      <c r="V26" s="197">
        <v>59.99</v>
      </c>
      <c r="W26" s="197">
        <v>0.0</v>
      </c>
      <c r="X26" s="197">
        <v>59.98</v>
      </c>
      <c r="Y26" s="197">
        <v>85.94</v>
      </c>
      <c r="Z26" s="197">
        <v>59.98</v>
      </c>
      <c r="AA26" s="197">
        <v>0.0</v>
      </c>
      <c r="AB26" s="197">
        <v>17.7</v>
      </c>
      <c r="AC26" s="197">
        <v>0.0</v>
      </c>
      <c r="AD26" s="197">
        <v>59.98</v>
      </c>
      <c r="AE26" s="197">
        <v>59.99</v>
      </c>
      <c r="AF26" s="197">
        <v>29.99</v>
      </c>
      <c r="AG26" s="303">
        <f t="shared" si="14"/>
        <v>998.31</v>
      </c>
    </row>
    <row r="27" outlineLevel="1">
      <c r="A27" s="215" t="s">
        <v>612</v>
      </c>
      <c r="B27" s="393">
        <v>11.98</v>
      </c>
      <c r="C27" s="393">
        <v>0.0</v>
      </c>
      <c r="D27" s="393">
        <v>3.59</v>
      </c>
      <c r="E27" s="393">
        <v>0.0</v>
      </c>
      <c r="F27" s="393">
        <v>0.0</v>
      </c>
      <c r="G27" s="197">
        <v>0.0</v>
      </c>
      <c r="H27" s="197">
        <v>0.0</v>
      </c>
      <c r="I27" s="197">
        <v>0.0</v>
      </c>
      <c r="J27" s="197">
        <v>0.0</v>
      </c>
      <c r="K27" s="393">
        <v>0.0</v>
      </c>
      <c r="L27" s="393">
        <v>0.0</v>
      </c>
      <c r="M27" s="393">
        <v>0.0</v>
      </c>
      <c r="N27" s="393">
        <v>5.02</v>
      </c>
      <c r="O27" s="393">
        <v>0.0</v>
      </c>
      <c r="P27" s="393">
        <v>0.0</v>
      </c>
      <c r="Q27" s="393">
        <v>5.99</v>
      </c>
      <c r="R27" s="393">
        <v>0.4</v>
      </c>
      <c r="S27" s="393">
        <v>3.48</v>
      </c>
      <c r="T27" s="393">
        <v>5.99</v>
      </c>
      <c r="U27" s="393">
        <v>0.0</v>
      </c>
      <c r="V27" s="197">
        <v>5.99</v>
      </c>
      <c r="W27" s="197">
        <v>0.0</v>
      </c>
      <c r="X27" s="197">
        <v>8.89</v>
      </c>
      <c r="Y27" s="197">
        <v>7.05</v>
      </c>
      <c r="Z27" s="197">
        <v>0.0</v>
      </c>
      <c r="AA27" s="197">
        <v>0.0</v>
      </c>
      <c r="AB27" s="197">
        <v>0.0</v>
      </c>
      <c r="AC27" s="197">
        <v>0.0</v>
      </c>
      <c r="AD27" s="197">
        <v>0.0</v>
      </c>
      <c r="AE27" s="197">
        <v>2.9</v>
      </c>
      <c r="AF27" s="197">
        <v>5.8</v>
      </c>
      <c r="AG27" s="303">
        <f t="shared" si="14"/>
        <v>67.08</v>
      </c>
    </row>
    <row r="28">
      <c r="A28" s="215" t="s">
        <v>613</v>
      </c>
      <c r="B28" s="197">
        <f t="shared" ref="B28:AF28" si="15">sum(B29:B30)</f>
        <v>0</v>
      </c>
      <c r="C28" s="197">
        <f t="shared" si="15"/>
        <v>0</v>
      </c>
      <c r="D28" s="197">
        <f t="shared" si="15"/>
        <v>0</v>
      </c>
      <c r="E28" s="197">
        <f t="shared" si="15"/>
        <v>0</v>
      </c>
      <c r="F28" s="197">
        <f t="shared" si="15"/>
        <v>0</v>
      </c>
      <c r="G28" s="197">
        <f t="shared" si="15"/>
        <v>0</v>
      </c>
      <c r="H28" s="197">
        <f t="shared" si="15"/>
        <v>0</v>
      </c>
      <c r="I28" s="197">
        <f t="shared" si="15"/>
        <v>0</v>
      </c>
      <c r="J28" s="197">
        <f t="shared" si="15"/>
        <v>0</v>
      </c>
      <c r="K28" s="197">
        <f t="shared" si="15"/>
        <v>0</v>
      </c>
      <c r="L28" s="197">
        <f t="shared" si="15"/>
        <v>0</v>
      </c>
      <c r="M28" s="197">
        <f t="shared" si="15"/>
        <v>0</v>
      </c>
      <c r="N28" s="197">
        <f t="shared" si="15"/>
        <v>0</v>
      </c>
      <c r="O28" s="197">
        <f t="shared" si="15"/>
        <v>0</v>
      </c>
      <c r="P28" s="197">
        <f t="shared" si="15"/>
        <v>0</v>
      </c>
      <c r="Q28" s="197">
        <f t="shared" si="15"/>
        <v>0</v>
      </c>
      <c r="R28" s="197">
        <f t="shared" si="15"/>
        <v>0</v>
      </c>
      <c r="S28" s="197">
        <f t="shared" si="15"/>
        <v>0</v>
      </c>
      <c r="T28" s="197">
        <f t="shared" si="15"/>
        <v>0</v>
      </c>
      <c r="U28" s="197">
        <f t="shared" si="15"/>
        <v>0</v>
      </c>
      <c r="V28" s="197">
        <f t="shared" si="15"/>
        <v>0</v>
      </c>
      <c r="W28" s="197">
        <f t="shared" si="15"/>
        <v>0</v>
      </c>
      <c r="X28" s="197">
        <f t="shared" si="15"/>
        <v>0</v>
      </c>
      <c r="Y28" s="197">
        <f t="shared" si="15"/>
        <v>0</v>
      </c>
      <c r="Z28" s="197">
        <f t="shared" si="15"/>
        <v>0</v>
      </c>
      <c r="AA28" s="197">
        <f t="shared" si="15"/>
        <v>0</v>
      </c>
      <c r="AB28" s="197">
        <f t="shared" si="15"/>
        <v>0</v>
      </c>
      <c r="AC28" s="197">
        <f t="shared" si="15"/>
        <v>0</v>
      </c>
      <c r="AD28" s="197">
        <f t="shared" si="15"/>
        <v>0.22</v>
      </c>
      <c r="AE28" s="197">
        <f t="shared" si="15"/>
        <v>0</v>
      </c>
      <c r="AF28" s="197">
        <f t="shared" si="15"/>
        <v>0</v>
      </c>
      <c r="AG28" s="303">
        <f t="shared" si="14"/>
        <v>0.22</v>
      </c>
    </row>
    <row r="29" outlineLevel="1">
      <c r="A29" s="215" t="s">
        <v>611</v>
      </c>
      <c r="B29" s="197">
        <v>0.0</v>
      </c>
      <c r="C29" s="197">
        <v>0.0</v>
      </c>
      <c r="D29" s="197">
        <v>0.0</v>
      </c>
      <c r="E29" s="197">
        <v>0.0</v>
      </c>
      <c r="F29" s="197">
        <v>0.0</v>
      </c>
      <c r="G29" s="197">
        <v>0.0</v>
      </c>
      <c r="H29" s="197">
        <v>0.0</v>
      </c>
      <c r="I29" s="197">
        <v>0.0</v>
      </c>
      <c r="J29" s="197">
        <v>0.0</v>
      </c>
      <c r="K29" s="197">
        <v>0.0</v>
      </c>
      <c r="L29" s="197">
        <v>0.0</v>
      </c>
      <c r="M29" s="197">
        <v>0.0</v>
      </c>
      <c r="N29" s="197">
        <v>0.0</v>
      </c>
      <c r="O29" s="197">
        <v>0.0</v>
      </c>
      <c r="P29" s="197">
        <v>0.0</v>
      </c>
      <c r="Q29" s="197">
        <v>0.0</v>
      </c>
      <c r="R29" s="197">
        <v>0.0</v>
      </c>
      <c r="S29" s="197">
        <v>0.0</v>
      </c>
      <c r="T29" s="197">
        <v>0.0</v>
      </c>
      <c r="U29" s="197">
        <v>0.0</v>
      </c>
      <c r="V29" s="197">
        <v>0.0</v>
      </c>
      <c r="W29" s="197">
        <v>0.0</v>
      </c>
      <c r="X29" s="197">
        <v>0.0</v>
      </c>
      <c r="Y29" s="197">
        <v>0.0</v>
      </c>
      <c r="Z29" s="197">
        <v>0.0</v>
      </c>
      <c r="AA29" s="197">
        <v>0.0</v>
      </c>
      <c r="AB29" s="197">
        <v>0.0</v>
      </c>
      <c r="AC29" s="197">
        <v>0.0</v>
      </c>
      <c r="AD29" s="197">
        <v>0.22</v>
      </c>
      <c r="AE29" s="197">
        <v>0.0</v>
      </c>
      <c r="AF29" s="197">
        <v>0.0</v>
      </c>
      <c r="AG29" s="303">
        <f t="shared" si="14"/>
        <v>0.22</v>
      </c>
    </row>
    <row r="30" outlineLevel="1">
      <c r="A30" s="215" t="s">
        <v>612</v>
      </c>
      <c r="B30" s="197">
        <v>0.0</v>
      </c>
      <c r="C30" s="197">
        <v>0.0</v>
      </c>
      <c r="D30" s="197">
        <v>0.0</v>
      </c>
      <c r="E30" s="197">
        <v>0.0</v>
      </c>
      <c r="F30" s="197">
        <v>0.0</v>
      </c>
      <c r="G30" s="197">
        <v>0.0</v>
      </c>
      <c r="H30" s="197">
        <v>0.0</v>
      </c>
      <c r="I30" s="197">
        <v>0.0</v>
      </c>
      <c r="J30" s="197">
        <v>0.0</v>
      </c>
      <c r="K30" s="197">
        <v>0.0</v>
      </c>
      <c r="L30" s="197">
        <v>0.0</v>
      </c>
      <c r="M30" s="197">
        <v>0.0</v>
      </c>
      <c r="N30" s="197">
        <v>0.0</v>
      </c>
      <c r="O30" s="197">
        <v>0.0</v>
      </c>
      <c r="P30" s="197">
        <v>0.0</v>
      </c>
      <c r="Q30" s="197">
        <v>0.0</v>
      </c>
      <c r="R30" s="197">
        <v>0.0</v>
      </c>
      <c r="S30" s="197">
        <v>0.0</v>
      </c>
      <c r="T30" s="197">
        <v>0.0</v>
      </c>
      <c r="U30" s="197">
        <v>0.0</v>
      </c>
      <c r="V30" s="197">
        <v>0.0</v>
      </c>
      <c r="W30" s="197">
        <v>0.0</v>
      </c>
      <c r="X30" s="197">
        <v>0.0</v>
      </c>
      <c r="Y30" s="197">
        <v>0.0</v>
      </c>
      <c r="Z30" s="197">
        <v>0.0</v>
      </c>
      <c r="AA30" s="197">
        <v>0.0</v>
      </c>
      <c r="AB30" s="197">
        <v>0.0</v>
      </c>
      <c r="AC30" s="197">
        <v>0.0</v>
      </c>
      <c r="AD30" s="197">
        <v>0.0</v>
      </c>
      <c r="AE30" s="197">
        <v>0.0</v>
      </c>
      <c r="AF30" s="197">
        <v>0.0</v>
      </c>
      <c r="AG30" s="303">
        <f t="shared" si="14"/>
        <v>0</v>
      </c>
    </row>
    <row r="31">
      <c r="A31" s="227" t="s">
        <v>119</v>
      </c>
      <c r="B31" s="394">
        <f t="shared" ref="B31:AF31" si="16">B25+B28</f>
        <v>11.98</v>
      </c>
      <c r="C31" s="394">
        <f t="shared" si="16"/>
        <v>29.11</v>
      </c>
      <c r="D31" s="394">
        <f t="shared" si="16"/>
        <v>44.4</v>
      </c>
      <c r="E31" s="394">
        <f t="shared" si="16"/>
        <v>0</v>
      </c>
      <c r="F31" s="394">
        <f t="shared" si="16"/>
        <v>108.96</v>
      </c>
      <c r="G31" s="394">
        <f t="shared" si="16"/>
        <v>29.58</v>
      </c>
      <c r="H31" s="394">
        <f t="shared" si="16"/>
        <v>59.99</v>
      </c>
      <c r="I31" s="394">
        <f t="shared" si="16"/>
        <v>29.99</v>
      </c>
      <c r="J31" s="394">
        <f t="shared" si="16"/>
        <v>94.09</v>
      </c>
      <c r="K31" s="394">
        <f t="shared" si="16"/>
        <v>52.27</v>
      </c>
      <c r="L31" s="394">
        <f t="shared" si="16"/>
        <v>0</v>
      </c>
      <c r="M31" s="394">
        <f t="shared" si="16"/>
        <v>0</v>
      </c>
      <c r="N31" s="394">
        <f t="shared" si="16"/>
        <v>5.02</v>
      </c>
      <c r="O31" s="394">
        <f t="shared" si="16"/>
        <v>29.99</v>
      </c>
      <c r="P31" s="394">
        <f t="shared" si="16"/>
        <v>29.99</v>
      </c>
      <c r="Q31" s="394">
        <f t="shared" si="16"/>
        <v>5.99</v>
      </c>
      <c r="R31" s="394">
        <f t="shared" si="16"/>
        <v>0.4</v>
      </c>
      <c r="S31" s="394">
        <f t="shared" si="16"/>
        <v>63.46</v>
      </c>
      <c r="T31" s="394">
        <f t="shared" si="16"/>
        <v>5.99</v>
      </c>
      <c r="U31" s="394">
        <f t="shared" si="16"/>
        <v>0</v>
      </c>
      <c r="V31" s="394">
        <f t="shared" si="16"/>
        <v>65.98</v>
      </c>
      <c r="W31" s="394">
        <f t="shared" si="16"/>
        <v>0</v>
      </c>
      <c r="X31" s="394">
        <f t="shared" si="16"/>
        <v>68.87</v>
      </c>
      <c r="Y31" s="394">
        <f t="shared" si="16"/>
        <v>92.99</v>
      </c>
      <c r="Z31" s="394">
        <f t="shared" si="16"/>
        <v>59.98</v>
      </c>
      <c r="AA31" s="394">
        <f t="shared" si="16"/>
        <v>0</v>
      </c>
      <c r="AB31" s="394">
        <f t="shared" si="16"/>
        <v>17.7</v>
      </c>
      <c r="AC31" s="394">
        <f t="shared" si="16"/>
        <v>0</v>
      </c>
      <c r="AD31" s="394">
        <f t="shared" si="16"/>
        <v>60.2</v>
      </c>
      <c r="AE31" s="394">
        <f t="shared" si="16"/>
        <v>62.89</v>
      </c>
      <c r="AF31" s="394">
        <f t="shared" si="16"/>
        <v>35.79</v>
      </c>
      <c r="AG31" s="303">
        <f t="shared" si="14"/>
        <v>1065.61</v>
      </c>
    </row>
    <row r="32">
      <c r="A32" s="98"/>
      <c r="B32" s="83"/>
      <c r="C32" s="83"/>
      <c r="D32" s="83"/>
      <c r="E32" s="83"/>
      <c r="F32" s="83"/>
      <c r="G32" s="83"/>
      <c r="H32" s="83"/>
      <c r="I32" s="83"/>
      <c r="J32" s="83"/>
      <c r="K32" s="83"/>
      <c r="L32" s="83"/>
      <c r="M32" s="83"/>
      <c r="N32" s="83"/>
      <c r="O32" s="83"/>
      <c r="P32" s="83"/>
      <c r="Q32" s="83"/>
      <c r="R32" s="83"/>
      <c r="S32" s="83"/>
      <c r="T32" s="83"/>
      <c r="U32" s="83"/>
      <c r="V32" s="83"/>
      <c r="W32" s="83"/>
      <c r="X32" s="83"/>
      <c r="Y32" s="83"/>
      <c r="Z32" s="83"/>
      <c r="AA32" s="83"/>
      <c r="AB32" s="83"/>
      <c r="AC32" s="83"/>
      <c r="AD32" s="83"/>
      <c r="AE32" s="83"/>
      <c r="AF32" s="83"/>
      <c r="AG32" s="312"/>
    </row>
    <row r="33">
      <c r="A33" s="138" t="s">
        <v>618</v>
      </c>
      <c r="B33" s="83"/>
      <c r="C33" s="83"/>
      <c r="D33" s="83"/>
      <c r="E33" s="83"/>
      <c r="F33" s="83"/>
      <c r="G33" s="83"/>
      <c r="H33" s="83"/>
      <c r="I33" s="83"/>
      <c r="J33" s="83"/>
      <c r="K33" s="83"/>
      <c r="L33" s="83"/>
      <c r="M33" s="83"/>
      <c r="N33" s="83"/>
      <c r="O33" s="83"/>
      <c r="P33" s="83"/>
      <c r="Q33" s="83"/>
      <c r="R33" s="83"/>
      <c r="S33" s="83"/>
      <c r="T33" s="83"/>
      <c r="U33" s="83"/>
      <c r="V33" s="83"/>
      <c r="W33" s="83"/>
      <c r="X33" s="83"/>
      <c r="Y33" s="83"/>
      <c r="Z33" s="83"/>
      <c r="AA33" s="83"/>
      <c r="AB33" s="83"/>
      <c r="AC33" s="83"/>
      <c r="AD33" s="83"/>
      <c r="AE33" s="83"/>
      <c r="AF33" s="83"/>
      <c r="AG33" s="312"/>
    </row>
    <row r="34">
      <c r="A34" s="215" t="s">
        <v>619</v>
      </c>
      <c r="B34" s="395">
        <f t="shared" ref="B34:AF34" si="17">sum(B35:B36)</f>
        <v>2</v>
      </c>
      <c r="C34" s="395">
        <f t="shared" si="17"/>
        <v>1</v>
      </c>
      <c r="D34" s="395">
        <f t="shared" si="17"/>
        <v>2</v>
      </c>
      <c r="E34" s="395">
        <f t="shared" si="17"/>
        <v>0</v>
      </c>
      <c r="F34" s="395">
        <f t="shared" si="17"/>
        <v>2</v>
      </c>
      <c r="G34" s="395">
        <f t="shared" si="17"/>
        <v>1</v>
      </c>
      <c r="H34" s="395">
        <f t="shared" si="17"/>
        <v>1</v>
      </c>
      <c r="I34" s="395">
        <f t="shared" si="17"/>
        <v>1</v>
      </c>
      <c r="J34" s="395">
        <f t="shared" si="17"/>
        <v>2</v>
      </c>
      <c r="K34" s="395">
        <f t="shared" si="17"/>
        <v>1</v>
      </c>
      <c r="L34" s="395">
        <f t="shared" si="17"/>
        <v>0</v>
      </c>
      <c r="M34" s="395">
        <f t="shared" si="17"/>
        <v>0</v>
      </c>
      <c r="N34" s="395">
        <f t="shared" si="17"/>
        <v>0</v>
      </c>
      <c r="O34" s="395">
        <f t="shared" si="17"/>
        <v>1</v>
      </c>
      <c r="P34" s="395">
        <f t="shared" si="17"/>
        <v>1</v>
      </c>
      <c r="Q34" s="395">
        <f t="shared" si="17"/>
        <v>0</v>
      </c>
      <c r="R34" s="395">
        <f t="shared" si="17"/>
        <v>0</v>
      </c>
      <c r="S34" s="395">
        <f t="shared" si="17"/>
        <v>2</v>
      </c>
      <c r="T34" s="395">
        <f t="shared" si="17"/>
        <v>1</v>
      </c>
      <c r="U34" s="395">
        <f t="shared" si="17"/>
        <v>0</v>
      </c>
      <c r="V34" s="395">
        <f t="shared" si="17"/>
        <v>2</v>
      </c>
      <c r="W34" s="395">
        <f t="shared" si="17"/>
        <v>0</v>
      </c>
      <c r="X34" s="395">
        <f t="shared" si="17"/>
        <v>3</v>
      </c>
      <c r="Y34" s="395">
        <f t="shared" si="17"/>
        <v>3</v>
      </c>
      <c r="Z34" s="395">
        <f t="shared" si="17"/>
        <v>2</v>
      </c>
      <c r="AA34" s="395">
        <f t="shared" si="17"/>
        <v>0</v>
      </c>
      <c r="AB34" s="395">
        <f t="shared" si="17"/>
        <v>1</v>
      </c>
      <c r="AC34" s="395">
        <f t="shared" si="17"/>
        <v>0</v>
      </c>
      <c r="AD34" s="395">
        <f t="shared" si="17"/>
        <v>2</v>
      </c>
      <c r="AE34" s="395">
        <f t="shared" si="17"/>
        <v>1</v>
      </c>
      <c r="AF34" s="395">
        <f t="shared" si="17"/>
        <v>1</v>
      </c>
      <c r="AG34" s="303">
        <f>SUM(B34:AF34)</f>
        <v>33</v>
      </c>
    </row>
    <row r="35" outlineLevel="1">
      <c r="A35" s="215" t="s">
        <v>611</v>
      </c>
      <c r="B35" s="84">
        <v>0.0</v>
      </c>
      <c r="C35" s="84">
        <v>1.0</v>
      </c>
      <c r="D35" s="84">
        <v>1.0</v>
      </c>
      <c r="E35" s="395">
        <v>0.0</v>
      </c>
      <c r="F35" s="395">
        <v>2.0</v>
      </c>
      <c r="G35" s="395">
        <v>1.0</v>
      </c>
      <c r="H35" s="84">
        <v>1.0</v>
      </c>
      <c r="I35" s="84">
        <v>1.0</v>
      </c>
      <c r="J35" s="84">
        <v>2.0</v>
      </c>
      <c r="K35" s="84">
        <v>1.0</v>
      </c>
      <c r="L35" s="84">
        <v>0.0</v>
      </c>
      <c r="M35" s="84">
        <v>0.0</v>
      </c>
      <c r="N35" s="84">
        <v>0.0</v>
      </c>
      <c r="O35" s="84">
        <v>1.0</v>
      </c>
      <c r="P35" s="84">
        <v>1.0</v>
      </c>
      <c r="Q35" s="84">
        <v>0.0</v>
      </c>
      <c r="R35" s="84">
        <v>0.0</v>
      </c>
      <c r="S35" s="84">
        <v>2.0</v>
      </c>
      <c r="T35" s="84">
        <v>0.0</v>
      </c>
      <c r="U35" s="84">
        <v>0.0</v>
      </c>
      <c r="V35" s="84">
        <v>1.0</v>
      </c>
      <c r="W35" s="84">
        <v>0.0</v>
      </c>
      <c r="X35" s="84">
        <v>2.0</v>
      </c>
      <c r="Y35" s="84">
        <v>2.0</v>
      </c>
      <c r="Z35" s="84">
        <v>2.0</v>
      </c>
      <c r="AA35" s="84">
        <v>0.0</v>
      </c>
      <c r="AB35" s="84">
        <v>1.0</v>
      </c>
      <c r="AC35" s="84">
        <v>0.0</v>
      </c>
      <c r="AD35" s="84">
        <v>2.0</v>
      </c>
      <c r="AE35" s="84">
        <v>1.0</v>
      </c>
      <c r="AF35" s="84">
        <v>1.0</v>
      </c>
      <c r="AG35" s="312"/>
    </row>
    <row r="36" outlineLevel="1">
      <c r="A36" s="215" t="s">
        <v>612</v>
      </c>
      <c r="B36" s="84">
        <v>2.0</v>
      </c>
      <c r="C36" s="84">
        <v>0.0</v>
      </c>
      <c r="D36" s="84">
        <v>1.0</v>
      </c>
      <c r="E36" s="84">
        <v>0.0</v>
      </c>
      <c r="F36" s="84">
        <v>0.0</v>
      </c>
      <c r="G36" s="84">
        <v>0.0</v>
      </c>
      <c r="H36" s="84">
        <v>0.0</v>
      </c>
      <c r="I36" s="84">
        <v>0.0</v>
      </c>
      <c r="J36" s="84">
        <v>0.0</v>
      </c>
      <c r="K36" s="84">
        <v>0.0</v>
      </c>
      <c r="L36" s="84">
        <v>0.0</v>
      </c>
      <c r="M36" s="84">
        <v>0.0</v>
      </c>
      <c r="N36" s="84">
        <v>0.0</v>
      </c>
      <c r="O36" s="84">
        <v>0.0</v>
      </c>
      <c r="P36" s="84">
        <v>0.0</v>
      </c>
      <c r="Q36" s="84">
        <v>0.0</v>
      </c>
      <c r="R36" s="84">
        <v>0.0</v>
      </c>
      <c r="S36" s="84">
        <v>0.0</v>
      </c>
      <c r="T36" s="84">
        <v>1.0</v>
      </c>
      <c r="U36" s="84">
        <v>0.0</v>
      </c>
      <c r="V36" s="84">
        <v>1.0</v>
      </c>
      <c r="W36" s="84">
        <v>0.0</v>
      </c>
      <c r="X36" s="84">
        <v>1.0</v>
      </c>
      <c r="Y36" s="84">
        <v>1.0</v>
      </c>
      <c r="Z36" s="84">
        <v>0.0</v>
      </c>
      <c r="AA36" s="84">
        <v>0.0</v>
      </c>
      <c r="AB36" s="84">
        <v>0.0</v>
      </c>
      <c r="AC36" s="84">
        <v>0.0</v>
      </c>
      <c r="AD36" s="84">
        <v>0.0</v>
      </c>
      <c r="AE36" s="84">
        <v>0.0</v>
      </c>
      <c r="AF36" s="84">
        <v>0.0</v>
      </c>
      <c r="AG36" s="312"/>
    </row>
    <row r="37">
      <c r="A37" s="215" t="s">
        <v>620</v>
      </c>
      <c r="B37" s="84">
        <f t="shared" ref="B37:AF37" si="18">sum(B38:B39)</f>
        <v>0</v>
      </c>
      <c r="C37" s="84">
        <f t="shared" si="18"/>
        <v>0</v>
      </c>
      <c r="D37" s="84">
        <f t="shared" si="18"/>
        <v>0</v>
      </c>
      <c r="E37" s="84">
        <f t="shared" si="18"/>
        <v>0</v>
      </c>
      <c r="F37" s="84">
        <f t="shared" si="18"/>
        <v>0</v>
      </c>
      <c r="G37" s="84">
        <f t="shared" si="18"/>
        <v>0</v>
      </c>
      <c r="H37" s="84">
        <f t="shared" si="18"/>
        <v>0</v>
      </c>
      <c r="I37" s="84">
        <f t="shared" si="18"/>
        <v>0</v>
      </c>
      <c r="J37" s="84">
        <f t="shared" si="18"/>
        <v>0</v>
      </c>
      <c r="K37" s="84">
        <f t="shared" si="18"/>
        <v>0</v>
      </c>
      <c r="L37" s="84">
        <f t="shared" si="18"/>
        <v>0</v>
      </c>
      <c r="M37" s="84">
        <f t="shared" si="18"/>
        <v>0</v>
      </c>
      <c r="N37" s="84">
        <f t="shared" si="18"/>
        <v>0</v>
      </c>
      <c r="O37" s="84">
        <f t="shared" si="18"/>
        <v>0</v>
      </c>
      <c r="P37" s="84">
        <f t="shared" si="18"/>
        <v>0</v>
      </c>
      <c r="Q37" s="84">
        <f t="shared" si="18"/>
        <v>0</v>
      </c>
      <c r="R37" s="84">
        <f t="shared" si="18"/>
        <v>0</v>
      </c>
      <c r="S37" s="84">
        <f t="shared" si="18"/>
        <v>0</v>
      </c>
      <c r="T37" s="84">
        <f t="shared" si="18"/>
        <v>0</v>
      </c>
      <c r="U37" s="84">
        <f t="shared" si="18"/>
        <v>0</v>
      </c>
      <c r="V37" s="84">
        <f t="shared" si="18"/>
        <v>0</v>
      </c>
      <c r="W37" s="84">
        <f t="shared" si="18"/>
        <v>0</v>
      </c>
      <c r="X37" s="84">
        <f t="shared" si="18"/>
        <v>0</v>
      </c>
      <c r="Y37" s="84">
        <f t="shared" si="18"/>
        <v>0</v>
      </c>
      <c r="Z37" s="84">
        <f t="shared" si="18"/>
        <v>0</v>
      </c>
      <c r="AA37" s="84">
        <f t="shared" si="18"/>
        <v>0</v>
      </c>
      <c r="AB37" s="84">
        <f t="shared" si="18"/>
        <v>0</v>
      </c>
      <c r="AC37" s="84">
        <f t="shared" si="18"/>
        <v>0</v>
      </c>
      <c r="AD37" s="84">
        <f t="shared" si="18"/>
        <v>1</v>
      </c>
      <c r="AE37" s="84">
        <f t="shared" si="18"/>
        <v>0</v>
      </c>
      <c r="AF37" s="84">
        <f t="shared" si="18"/>
        <v>0</v>
      </c>
      <c r="AG37" s="303">
        <f>SUM(B37:AF37)</f>
        <v>1</v>
      </c>
    </row>
    <row r="38" outlineLevel="1">
      <c r="A38" s="215" t="s">
        <v>611</v>
      </c>
      <c r="B38" s="84">
        <v>0.0</v>
      </c>
      <c r="C38" s="84">
        <v>0.0</v>
      </c>
      <c r="D38" s="84">
        <v>0.0</v>
      </c>
      <c r="E38" s="84">
        <v>0.0</v>
      </c>
      <c r="F38" s="84">
        <v>0.0</v>
      </c>
      <c r="G38" s="84">
        <v>0.0</v>
      </c>
      <c r="H38" s="84">
        <v>0.0</v>
      </c>
      <c r="I38" s="84">
        <v>0.0</v>
      </c>
      <c r="J38" s="84">
        <v>0.0</v>
      </c>
      <c r="K38" s="84">
        <v>0.0</v>
      </c>
      <c r="L38" s="84">
        <v>0.0</v>
      </c>
      <c r="M38" s="84">
        <v>0.0</v>
      </c>
      <c r="N38" s="84">
        <v>0.0</v>
      </c>
      <c r="O38" s="84">
        <v>0.0</v>
      </c>
      <c r="P38" s="84">
        <v>0.0</v>
      </c>
      <c r="Q38" s="84">
        <v>0.0</v>
      </c>
      <c r="R38" s="84">
        <v>0.0</v>
      </c>
      <c r="S38" s="84">
        <v>0.0</v>
      </c>
      <c r="T38" s="84">
        <v>0.0</v>
      </c>
      <c r="U38" s="84">
        <v>0.0</v>
      </c>
      <c r="V38" s="84">
        <v>0.0</v>
      </c>
      <c r="W38" s="84">
        <v>0.0</v>
      </c>
      <c r="X38" s="84">
        <v>0.0</v>
      </c>
      <c r="Y38" s="84">
        <v>0.0</v>
      </c>
      <c r="Z38" s="84">
        <v>0.0</v>
      </c>
      <c r="AA38" s="84">
        <v>0.0</v>
      </c>
      <c r="AB38" s="84">
        <v>0.0</v>
      </c>
      <c r="AC38" s="84">
        <v>0.0</v>
      </c>
      <c r="AD38" s="84">
        <v>1.0</v>
      </c>
      <c r="AE38" s="84">
        <v>0.0</v>
      </c>
      <c r="AF38" s="84">
        <v>0.0</v>
      </c>
      <c r="AG38" s="312"/>
    </row>
    <row r="39" outlineLevel="1">
      <c r="A39" s="215" t="s">
        <v>612</v>
      </c>
      <c r="B39" s="84">
        <v>0.0</v>
      </c>
      <c r="C39" s="84">
        <v>0.0</v>
      </c>
      <c r="D39" s="84">
        <v>0.0</v>
      </c>
      <c r="E39" s="84">
        <v>0.0</v>
      </c>
      <c r="F39" s="84">
        <v>0.0</v>
      </c>
      <c r="G39" s="84">
        <v>0.0</v>
      </c>
      <c r="H39" s="84">
        <v>0.0</v>
      </c>
      <c r="I39" s="84">
        <v>0.0</v>
      </c>
      <c r="J39" s="84">
        <v>0.0</v>
      </c>
      <c r="K39" s="84">
        <v>0.0</v>
      </c>
      <c r="L39" s="84">
        <v>0.0</v>
      </c>
      <c r="M39" s="84">
        <v>0.0</v>
      </c>
      <c r="N39" s="84">
        <v>0.0</v>
      </c>
      <c r="O39" s="84">
        <v>0.0</v>
      </c>
      <c r="P39" s="84">
        <v>0.0</v>
      </c>
      <c r="Q39" s="84">
        <v>0.0</v>
      </c>
      <c r="R39" s="84">
        <v>0.0</v>
      </c>
      <c r="S39" s="84">
        <v>0.0</v>
      </c>
      <c r="T39" s="84">
        <v>0.0</v>
      </c>
      <c r="U39" s="84">
        <v>0.0</v>
      </c>
      <c r="V39" s="84">
        <v>0.0</v>
      </c>
      <c r="W39" s="84">
        <v>0.0</v>
      </c>
      <c r="X39" s="84">
        <v>0.0</v>
      </c>
      <c r="Y39" s="84">
        <v>0.0</v>
      </c>
      <c r="Z39" s="84">
        <v>0.0</v>
      </c>
      <c r="AA39" s="84">
        <v>0.0</v>
      </c>
      <c r="AB39" s="84">
        <v>0.0</v>
      </c>
      <c r="AC39" s="84">
        <v>0.0</v>
      </c>
      <c r="AD39" s="84">
        <v>0.0</v>
      </c>
      <c r="AE39" s="84">
        <v>0.0</v>
      </c>
      <c r="AF39" s="84">
        <v>0.0</v>
      </c>
      <c r="AG39" s="312"/>
    </row>
    <row r="40">
      <c r="A40" s="227" t="s">
        <v>119</v>
      </c>
      <c r="B40" s="396">
        <f t="shared" ref="B40:AF40" si="19">B34+B37</f>
        <v>2</v>
      </c>
      <c r="C40" s="396">
        <f t="shared" si="19"/>
        <v>1</v>
      </c>
      <c r="D40" s="396">
        <f t="shared" si="19"/>
        <v>2</v>
      </c>
      <c r="E40" s="396">
        <f t="shared" si="19"/>
        <v>0</v>
      </c>
      <c r="F40" s="396">
        <f t="shared" si="19"/>
        <v>2</v>
      </c>
      <c r="G40" s="396">
        <f t="shared" si="19"/>
        <v>1</v>
      </c>
      <c r="H40" s="396">
        <f t="shared" si="19"/>
        <v>1</v>
      </c>
      <c r="I40" s="396">
        <f t="shared" si="19"/>
        <v>1</v>
      </c>
      <c r="J40" s="396">
        <f t="shared" si="19"/>
        <v>2</v>
      </c>
      <c r="K40" s="396">
        <f t="shared" si="19"/>
        <v>1</v>
      </c>
      <c r="L40" s="396">
        <f t="shared" si="19"/>
        <v>0</v>
      </c>
      <c r="M40" s="396">
        <f t="shared" si="19"/>
        <v>0</v>
      </c>
      <c r="N40" s="396">
        <f t="shared" si="19"/>
        <v>0</v>
      </c>
      <c r="O40" s="396">
        <f t="shared" si="19"/>
        <v>1</v>
      </c>
      <c r="P40" s="396">
        <f t="shared" si="19"/>
        <v>1</v>
      </c>
      <c r="Q40" s="396">
        <f t="shared" si="19"/>
        <v>0</v>
      </c>
      <c r="R40" s="396">
        <f t="shared" si="19"/>
        <v>0</v>
      </c>
      <c r="S40" s="396">
        <f t="shared" si="19"/>
        <v>2</v>
      </c>
      <c r="T40" s="396">
        <f t="shared" si="19"/>
        <v>1</v>
      </c>
      <c r="U40" s="396">
        <f t="shared" si="19"/>
        <v>0</v>
      </c>
      <c r="V40" s="396">
        <f t="shared" si="19"/>
        <v>2</v>
      </c>
      <c r="W40" s="396">
        <f t="shared" si="19"/>
        <v>0</v>
      </c>
      <c r="X40" s="396">
        <f t="shared" si="19"/>
        <v>3</v>
      </c>
      <c r="Y40" s="396">
        <f t="shared" si="19"/>
        <v>3</v>
      </c>
      <c r="Z40" s="396">
        <f t="shared" si="19"/>
        <v>2</v>
      </c>
      <c r="AA40" s="396">
        <f t="shared" si="19"/>
        <v>0</v>
      </c>
      <c r="AB40" s="396">
        <f t="shared" si="19"/>
        <v>1</v>
      </c>
      <c r="AC40" s="396">
        <f t="shared" si="19"/>
        <v>0</v>
      </c>
      <c r="AD40" s="396">
        <f t="shared" si="19"/>
        <v>3</v>
      </c>
      <c r="AE40" s="396">
        <f t="shared" si="19"/>
        <v>1</v>
      </c>
      <c r="AF40" s="396">
        <f t="shared" si="19"/>
        <v>1</v>
      </c>
      <c r="AG40" s="303">
        <f>SUM(B40:AF40)</f>
        <v>34</v>
      </c>
    </row>
    <row r="41">
      <c r="A41" s="98"/>
      <c r="B41" s="83"/>
      <c r="C41" s="83"/>
      <c r="D41" s="83"/>
      <c r="E41" s="83"/>
      <c r="F41" s="83"/>
      <c r="G41" s="83"/>
      <c r="H41" s="83"/>
      <c r="I41" s="83"/>
      <c r="J41" s="83"/>
      <c r="K41" s="83"/>
      <c r="L41" s="83"/>
      <c r="M41" s="83"/>
      <c r="N41" s="83"/>
      <c r="O41" s="83"/>
      <c r="P41" s="83"/>
      <c r="Q41" s="83"/>
      <c r="R41" s="83"/>
      <c r="S41" s="83"/>
      <c r="T41" s="83"/>
      <c r="U41" s="83"/>
      <c r="V41" s="83"/>
      <c r="W41" s="83"/>
      <c r="X41" s="83"/>
      <c r="Y41" s="83"/>
      <c r="Z41" s="83"/>
      <c r="AA41" s="83"/>
      <c r="AB41" s="83"/>
      <c r="AC41" s="83"/>
      <c r="AD41" s="83"/>
      <c r="AE41" s="83"/>
      <c r="AF41" s="83"/>
      <c r="AG41" s="312"/>
    </row>
    <row r="42">
      <c r="A42" s="138" t="s">
        <v>621</v>
      </c>
      <c r="B42" s="155"/>
      <c r="C42" s="83"/>
      <c r="D42" s="83"/>
      <c r="E42" s="83"/>
      <c r="F42" s="83"/>
      <c r="G42" s="83"/>
      <c r="H42" s="83"/>
      <c r="I42" s="83"/>
      <c r="J42" s="83"/>
      <c r="K42" s="83"/>
      <c r="L42" s="83"/>
      <c r="M42" s="83"/>
      <c r="N42" s="83"/>
      <c r="O42" s="83"/>
      <c r="P42" s="83"/>
      <c r="Q42" s="83"/>
      <c r="R42" s="83"/>
      <c r="S42" s="83"/>
      <c r="T42" s="83"/>
      <c r="U42" s="83"/>
      <c r="V42" s="83"/>
      <c r="W42" s="83"/>
      <c r="X42" s="83"/>
      <c r="Y42" s="83"/>
      <c r="Z42" s="83"/>
      <c r="AA42" s="83"/>
      <c r="AB42" s="83"/>
      <c r="AC42" s="83"/>
      <c r="AD42" s="83"/>
      <c r="AE42" s="83"/>
      <c r="AF42" s="83"/>
      <c r="AG42" s="312"/>
    </row>
    <row r="43">
      <c r="A43" s="397" t="s">
        <v>622</v>
      </c>
      <c r="B43" s="263">
        <f t="shared" ref="B43:AF43" si="20">B5-B25</f>
        <v>1821.979533</v>
      </c>
      <c r="C43" s="263">
        <f t="shared" si="20"/>
        <v>1873.810791</v>
      </c>
      <c r="D43" s="263">
        <f t="shared" si="20"/>
        <v>2091.658474</v>
      </c>
      <c r="E43" s="263">
        <f t="shared" si="20"/>
        <v>2873.717704</v>
      </c>
      <c r="F43" s="263">
        <f t="shared" si="20"/>
        <v>3458.505342</v>
      </c>
      <c r="G43" s="263">
        <f t="shared" si="20"/>
        <v>2415.05</v>
      </c>
      <c r="H43" s="263">
        <f t="shared" si="20"/>
        <v>1933.027552</v>
      </c>
      <c r="I43" s="263">
        <f t="shared" si="20"/>
        <v>1890.192521</v>
      </c>
      <c r="J43" s="263">
        <f t="shared" si="20"/>
        <v>2497.841477</v>
      </c>
      <c r="K43" s="263">
        <f t="shared" si="20"/>
        <v>2433.80327</v>
      </c>
      <c r="L43" s="263">
        <f t="shared" si="20"/>
        <v>4079.790057</v>
      </c>
      <c r="M43" s="263">
        <f t="shared" si="20"/>
        <v>8644.447065</v>
      </c>
      <c r="N43" s="263">
        <f t="shared" si="20"/>
        <v>5416.123995</v>
      </c>
      <c r="O43" s="263">
        <f t="shared" si="20"/>
        <v>2736.319793</v>
      </c>
      <c r="P43" s="263">
        <f t="shared" si="20"/>
        <v>2169.992305</v>
      </c>
      <c r="Q43" s="263">
        <f t="shared" si="20"/>
        <v>2005.794584</v>
      </c>
      <c r="R43" s="263">
        <f t="shared" si="20"/>
        <v>2160.131196</v>
      </c>
      <c r="S43" s="263">
        <f t="shared" si="20"/>
        <v>3522.028661</v>
      </c>
      <c r="T43" s="263">
        <f t="shared" si="20"/>
        <v>5157.646921</v>
      </c>
      <c r="U43" s="263">
        <f t="shared" si="20"/>
        <v>2944.130458</v>
      </c>
      <c r="V43" s="263">
        <f t="shared" si="20"/>
        <v>2130.115638</v>
      </c>
      <c r="W43" s="263">
        <f t="shared" si="20"/>
        <v>2481.674483</v>
      </c>
      <c r="X43" s="263">
        <f t="shared" si="20"/>
        <v>2357.765728</v>
      </c>
      <c r="Y43" s="263">
        <f t="shared" si="20"/>
        <v>2146.734642</v>
      </c>
      <c r="Z43" s="263">
        <f t="shared" si="20"/>
        <v>3906.710592</v>
      </c>
      <c r="AA43" s="263">
        <f t="shared" si="20"/>
        <v>3502.55106</v>
      </c>
      <c r="AB43" s="263">
        <f t="shared" si="20"/>
        <v>3697.459052</v>
      </c>
      <c r="AC43" s="263">
        <f t="shared" si="20"/>
        <v>2433.012392</v>
      </c>
      <c r="AD43" s="263">
        <f t="shared" si="20"/>
        <v>1921.693819</v>
      </c>
      <c r="AE43" s="263">
        <f t="shared" si="20"/>
        <v>1495.036525</v>
      </c>
      <c r="AF43" s="263">
        <f t="shared" si="20"/>
        <v>1984.296535</v>
      </c>
      <c r="AG43" s="303">
        <f t="shared" ref="AG43:AG49" si="22">SUM(B43:AF43)</f>
        <v>90183.04217</v>
      </c>
    </row>
    <row r="44" outlineLevel="1">
      <c r="A44" s="397" t="s">
        <v>611</v>
      </c>
      <c r="B44" s="386">
        <f t="shared" ref="B44:AF44" si="21">B6-B26</f>
        <v>1382.130487</v>
      </c>
      <c r="C44" s="386">
        <f t="shared" si="21"/>
        <v>1499.884412</v>
      </c>
      <c r="D44" s="386">
        <f t="shared" si="21"/>
        <v>1584.32655</v>
      </c>
      <c r="E44" s="386">
        <f t="shared" si="21"/>
        <v>2393.991204</v>
      </c>
      <c r="F44" s="386">
        <f t="shared" si="21"/>
        <v>3196.33919</v>
      </c>
      <c r="G44" s="386">
        <f t="shared" si="21"/>
        <v>2071.968979</v>
      </c>
      <c r="H44" s="386">
        <f t="shared" si="21"/>
        <v>1589.11218</v>
      </c>
      <c r="I44" s="386">
        <f t="shared" si="21"/>
        <v>1558.226805</v>
      </c>
      <c r="J44" s="386">
        <f t="shared" si="21"/>
        <v>2073.587945</v>
      </c>
      <c r="K44" s="386">
        <f t="shared" si="21"/>
        <v>2078.820639</v>
      </c>
      <c r="L44" s="386">
        <f t="shared" si="21"/>
        <v>3683.333719</v>
      </c>
      <c r="M44" s="386">
        <f t="shared" si="21"/>
        <v>8238.966805</v>
      </c>
      <c r="N44" s="386">
        <f t="shared" si="21"/>
        <v>5037.811166</v>
      </c>
      <c r="O44" s="386">
        <f t="shared" si="21"/>
        <v>2338.673901</v>
      </c>
      <c r="P44" s="386">
        <f t="shared" si="21"/>
        <v>1833.589315</v>
      </c>
      <c r="Q44" s="386">
        <f t="shared" si="21"/>
        <v>1652.701258</v>
      </c>
      <c r="R44" s="386">
        <f t="shared" si="21"/>
        <v>1829.51</v>
      </c>
      <c r="S44" s="386">
        <f t="shared" si="21"/>
        <v>3236.293094</v>
      </c>
      <c r="T44" s="386">
        <f t="shared" si="21"/>
        <v>4807.35366</v>
      </c>
      <c r="U44" s="386">
        <f t="shared" si="21"/>
        <v>2640.804458</v>
      </c>
      <c r="V44" s="386">
        <f t="shared" si="21"/>
        <v>1712.459038</v>
      </c>
      <c r="W44" s="386">
        <f t="shared" si="21"/>
        <v>2188.771166</v>
      </c>
      <c r="X44" s="386">
        <f t="shared" si="21"/>
        <v>1887.691151</v>
      </c>
      <c r="Y44" s="386">
        <f t="shared" si="21"/>
        <v>1711.252156</v>
      </c>
      <c r="Z44" s="386">
        <f t="shared" si="21"/>
        <v>3090.356258</v>
      </c>
      <c r="AA44" s="386">
        <f t="shared" si="21"/>
        <v>2704.883773</v>
      </c>
      <c r="AB44" s="386">
        <f t="shared" si="21"/>
        <v>3136.367674</v>
      </c>
      <c r="AC44" s="386">
        <f t="shared" si="21"/>
        <v>1889.53</v>
      </c>
      <c r="AD44" s="386">
        <f t="shared" si="21"/>
        <v>1468.711943</v>
      </c>
      <c r="AE44" s="386">
        <f t="shared" si="21"/>
        <v>1139.71</v>
      </c>
      <c r="AF44" s="386">
        <f t="shared" si="21"/>
        <v>1618.681943</v>
      </c>
      <c r="AG44" s="303">
        <f t="shared" si="22"/>
        <v>77275.84087</v>
      </c>
    </row>
    <row r="45" outlineLevel="1">
      <c r="A45" s="397" t="s">
        <v>612</v>
      </c>
      <c r="B45" s="386">
        <f t="shared" ref="B45:AF45" si="23">B7-B27</f>
        <v>439.849046</v>
      </c>
      <c r="C45" s="386">
        <f t="shared" si="23"/>
        <v>373.926379</v>
      </c>
      <c r="D45" s="386">
        <f t="shared" si="23"/>
        <v>507.331924</v>
      </c>
      <c r="E45" s="386">
        <f t="shared" si="23"/>
        <v>479.7265</v>
      </c>
      <c r="F45" s="386">
        <f t="shared" si="23"/>
        <v>262.166152</v>
      </c>
      <c r="G45" s="386">
        <f t="shared" si="23"/>
        <v>343.082953</v>
      </c>
      <c r="H45" s="386">
        <f t="shared" si="23"/>
        <v>343.915372</v>
      </c>
      <c r="I45" s="386">
        <f t="shared" si="23"/>
        <v>331.965716</v>
      </c>
      <c r="J45" s="386">
        <f t="shared" si="23"/>
        <v>424.253532</v>
      </c>
      <c r="K45" s="386">
        <f t="shared" si="23"/>
        <v>354.982631</v>
      </c>
      <c r="L45" s="386">
        <f t="shared" si="23"/>
        <v>396.456338</v>
      </c>
      <c r="M45" s="386">
        <f t="shared" si="23"/>
        <v>405.48026</v>
      </c>
      <c r="N45" s="386">
        <f t="shared" si="23"/>
        <v>378.312829</v>
      </c>
      <c r="O45" s="386">
        <f t="shared" si="23"/>
        <v>397.645892</v>
      </c>
      <c r="P45" s="386">
        <f t="shared" si="23"/>
        <v>336.40299</v>
      </c>
      <c r="Q45" s="386">
        <f t="shared" si="23"/>
        <v>353.093326</v>
      </c>
      <c r="R45" s="386">
        <f t="shared" si="23"/>
        <v>330.621196</v>
      </c>
      <c r="S45" s="386">
        <f t="shared" si="23"/>
        <v>285.735567</v>
      </c>
      <c r="T45" s="386">
        <f t="shared" si="23"/>
        <v>350.293261</v>
      </c>
      <c r="U45" s="386">
        <f t="shared" si="23"/>
        <v>303.326</v>
      </c>
      <c r="V45" s="386">
        <f t="shared" si="23"/>
        <v>417.6566</v>
      </c>
      <c r="W45" s="386">
        <f t="shared" si="23"/>
        <v>292.903317</v>
      </c>
      <c r="X45" s="386">
        <f t="shared" si="23"/>
        <v>470.074577</v>
      </c>
      <c r="Y45" s="386">
        <f t="shared" si="23"/>
        <v>435.482486</v>
      </c>
      <c r="Z45" s="386">
        <f t="shared" si="23"/>
        <v>816.354334</v>
      </c>
      <c r="AA45" s="386">
        <f t="shared" si="23"/>
        <v>797.667287</v>
      </c>
      <c r="AB45" s="386">
        <f t="shared" si="23"/>
        <v>561.091378</v>
      </c>
      <c r="AC45" s="386">
        <f t="shared" si="23"/>
        <v>543.482392</v>
      </c>
      <c r="AD45" s="386">
        <f t="shared" si="23"/>
        <v>452.981876</v>
      </c>
      <c r="AE45" s="386">
        <f t="shared" si="23"/>
        <v>355.326525</v>
      </c>
      <c r="AF45" s="386">
        <f t="shared" si="23"/>
        <v>365.614592</v>
      </c>
      <c r="AG45" s="303">
        <f t="shared" si="22"/>
        <v>12907.20323</v>
      </c>
    </row>
    <row r="46">
      <c r="A46" s="397" t="s">
        <v>623</v>
      </c>
      <c r="B46" s="263">
        <f t="shared" ref="B46:AF46" si="24">B8-B28</f>
        <v>442.13</v>
      </c>
      <c r="C46" s="263">
        <f t="shared" si="24"/>
        <v>600.57</v>
      </c>
      <c r="D46" s="263">
        <f t="shared" si="24"/>
        <v>430.03</v>
      </c>
      <c r="E46" s="263">
        <f t="shared" si="24"/>
        <v>638.13</v>
      </c>
      <c r="F46" s="263">
        <f t="shared" si="24"/>
        <v>553.3</v>
      </c>
      <c r="G46" s="263">
        <f t="shared" si="24"/>
        <v>600.66</v>
      </c>
      <c r="H46" s="263">
        <f t="shared" si="24"/>
        <v>430.73</v>
      </c>
      <c r="I46" s="263">
        <f t="shared" si="24"/>
        <v>358.99</v>
      </c>
      <c r="J46" s="263">
        <f t="shared" si="24"/>
        <v>572.1</v>
      </c>
      <c r="K46" s="263">
        <f t="shared" si="24"/>
        <v>263.69</v>
      </c>
      <c r="L46" s="263">
        <f t="shared" si="24"/>
        <v>710.78</v>
      </c>
      <c r="M46" s="263">
        <f t="shared" si="24"/>
        <v>1490.46</v>
      </c>
      <c r="N46" s="263">
        <f t="shared" si="24"/>
        <v>738.87</v>
      </c>
      <c r="O46" s="263">
        <f t="shared" si="24"/>
        <v>585.43</v>
      </c>
      <c r="P46" s="263">
        <f t="shared" si="24"/>
        <v>608.68</v>
      </c>
      <c r="Q46" s="263">
        <f t="shared" si="24"/>
        <v>466.5</v>
      </c>
      <c r="R46" s="263">
        <f t="shared" si="24"/>
        <v>268.9</v>
      </c>
      <c r="S46" s="263">
        <f t="shared" si="24"/>
        <v>434.21</v>
      </c>
      <c r="T46" s="263">
        <f t="shared" si="24"/>
        <v>570.31</v>
      </c>
      <c r="U46" s="263">
        <f t="shared" si="24"/>
        <v>324.51</v>
      </c>
      <c r="V46" s="263">
        <f t="shared" si="24"/>
        <v>365.23</v>
      </c>
      <c r="W46" s="263">
        <f t="shared" si="24"/>
        <v>449.2</v>
      </c>
      <c r="X46" s="263">
        <f t="shared" si="24"/>
        <v>379.12</v>
      </c>
      <c r="Y46" s="263">
        <f t="shared" si="24"/>
        <v>374.86</v>
      </c>
      <c r="Z46" s="263">
        <f t="shared" si="24"/>
        <v>584.85</v>
      </c>
      <c r="AA46" s="263">
        <f t="shared" si="24"/>
        <v>637.58</v>
      </c>
      <c r="AB46" s="263">
        <f t="shared" si="24"/>
        <v>189.8</v>
      </c>
      <c r="AC46" s="263">
        <f t="shared" si="24"/>
        <v>473.69</v>
      </c>
      <c r="AD46" s="263">
        <f t="shared" si="24"/>
        <v>483.21</v>
      </c>
      <c r="AE46" s="263">
        <f t="shared" si="24"/>
        <v>280.06</v>
      </c>
      <c r="AF46" s="263">
        <f t="shared" si="24"/>
        <v>236.68</v>
      </c>
      <c r="AG46" s="303">
        <f t="shared" si="22"/>
        <v>15543.26</v>
      </c>
    </row>
    <row r="47" outlineLevel="1">
      <c r="A47" s="397" t="s">
        <v>611</v>
      </c>
      <c r="B47" s="386">
        <f t="shared" ref="B47:AF47" si="25">B9-B29</f>
        <v>391.31</v>
      </c>
      <c r="C47" s="386">
        <f t="shared" si="25"/>
        <v>504.58</v>
      </c>
      <c r="D47" s="386">
        <f t="shared" si="25"/>
        <v>354.15</v>
      </c>
      <c r="E47" s="386">
        <f t="shared" si="25"/>
        <v>570.4</v>
      </c>
      <c r="F47" s="386">
        <f t="shared" si="25"/>
        <v>477.17</v>
      </c>
      <c r="G47" s="386">
        <f t="shared" si="25"/>
        <v>541.51</v>
      </c>
      <c r="H47" s="386">
        <f t="shared" si="25"/>
        <v>373.44</v>
      </c>
      <c r="I47" s="386">
        <f t="shared" si="25"/>
        <v>284.61</v>
      </c>
      <c r="J47" s="386">
        <f t="shared" si="25"/>
        <v>445.17</v>
      </c>
      <c r="K47" s="386">
        <f t="shared" si="25"/>
        <v>190.85</v>
      </c>
      <c r="L47" s="386">
        <f t="shared" si="25"/>
        <v>630.73</v>
      </c>
      <c r="M47" s="386">
        <f t="shared" si="25"/>
        <v>1419.6</v>
      </c>
      <c r="N47" s="386">
        <f t="shared" si="25"/>
        <v>659.58</v>
      </c>
      <c r="O47" s="386">
        <f t="shared" si="25"/>
        <v>506.08</v>
      </c>
      <c r="P47" s="386">
        <f t="shared" si="25"/>
        <v>528.49</v>
      </c>
      <c r="Q47" s="386">
        <f t="shared" si="25"/>
        <v>405.71</v>
      </c>
      <c r="R47" s="386">
        <f t="shared" si="25"/>
        <v>192.72</v>
      </c>
      <c r="S47" s="386">
        <f t="shared" si="25"/>
        <v>347.69</v>
      </c>
      <c r="T47" s="386">
        <f t="shared" si="25"/>
        <v>509.53</v>
      </c>
      <c r="U47" s="386">
        <f t="shared" si="25"/>
        <v>250.73</v>
      </c>
      <c r="V47" s="386">
        <f t="shared" si="25"/>
        <v>286.63</v>
      </c>
      <c r="W47" s="386">
        <f t="shared" si="25"/>
        <v>377.58</v>
      </c>
      <c r="X47" s="386">
        <f t="shared" si="25"/>
        <v>290.01</v>
      </c>
      <c r="Y47" s="386">
        <f t="shared" si="25"/>
        <v>282.79</v>
      </c>
      <c r="Z47" s="386">
        <f t="shared" si="25"/>
        <v>435.62</v>
      </c>
      <c r="AA47" s="386">
        <f t="shared" si="25"/>
        <v>514.05</v>
      </c>
      <c r="AB47" s="386">
        <f t="shared" si="25"/>
        <v>123.3</v>
      </c>
      <c r="AC47" s="386">
        <f t="shared" si="25"/>
        <v>313.42</v>
      </c>
      <c r="AD47" s="386">
        <f t="shared" si="25"/>
        <v>316.71</v>
      </c>
      <c r="AE47" s="386">
        <f t="shared" si="25"/>
        <v>219.97</v>
      </c>
      <c r="AF47" s="386">
        <f t="shared" si="25"/>
        <v>217.91</v>
      </c>
      <c r="AG47" s="303">
        <f t="shared" si="22"/>
        <v>12962.04</v>
      </c>
    </row>
    <row r="48" outlineLevel="1">
      <c r="A48" s="397" t="s">
        <v>612</v>
      </c>
      <c r="B48" s="386">
        <f t="shared" ref="B48:AF48" si="26">B10-B30</f>
        <v>50.82</v>
      </c>
      <c r="C48" s="386">
        <f t="shared" si="26"/>
        <v>95.99</v>
      </c>
      <c r="D48" s="386">
        <f t="shared" si="26"/>
        <v>75.88</v>
      </c>
      <c r="E48" s="386">
        <f t="shared" si="26"/>
        <v>67.73</v>
      </c>
      <c r="F48" s="386">
        <f t="shared" si="26"/>
        <v>76.13</v>
      </c>
      <c r="G48" s="386">
        <f t="shared" si="26"/>
        <v>59.15</v>
      </c>
      <c r="H48" s="386">
        <f t="shared" si="26"/>
        <v>57.29</v>
      </c>
      <c r="I48" s="386">
        <f t="shared" si="26"/>
        <v>74.38</v>
      </c>
      <c r="J48" s="386">
        <f t="shared" si="26"/>
        <v>126.93</v>
      </c>
      <c r="K48" s="386">
        <f t="shared" si="26"/>
        <v>72.84</v>
      </c>
      <c r="L48" s="386">
        <f t="shared" si="26"/>
        <v>80.05</v>
      </c>
      <c r="M48" s="386">
        <f t="shared" si="26"/>
        <v>70.86</v>
      </c>
      <c r="N48" s="386">
        <f t="shared" si="26"/>
        <v>79.29</v>
      </c>
      <c r="O48" s="386">
        <f t="shared" si="26"/>
        <v>79.35</v>
      </c>
      <c r="P48" s="386">
        <f t="shared" si="26"/>
        <v>80.19</v>
      </c>
      <c r="Q48" s="386">
        <f t="shared" si="26"/>
        <v>60.79</v>
      </c>
      <c r="R48" s="386">
        <f t="shared" si="26"/>
        <v>76.18</v>
      </c>
      <c r="S48" s="386">
        <f t="shared" si="26"/>
        <v>86.52</v>
      </c>
      <c r="T48" s="386">
        <f t="shared" si="26"/>
        <v>60.78</v>
      </c>
      <c r="U48" s="386">
        <f t="shared" si="26"/>
        <v>73.78</v>
      </c>
      <c r="V48" s="386">
        <f t="shared" si="26"/>
        <v>78.6</v>
      </c>
      <c r="W48" s="386">
        <f t="shared" si="26"/>
        <v>71.62</v>
      </c>
      <c r="X48" s="386">
        <f t="shared" si="26"/>
        <v>89.11</v>
      </c>
      <c r="Y48" s="386">
        <f t="shared" si="26"/>
        <v>92.07</v>
      </c>
      <c r="Z48" s="386">
        <f t="shared" si="26"/>
        <v>149.23</v>
      </c>
      <c r="AA48" s="386">
        <f t="shared" si="26"/>
        <v>123.53</v>
      </c>
      <c r="AB48" s="386">
        <f t="shared" si="26"/>
        <v>66.5</v>
      </c>
      <c r="AC48" s="386">
        <f t="shared" si="26"/>
        <v>160.27</v>
      </c>
      <c r="AD48" s="386">
        <f t="shared" si="26"/>
        <v>166.5</v>
      </c>
      <c r="AE48" s="386">
        <f t="shared" si="26"/>
        <v>60.09</v>
      </c>
      <c r="AF48" s="386">
        <f t="shared" si="26"/>
        <v>18.77</v>
      </c>
      <c r="AG48" s="303">
        <f t="shared" si="22"/>
        <v>2581.22</v>
      </c>
    </row>
    <row r="49">
      <c r="A49" s="398" t="s">
        <v>119</v>
      </c>
      <c r="B49" s="399">
        <f t="shared" ref="B49:AF49" si="27">B43+B46</f>
        <v>2264.109533</v>
      </c>
      <c r="C49" s="399">
        <f t="shared" si="27"/>
        <v>2474.380791</v>
      </c>
      <c r="D49" s="399">
        <f t="shared" si="27"/>
        <v>2521.688474</v>
      </c>
      <c r="E49" s="399">
        <f t="shared" si="27"/>
        <v>3511.847704</v>
      </c>
      <c r="F49" s="399">
        <f t="shared" si="27"/>
        <v>4011.805342</v>
      </c>
      <c r="G49" s="399">
        <f t="shared" si="27"/>
        <v>3015.71</v>
      </c>
      <c r="H49" s="399">
        <f t="shared" si="27"/>
        <v>2363.757552</v>
      </c>
      <c r="I49" s="399">
        <f t="shared" si="27"/>
        <v>2249.182521</v>
      </c>
      <c r="J49" s="399">
        <f t="shared" si="27"/>
        <v>3069.941477</v>
      </c>
      <c r="K49" s="399">
        <f t="shared" si="27"/>
        <v>2697.49327</v>
      </c>
      <c r="L49" s="399">
        <f t="shared" si="27"/>
        <v>4790.570057</v>
      </c>
      <c r="M49" s="399">
        <f t="shared" si="27"/>
        <v>10134.90707</v>
      </c>
      <c r="N49" s="399">
        <f t="shared" si="27"/>
        <v>6154.993995</v>
      </c>
      <c r="O49" s="399">
        <f t="shared" si="27"/>
        <v>3321.749793</v>
      </c>
      <c r="P49" s="399">
        <f t="shared" si="27"/>
        <v>2778.672305</v>
      </c>
      <c r="Q49" s="399">
        <f t="shared" si="27"/>
        <v>2472.294584</v>
      </c>
      <c r="R49" s="399">
        <f t="shared" si="27"/>
        <v>2429.031196</v>
      </c>
      <c r="S49" s="399">
        <f t="shared" si="27"/>
        <v>3956.238661</v>
      </c>
      <c r="T49" s="399">
        <f t="shared" si="27"/>
        <v>5727.956921</v>
      </c>
      <c r="U49" s="399">
        <f t="shared" si="27"/>
        <v>3268.640458</v>
      </c>
      <c r="V49" s="399">
        <f t="shared" si="27"/>
        <v>2495.345638</v>
      </c>
      <c r="W49" s="399">
        <f t="shared" si="27"/>
        <v>2930.874483</v>
      </c>
      <c r="X49" s="399">
        <f t="shared" si="27"/>
        <v>2736.885728</v>
      </c>
      <c r="Y49" s="399">
        <f t="shared" si="27"/>
        <v>2521.594642</v>
      </c>
      <c r="Z49" s="399">
        <f t="shared" si="27"/>
        <v>4491.560592</v>
      </c>
      <c r="AA49" s="399">
        <f t="shared" si="27"/>
        <v>4140.13106</v>
      </c>
      <c r="AB49" s="399">
        <f t="shared" si="27"/>
        <v>3887.259052</v>
      </c>
      <c r="AC49" s="399">
        <f t="shared" si="27"/>
        <v>2906.702392</v>
      </c>
      <c r="AD49" s="399">
        <f t="shared" si="27"/>
        <v>2404.903819</v>
      </c>
      <c r="AE49" s="399">
        <f t="shared" si="27"/>
        <v>1775.096525</v>
      </c>
      <c r="AF49" s="399">
        <f t="shared" si="27"/>
        <v>2220.976535</v>
      </c>
      <c r="AG49" s="303">
        <f t="shared" si="22"/>
        <v>105726.3022</v>
      </c>
    </row>
    <row r="50">
      <c r="A50" s="98"/>
      <c r="B50" s="83"/>
      <c r="C50" s="83"/>
      <c r="D50" s="83"/>
      <c r="E50" s="83"/>
      <c r="F50" s="83"/>
      <c r="G50" s="83"/>
      <c r="H50" s="83"/>
      <c r="I50" s="83"/>
      <c r="J50" s="83"/>
      <c r="K50" s="83"/>
      <c r="L50" s="83"/>
      <c r="M50" s="83"/>
      <c r="N50" s="83"/>
      <c r="O50" s="83"/>
      <c r="P50" s="83"/>
      <c r="Q50" s="83"/>
      <c r="R50" s="83"/>
      <c r="S50" s="83"/>
      <c r="T50" s="83"/>
      <c r="U50" s="83"/>
      <c r="V50" s="83"/>
      <c r="W50" s="83"/>
      <c r="X50" s="83"/>
      <c r="Y50" s="83"/>
      <c r="Z50" s="83"/>
      <c r="AA50" s="83"/>
      <c r="AB50" s="83"/>
      <c r="AC50" s="83"/>
      <c r="AD50" s="83"/>
      <c r="AE50" s="83"/>
      <c r="AF50" s="83"/>
      <c r="AG50" s="309"/>
    </row>
    <row r="51">
      <c r="A51" s="138" t="s">
        <v>624</v>
      </c>
      <c r="B51" s="83"/>
      <c r="C51" s="83"/>
      <c r="D51" s="83"/>
      <c r="E51" s="83"/>
      <c r="F51" s="83"/>
      <c r="G51" s="83"/>
      <c r="H51" s="83"/>
      <c r="I51" s="83"/>
      <c r="J51" s="83"/>
      <c r="K51" s="83"/>
      <c r="L51" s="83"/>
      <c r="M51" s="83"/>
      <c r="N51" s="83"/>
      <c r="O51" s="83"/>
      <c r="P51" s="83"/>
      <c r="Q51" s="83"/>
      <c r="R51" s="83"/>
      <c r="S51" s="83"/>
      <c r="T51" s="83"/>
      <c r="U51" s="83"/>
      <c r="V51" s="83"/>
      <c r="W51" s="83"/>
      <c r="X51" s="83"/>
      <c r="Y51" s="83"/>
      <c r="Z51" s="83"/>
      <c r="AA51" s="83"/>
      <c r="AB51" s="83"/>
      <c r="AC51" s="83"/>
      <c r="AD51" s="83"/>
      <c r="AE51" s="83"/>
      <c r="AF51" s="83"/>
      <c r="AG51" s="309"/>
    </row>
    <row r="52">
      <c r="A52" s="397" t="s">
        <v>622</v>
      </c>
      <c r="B52" s="83">
        <f t="shared" ref="B52:AF52" si="28">B14-B34</f>
        <v>118</v>
      </c>
      <c r="C52" s="83">
        <f t="shared" si="28"/>
        <v>110</v>
      </c>
      <c r="D52" s="83">
        <f t="shared" si="28"/>
        <v>141</v>
      </c>
      <c r="E52" s="83">
        <f t="shared" si="28"/>
        <v>143</v>
      </c>
      <c r="F52" s="83">
        <f t="shared" si="28"/>
        <v>137</v>
      </c>
      <c r="G52" s="83">
        <f t="shared" si="28"/>
        <v>116</v>
      </c>
      <c r="H52" s="83">
        <f t="shared" si="28"/>
        <v>108</v>
      </c>
      <c r="I52" s="83">
        <f t="shared" si="28"/>
        <v>105</v>
      </c>
      <c r="J52" s="83">
        <f t="shared" si="28"/>
        <v>133</v>
      </c>
      <c r="K52" s="83">
        <f t="shared" si="28"/>
        <v>126</v>
      </c>
      <c r="L52" s="83">
        <f t="shared" si="28"/>
        <v>179</v>
      </c>
      <c r="M52" s="83">
        <f t="shared" si="28"/>
        <v>326</v>
      </c>
      <c r="N52" s="83">
        <f t="shared" si="28"/>
        <v>222</v>
      </c>
      <c r="O52" s="83">
        <f t="shared" si="28"/>
        <v>140</v>
      </c>
      <c r="P52" s="83">
        <f t="shared" si="28"/>
        <v>114</v>
      </c>
      <c r="Q52" s="83">
        <f t="shared" si="28"/>
        <v>116</v>
      </c>
      <c r="R52" s="83">
        <f t="shared" si="28"/>
        <v>113</v>
      </c>
      <c r="S52" s="83">
        <f t="shared" si="28"/>
        <v>144</v>
      </c>
      <c r="T52" s="83">
        <f t="shared" si="28"/>
        <v>188</v>
      </c>
      <c r="U52" s="83">
        <f t="shared" si="28"/>
        <v>124</v>
      </c>
      <c r="V52" s="83">
        <f t="shared" si="28"/>
        <v>119</v>
      </c>
      <c r="W52" s="83">
        <f t="shared" si="28"/>
        <v>110</v>
      </c>
      <c r="X52" s="83">
        <f t="shared" si="28"/>
        <v>127</v>
      </c>
      <c r="Y52" s="83">
        <f t="shared" si="28"/>
        <v>122</v>
      </c>
      <c r="Z52" s="83">
        <f t="shared" si="28"/>
        <v>223</v>
      </c>
      <c r="AA52" s="83">
        <f t="shared" si="28"/>
        <v>216</v>
      </c>
      <c r="AB52" s="83">
        <f t="shared" si="28"/>
        <v>184</v>
      </c>
      <c r="AC52" s="83">
        <f t="shared" si="28"/>
        <v>146</v>
      </c>
      <c r="AD52" s="83">
        <f t="shared" si="28"/>
        <v>117</v>
      </c>
      <c r="AE52" s="83">
        <f t="shared" si="28"/>
        <v>96</v>
      </c>
      <c r="AF52" s="83">
        <f t="shared" si="28"/>
        <v>102</v>
      </c>
      <c r="AG52" s="303">
        <f t="shared" ref="AG52:AG58" si="30">SUM(B52:AF52)</f>
        <v>4465</v>
      </c>
    </row>
    <row r="53" outlineLevel="1">
      <c r="A53" s="397" t="s">
        <v>611</v>
      </c>
      <c r="B53" s="83">
        <f t="shared" ref="B53:AF53" si="29">B15-B35</f>
        <v>37</v>
      </c>
      <c r="C53" s="83">
        <f t="shared" si="29"/>
        <v>41</v>
      </c>
      <c r="D53" s="83">
        <f t="shared" si="29"/>
        <v>45</v>
      </c>
      <c r="E53" s="83">
        <f t="shared" si="29"/>
        <v>56</v>
      </c>
      <c r="F53" s="83">
        <f t="shared" si="29"/>
        <v>84</v>
      </c>
      <c r="G53" s="83">
        <f t="shared" si="29"/>
        <v>52</v>
      </c>
      <c r="H53" s="83">
        <f t="shared" si="29"/>
        <v>42</v>
      </c>
      <c r="I53" s="83">
        <f t="shared" si="29"/>
        <v>40</v>
      </c>
      <c r="J53" s="83">
        <f t="shared" si="29"/>
        <v>52</v>
      </c>
      <c r="K53" s="83">
        <f t="shared" si="29"/>
        <v>58</v>
      </c>
      <c r="L53" s="83">
        <f t="shared" si="29"/>
        <v>106</v>
      </c>
      <c r="M53" s="83">
        <f t="shared" si="29"/>
        <v>251</v>
      </c>
      <c r="N53" s="83">
        <f t="shared" si="29"/>
        <v>152</v>
      </c>
      <c r="O53" s="83">
        <f t="shared" si="29"/>
        <v>66</v>
      </c>
      <c r="P53" s="83">
        <f t="shared" si="29"/>
        <v>52</v>
      </c>
      <c r="Q53" s="83">
        <f t="shared" si="29"/>
        <v>47</v>
      </c>
      <c r="R53" s="83">
        <f t="shared" si="29"/>
        <v>49</v>
      </c>
      <c r="S53" s="83">
        <f t="shared" si="29"/>
        <v>89</v>
      </c>
      <c r="T53" s="83">
        <f t="shared" si="29"/>
        <v>123</v>
      </c>
      <c r="U53" s="83">
        <f t="shared" si="29"/>
        <v>68</v>
      </c>
      <c r="V53" s="83">
        <f t="shared" si="29"/>
        <v>43</v>
      </c>
      <c r="W53" s="83">
        <f t="shared" si="29"/>
        <v>56</v>
      </c>
      <c r="X53" s="83">
        <f t="shared" si="29"/>
        <v>43</v>
      </c>
      <c r="Y53" s="83">
        <f t="shared" si="29"/>
        <v>41</v>
      </c>
      <c r="Z53" s="83">
        <f t="shared" si="29"/>
        <v>76</v>
      </c>
      <c r="AA53" s="83">
        <f t="shared" si="29"/>
        <v>71</v>
      </c>
      <c r="AB53" s="83">
        <f t="shared" si="29"/>
        <v>85</v>
      </c>
      <c r="AC53" s="83">
        <f t="shared" si="29"/>
        <v>47</v>
      </c>
      <c r="AD53" s="83">
        <f t="shared" si="29"/>
        <v>35</v>
      </c>
      <c r="AE53" s="83">
        <f t="shared" si="29"/>
        <v>29</v>
      </c>
      <c r="AF53" s="83">
        <f t="shared" si="29"/>
        <v>38</v>
      </c>
      <c r="AG53" s="303">
        <f t="shared" si="30"/>
        <v>2074</v>
      </c>
    </row>
    <row r="54" outlineLevel="1">
      <c r="A54" s="397" t="s">
        <v>612</v>
      </c>
      <c r="B54" s="83">
        <f t="shared" ref="B54:AF54" si="31">B16-B36</f>
        <v>81</v>
      </c>
      <c r="C54" s="83">
        <f t="shared" si="31"/>
        <v>69</v>
      </c>
      <c r="D54" s="83">
        <f t="shared" si="31"/>
        <v>96</v>
      </c>
      <c r="E54" s="83">
        <f t="shared" si="31"/>
        <v>87</v>
      </c>
      <c r="F54" s="83">
        <f t="shared" si="31"/>
        <v>53</v>
      </c>
      <c r="G54" s="83">
        <f t="shared" si="31"/>
        <v>64</v>
      </c>
      <c r="H54" s="83">
        <f t="shared" si="31"/>
        <v>66</v>
      </c>
      <c r="I54" s="83">
        <f t="shared" si="31"/>
        <v>65</v>
      </c>
      <c r="J54" s="83">
        <f t="shared" si="31"/>
        <v>81</v>
      </c>
      <c r="K54" s="83">
        <f t="shared" si="31"/>
        <v>68</v>
      </c>
      <c r="L54" s="83">
        <f t="shared" si="31"/>
        <v>73</v>
      </c>
      <c r="M54" s="83">
        <f t="shared" si="31"/>
        <v>75</v>
      </c>
      <c r="N54" s="83">
        <f t="shared" si="31"/>
        <v>70</v>
      </c>
      <c r="O54" s="83">
        <f t="shared" si="31"/>
        <v>74</v>
      </c>
      <c r="P54" s="83">
        <f t="shared" si="31"/>
        <v>62</v>
      </c>
      <c r="Q54" s="83">
        <f t="shared" si="31"/>
        <v>69</v>
      </c>
      <c r="R54" s="83">
        <f t="shared" si="31"/>
        <v>64</v>
      </c>
      <c r="S54" s="83">
        <f t="shared" si="31"/>
        <v>55</v>
      </c>
      <c r="T54" s="83">
        <f t="shared" si="31"/>
        <v>65</v>
      </c>
      <c r="U54" s="83">
        <f t="shared" si="31"/>
        <v>56</v>
      </c>
      <c r="V54" s="83">
        <f t="shared" si="31"/>
        <v>76</v>
      </c>
      <c r="W54" s="83">
        <f t="shared" si="31"/>
        <v>54</v>
      </c>
      <c r="X54" s="83">
        <f t="shared" si="31"/>
        <v>84</v>
      </c>
      <c r="Y54" s="83">
        <f t="shared" si="31"/>
        <v>81</v>
      </c>
      <c r="Z54" s="83">
        <f t="shared" si="31"/>
        <v>147</v>
      </c>
      <c r="AA54" s="83">
        <f t="shared" si="31"/>
        <v>145</v>
      </c>
      <c r="AB54" s="83">
        <f t="shared" si="31"/>
        <v>99</v>
      </c>
      <c r="AC54" s="83">
        <f t="shared" si="31"/>
        <v>99</v>
      </c>
      <c r="AD54" s="83">
        <f t="shared" si="31"/>
        <v>82</v>
      </c>
      <c r="AE54" s="83">
        <f t="shared" si="31"/>
        <v>67</v>
      </c>
      <c r="AF54" s="83">
        <f t="shared" si="31"/>
        <v>64</v>
      </c>
      <c r="AG54" s="303">
        <f t="shared" si="30"/>
        <v>2391</v>
      </c>
    </row>
    <row r="55">
      <c r="A55" s="397" t="s">
        <v>623</v>
      </c>
      <c r="B55" s="83">
        <f t="shared" ref="B55:AF55" si="32">B17-B37</f>
        <v>17</v>
      </c>
      <c r="C55" s="83">
        <f t="shared" si="32"/>
        <v>30</v>
      </c>
      <c r="D55" s="83">
        <f t="shared" si="32"/>
        <v>22</v>
      </c>
      <c r="E55" s="83">
        <f t="shared" si="32"/>
        <v>26</v>
      </c>
      <c r="F55" s="83">
        <f t="shared" si="32"/>
        <v>26</v>
      </c>
      <c r="G55" s="83">
        <f t="shared" si="32"/>
        <v>22</v>
      </c>
      <c r="H55" s="83">
        <f t="shared" si="32"/>
        <v>21</v>
      </c>
      <c r="I55" s="83">
        <f t="shared" si="32"/>
        <v>22</v>
      </c>
      <c r="J55" s="83">
        <f t="shared" si="32"/>
        <v>33</v>
      </c>
      <c r="K55" s="83">
        <f t="shared" si="32"/>
        <v>18</v>
      </c>
      <c r="L55" s="83">
        <f t="shared" si="32"/>
        <v>31</v>
      </c>
      <c r="M55" s="83">
        <f t="shared" si="32"/>
        <v>54</v>
      </c>
      <c r="N55" s="83">
        <f t="shared" si="32"/>
        <v>33</v>
      </c>
      <c r="O55" s="83">
        <f t="shared" si="32"/>
        <v>28</v>
      </c>
      <c r="P55" s="83">
        <f t="shared" si="32"/>
        <v>31</v>
      </c>
      <c r="Q55" s="83">
        <f t="shared" si="32"/>
        <v>20</v>
      </c>
      <c r="R55" s="83">
        <f t="shared" si="32"/>
        <v>17</v>
      </c>
      <c r="S55" s="83">
        <f t="shared" si="32"/>
        <v>25</v>
      </c>
      <c r="T55" s="83">
        <f t="shared" si="32"/>
        <v>26</v>
      </c>
      <c r="U55" s="83">
        <f t="shared" si="32"/>
        <v>19</v>
      </c>
      <c r="V55" s="83">
        <f t="shared" si="32"/>
        <v>23</v>
      </c>
      <c r="W55" s="83">
        <f t="shared" si="32"/>
        <v>21</v>
      </c>
      <c r="X55" s="83">
        <f t="shared" si="32"/>
        <v>22</v>
      </c>
      <c r="Y55" s="83">
        <f t="shared" si="32"/>
        <v>22</v>
      </c>
      <c r="Z55" s="83">
        <f t="shared" si="32"/>
        <v>35</v>
      </c>
      <c r="AA55" s="83">
        <f t="shared" si="32"/>
        <v>31</v>
      </c>
      <c r="AB55" s="83">
        <f t="shared" si="32"/>
        <v>15</v>
      </c>
      <c r="AC55" s="83">
        <f t="shared" si="32"/>
        <v>37</v>
      </c>
      <c r="AD55" s="83">
        <f t="shared" si="32"/>
        <v>37</v>
      </c>
      <c r="AE55" s="83">
        <f t="shared" si="32"/>
        <v>16</v>
      </c>
      <c r="AF55" s="83">
        <f t="shared" si="32"/>
        <v>7</v>
      </c>
      <c r="AG55" s="303">
        <f t="shared" si="30"/>
        <v>787</v>
      </c>
    </row>
    <row r="56" outlineLevel="1">
      <c r="A56" s="397" t="s">
        <v>611</v>
      </c>
      <c r="B56" s="83">
        <f t="shared" ref="B56:AF56" si="33">B18-B38</f>
        <v>9</v>
      </c>
      <c r="C56" s="83">
        <f t="shared" si="33"/>
        <v>13</v>
      </c>
      <c r="D56" s="83">
        <f t="shared" si="33"/>
        <v>7</v>
      </c>
      <c r="E56" s="83">
        <f t="shared" si="33"/>
        <v>13</v>
      </c>
      <c r="F56" s="83">
        <f t="shared" si="33"/>
        <v>12</v>
      </c>
      <c r="G56" s="83">
        <f t="shared" si="33"/>
        <v>11</v>
      </c>
      <c r="H56" s="83">
        <f t="shared" si="33"/>
        <v>10</v>
      </c>
      <c r="I56" s="83">
        <f t="shared" si="33"/>
        <v>8</v>
      </c>
      <c r="J56" s="83">
        <f t="shared" si="33"/>
        <v>10</v>
      </c>
      <c r="K56" s="83">
        <f t="shared" si="33"/>
        <v>5</v>
      </c>
      <c r="L56" s="83">
        <f t="shared" si="33"/>
        <v>13</v>
      </c>
      <c r="M56" s="83">
        <f t="shared" si="33"/>
        <v>41</v>
      </c>
      <c r="N56" s="83">
        <f t="shared" si="33"/>
        <v>19</v>
      </c>
      <c r="O56" s="83">
        <f t="shared" si="33"/>
        <v>14</v>
      </c>
      <c r="P56" s="83">
        <f t="shared" si="33"/>
        <v>15</v>
      </c>
      <c r="Q56" s="83">
        <f t="shared" si="33"/>
        <v>10</v>
      </c>
      <c r="R56" s="83">
        <f t="shared" si="33"/>
        <v>5</v>
      </c>
      <c r="S56" s="83">
        <f t="shared" si="33"/>
        <v>9</v>
      </c>
      <c r="T56" s="83">
        <f t="shared" si="33"/>
        <v>14</v>
      </c>
      <c r="U56" s="83">
        <f t="shared" si="33"/>
        <v>5</v>
      </c>
      <c r="V56" s="83">
        <f t="shared" si="33"/>
        <v>8</v>
      </c>
      <c r="W56" s="83">
        <f t="shared" si="33"/>
        <v>8</v>
      </c>
      <c r="X56" s="83">
        <f t="shared" si="33"/>
        <v>7</v>
      </c>
      <c r="Y56" s="83">
        <f t="shared" si="33"/>
        <v>7</v>
      </c>
      <c r="Z56" s="83">
        <f t="shared" si="33"/>
        <v>10</v>
      </c>
      <c r="AA56" s="83">
        <f t="shared" si="33"/>
        <v>10</v>
      </c>
      <c r="AB56" s="83">
        <f t="shared" si="33"/>
        <v>3</v>
      </c>
      <c r="AC56" s="83">
        <f t="shared" si="33"/>
        <v>9</v>
      </c>
      <c r="AD56" s="83">
        <f t="shared" si="33"/>
        <v>5</v>
      </c>
      <c r="AE56" s="83">
        <f t="shared" si="33"/>
        <v>6</v>
      </c>
      <c r="AF56" s="83">
        <f t="shared" si="33"/>
        <v>3</v>
      </c>
      <c r="AG56" s="303">
        <f t="shared" si="30"/>
        <v>319</v>
      </c>
    </row>
    <row r="57" outlineLevel="1">
      <c r="A57" s="397" t="s">
        <v>612</v>
      </c>
      <c r="B57" s="83">
        <f t="shared" ref="B57:AF57" si="34">B19-B39</f>
        <v>8</v>
      </c>
      <c r="C57" s="83">
        <f t="shared" si="34"/>
        <v>17</v>
      </c>
      <c r="D57" s="83">
        <f t="shared" si="34"/>
        <v>15</v>
      </c>
      <c r="E57" s="83">
        <f t="shared" si="34"/>
        <v>13</v>
      </c>
      <c r="F57" s="83">
        <f t="shared" si="34"/>
        <v>14</v>
      </c>
      <c r="G57" s="83">
        <f t="shared" si="34"/>
        <v>11</v>
      </c>
      <c r="H57" s="83">
        <f t="shared" si="34"/>
        <v>11</v>
      </c>
      <c r="I57" s="83">
        <f t="shared" si="34"/>
        <v>14</v>
      </c>
      <c r="J57" s="83">
        <f t="shared" si="34"/>
        <v>23</v>
      </c>
      <c r="K57" s="83">
        <f t="shared" si="34"/>
        <v>13</v>
      </c>
      <c r="L57" s="83">
        <f t="shared" si="34"/>
        <v>18</v>
      </c>
      <c r="M57" s="83">
        <f t="shared" si="34"/>
        <v>13</v>
      </c>
      <c r="N57" s="83">
        <f t="shared" si="34"/>
        <v>14</v>
      </c>
      <c r="O57" s="83">
        <f t="shared" si="34"/>
        <v>14</v>
      </c>
      <c r="P57" s="83">
        <f t="shared" si="34"/>
        <v>16</v>
      </c>
      <c r="Q57" s="83">
        <f t="shared" si="34"/>
        <v>10</v>
      </c>
      <c r="R57" s="83">
        <f t="shared" si="34"/>
        <v>12</v>
      </c>
      <c r="S57" s="83">
        <f t="shared" si="34"/>
        <v>16</v>
      </c>
      <c r="T57" s="83">
        <f t="shared" si="34"/>
        <v>12</v>
      </c>
      <c r="U57" s="83">
        <f t="shared" si="34"/>
        <v>14</v>
      </c>
      <c r="V57" s="83">
        <f t="shared" si="34"/>
        <v>15</v>
      </c>
      <c r="W57" s="83">
        <f t="shared" si="34"/>
        <v>13</v>
      </c>
      <c r="X57" s="83">
        <f t="shared" si="34"/>
        <v>15</v>
      </c>
      <c r="Y57" s="83">
        <f t="shared" si="34"/>
        <v>15</v>
      </c>
      <c r="Z57" s="83">
        <f t="shared" si="34"/>
        <v>25</v>
      </c>
      <c r="AA57" s="83">
        <f t="shared" si="34"/>
        <v>21</v>
      </c>
      <c r="AB57" s="83">
        <f t="shared" si="34"/>
        <v>12</v>
      </c>
      <c r="AC57" s="83">
        <f t="shared" si="34"/>
        <v>28</v>
      </c>
      <c r="AD57" s="83">
        <f t="shared" si="34"/>
        <v>32</v>
      </c>
      <c r="AE57" s="83">
        <f t="shared" si="34"/>
        <v>10</v>
      </c>
      <c r="AF57" s="83">
        <f t="shared" si="34"/>
        <v>4</v>
      </c>
      <c r="AG57" s="303">
        <f t="shared" si="30"/>
        <v>468</v>
      </c>
    </row>
    <row r="58">
      <c r="A58" s="398" t="s">
        <v>119</v>
      </c>
      <c r="B58" s="400">
        <f t="shared" ref="B58:AF58" si="35">B52+B55</f>
        <v>135</v>
      </c>
      <c r="C58" s="400">
        <f t="shared" si="35"/>
        <v>140</v>
      </c>
      <c r="D58" s="400">
        <f t="shared" si="35"/>
        <v>163</v>
      </c>
      <c r="E58" s="400">
        <f t="shared" si="35"/>
        <v>169</v>
      </c>
      <c r="F58" s="400">
        <f t="shared" si="35"/>
        <v>163</v>
      </c>
      <c r="G58" s="400">
        <f t="shared" si="35"/>
        <v>138</v>
      </c>
      <c r="H58" s="400">
        <f t="shared" si="35"/>
        <v>129</v>
      </c>
      <c r="I58" s="400">
        <f t="shared" si="35"/>
        <v>127</v>
      </c>
      <c r="J58" s="400">
        <f t="shared" si="35"/>
        <v>166</v>
      </c>
      <c r="K58" s="400">
        <f t="shared" si="35"/>
        <v>144</v>
      </c>
      <c r="L58" s="400">
        <f t="shared" si="35"/>
        <v>210</v>
      </c>
      <c r="M58" s="400">
        <f t="shared" si="35"/>
        <v>380</v>
      </c>
      <c r="N58" s="400">
        <f t="shared" si="35"/>
        <v>255</v>
      </c>
      <c r="O58" s="400">
        <f t="shared" si="35"/>
        <v>168</v>
      </c>
      <c r="P58" s="400">
        <f t="shared" si="35"/>
        <v>145</v>
      </c>
      <c r="Q58" s="400">
        <f t="shared" si="35"/>
        <v>136</v>
      </c>
      <c r="R58" s="400">
        <f t="shared" si="35"/>
        <v>130</v>
      </c>
      <c r="S58" s="400">
        <f t="shared" si="35"/>
        <v>169</v>
      </c>
      <c r="T58" s="400">
        <f t="shared" si="35"/>
        <v>214</v>
      </c>
      <c r="U58" s="400">
        <f t="shared" si="35"/>
        <v>143</v>
      </c>
      <c r="V58" s="400">
        <f t="shared" si="35"/>
        <v>142</v>
      </c>
      <c r="W58" s="400">
        <f t="shared" si="35"/>
        <v>131</v>
      </c>
      <c r="X58" s="400">
        <f t="shared" si="35"/>
        <v>149</v>
      </c>
      <c r="Y58" s="400">
        <f t="shared" si="35"/>
        <v>144</v>
      </c>
      <c r="Z58" s="400">
        <f t="shared" si="35"/>
        <v>258</v>
      </c>
      <c r="AA58" s="400">
        <f t="shared" si="35"/>
        <v>247</v>
      </c>
      <c r="AB58" s="400">
        <f t="shared" si="35"/>
        <v>199</v>
      </c>
      <c r="AC58" s="400">
        <f t="shared" si="35"/>
        <v>183</v>
      </c>
      <c r="AD58" s="400">
        <f t="shared" si="35"/>
        <v>154</v>
      </c>
      <c r="AE58" s="400">
        <f t="shared" si="35"/>
        <v>112</v>
      </c>
      <c r="AF58" s="400">
        <f t="shared" si="35"/>
        <v>109</v>
      </c>
      <c r="AG58" s="303">
        <f t="shared" si="30"/>
        <v>5252</v>
      </c>
    </row>
    <row r="59">
      <c r="A59" s="166"/>
      <c r="AG59" s="383"/>
    </row>
    <row r="60">
      <c r="A60" s="401"/>
      <c r="B60" s="402"/>
      <c r="C60" s="402"/>
      <c r="D60" s="402"/>
      <c r="E60" s="402"/>
      <c r="F60" s="402"/>
      <c r="G60" s="402"/>
      <c r="H60" s="402"/>
      <c r="I60" s="402"/>
      <c r="J60" s="402"/>
      <c r="K60" s="402"/>
      <c r="L60" s="402"/>
      <c r="M60" s="402"/>
      <c r="N60" s="402"/>
      <c r="O60" s="402"/>
      <c r="P60" s="402"/>
      <c r="Q60" s="402"/>
      <c r="R60" s="402"/>
      <c r="S60" s="402"/>
      <c r="T60" s="402"/>
      <c r="U60" s="402"/>
      <c r="V60" s="402"/>
      <c r="W60" s="402"/>
      <c r="X60" s="402"/>
      <c r="Y60" s="402"/>
      <c r="Z60" s="402"/>
      <c r="AA60" s="402"/>
      <c r="AB60" s="402"/>
      <c r="AC60" s="402"/>
      <c r="AD60" s="402"/>
      <c r="AE60" s="402"/>
      <c r="AF60" s="402"/>
      <c r="AG60" s="383"/>
    </row>
    <row r="61">
      <c r="A61" s="98"/>
      <c r="B61" s="83"/>
      <c r="C61" s="83"/>
      <c r="D61" s="83"/>
      <c r="E61" s="83"/>
      <c r="F61" s="83"/>
      <c r="G61" s="83"/>
      <c r="H61" s="83"/>
      <c r="I61" s="83"/>
      <c r="J61" s="83"/>
      <c r="K61" s="83"/>
      <c r="L61" s="83"/>
      <c r="M61" s="83"/>
      <c r="N61" s="83"/>
      <c r="O61" s="83"/>
      <c r="P61" s="83"/>
      <c r="Q61" s="83"/>
      <c r="R61" s="83"/>
      <c r="S61" s="83"/>
      <c r="T61" s="83"/>
      <c r="U61" s="83"/>
      <c r="V61" s="83"/>
      <c r="W61" s="83"/>
      <c r="X61" s="83"/>
      <c r="Y61" s="83"/>
      <c r="Z61" s="83"/>
      <c r="AA61" s="83"/>
      <c r="AB61" s="83"/>
      <c r="AC61" s="83"/>
      <c r="AD61" s="83"/>
      <c r="AE61" s="83"/>
      <c r="AF61" s="83"/>
      <c r="AG61" s="312"/>
    </row>
    <row r="62">
      <c r="A62" s="138" t="s">
        <v>625</v>
      </c>
      <c r="B62" s="83"/>
      <c r="C62" s="83"/>
      <c r="D62" s="83"/>
      <c r="E62" s="83"/>
      <c r="F62" s="83"/>
      <c r="G62" s="83"/>
      <c r="H62" s="83"/>
      <c r="I62" s="83"/>
      <c r="J62" s="83"/>
      <c r="K62" s="83"/>
      <c r="L62" s="83"/>
      <c r="M62" s="83"/>
      <c r="N62" s="83"/>
      <c r="O62" s="83"/>
      <c r="P62" s="83"/>
      <c r="Q62" s="83"/>
      <c r="R62" s="83"/>
      <c r="S62" s="83"/>
      <c r="T62" s="83"/>
      <c r="U62" s="83"/>
      <c r="V62" s="83"/>
      <c r="W62" s="83"/>
      <c r="X62" s="83"/>
      <c r="Y62" s="83"/>
      <c r="Z62" s="83"/>
      <c r="AA62" s="83"/>
      <c r="AB62" s="83"/>
      <c r="AC62" s="83"/>
      <c r="AD62" s="83"/>
      <c r="AE62" s="83"/>
      <c r="AF62" s="83"/>
      <c r="AG62" s="307"/>
    </row>
    <row r="63">
      <c r="A63" s="215" t="s">
        <v>626</v>
      </c>
      <c r="B63" s="148">
        <f t="shared" ref="B63:AF63" si="36">B5*0.3</f>
        <v>550.1878599</v>
      </c>
      <c r="C63" s="148">
        <f t="shared" si="36"/>
        <v>570.8762373</v>
      </c>
      <c r="D63" s="148">
        <f t="shared" si="36"/>
        <v>640.8175422</v>
      </c>
      <c r="E63" s="148">
        <f t="shared" si="36"/>
        <v>862.1153112</v>
      </c>
      <c r="F63" s="148">
        <f t="shared" si="36"/>
        <v>1070.239603</v>
      </c>
      <c r="G63" s="148">
        <f t="shared" si="36"/>
        <v>733.389</v>
      </c>
      <c r="H63" s="148">
        <f t="shared" si="36"/>
        <v>597.9052656</v>
      </c>
      <c r="I63" s="148">
        <f t="shared" si="36"/>
        <v>576.0547563</v>
      </c>
      <c r="J63" s="148">
        <f t="shared" si="36"/>
        <v>777.5794431</v>
      </c>
      <c r="K63" s="148">
        <f t="shared" si="36"/>
        <v>745.821981</v>
      </c>
      <c r="L63" s="148">
        <f t="shared" si="36"/>
        <v>1223.937017</v>
      </c>
      <c r="M63" s="148">
        <f t="shared" si="36"/>
        <v>2593.33412</v>
      </c>
      <c r="N63" s="148">
        <f t="shared" si="36"/>
        <v>1626.343199</v>
      </c>
      <c r="O63" s="148">
        <f t="shared" si="36"/>
        <v>829.8929379</v>
      </c>
      <c r="P63" s="148">
        <f t="shared" si="36"/>
        <v>659.9946915</v>
      </c>
      <c r="Q63" s="148">
        <f t="shared" si="36"/>
        <v>603.5353752</v>
      </c>
      <c r="R63" s="148">
        <f t="shared" si="36"/>
        <v>648.1593588</v>
      </c>
      <c r="S63" s="148">
        <f t="shared" si="36"/>
        <v>1075.646598</v>
      </c>
      <c r="T63" s="148">
        <f t="shared" si="36"/>
        <v>1549.091076</v>
      </c>
      <c r="U63" s="148">
        <f t="shared" si="36"/>
        <v>883.2391374</v>
      </c>
      <c r="V63" s="148">
        <f t="shared" si="36"/>
        <v>658.8286914</v>
      </c>
      <c r="W63" s="148">
        <f t="shared" si="36"/>
        <v>744.5023449</v>
      </c>
      <c r="X63" s="148">
        <f t="shared" si="36"/>
        <v>727.9907184</v>
      </c>
      <c r="Y63" s="148">
        <f t="shared" si="36"/>
        <v>671.9173926</v>
      </c>
      <c r="Z63" s="148">
        <f t="shared" si="36"/>
        <v>1190.007178</v>
      </c>
      <c r="AA63" s="148">
        <f t="shared" si="36"/>
        <v>1050.765318</v>
      </c>
      <c r="AB63" s="148">
        <f t="shared" si="36"/>
        <v>1114.547716</v>
      </c>
      <c r="AC63" s="148">
        <f t="shared" si="36"/>
        <v>729.9037176</v>
      </c>
      <c r="AD63" s="148">
        <f t="shared" si="36"/>
        <v>594.5021457</v>
      </c>
      <c r="AE63" s="148">
        <f t="shared" si="36"/>
        <v>467.3779575</v>
      </c>
      <c r="AF63" s="148">
        <f t="shared" si="36"/>
        <v>606.0259605</v>
      </c>
      <c r="AG63" s="303">
        <f t="shared" ref="AG63:AG68" si="37">SUM(B63:AF63)</f>
        <v>27374.52965</v>
      </c>
    </row>
    <row r="64">
      <c r="A64" s="215" t="s">
        <v>627</v>
      </c>
      <c r="B64" s="148">
        <v>3.8</v>
      </c>
      <c r="C64" s="148">
        <v>3.87</v>
      </c>
      <c r="D64" s="148">
        <v>5.55</v>
      </c>
      <c r="E64" s="148">
        <v>14.19</v>
      </c>
      <c r="F64" s="148">
        <v>13.68</v>
      </c>
      <c r="G64" s="148">
        <v>20.74</v>
      </c>
      <c r="H64" s="148">
        <v>6.38</v>
      </c>
      <c r="I64" s="148">
        <v>21.34</v>
      </c>
      <c r="J64" s="148">
        <v>21.28</v>
      </c>
      <c r="K64" s="148">
        <v>5.84</v>
      </c>
      <c r="L64" s="148">
        <v>6.11</v>
      </c>
      <c r="M64" s="148">
        <v>9.57</v>
      </c>
      <c r="N64" s="148">
        <v>6.68</v>
      </c>
      <c r="O64" s="148">
        <v>8.08</v>
      </c>
      <c r="P64" s="148">
        <v>7.96</v>
      </c>
      <c r="Q64" s="403">
        <v>3.73</v>
      </c>
      <c r="R64" s="148">
        <v>10.34</v>
      </c>
      <c r="S64" s="148">
        <v>4.92</v>
      </c>
      <c r="T64" s="148">
        <v>24.49</v>
      </c>
      <c r="U64" s="403">
        <v>8.63</v>
      </c>
      <c r="V64" s="148">
        <v>9.66</v>
      </c>
      <c r="W64" s="148">
        <v>6.98</v>
      </c>
      <c r="X64" s="148">
        <v>0.0</v>
      </c>
      <c r="Y64" s="148">
        <v>13.25</v>
      </c>
      <c r="Z64" s="148">
        <v>7.51</v>
      </c>
      <c r="AA64" s="148">
        <v>18.79</v>
      </c>
      <c r="AB64" s="148">
        <v>19.99</v>
      </c>
      <c r="AC64" s="148">
        <v>2.88</v>
      </c>
      <c r="AD64" s="148">
        <v>1.58</v>
      </c>
      <c r="AE64" s="148">
        <v>1.32</v>
      </c>
      <c r="AF64" s="148">
        <v>0.77</v>
      </c>
      <c r="AG64" s="303">
        <f t="shared" si="37"/>
        <v>289.91</v>
      </c>
    </row>
    <row r="65">
      <c r="A65" s="215" t="s">
        <v>628</v>
      </c>
      <c r="B65" s="148">
        <f t="shared" ref="B65:AF65" si="38">B8*0.15</f>
        <v>66.3195</v>
      </c>
      <c r="C65" s="148">
        <f t="shared" si="38"/>
        <v>90.0855</v>
      </c>
      <c r="D65" s="148">
        <f t="shared" si="38"/>
        <v>64.5045</v>
      </c>
      <c r="E65" s="148">
        <f t="shared" si="38"/>
        <v>95.7195</v>
      </c>
      <c r="F65" s="148">
        <f t="shared" si="38"/>
        <v>82.995</v>
      </c>
      <c r="G65" s="148">
        <f t="shared" si="38"/>
        <v>90.099</v>
      </c>
      <c r="H65" s="148">
        <f t="shared" si="38"/>
        <v>64.6095</v>
      </c>
      <c r="I65" s="148">
        <f t="shared" si="38"/>
        <v>53.8485</v>
      </c>
      <c r="J65" s="148">
        <f t="shared" si="38"/>
        <v>85.815</v>
      </c>
      <c r="K65" s="148">
        <f t="shared" si="38"/>
        <v>39.5535</v>
      </c>
      <c r="L65" s="148">
        <f t="shared" si="38"/>
        <v>106.617</v>
      </c>
      <c r="M65" s="148">
        <f t="shared" si="38"/>
        <v>223.569</v>
      </c>
      <c r="N65" s="148">
        <f t="shared" si="38"/>
        <v>110.8305</v>
      </c>
      <c r="O65" s="148">
        <f t="shared" si="38"/>
        <v>87.8145</v>
      </c>
      <c r="P65" s="148">
        <f t="shared" si="38"/>
        <v>91.302</v>
      </c>
      <c r="Q65" s="148">
        <f t="shared" si="38"/>
        <v>69.975</v>
      </c>
      <c r="R65" s="148">
        <f t="shared" si="38"/>
        <v>40.335</v>
      </c>
      <c r="S65" s="148">
        <f t="shared" si="38"/>
        <v>65.1315</v>
      </c>
      <c r="T65" s="148">
        <f t="shared" si="38"/>
        <v>85.5465</v>
      </c>
      <c r="U65" s="148">
        <f t="shared" si="38"/>
        <v>48.6765</v>
      </c>
      <c r="V65" s="148">
        <f t="shared" si="38"/>
        <v>54.7845</v>
      </c>
      <c r="W65" s="148">
        <f t="shared" si="38"/>
        <v>67.38</v>
      </c>
      <c r="X65" s="148">
        <f t="shared" si="38"/>
        <v>56.868</v>
      </c>
      <c r="Y65" s="148">
        <f t="shared" si="38"/>
        <v>56.229</v>
      </c>
      <c r="Z65" s="148">
        <f t="shared" si="38"/>
        <v>87.7275</v>
      </c>
      <c r="AA65" s="148">
        <f t="shared" si="38"/>
        <v>95.637</v>
      </c>
      <c r="AB65" s="148">
        <f t="shared" si="38"/>
        <v>28.47</v>
      </c>
      <c r="AC65" s="148">
        <f t="shared" si="38"/>
        <v>71.0535</v>
      </c>
      <c r="AD65" s="148">
        <f t="shared" si="38"/>
        <v>72.5145</v>
      </c>
      <c r="AE65" s="148">
        <f t="shared" si="38"/>
        <v>42.009</v>
      </c>
      <c r="AF65" s="148">
        <f t="shared" si="38"/>
        <v>35.502</v>
      </c>
      <c r="AG65" s="303">
        <f t="shared" si="37"/>
        <v>2331.522</v>
      </c>
    </row>
    <row r="66">
      <c r="A66" s="215" t="s">
        <v>629</v>
      </c>
      <c r="B66" s="148">
        <v>0.0</v>
      </c>
      <c r="C66" s="148">
        <v>6.46</v>
      </c>
      <c r="D66" s="148">
        <v>1.03</v>
      </c>
      <c r="E66" s="148">
        <v>7.86</v>
      </c>
      <c r="F66" s="148">
        <v>1.63</v>
      </c>
      <c r="G66" s="148">
        <v>0.58</v>
      </c>
      <c r="H66" s="148">
        <v>0.54</v>
      </c>
      <c r="I66" s="148">
        <v>3.31</v>
      </c>
      <c r="J66" s="148">
        <v>6.81</v>
      </c>
      <c r="K66" s="148">
        <v>13.87</v>
      </c>
      <c r="L66" s="148">
        <v>0.0</v>
      </c>
      <c r="M66" s="148">
        <v>2.31</v>
      </c>
      <c r="N66" s="148">
        <v>16.35</v>
      </c>
      <c r="O66" s="148">
        <v>1.03</v>
      </c>
      <c r="P66" s="148">
        <v>2.79</v>
      </c>
      <c r="Q66" s="148">
        <v>2.74</v>
      </c>
      <c r="R66" s="148">
        <v>2.12</v>
      </c>
      <c r="S66" s="148">
        <v>1.04</v>
      </c>
      <c r="T66" s="148">
        <v>2.26</v>
      </c>
      <c r="U66" s="148">
        <v>14.17</v>
      </c>
      <c r="V66" s="148">
        <v>17.14</v>
      </c>
      <c r="W66" s="148">
        <v>2.12</v>
      </c>
      <c r="X66" s="148">
        <v>1.13</v>
      </c>
      <c r="Y66" s="148">
        <v>0.0</v>
      </c>
      <c r="Z66" s="148">
        <v>20.57</v>
      </c>
      <c r="AA66" s="148">
        <v>17.97</v>
      </c>
      <c r="AB66" s="148">
        <v>0.0</v>
      </c>
      <c r="AC66" s="148">
        <v>3.46</v>
      </c>
      <c r="AD66" s="148">
        <v>2.73</v>
      </c>
      <c r="AE66" s="148">
        <v>1.03</v>
      </c>
      <c r="AF66" s="148">
        <v>0.0</v>
      </c>
      <c r="AG66" s="303">
        <f t="shared" si="37"/>
        <v>153.05</v>
      </c>
    </row>
    <row r="67">
      <c r="A67" s="223" t="s">
        <v>630</v>
      </c>
      <c r="B67" s="404">
        <f t="shared" ref="B67:AF67" si="39">B63+B65</f>
        <v>616.5073599</v>
      </c>
      <c r="C67" s="404">
        <f t="shared" si="39"/>
        <v>660.9617373</v>
      </c>
      <c r="D67" s="404">
        <f t="shared" si="39"/>
        <v>705.3220422</v>
      </c>
      <c r="E67" s="404">
        <f t="shared" si="39"/>
        <v>957.8348112</v>
      </c>
      <c r="F67" s="404">
        <f t="shared" si="39"/>
        <v>1153.234603</v>
      </c>
      <c r="G67" s="404">
        <f t="shared" si="39"/>
        <v>823.488</v>
      </c>
      <c r="H67" s="404">
        <f t="shared" si="39"/>
        <v>662.5147656</v>
      </c>
      <c r="I67" s="404">
        <f t="shared" si="39"/>
        <v>629.9032563</v>
      </c>
      <c r="J67" s="404">
        <f t="shared" si="39"/>
        <v>863.3944431</v>
      </c>
      <c r="K67" s="404">
        <f t="shared" si="39"/>
        <v>785.375481</v>
      </c>
      <c r="L67" s="404">
        <f t="shared" si="39"/>
        <v>1330.554017</v>
      </c>
      <c r="M67" s="404">
        <f t="shared" si="39"/>
        <v>2816.90312</v>
      </c>
      <c r="N67" s="404">
        <f t="shared" si="39"/>
        <v>1737.173699</v>
      </c>
      <c r="O67" s="404">
        <f t="shared" si="39"/>
        <v>917.7074379</v>
      </c>
      <c r="P67" s="404">
        <f t="shared" si="39"/>
        <v>751.2966915</v>
      </c>
      <c r="Q67" s="404">
        <f t="shared" si="39"/>
        <v>673.5103752</v>
      </c>
      <c r="R67" s="404">
        <f t="shared" si="39"/>
        <v>688.4943588</v>
      </c>
      <c r="S67" s="404">
        <f t="shared" si="39"/>
        <v>1140.778098</v>
      </c>
      <c r="T67" s="404">
        <f t="shared" si="39"/>
        <v>1634.637576</v>
      </c>
      <c r="U67" s="404">
        <f t="shared" si="39"/>
        <v>931.9156374</v>
      </c>
      <c r="V67" s="404">
        <f t="shared" si="39"/>
        <v>713.6131914</v>
      </c>
      <c r="W67" s="404">
        <f t="shared" si="39"/>
        <v>811.8823449</v>
      </c>
      <c r="X67" s="404">
        <f t="shared" si="39"/>
        <v>784.8587184</v>
      </c>
      <c r="Y67" s="404">
        <f t="shared" si="39"/>
        <v>728.1463926</v>
      </c>
      <c r="Z67" s="404">
        <f t="shared" si="39"/>
        <v>1277.734678</v>
      </c>
      <c r="AA67" s="404">
        <f t="shared" si="39"/>
        <v>1146.402318</v>
      </c>
      <c r="AB67" s="404">
        <f t="shared" si="39"/>
        <v>1143.017716</v>
      </c>
      <c r="AC67" s="404">
        <f t="shared" si="39"/>
        <v>800.9572176</v>
      </c>
      <c r="AD67" s="404">
        <f t="shared" si="39"/>
        <v>667.0166457</v>
      </c>
      <c r="AE67" s="404">
        <f t="shared" si="39"/>
        <v>509.3869575</v>
      </c>
      <c r="AF67" s="404">
        <f t="shared" si="39"/>
        <v>641.5279605</v>
      </c>
      <c r="AG67" s="303">
        <f t="shared" si="37"/>
        <v>29706.05165</v>
      </c>
    </row>
    <row r="68">
      <c r="A68" s="223" t="s">
        <v>631</v>
      </c>
      <c r="B68" s="404">
        <f t="shared" ref="B68:AF68" si="40">B64+B66</f>
        <v>3.8</v>
      </c>
      <c r="C68" s="404">
        <f t="shared" si="40"/>
        <v>10.33</v>
      </c>
      <c r="D68" s="404">
        <f t="shared" si="40"/>
        <v>6.58</v>
      </c>
      <c r="E68" s="404">
        <f t="shared" si="40"/>
        <v>22.05</v>
      </c>
      <c r="F68" s="404">
        <f t="shared" si="40"/>
        <v>15.31</v>
      </c>
      <c r="G68" s="404">
        <f t="shared" si="40"/>
        <v>21.32</v>
      </c>
      <c r="H68" s="404">
        <f t="shared" si="40"/>
        <v>6.92</v>
      </c>
      <c r="I68" s="404">
        <f t="shared" si="40"/>
        <v>24.65</v>
      </c>
      <c r="J68" s="404">
        <f t="shared" si="40"/>
        <v>28.09</v>
      </c>
      <c r="K68" s="404">
        <f t="shared" si="40"/>
        <v>19.71</v>
      </c>
      <c r="L68" s="404">
        <f t="shared" si="40"/>
        <v>6.11</v>
      </c>
      <c r="M68" s="404">
        <f t="shared" si="40"/>
        <v>11.88</v>
      </c>
      <c r="N68" s="404">
        <f t="shared" si="40"/>
        <v>23.03</v>
      </c>
      <c r="O68" s="404">
        <f t="shared" si="40"/>
        <v>9.11</v>
      </c>
      <c r="P68" s="404">
        <f t="shared" si="40"/>
        <v>10.75</v>
      </c>
      <c r="Q68" s="404">
        <f t="shared" si="40"/>
        <v>6.47</v>
      </c>
      <c r="R68" s="404">
        <f t="shared" si="40"/>
        <v>12.46</v>
      </c>
      <c r="S68" s="404">
        <f t="shared" si="40"/>
        <v>5.96</v>
      </c>
      <c r="T68" s="404">
        <f t="shared" si="40"/>
        <v>26.75</v>
      </c>
      <c r="U68" s="404">
        <f t="shared" si="40"/>
        <v>22.8</v>
      </c>
      <c r="V68" s="404">
        <f t="shared" si="40"/>
        <v>26.8</v>
      </c>
      <c r="W68" s="404">
        <f t="shared" si="40"/>
        <v>9.1</v>
      </c>
      <c r="X68" s="404">
        <f t="shared" si="40"/>
        <v>1.13</v>
      </c>
      <c r="Y68" s="404">
        <f t="shared" si="40"/>
        <v>13.25</v>
      </c>
      <c r="Z68" s="404">
        <f t="shared" si="40"/>
        <v>28.08</v>
      </c>
      <c r="AA68" s="404">
        <f t="shared" si="40"/>
        <v>36.76</v>
      </c>
      <c r="AB68" s="404">
        <f t="shared" si="40"/>
        <v>19.99</v>
      </c>
      <c r="AC68" s="404">
        <f t="shared" si="40"/>
        <v>6.34</v>
      </c>
      <c r="AD68" s="404">
        <f t="shared" si="40"/>
        <v>4.31</v>
      </c>
      <c r="AE68" s="404">
        <f t="shared" si="40"/>
        <v>2.35</v>
      </c>
      <c r="AF68" s="404">
        <f t="shared" si="40"/>
        <v>0.77</v>
      </c>
      <c r="AG68" s="303">
        <f t="shared" si="37"/>
        <v>442.96</v>
      </c>
    </row>
    <row r="69">
      <c r="A69" s="98"/>
      <c r="B69" s="83"/>
      <c r="C69" s="83"/>
      <c r="D69" s="83"/>
      <c r="E69" s="83"/>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307"/>
    </row>
    <row r="70">
      <c r="A70" s="138" t="s">
        <v>632</v>
      </c>
      <c r="AG70" s="383"/>
    </row>
    <row r="71">
      <c r="A71" s="215" t="s">
        <v>57</v>
      </c>
      <c r="B71" s="148">
        <f>Summary!B91</f>
        <v>0</v>
      </c>
      <c r="C71" s="148">
        <f>Summary!C91</f>
        <v>0</v>
      </c>
      <c r="D71" s="148">
        <f>Summary!D91</f>
        <v>0</v>
      </c>
      <c r="E71" s="148">
        <f>Summary!E91</f>
        <v>0</v>
      </c>
      <c r="F71" s="148">
        <f>Summary!F91</f>
        <v>0</v>
      </c>
      <c r="G71" s="148">
        <f>Summary!G91</f>
        <v>0</v>
      </c>
      <c r="H71" s="148">
        <f>Summary!H91</f>
        <v>0</v>
      </c>
      <c r="I71" s="148">
        <f>Summary!I91</f>
        <v>0</v>
      </c>
      <c r="J71" s="148">
        <f>Summary!J91</f>
        <v>0</v>
      </c>
      <c r="K71" s="148">
        <f>Summary!K91</f>
        <v>0</v>
      </c>
      <c r="L71" s="148">
        <f>Summary!L91</f>
        <v>0</v>
      </c>
      <c r="M71" s="148">
        <f>Summary!M91</f>
        <v>0</v>
      </c>
      <c r="N71" s="148">
        <f>Summary!N91</f>
        <v>0</v>
      </c>
      <c r="O71" s="148">
        <f>Summary!O91</f>
        <v>0</v>
      </c>
      <c r="P71" s="148">
        <f>Summary!P91</f>
        <v>0</v>
      </c>
      <c r="Q71" s="148">
        <f>Summary!Q91</f>
        <v>0</v>
      </c>
      <c r="R71" s="148">
        <f>Summary!R91</f>
        <v>0</v>
      </c>
      <c r="S71" s="148">
        <f>Summary!S91</f>
        <v>0</v>
      </c>
      <c r="T71" s="148">
        <f>Summary!T91</f>
        <v>0</v>
      </c>
      <c r="U71" s="148">
        <f>Summary!U91</f>
        <v>0</v>
      </c>
      <c r="V71" s="148">
        <f>Summary!V91</f>
        <v>0</v>
      </c>
      <c r="W71" s="148">
        <f>Summary!W91</f>
        <v>0</v>
      </c>
      <c r="X71" s="148">
        <f>Summary!X91</f>
        <v>0</v>
      </c>
      <c r="Y71" s="148">
        <f>Summary!Y91</f>
        <v>0</v>
      </c>
      <c r="Z71" s="148">
        <f>Summary!Z91</f>
        <v>0</v>
      </c>
      <c r="AA71" s="148">
        <f>Summary!AA91</f>
        <v>0</v>
      </c>
      <c r="AB71" s="148">
        <f>Summary!AB91</f>
        <v>0</v>
      </c>
      <c r="AC71" s="148">
        <f>Summary!AC91</f>
        <v>0</v>
      </c>
      <c r="AD71" s="148">
        <f>Summary!AD91</f>
        <v>0</v>
      </c>
      <c r="AE71" s="148">
        <f>Summary!AE91</f>
        <v>0</v>
      </c>
      <c r="AF71" s="148">
        <f>Summary!AF91</f>
        <v>0</v>
      </c>
      <c r="AG71" s="303">
        <f t="shared" ref="AG71:AG74" si="41">SUM(B71:AF71)</f>
        <v>0</v>
      </c>
    </row>
    <row r="72">
      <c r="A72" s="215" t="s">
        <v>70</v>
      </c>
      <c r="B72" s="148">
        <f>Summary!B92</f>
        <v>52.76</v>
      </c>
      <c r="C72" s="148">
        <f>Summary!C92</f>
        <v>81.4</v>
      </c>
      <c r="D72" s="148">
        <f>Summary!D92</f>
        <v>61.34</v>
      </c>
      <c r="E72" s="148">
        <f>Summary!E92</f>
        <v>85.34</v>
      </c>
      <c r="F72" s="148">
        <f>Summary!F92</f>
        <v>71.23</v>
      </c>
      <c r="G72" s="148">
        <f>Summary!G92</f>
        <v>101</v>
      </c>
      <c r="H72" s="148">
        <f>Summary!H92</f>
        <v>100.9</v>
      </c>
      <c r="I72" s="148">
        <f>Summary!I92</f>
        <v>99.46</v>
      </c>
      <c r="J72" s="148">
        <f>Summary!J92</f>
        <v>18.33</v>
      </c>
      <c r="K72" s="148">
        <f>Summary!K92</f>
        <v>0</v>
      </c>
      <c r="L72" s="148">
        <f>Summary!L92</f>
        <v>0</v>
      </c>
      <c r="M72" s="148">
        <f>Summary!M92</f>
        <v>0</v>
      </c>
      <c r="N72" s="148">
        <f>Summary!N92</f>
        <v>0</v>
      </c>
      <c r="O72" s="148">
        <f>Summary!O92</f>
        <v>0</v>
      </c>
      <c r="P72" s="148">
        <f>Summary!P92</f>
        <v>0</v>
      </c>
      <c r="Q72" s="148">
        <f>Summary!Q92</f>
        <v>0</v>
      </c>
      <c r="R72" s="148">
        <f>Summary!R92</f>
        <v>0</v>
      </c>
      <c r="S72" s="148">
        <f>Summary!S92</f>
        <v>0</v>
      </c>
      <c r="T72" s="148">
        <f>Summary!T92</f>
        <v>0</v>
      </c>
      <c r="U72" s="148">
        <f>Summary!U92</f>
        <v>0</v>
      </c>
      <c r="V72" s="148">
        <f>Summary!V92</f>
        <v>0</v>
      </c>
      <c r="W72" s="148">
        <f>Summary!W92</f>
        <v>0</v>
      </c>
      <c r="X72" s="148">
        <f>Summary!X92</f>
        <v>0</v>
      </c>
      <c r="Y72" s="148">
        <f>Summary!Y92</f>
        <v>0</v>
      </c>
      <c r="Z72" s="148">
        <f>Summary!Z92</f>
        <v>0</v>
      </c>
      <c r="AA72" s="148">
        <f>Summary!AA92</f>
        <v>0</v>
      </c>
      <c r="AB72" s="148">
        <f>Summary!AB92</f>
        <v>0</v>
      </c>
      <c r="AC72" s="148">
        <f>Summary!AC92</f>
        <v>0</v>
      </c>
      <c r="AD72" s="148">
        <f>Summary!AD92</f>
        <v>0</v>
      </c>
      <c r="AE72" s="148">
        <f>Summary!AE92</f>
        <v>0</v>
      </c>
      <c r="AF72" s="148">
        <f>Summary!AF92</f>
        <v>0</v>
      </c>
      <c r="AG72" s="303">
        <f t="shared" si="41"/>
        <v>671.76</v>
      </c>
    </row>
    <row r="73">
      <c r="A73" s="215" t="s">
        <v>58</v>
      </c>
      <c r="B73" s="148">
        <f>Summary!B93</f>
        <v>0</v>
      </c>
      <c r="C73" s="148">
        <f>Summary!C93</f>
        <v>0</v>
      </c>
      <c r="D73" s="148">
        <f>Summary!D93</f>
        <v>0</v>
      </c>
      <c r="E73" s="148">
        <f>Summary!E93</f>
        <v>0</v>
      </c>
      <c r="F73" s="148">
        <f>Summary!F93</f>
        <v>0</v>
      </c>
      <c r="G73" s="148">
        <f>Summary!G93</f>
        <v>0</v>
      </c>
      <c r="H73" s="148">
        <f>Summary!H93</f>
        <v>0</v>
      </c>
      <c r="I73" s="148">
        <f>Summary!I93</f>
        <v>0</v>
      </c>
      <c r="J73" s="148">
        <f>Summary!J93</f>
        <v>0</v>
      </c>
      <c r="K73" s="148">
        <f>Summary!K93</f>
        <v>0</v>
      </c>
      <c r="L73" s="148">
        <f>Summary!L93</f>
        <v>0</v>
      </c>
      <c r="M73" s="148">
        <f>Summary!M93</f>
        <v>0</v>
      </c>
      <c r="N73" s="148">
        <f>Summary!N93</f>
        <v>0</v>
      </c>
      <c r="O73" s="148">
        <f>Summary!O93</f>
        <v>0</v>
      </c>
      <c r="P73" s="148">
        <f>Summary!P93</f>
        <v>0</v>
      </c>
      <c r="Q73" s="148">
        <f>Summary!Q93</f>
        <v>0</v>
      </c>
      <c r="R73" s="148">
        <f>Summary!R93</f>
        <v>0</v>
      </c>
      <c r="S73" s="148">
        <f>Summary!S93</f>
        <v>0</v>
      </c>
      <c r="T73" s="148">
        <f>Summary!T93</f>
        <v>0</v>
      </c>
      <c r="U73" s="148">
        <f>Summary!U93</f>
        <v>0</v>
      </c>
      <c r="V73" s="148">
        <f>Summary!V93</f>
        <v>0</v>
      </c>
      <c r="W73" s="148">
        <f>Summary!W93</f>
        <v>0</v>
      </c>
      <c r="X73" s="148">
        <f>Summary!X93</f>
        <v>0</v>
      </c>
      <c r="Y73" s="148">
        <f>Summary!Y93</f>
        <v>0</v>
      </c>
      <c r="Z73" s="148">
        <f>Summary!Z93</f>
        <v>0</v>
      </c>
      <c r="AA73" s="148">
        <f>Summary!AA93</f>
        <v>0</v>
      </c>
      <c r="AB73" s="148">
        <f>Summary!AB93</f>
        <v>0</v>
      </c>
      <c r="AC73" s="148">
        <f>Summary!AC93</f>
        <v>0</v>
      </c>
      <c r="AD73" s="148">
        <f>Summary!AD93</f>
        <v>0</v>
      </c>
      <c r="AE73" s="148">
        <f>Summary!AE93</f>
        <v>0</v>
      </c>
      <c r="AF73" s="148">
        <f>Summary!AF93</f>
        <v>0</v>
      </c>
      <c r="AG73" s="303">
        <f t="shared" si="41"/>
        <v>0</v>
      </c>
    </row>
    <row r="74">
      <c r="A74" s="223" t="s">
        <v>119</v>
      </c>
      <c r="B74" s="405">
        <f t="shared" ref="B74:AF74" si="42">SUM(B71:B73)</f>
        <v>52.76</v>
      </c>
      <c r="C74" s="405">
        <f t="shared" si="42"/>
        <v>81.4</v>
      </c>
      <c r="D74" s="405">
        <f t="shared" si="42"/>
        <v>61.34</v>
      </c>
      <c r="E74" s="405">
        <f t="shared" si="42"/>
        <v>85.34</v>
      </c>
      <c r="F74" s="405">
        <f t="shared" si="42"/>
        <v>71.23</v>
      </c>
      <c r="G74" s="405">
        <f t="shared" si="42"/>
        <v>101</v>
      </c>
      <c r="H74" s="405">
        <f t="shared" si="42"/>
        <v>100.9</v>
      </c>
      <c r="I74" s="405">
        <f t="shared" si="42"/>
        <v>99.46</v>
      </c>
      <c r="J74" s="405">
        <f t="shared" si="42"/>
        <v>18.33</v>
      </c>
      <c r="K74" s="405">
        <f t="shared" si="42"/>
        <v>0</v>
      </c>
      <c r="L74" s="405">
        <f t="shared" si="42"/>
        <v>0</v>
      </c>
      <c r="M74" s="405">
        <f t="shared" si="42"/>
        <v>0</v>
      </c>
      <c r="N74" s="405">
        <f t="shared" si="42"/>
        <v>0</v>
      </c>
      <c r="O74" s="405">
        <f t="shared" si="42"/>
        <v>0</v>
      </c>
      <c r="P74" s="405">
        <f t="shared" si="42"/>
        <v>0</v>
      </c>
      <c r="Q74" s="405">
        <f t="shared" si="42"/>
        <v>0</v>
      </c>
      <c r="R74" s="405">
        <f t="shared" si="42"/>
        <v>0</v>
      </c>
      <c r="S74" s="405">
        <f t="shared" si="42"/>
        <v>0</v>
      </c>
      <c r="T74" s="405">
        <f t="shared" si="42"/>
        <v>0</v>
      </c>
      <c r="U74" s="405">
        <f t="shared" si="42"/>
        <v>0</v>
      </c>
      <c r="V74" s="405">
        <f t="shared" si="42"/>
        <v>0</v>
      </c>
      <c r="W74" s="405">
        <f t="shared" si="42"/>
        <v>0</v>
      </c>
      <c r="X74" s="405">
        <f t="shared" si="42"/>
        <v>0</v>
      </c>
      <c r="Y74" s="405">
        <f t="shared" si="42"/>
        <v>0</v>
      </c>
      <c r="Z74" s="405">
        <f t="shared" si="42"/>
        <v>0</v>
      </c>
      <c r="AA74" s="405">
        <f t="shared" si="42"/>
        <v>0</v>
      </c>
      <c r="AB74" s="405">
        <f t="shared" si="42"/>
        <v>0</v>
      </c>
      <c r="AC74" s="405">
        <f t="shared" si="42"/>
        <v>0</v>
      </c>
      <c r="AD74" s="405">
        <f t="shared" si="42"/>
        <v>0</v>
      </c>
      <c r="AE74" s="405">
        <f t="shared" si="42"/>
        <v>0</v>
      </c>
      <c r="AF74" s="405">
        <f t="shared" si="42"/>
        <v>0</v>
      </c>
      <c r="AG74" s="303">
        <f t="shared" si="41"/>
        <v>671.76</v>
      </c>
    </row>
    <row r="75">
      <c r="A75" s="166"/>
      <c r="AG75" s="383"/>
    </row>
    <row r="76">
      <c r="A76" s="138" t="s">
        <v>633</v>
      </c>
      <c r="B76" s="155"/>
      <c r="C76" s="83"/>
      <c r="D76" s="83"/>
      <c r="E76" s="83"/>
      <c r="F76" s="83"/>
      <c r="G76" s="83"/>
      <c r="H76" s="83"/>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312"/>
    </row>
    <row r="77">
      <c r="A77" s="397" t="s">
        <v>634</v>
      </c>
      <c r="B77" s="198">
        <f>B43-B63-B64-B72-(B71*'Data - P&amp;L'!$I$24)</f>
        <v>1215.231673</v>
      </c>
      <c r="C77" s="198">
        <f>C43-C63-C64-C72-(C71*'Data - P&amp;L'!$I$24)</f>
        <v>1217.664554</v>
      </c>
      <c r="D77" s="198">
        <f>D43-D63-D64-D72-(D71*'Data - P&amp;L'!$I$24)</f>
        <v>1383.950932</v>
      </c>
      <c r="E77" s="198">
        <f>E43-E63-E64-E72-(E71*'Data - P&amp;L'!$I$24)</f>
        <v>1912.072393</v>
      </c>
      <c r="F77" s="198">
        <f>F43-F63-F64-F72-(F71*'Data - P&amp;L'!$I$24)</f>
        <v>2303.355739</v>
      </c>
      <c r="G77" s="198">
        <f>G43-G63-G64-G72-(G71*'Data - P&amp;L'!$I$24)</f>
        <v>1559.921</v>
      </c>
      <c r="H77" s="198">
        <f>H43-H63-H64-H72-(H71*'Data - P&amp;L'!$I$24)</f>
        <v>1227.842286</v>
      </c>
      <c r="I77" s="198">
        <f>I43-I63-I64-I72-(I71*'Data - P&amp;L'!$I$24)</f>
        <v>1193.337765</v>
      </c>
      <c r="J77" s="198">
        <f>J43-J63-J64-J72-(J71*'Data - P&amp;L'!$I$24)</f>
        <v>1680.652034</v>
      </c>
      <c r="K77" s="198">
        <f>K43-K63-K64-K72-(K71*'Data - P&amp;L'!$I$24)</f>
        <v>1682.141289</v>
      </c>
      <c r="L77" s="198">
        <f>L43-L63-L64-L72-(L71*'Data - P&amp;L'!$I$24)</f>
        <v>2849.74304</v>
      </c>
      <c r="M77" s="198">
        <f>M43-M63-M64-M72-(M71*'Data - P&amp;L'!$I$24)</f>
        <v>6041.542946</v>
      </c>
      <c r="N77" s="198">
        <f>N43-N63-N64-N72-(N71*'Data - P&amp;L'!$I$24)</f>
        <v>3783.100797</v>
      </c>
      <c r="O77" s="198">
        <f>O43-O63-O64-O72-(O71*'Data - P&amp;L'!$I$24)</f>
        <v>1898.346855</v>
      </c>
      <c r="P77" s="198">
        <f>P43-P63-P64-P72-(P71*'Data - P&amp;L'!$I$24)</f>
        <v>1502.037614</v>
      </c>
      <c r="Q77" s="198">
        <f>Q43-Q63-Q64-Q72-(Q71*'Data - P&amp;L'!$I$24)</f>
        <v>1398.529209</v>
      </c>
      <c r="R77" s="198">
        <f>R43-R63-R64-R72-(R71*'Data - P&amp;L'!$I$24)</f>
        <v>1501.631837</v>
      </c>
      <c r="S77" s="198">
        <f>S43-S63-S64-S72-(S71*'Data - P&amp;L'!$I$24)</f>
        <v>2441.462063</v>
      </c>
      <c r="T77" s="198">
        <f>T43-T63-T64-T72-(T71*'Data - P&amp;L'!$I$24)</f>
        <v>3584.065845</v>
      </c>
      <c r="U77" s="198">
        <f>U43-U63-U64-U72-(U71*'Data - P&amp;L'!$I$24)</f>
        <v>2052.261321</v>
      </c>
      <c r="V77" s="198">
        <f>V43-V63-V64-V72-(V71*'Data - P&amp;L'!$I$24)</f>
        <v>1461.626947</v>
      </c>
      <c r="W77" s="198">
        <f>W43-W63-W64-W72-(W71*'Data - P&amp;L'!$I$24)</f>
        <v>1730.192138</v>
      </c>
      <c r="X77" s="198">
        <f>X43-X63-X64-X72-(X71*'Data - P&amp;L'!$I$24)</f>
        <v>1629.77501</v>
      </c>
      <c r="Y77" s="198">
        <f>Y43-Y63-Y64-Y72-(Y71*'Data - P&amp;L'!$I$24)</f>
        <v>1461.567249</v>
      </c>
      <c r="Z77" s="198">
        <f>Z43-Z63-Z64-Z72-(Z71*'Data - P&amp;L'!$I$24)</f>
        <v>2709.193414</v>
      </c>
      <c r="AA77" s="198">
        <f>AA43-AA63-AA64-AA72-(AA71*'Data - P&amp;L'!$I$24)</f>
        <v>2432.995742</v>
      </c>
      <c r="AB77" s="198">
        <f>AB43-AB63-AB64-AB72-(AB71*'Data - P&amp;L'!$I$24)</f>
        <v>2562.921336</v>
      </c>
      <c r="AC77" s="198">
        <f>AC43-AC63-AC64-AC72-(AC71*'Data - P&amp;L'!$I$24)</f>
        <v>1700.228674</v>
      </c>
      <c r="AD77" s="198">
        <f>AD43-AD63-AD64-AD72-(AD71*'Data - P&amp;L'!$I$24)</f>
        <v>1325.611673</v>
      </c>
      <c r="AE77" s="198">
        <f>AE43-AE63-AE64-AE72-(AE71*'Data - P&amp;L'!$I$24)</f>
        <v>1026.338568</v>
      </c>
      <c r="AF77" s="198">
        <f>AF43-AF63-AF64-AF72-(AF71*'Data - P&amp;L'!$I$24)</f>
        <v>1377.500575</v>
      </c>
      <c r="AG77" s="303">
        <f t="shared" ref="AG77:AG79" si="43">SUM(B77:AF77)</f>
        <v>61846.84252</v>
      </c>
    </row>
    <row r="78">
      <c r="A78" s="397" t="s">
        <v>635</v>
      </c>
      <c r="B78" s="198">
        <f>B46-B65-B66-B73-(B71*'Data - P&amp;L'!$I$25)</f>
        <v>375.8105</v>
      </c>
      <c r="C78" s="198">
        <f>C46-C65-C66-C73-(C71*'Data - P&amp;L'!$I$25)</f>
        <v>504.0245</v>
      </c>
      <c r="D78" s="198">
        <f>D46-D65-D66-D73-(D71*'Data - P&amp;L'!$I$25)</f>
        <v>364.4955</v>
      </c>
      <c r="E78" s="198">
        <f>E46-E65-E66-E73-(E71*'Data - P&amp;L'!$I$25)</f>
        <v>534.5505</v>
      </c>
      <c r="F78" s="198">
        <f>F46-F65-F66-F73-(F71*'Data - P&amp;L'!$I$25)</f>
        <v>468.675</v>
      </c>
      <c r="G78" s="198">
        <f>G46-G65-G66-G73-(G71*'Data - P&amp;L'!$I$25)</f>
        <v>509.981</v>
      </c>
      <c r="H78" s="198">
        <f>H46-H65-H66-H73-(H71*'Data - P&amp;L'!$I$25)</f>
        <v>365.5805</v>
      </c>
      <c r="I78" s="198">
        <f>I46-I65-I66-I73-(I71*'Data - P&amp;L'!$I$25)</f>
        <v>301.8315</v>
      </c>
      <c r="J78" s="198">
        <f>J46-J65-J66-J73-(J71*'Data - P&amp;L'!$I$25)</f>
        <v>479.475</v>
      </c>
      <c r="K78" s="198">
        <f>K46-K65-K66-K73-(K71*'Data - P&amp;L'!$I$25)</f>
        <v>210.2665</v>
      </c>
      <c r="L78" s="198">
        <f>L46-L65-L66-L73-(L71*'Data - P&amp;L'!$I$25)</f>
        <v>604.163</v>
      </c>
      <c r="M78" s="198">
        <f>M46-M65-M66-M73-(M71*'Data - P&amp;L'!$I$25)</f>
        <v>1264.581</v>
      </c>
      <c r="N78" s="198">
        <f>N46-N65-N66-N73-(N71*'Data - P&amp;L'!$I$25)</f>
        <v>611.6895</v>
      </c>
      <c r="O78" s="198">
        <f>O46-O65-O66-O73-(O71*'Data - P&amp;L'!$I$25)</f>
        <v>496.5855</v>
      </c>
      <c r="P78" s="198">
        <f>P46-P65-P66-P73-(P71*'Data - P&amp;L'!$I$25)</f>
        <v>514.588</v>
      </c>
      <c r="Q78" s="198">
        <f>Q46-Q65-Q66-Q73-(Q71*'Data - P&amp;L'!$I$25)</f>
        <v>393.785</v>
      </c>
      <c r="R78" s="198">
        <f>R46-R65-R66-R73-(R71*'Data - P&amp;L'!$I$25)</f>
        <v>226.445</v>
      </c>
      <c r="S78" s="198">
        <f>S46-S65-S66-S73-(S71*'Data - P&amp;L'!$I$25)</f>
        <v>368.0385</v>
      </c>
      <c r="T78" s="198">
        <f>T46-T65-T66-T73-(T71*'Data - P&amp;L'!$I$25)</f>
        <v>482.5035</v>
      </c>
      <c r="U78" s="198">
        <f>U46-U65-U66-U73-(U71*'Data - P&amp;L'!$I$25)</f>
        <v>261.6635</v>
      </c>
      <c r="V78" s="198">
        <f>V46-V65-V66-V73-(V71*'Data - P&amp;L'!$I$25)</f>
        <v>293.3055</v>
      </c>
      <c r="W78" s="198">
        <f>W46-W65-W66-W73-(W71*'Data - P&amp;L'!$I$25)</f>
        <v>379.7</v>
      </c>
      <c r="X78" s="198">
        <f>X46-X65-X66-X73-(X71*'Data - P&amp;L'!$I$25)</f>
        <v>321.122</v>
      </c>
      <c r="Y78" s="198">
        <f>Y46-Y65-Y66-Y73-(Y71*'Data - P&amp;L'!$I$25)</f>
        <v>318.631</v>
      </c>
      <c r="Z78" s="198">
        <f>Z46-Z65-Z66-Z73-(Z71*'Data - P&amp;L'!$I$25)</f>
        <v>476.5525</v>
      </c>
      <c r="AA78" s="198">
        <f>AA46-AA65-AA66-AA73-(AA71*'Data - P&amp;L'!$I$25)</f>
        <v>523.973</v>
      </c>
      <c r="AB78" s="198">
        <f>AB46-AB65-AB66-AB73-(AB71*'Data - P&amp;L'!$I$25)</f>
        <v>161.33</v>
      </c>
      <c r="AC78" s="198">
        <f>AC46-AC65-AC66-AC73-(AC71*'Data - P&amp;L'!$I$25)</f>
        <v>399.1765</v>
      </c>
      <c r="AD78" s="198">
        <f>AD46-AD65-AD66-AD73-(AD71*'Data - P&amp;L'!$I$25)</f>
        <v>407.9655</v>
      </c>
      <c r="AE78" s="198">
        <f>AE46-AE65-AE66-AE73-(AE71*'Data - P&amp;L'!$I$25)</f>
        <v>237.021</v>
      </c>
      <c r="AF78" s="198">
        <f>AF46-AF65-AF66-AF73-(AF71*'Data - P&amp;L'!$I$25)</f>
        <v>201.178</v>
      </c>
      <c r="AG78" s="303">
        <f t="shared" si="43"/>
        <v>13058.688</v>
      </c>
    </row>
    <row r="79">
      <c r="A79" s="406" t="s">
        <v>636</v>
      </c>
      <c r="B79" s="407">
        <f t="shared" ref="B79:AF79" si="44">sum(B77:B78)</f>
        <v>1591.042173</v>
      </c>
      <c r="C79" s="407">
        <f t="shared" si="44"/>
        <v>1721.689054</v>
      </c>
      <c r="D79" s="407">
        <f t="shared" si="44"/>
        <v>1748.446432</v>
      </c>
      <c r="E79" s="407">
        <f t="shared" si="44"/>
        <v>2446.622893</v>
      </c>
      <c r="F79" s="407">
        <f t="shared" si="44"/>
        <v>2772.030739</v>
      </c>
      <c r="G79" s="407">
        <f t="shared" si="44"/>
        <v>2069.902</v>
      </c>
      <c r="H79" s="407">
        <f t="shared" si="44"/>
        <v>1593.422786</v>
      </c>
      <c r="I79" s="407">
        <f t="shared" si="44"/>
        <v>1495.169265</v>
      </c>
      <c r="J79" s="407">
        <f t="shared" si="44"/>
        <v>2160.127034</v>
      </c>
      <c r="K79" s="407">
        <f t="shared" si="44"/>
        <v>1892.407789</v>
      </c>
      <c r="L79" s="407">
        <f t="shared" si="44"/>
        <v>3453.90604</v>
      </c>
      <c r="M79" s="407">
        <f t="shared" si="44"/>
        <v>7306.123946</v>
      </c>
      <c r="N79" s="407">
        <f t="shared" si="44"/>
        <v>4394.790297</v>
      </c>
      <c r="O79" s="407">
        <f t="shared" si="44"/>
        <v>2394.932355</v>
      </c>
      <c r="P79" s="407">
        <f t="shared" si="44"/>
        <v>2016.625614</v>
      </c>
      <c r="Q79" s="407">
        <f t="shared" si="44"/>
        <v>1792.314209</v>
      </c>
      <c r="R79" s="407">
        <f t="shared" si="44"/>
        <v>1728.076837</v>
      </c>
      <c r="S79" s="407">
        <f t="shared" si="44"/>
        <v>2809.500563</v>
      </c>
      <c r="T79" s="407">
        <f t="shared" si="44"/>
        <v>4066.569345</v>
      </c>
      <c r="U79" s="407">
        <f t="shared" si="44"/>
        <v>2313.924821</v>
      </c>
      <c r="V79" s="407">
        <f t="shared" si="44"/>
        <v>1754.932447</v>
      </c>
      <c r="W79" s="407">
        <f t="shared" si="44"/>
        <v>2109.892138</v>
      </c>
      <c r="X79" s="407">
        <f t="shared" si="44"/>
        <v>1950.89701</v>
      </c>
      <c r="Y79" s="407">
        <f t="shared" si="44"/>
        <v>1780.198249</v>
      </c>
      <c r="Z79" s="407">
        <f t="shared" si="44"/>
        <v>3185.745914</v>
      </c>
      <c r="AA79" s="407">
        <f t="shared" si="44"/>
        <v>2956.968742</v>
      </c>
      <c r="AB79" s="407">
        <f t="shared" si="44"/>
        <v>2724.251336</v>
      </c>
      <c r="AC79" s="407">
        <f t="shared" si="44"/>
        <v>2099.405174</v>
      </c>
      <c r="AD79" s="407">
        <f t="shared" si="44"/>
        <v>1733.577173</v>
      </c>
      <c r="AE79" s="407">
        <f t="shared" si="44"/>
        <v>1263.359568</v>
      </c>
      <c r="AF79" s="407">
        <f t="shared" si="44"/>
        <v>1578.678575</v>
      </c>
      <c r="AG79" s="303">
        <f t="shared" si="43"/>
        <v>74905.53052</v>
      </c>
    </row>
    <row r="80">
      <c r="A80" s="98"/>
      <c r="B80" s="162"/>
      <c r="C80" s="162"/>
      <c r="D80" s="162"/>
      <c r="E80" s="162"/>
      <c r="F80" s="162"/>
      <c r="G80" s="162"/>
      <c r="H80" s="162"/>
      <c r="I80" s="162"/>
      <c r="J80" s="83"/>
      <c r="K80" s="83"/>
      <c r="L80" s="83"/>
      <c r="M80" s="83"/>
      <c r="N80" s="83"/>
      <c r="O80" s="83"/>
      <c r="P80" s="83"/>
      <c r="Q80" s="83"/>
      <c r="R80" s="83"/>
      <c r="S80" s="83"/>
      <c r="T80" s="83"/>
      <c r="U80" s="83"/>
      <c r="V80" s="83"/>
      <c r="W80" s="83"/>
      <c r="X80" s="83"/>
      <c r="Y80" s="83"/>
      <c r="Z80" s="83"/>
      <c r="AA80" s="83"/>
      <c r="AB80" s="83"/>
      <c r="AC80" s="83"/>
      <c r="AD80" s="83"/>
      <c r="AE80" s="83"/>
      <c r="AF80" s="83"/>
      <c r="AG80" s="408"/>
    </row>
    <row r="81">
      <c r="A81" s="166"/>
      <c r="AG81" s="383"/>
    </row>
    <row r="82">
      <c r="A82" s="284" t="s">
        <v>415</v>
      </c>
      <c r="AG82" s="383"/>
    </row>
    <row r="83">
      <c r="A83" s="271">
        <f>SUM(B11:AF11)</f>
        <v>106791.9122</v>
      </c>
      <c r="AG83" s="383"/>
    </row>
    <row r="84">
      <c r="A84" s="270" t="s">
        <v>416</v>
      </c>
      <c r="AG84" s="383"/>
    </row>
    <row r="85">
      <c r="A85" s="271">
        <f>SUM(B79:AF79)</f>
        <v>74905.53052</v>
      </c>
      <c r="AG85" s="383"/>
    </row>
    <row r="86">
      <c r="A86" s="270" t="s">
        <v>417</v>
      </c>
      <c r="AG86" s="383"/>
    </row>
    <row r="87">
      <c r="A87" s="273">
        <f>A85/A83</f>
        <v>0.7014157626</v>
      </c>
      <c r="AG87" s="383"/>
    </row>
    <row r="88">
      <c r="A88" s="166"/>
      <c r="AG88" s="383"/>
    </row>
    <row r="89">
      <c r="A89" s="409" t="s">
        <v>637</v>
      </c>
      <c r="B89" s="410"/>
      <c r="C89" s="410"/>
      <c r="D89" s="410"/>
      <c r="E89" s="410"/>
      <c r="F89" s="410"/>
      <c r="G89" s="410"/>
      <c r="H89" s="410"/>
      <c r="I89" s="410"/>
      <c r="J89" s="410"/>
      <c r="K89" s="410"/>
      <c r="L89" s="410"/>
      <c r="M89" s="410"/>
      <c r="N89" s="410"/>
      <c r="O89" s="410"/>
      <c r="P89" s="410"/>
      <c r="Q89" s="410"/>
      <c r="R89" s="410"/>
      <c r="S89" s="410"/>
      <c r="T89" s="410"/>
      <c r="U89" s="410"/>
      <c r="V89" s="410"/>
      <c r="W89" s="410"/>
      <c r="X89" s="410"/>
      <c r="Y89" s="410"/>
      <c r="Z89" s="410"/>
      <c r="AA89" s="410"/>
      <c r="AB89" s="410"/>
      <c r="AC89" s="410"/>
      <c r="AD89" s="410"/>
      <c r="AE89" s="410"/>
      <c r="AF89" s="410"/>
      <c r="AG89" s="411"/>
    </row>
    <row r="90">
      <c r="A90" s="410" t="s">
        <v>108</v>
      </c>
      <c r="B90" s="410">
        <f t="shared" ref="B90:AF90" si="45">B8-B65-B66</f>
        <v>375.8105</v>
      </c>
      <c r="C90" s="410">
        <f t="shared" si="45"/>
        <v>504.0245</v>
      </c>
      <c r="D90" s="410">
        <f t="shared" si="45"/>
        <v>364.4955</v>
      </c>
      <c r="E90" s="410">
        <f t="shared" si="45"/>
        <v>534.5505</v>
      </c>
      <c r="F90" s="410">
        <f t="shared" si="45"/>
        <v>468.675</v>
      </c>
      <c r="G90" s="410">
        <f t="shared" si="45"/>
        <v>509.981</v>
      </c>
      <c r="H90" s="410">
        <f t="shared" si="45"/>
        <v>365.5805</v>
      </c>
      <c r="I90" s="410">
        <f t="shared" si="45"/>
        <v>301.8315</v>
      </c>
      <c r="J90" s="410">
        <f t="shared" si="45"/>
        <v>479.475</v>
      </c>
      <c r="K90" s="410">
        <f t="shared" si="45"/>
        <v>210.2665</v>
      </c>
      <c r="L90" s="410">
        <f t="shared" si="45"/>
        <v>604.163</v>
      </c>
      <c r="M90" s="410">
        <f t="shared" si="45"/>
        <v>1264.581</v>
      </c>
      <c r="N90" s="410">
        <f t="shared" si="45"/>
        <v>611.6895</v>
      </c>
      <c r="O90" s="410">
        <f t="shared" si="45"/>
        <v>496.5855</v>
      </c>
      <c r="P90" s="410">
        <f t="shared" si="45"/>
        <v>514.588</v>
      </c>
      <c r="Q90" s="410">
        <f t="shared" si="45"/>
        <v>393.785</v>
      </c>
      <c r="R90" s="410">
        <f t="shared" si="45"/>
        <v>226.445</v>
      </c>
      <c r="S90" s="410">
        <f t="shared" si="45"/>
        <v>368.0385</v>
      </c>
      <c r="T90" s="410">
        <f t="shared" si="45"/>
        <v>482.5035</v>
      </c>
      <c r="U90" s="410">
        <f t="shared" si="45"/>
        <v>261.6635</v>
      </c>
      <c r="V90" s="410">
        <f t="shared" si="45"/>
        <v>293.3055</v>
      </c>
      <c r="W90" s="410">
        <f t="shared" si="45"/>
        <v>379.7</v>
      </c>
      <c r="X90" s="410">
        <f t="shared" si="45"/>
        <v>321.122</v>
      </c>
      <c r="Y90" s="410">
        <f t="shared" si="45"/>
        <v>318.631</v>
      </c>
      <c r="Z90" s="410">
        <f t="shared" si="45"/>
        <v>476.5525</v>
      </c>
      <c r="AA90" s="410">
        <f t="shared" si="45"/>
        <v>523.973</v>
      </c>
      <c r="AB90" s="410">
        <f t="shared" si="45"/>
        <v>161.33</v>
      </c>
      <c r="AC90" s="410">
        <f t="shared" si="45"/>
        <v>399.1765</v>
      </c>
      <c r="AD90" s="410">
        <f t="shared" si="45"/>
        <v>408.1855</v>
      </c>
      <c r="AE90" s="410">
        <f t="shared" si="45"/>
        <v>237.021</v>
      </c>
      <c r="AF90" s="410">
        <f t="shared" si="45"/>
        <v>201.178</v>
      </c>
      <c r="AG90" s="411"/>
    </row>
    <row r="91">
      <c r="A91" s="410" t="s">
        <v>638</v>
      </c>
      <c r="B91" s="410">
        <f t="shared" ref="B91:AF91" si="46">B5-B63-B64</f>
        <v>1279.971673</v>
      </c>
      <c r="C91" s="410">
        <f t="shared" si="46"/>
        <v>1328.174554</v>
      </c>
      <c r="D91" s="410">
        <f t="shared" si="46"/>
        <v>1489.690932</v>
      </c>
      <c r="E91" s="410">
        <f t="shared" si="46"/>
        <v>1997.412393</v>
      </c>
      <c r="F91" s="410">
        <f t="shared" si="46"/>
        <v>2483.545739</v>
      </c>
      <c r="G91" s="410">
        <f t="shared" si="46"/>
        <v>1690.501</v>
      </c>
      <c r="H91" s="410">
        <f t="shared" si="46"/>
        <v>1388.732286</v>
      </c>
      <c r="I91" s="410">
        <f t="shared" si="46"/>
        <v>1322.787765</v>
      </c>
      <c r="J91" s="410">
        <f t="shared" si="46"/>
        <v>1793.072034</v>
      </c>
      <c r="K91" s="410">
        <f t="shared" si="46"/>
        <v>1734.411289</v>
      </c>
      <c r="L91" s="410">
        <f t="shared" si="46"/>
        <v>2849.74304</v>
      </c>
      <c r="M91" s="410">
        <f t="shared" si="46"/>
        <v>6041.542946</v>
      </c>
      <c r="N91" s="410">
        <f t="shared" si="46"/>
        <v>3788.120797</v>
      </c>
      <c r="O91" s="410">
        <f t="shared" si="46"/>
        <v>1928.336855</v>
      </c>
      <c r="P91" s="410">
        <f t="shared" si="46"/>
        <v>1532.027614</v>
      </c>
      <c r="Q91" s="410">
        <f t="shared" si="46"/>
        <v>1404.519209</v>
      </c>
      <c r="R91" s="410">
        <f t="shared" si="46"/>
        <v>1502.031837</v>
      </c>
      <c r="S91" s="410">
        <f t="shared" si="46"/>
        <v>2504.922063</v>
      </c>
      <c r="T91" s="410">
        <f t="shared" si="46"/>
        <v>3590.055845</v>
      </c>
      <c r="U91" s="410">
        <f t="shared" si="46"/>
        <v>2052.261321</v>
      </c>
      <c r="V91" s="410">
        <f t="shared" si="46"/>
        <v>1527.606947</v>
      </c>
      <c r="W91" s="410">
        <f t="shared" si="46"/>
        <v>1730.192138</v>
      </c>
      <c r="X91" s="410">
        <f t="shared" si="46"/>
        <v>1698.64501</v>
      </c>
      <c r="Y91" s="410">
        <f t="shared" si="46"/>
        <v>1554.557249</v>
      </c>
      <c r="Z91" s="410">
        <f t="shared" si="46"/>
        <v>2769.173414</v>
      </c>
      <c r="AA91" s="410">
        <f t="shared" si="46"/>
        <v>2432.995742</v>
      </c>
      <c r="AB91" s="410">
        <f t="shared" si="46"/>
        <v>2580.621336</v>
      </c>
      <c r="AC91" s="410">
        <f t="shared" si="46"/>
        <v>1700.228674</v>
      </c>
      <c r="AD91" s="410">
        <f t="shared" si="46"/>
        <v>1385.591673</v>
      </c>
      <c r="AE91" s="410">
        <f t="shared" si="46"/>
        <v>1089.228568</v>
      </c>
      <c r="AF91" s="410">
        <f t="shared" si="46"/>
        <v>1413.290575</v>
      </c>
      <c r="AG91" s="411"/>
    </row>
    <row r="92">
      <c r="AG92" s="383"/>
    </row>
    <row r="93">
      <c r="AG93" s="383"/>
    </row>
    <row r="94">
      <c r="AG94" s="383"/>
    </row>
    <row r="95">
      <c r="AG95" s="383"/>
    </row>
    <row r="96">
      <c r="AG96" s="383"/>
    </row>
    <row r="97">
      <c r="AG97" s="383"/>
    </row>
    <row r="98">
      <c r="AG98" s="383"/>
    </row>
    <row r="99">
      <c r="AG99" s="383"/>
    </row>
    <row r="100">
      <c r="AG100" s="383"/>
    </row>
    <row r="101">
      <c r="AG101" s="383"/>
    </row>
    <row r="102">
      <c r="AG102" s="383"/>
    </row>
    <row r="103">
      <c r="AG103" s="383"/>
    </row>
    <row r="104">
      <c r="AG104" s="383"/>
    </row>
    <row r="105">
      <c r="AG105" s="383"/>
    </row>
    <row r="106">
      <c r="AG106" s="383"/>
    </row>
    <row r="107">
      <c r="AG107" s="383"/>
    </row>
    <row r="108">
      <c r="AG108" s="383"/>
    </row>
    <row r="109">
      <c r="AG109" s="383"/>
    </row>
    <row r="110">
      <c r="AG110" s="383"/>
    </row>
    <row r="111">
      <c r="AG111" s="383"/>
    </row>
    <row r="112">
      <c r="AG112" s="383"/>
    </row>
    <row r="113">
      <c r="AG113" s="383"/>
    </row>
    <row r="114">
      <c r="AG114" s="383"/>
    </row>
    <row r="115">
      <c r="AG115" s="383"/>
    </row>
    <row r="116">
      <c r="AG116" s="383"/>
    </row>
    <row r="117">
      <c r="AG117" s="383"/>
    </row>
    <row r="118">
      <c r="AG118" s="383"/>
    </row>
    <row r="119">
      <c r="AG119" s="383"/>
    </row>
    <row r="120">
      <c r="AG120" s="383"/>
    </row>
    <row r="121">
      <c r="AG121" s="383"/>
    </row>
    <row r="122">
      <c r="AG122" s="383"/>
    </row>
    <row r="123">
      <c r="AG123" s="383"/>
    </row>
    <row r="124">
      <c r="AG124" s="383"/>
    </row>
    <row r="125">
      <c r="AG125" s="383"/>
    </row>
    <row r="126">
      <c r="AG126" s="383"/>
    </row>
    <row r="127">
      <c r="AG127" s="383"/>
    </row>
    <row r="128">
      <c r="AG128" s="383"/>
    </row>
    <row r="129">
      <c r="AG129" s="383"/>
    </row>
    <row r="130">
      <c r="AG130" s="383"/>
    </row>
    <row r="131">
      <c r="AG131" s="383"/>
    </row>
    <row r="132">
      <c r="AG132" s="383"/>
    </row>
    <row r="133">
      <c r="AG133" s="383"/>
    </row>
    <row r="134">
      <c r="AG134" s="383"/>
    </row>
    <row r="135">
      <c r="AG135" s="383"/>
    </row>
    <row r="136">
      <c r="AG136" s="383"/>
    </row>
    <row r="137">
      <c r="AG137" s="383"/>
    </row>
    <row r="138">
      <c r="AG138" s="383"/>
    </row>
    <row r="139">
      <c r="AG139" s="383"/>
    </row>
    <row r="140">
      <c r="AG140" s="383"/>
    </row>
    <row r="141">
      <c r="AG141" s="383"/>
    </row>
    <row r="142">
      <c r="AG142" s="383"/>
    </row>
    <row r="143">
      <c r="AG143" s="383"/>
    </row>
    <row r="144">
      <c r="AG144" s="383"/>
    </row>
    <row r="145">
      <c r="AG145" s="383"/>
    </row>
    <row r="146">
      <c r="AG146" s="383"/>
    </row>
    <row r="147">
      <c r="AG147" s="383"/>
    </row>
    <row r="148">
      <c r="AG148" s="383"/>
    </row>
    <row r="149">
      <c r="AG149" s="383"/>
    </row>
    <row r="150">
      <c r="AG150" s="383"/>
    </row>
    <row r="151">
      <c r="AG151" s="383"/>
    </row>
    <row r="152">
      <c r="AG152" s="383"/>
    </row>
    <row r="153">
      <c r="AG153" s="383"/>
    </row>
    <row r="154">
      <c r="AG154" s="383"/>
    </row>
    <row r="155">
      <c r="AG155" s="383"/>
    </row>
    <row r="156">
      <c r="AG156" s="383"/>
    </row>
    <row r="157">
      <c r="AG157" s="383"/>
    </row>
    <row r="158">
      <c r="AG158" s="383"/>
    </row>
    <row r="159">
      <c r="AG159" s="383"/>
    </row>
    <row r="160">
      <c r="AG160" s="383"/>
    </row>
    <row r="161">
      <c r="AG161" s="383"/>
    </row>
    <row r="162">
      <c r="AG162" s="383"/>
    </row>
    <row r="163">
      <c r="AG163" s="383"/>
    </row>
    <row r="164">
      <c r="AG164" s="383"/>
    </row>
    <row r="165">
      <c r="AG165" s="383"/>
    </row>
    <row r="166">
      <c r="AG166" s="383"/>
    </row>
    <row r="167">
      <c r="AG167" s="383"/>
    </row>
    <row r="168">
      <c r="AG168" s="383"/>
    </row>
    <row r="169">
      <c r="AG169" s="383"/>
    </row>
    <row r="170">
      <c r="AG170" s="383"/>
    </row>
    <row r="171">
      <c r="AG171" s="383"/>
    </row>
    <row r="172">
      <c r="AG172" s="383"/>
    </row>
    <row r="173">
      <c r="AG173" s="383"/>
    </row>
    <row r="174">
      <c r="AG174" s="383"/>
    </row>
    <row r="175">
      <c r="AG175" s="383"/>
    </row>
    <row r="176">
      <c r="AG176" s="383"/>
    </row>
    <row r="177">
      <c r="AG177" s="383"/>
    </row>
    <row r="178">
      <c r="AG178" s="383"/>
    </row>
    <row r="179">
      <c r="AG179" s="383"/>
    </row>
    <row r="180">
      <c r="AG180" s="383"/>
    </row>
    <row r="181">
      <c r="AG181" s="383"/>
    </row>
    <row r="182">
      <c r="AG182" s="383"/>
    </row>
    <row r="183">
      <c r="AG183" s="383"/>
    </row>
    <row r="184">
      <c r="AG184" s="383"/>
    </row>
    <row r="185">
      <c r="AG185" s="383"/>
    </row>
    <row r="186">
      <c r="AG186" s="383"/>
    </row>
    <row r="187">
      <c r="AG187" s="383"/>
    </row>
    <row r="188">
      <c r="AG188" s="383"/>
    </row>
    <row r="189">
      <c r="AG189" s="383"/>
    </row>
    <row r="190">
      <c r="AG190" s="383"/>
    </row>
    <row r="191">
      <c r="AG191" s="383"/>
    </row>
    <row r="192">
      <c r="AG192" s="383"/>
    </row>
    <row r="193">
      <c r="AG193" s="383"/>
    </row>
    <row r="194">
      <c r="AG194" s="383"/>
    </row>
    <row r="195">
      <c r="AG195" s="383"/>
    </row>
    <row r="196">
      <c r="AG196" s="383"/>
    </row>
    <row r="197">
      <c r="AG197" s="383"/>
    </row>
    <row r="198">
      <c r="AG198" s="383"/>
    </row>
    <row r="199">
      <c r="AG199" s="383"/>
    </row>
    <row r="200">
      <c r="AG200" s="383"/>
    </row>
    <row r="201">
      <c r="AG201" s="383"/>
    </row>
    <row r="202">
      <c r="AG202" s="383"/>
    </row>
    <row r="203">
      <c r="AG203" s="383"/>
    </row>
    <row r="204">
      <c r="AG204" s="383"/>
    </row>
    <row r="205">
      <c r="AG205" s="383"/>
    </row>
    <row r="206">
      <c r="AG206" s="383"/>
    </row>
    <row r="207">
      <c r="AG207" s="383"/>
    </row>
    <row r="208">
      <c r="AG208" s="383"/>
    </row>
    <row r="209">
      <c r="AG209" s="383"/>
    </row>
    <row r="210">
      <c r="AG210" s="383"/>
    </row>
    <row r="211">
      <c r="AG211" s="383"/>
    </row>
    <row r="212">
      <c r="AG212" s="383"/>
    </row>
    <row r="213">
      <c r="AG213" s="383"/>
    </row>
    <row r="214">
      <c r="AG214" s="383"/>
    </row>
    <row r="215">
      <c r="AG215" s="383"/>
    </row>
    <row r="216">
      <c r="AG216" s="383"/>
    </row>
    <row r="217">
      <c r="AG217" s="383"/>
    </row>
    <row r="218">
      <c r="AG218" s="383"/>
    </row>
    <row r="219">
      <c r="AG219" s="383"/>
    </row>
    <row r="220">
      <c r="AG220" s="383"/>
    </row>
    <row r="221">
      <c r="AG221" s="383"/>
    </row>
    <row r="222">
      <c r="AG222" s="383"/>
    </row>
    <row r="223">
      <c r="AG223" s="383"/>
    </row>
    <row r="224">
      <c r="AG224" s="383"/>
    </row>
    <row r="225">
      <c r="AG225" s="383"/>
    </row>
    <row r="226">
      <c r="AG226" s="383"/>
    </row>
    <row r="227">
      <c r="AG227" s="383"/>
    </row>
    <row r="228">
      <c r="AG228" s="383"/>
    </row>
    <row r="229">
      <c r="AG229" s="383"/>
    </row>
    <row r="230">
      <c r="AG230" s="383"/>
    </row>
    <row r="231">
      <c r="AG231" s="383"/>
    </row>
    <row r="232">
      <c r="AG232" s="383"/>
    </row>
    <row r="233">
      <c r="AG233" s="383"/>
    </row>
    <row r="234">
      <c r="AG234" s="383"/>
    </row>
    <row r="235">
      <c r="AG235" s="383"/>
    </row>
    <row r="236">
      <c r="AG236" s="383"/>
    </row>
    <row r="237">
      <c r="AG237" s="383"/>
    </row>
    <row r="238">
      <c r="AG238" s="383"/>
    </row>
    <row r="239">
      <c r="AG239" s="383"/>
    </row>
    <row r="240">
      <c r="AG240" s="383"/>
    </row>
    <row r="241">
      <c r="AG241" s="383"/>
    </row>
    <row r="242">
      <c r="AG242" s="383"/>
    </row>
    <row r="243">
      <c r="AG243" s="383"/>
    </row>
    <row r="244">
      <c r="AG244" s="383"/>
    </row>
    <row r="245">
      <c r="AG245" s="383"/>
    </row>
    <row r="246">
      <c r="AG246" s="383"/>
    </row>
    <row r="247">
      <c r="AG247" s="383"/>
    </row>
    <row r="248">
      <c r="AG248" s="383"/>
    </row>
    <row r="249">
      <c r="AG249" s="383"/>
    </row>
    <row r="250">
      <c r="AG250" s="383"/>
    </row>
    <row r="251">
      <c r="AG251" s="383"/>
    </row>
    <row r="252">
      <c r="AG252" s="383"/>
    </row>
    <row r="253">
      <c r="AG253" s="383"/>
    </row>
    <row r="254">
      <c r="AG254" s="383"/>
    </row>
    <row r="255">
      <c r="AG255" s="383"/>
    </row>
    <row r="256">
      <c r="AG256" s="383"/>
    </row>
    <row r="257">
      <c r="AG257" s="383"/>
    </row>
    <row r="258">
      <c r="AG258" s="383"/>
    </row>
    <row r="259">
      <c r="AG259" s="383"/>
    </row>
    <row r="260">
      <c r="AG260" s="383"/>
    </row>
    <row r="261">
      <c r="AG261" s="383"/>
    </row>
    <row r="262">
      <c r="AG262" s="383"/>
    </row>
    <row r="263">
      <c r="AG263" s="383"/>
    </row>
    <row r="264">
      <c r="AG264" s="383"/>
    </row>
    <row r="265">
      <c r="AG265" s="383"/>
    </row>
    <row r="266">
      <c r="AG266" s="383"/>
    </row>
    <row r="267">
      <c r="AG267" s="383"/>
    </row>
    <row r="268">
      <c r="AG268" s="383"/>
    </row>
    <row r="269">
      <c r="AG269" s="383"/>
    </row>
    <row r="270">
      <c r="AG270" s="383"/>
    </row>
    <row r="271">
      <c r="AG271" s="383"/>
    </row>
    <row r="272">
      <c r="AG272" s="383"/>
    </row>
    <row r="273">
      <c r="AG273" s="383"/>
    </row>
    <row r="274">
      <c r="AG274" s="383"/>
    </row>
    <row r="275">
      <c r="AG275" s="383"/>
    </row>
    <row r="276">
      <c r="AG276" s="383"/>
    </row>
    <row r="277">
      <c r="AG277" s="383"/>
    </row>
    <row r="278">
      <c r="AG278" s="383"/>
    </row>
    <row r="279">
      <c r="AG279" s="383"/>
    </row>
    <row r="280">
      <c r="AG280" s="383"/>
    </row>
    <row r="281">
      <c r="AG281" s="383"/>
    </row>
    <row r="282">
      <c r="AG282" s="383"/>
    </row>
    <row r="283">
      <c r="AG283" s="383"/>
    </row>
    <row r="284">
      <c r="AG284" s="383"/>
    </row>
    <row r="285">
      <c r="AG285" s="383"/>
    </row>
    <row r="286">
      <c r="AG286" s="383"/>
    </row>
    <row r="287">
      <c r="AG287" s="383"/>
    </row>
    <row r="288">
      <c r="AG288" s="383"/>
    </row>
    <row r="289">
      <c r="AG289" s="383"/>
    </row>
    <row r="290">
      <c r="AG290" s="383"/>
    </row>
    <row r="291">
      <c r="AG291" s="383"/>
    </row>
    <row r="292">
      <c r="AG292" s="383"/>
    </row>
    <row r="293">
      <c r="AG293" s="383"/>
    </row>
    <row r="294">
      <c r="AG294" s="383"/>
    </row>
    <row r="295">
      <c r="AG295" s="383"/>
    </row>
    <row r="296">
      <c r="AG296" s="383"/>
    </row>
    <row r="297">
      <c r="AG297" s="383"/>
    </row>
    <row r="298">
      <c r="AG298" s="383"/>
    </row>
    <row r="299">
      <c r="AG299" s="383"/>
    </row>
    <row r="300">
      <c r="AG300" s="383"/>
    </row>
    <row r="301">
      <c r="AG301" s="383"/>
    </row>
    <row r="302">
      <c r="AG302" s="383"/>
    </row>
    <row r="303">
      <c r="AG303" s="383"/>
    </row>
    <row r="304">
      <c r="AG304" s="383"/>
    </row>
    <row r="305">
      <c r="AG305" s="383"/>
    </row>
    <row r="306">
      <c r="AG306" s="383"/>
    </row>
    <row r="307">
      <c r="AG307" s="383"/>
    </row>
    <row r="308">
      <c r="AG308" s="383"/>
    </row>
    <row r="309">
      <c r="AG309" s="383"/>
    </row>
    <row r="310">
      <c r="AG310" s="383"/>
    </row>
    <row r="311">
      <c r="AG311" s="383"/>
    </row>
    <row r="312">
      <c r="AG312" s="383"/>
    </row>
    <row r="313">
      <c r="AG313" s="383"/>
    </row>
    <row r="314">
      <c r="AG314" s="383"/>
    </row>
    <row r="315">
      <c r="AG315" s="383"/>
    </row>
    <row r="316">
      <c r="AG316" s="383"/>
    </row>
    <row r="317">
      <c r="AG317" s="383"/>
    </row>
    <row r="318">
      <c r="AG318" s="383"/>
    </row>
    <row r="319">
      <c r="AG319" s="383"/>
    </row>
    <row r="320">
      <c r="AG320" s="383"/>
    </row>
    <row r="321">
      <c r="AG321" s="383"/>
    </row>
    <row r="322">
      <c r="AG322" s="383"/>
    </row>
    <row r="323">
      <c r="AG323" s="383"/>
    </row>
    <row r="324">
      <c r="AG324" s="383"/>
    </row>
    <row r="325">
      <c r="AG325" s="383"/>
    </row>
    <row r="326">
      <c r="AG326" s="383"/>
    </row>
    <row r="327">
      <c r="AG327" s="383"/>
    </row>
    <row r="328">
      <c r="AG328" s="383"/>
    </row>
    <row r="329">
      <c r="AG329" s="383"/>
    </row>
    <row r="330">
      <c r="AG330" s="383"/>
    </row>
    <row r="331">
      <c r="AG331" s="383"/>
    </row>
    <row r="332">
      <c r="AG332" s="383"/>
    </row>
    <row r="333">
      <c r="AG333" s="383"/>
    </row>
    <row r="334">
      <c r="AG334" s="383"/>
    </row>
    <row r="335">
      <c r="AG335" s="383"/>
    </row>
    <row r="336">
      <c r="AG336" s="383"/>
    </row>
    <row r="337">
      <c r="AG337" s="383"/>
    </row>
    <row r="338">
      <c r="AG338" s="383"/>
    </row>
    <row r="339">
      <c r="AG339" s="383"/>
    </row>
    <row r="340">
      <c r="AG340" s="383"/>
    </row>
    <row r="341">
      <c r="AG341" s="383"/>
    </row>
    <row r="342">
      <c r="AG342" s="383"/>
    </row>
    <row r="343">
      <c r="AG343" s="383"/>
    </row>
    <row r="344">
      <c r="AG344" s="383"/>
    </row>
    <row r="345">
      <c r="AG345" s="383"/>
    </row>
    <row r="346">
      <c r="AG346" s="383"/>
    </row>
    <row r="347">
      <c r="AG347" s="383"/>
    </row>
    <row r="348">
      <c r="AG348" s="383"/>
    </row>
    <row r="349">
      <c r="AG349" s="383"/>
    </row>
    <row r="350">
      <c r="AG350" s="383"/>
    </row>
    <row r="351">
      <c r="AG351" s="383"/>
    </row>
    <row r="352">
      <c r="AG352" s="383"/>
    </row>
    <row r="353">
      <c r="AG353" s="383"/>
    </row>
    <row r="354">
      <c r="AG354" s="383"/>
    </row>
    <row r="355">
      <c r="AG355" s="383"/>
    </row>
    <row r="356">
      <c r="AG356" s="383"/>
    </row>
    <row r="357">
      <c r="AG357" s="383"/>
    </row>
    <row r="358">
      <c r="AG358" s="383"/>
    </row>
    <row r="359">
      <c r="AG359" s="383"/>
    </row>
    <row r="360">
      <c r="AG360" s="383"/>
    </row>
    <row r="361">
      <c r="AG361" s="383"/>
    </row>
    <row r="362">
      <c r="AG362" s="383"/>
    </row>
    <row r="363">
      <c r="AG363" s="383"/>
    </row>
    <row r="364">
      <c r="AG364" s="383"/>
    </row>
    <row r="365">
      <c r="AG365" s="383"/>
    </row>
    <row r="366">
      <c r="AG366" s="383"/>
    </row>
    <row r="367">
      <c r="AG367" s="383"/>
    </row>
    <row r="368">
      <c r="AG368" s="383"/>
    </row>
    <row r="369">
      <c r="AG369" s="383"/>
    </row>
    <row r="370">
      <c r="AG370" s="383"/>
    </row>
    <row r="371">
      <c r="AG371" s="383"/>
    </row>
    <row r="372">
      <c r="AG372" s="383"/>
    </row>
    <row r="373">
      <c r="AG373" s="383"/>
    </row>
    <row r="374">
      <c r="AG374" s="383"/>
    </row>
    <row r="375">
      <c r="AG375" s="383"/>
    </row>
    <row r="376">
      <c r="AG376" s="383"/>
    </row>
    <row r="377">
      <c r="AG377" s="383"/>
    </row>
    <row r="378">
      <c r="AG378" s="383"/>
    </row>
    <row r="379">
      <c r="AG379" s="383"/>
    </row>
    <row r="380">
      <c r="AG380" s="383"/>
    </row>
    <row r="381">
      <c r="AG381" s="383"/>
    </row>
    <row r="382">
      <c r="AG382" s="383"/>
    </row>
    <row r="383">
      <c r="AG383" s="383"/>
    </row>
    <row r="384">
      <c r="AG384" s="383"/>
    </row>
    <row r="385">
      <c r="AG385" s="383"/>
    </row>
    <row r="386">
      <c r="AG386" s="383"/>
    </row>
    <row r="387">
      <c r="AG387" s="383"/>
    </row>
    <row r="388">
      <c r="AG388" s="383"/>
    </row>
    <row r="389">
      <c r="AG389" s="383"/>
    </row>
    <row r="390">
      <c r="AG390" s="383"/>
    </row>
    <row r="391">
      <c r="AG391" s="383"/>
    </row>
    <row r="392">
      <c r="AG392" s="383"/>
    </row>
    <row r="393">
      <c r="AG393" s="383"/>
    </row>
    <row r="394">
      <c r="AG394" s="383"/>
    </row>
    <row r="395">
      <c r="AG395" s="383"/>
    </row>
    <row r="396">
      <c r="AG396" s="383"/>
    </row>
    <row r="397">
      <c r="AG397" s="383"/>
    </row>
    <row r="398">
      <c r="AG398" s="383"/>
    </row>
    <row r="399">
      <c r="AG399" s="383"/>
    </row>
    <row r="400">
      <c r="AG400" s="383"/>
    </row>
    <row r="401">
      <c r="AG401" s="383"/>
    </row>
    <row r="402">
      <c r="AG402" s="383"/>
    </row>
    <row r="403">
      <c r="AG403" s="383"/>
    </row>
    <row r="404">
      <c r="AG404" s="383"/>
    </row>
    <row r="405">
      <c r="AG405" s="383"/>
    </row>
    <row r="406">
      <c r="AG406" s="383"/>
    </row>
    <row r="407">
      <c r="AG407" s="383"/>
    </row>
    <row r="408">
      <c r="AG408" s="383"/>
    </row>
    <row r="409">
      <c r="AG409" s="383"/>
    </row>
    <row r="410">
      <c r="AG410" s="383"/>
    </row>
    <row r="411">
      <c r="AG411" s="383"/>
    </row>
    <row r="412">
      <c r="AG412" s="383"/>
    </row>
    <row r="413">
      <c r="AG413" s="383"/>
    </row>
    <row r="414">
      <c r="AG414" s="383"/>
    </row>
    <row r="415">
      <c r="AG415" s="383"/>
    </row>
    <row r="416">
      <c r="AG416" s="383"/>
    </row>
    <row r="417">
      <c r="AG417" s="383"/>
    </row>
    <row r="418">
      <c r="AG418" s="383"/>
    </row>
    <row r="419">
      <c r="AG419" s="383"/>
    </row>
    <row r="420">
      <c r="AG420" s="383"/>
    </row>
    <row r="421">
      <c r="AG421" s="383"/>
    </row>
    <row r="422">
      <c r="AG422" s="383"/>
    </row>
    <row r="423">
      <c r="AG423" s="383"/>
    </row>
    <row r="424">
      <c r="AG424" s="383"/>
    </row>
    <row r="425">
      <c r="AG425" s="383"/>
    </row>
    <row r="426">
      <c r="AG426" s="383"/>
    </row>
    <row r="427">
      <c r="AG427" s="383"/>
    </row>
    <row r="428">
      <c r="AG428" s="383"/>
    </row>
    <row r="429">
      <c r="AG429" s="383"/>
    </row>
    <row r="430">
      <c r="AG430" s="383"/>
    </row>
    <row r="431">
      <c r="AG431" s="383"/>
    </row>
    <row r="432">
      <c r="AG432" s="383"/>
    </row>
    <row r="433">
      <c r="AG433" s="383"/>
    </row>
    <row r="434">
      <c r="AG434" s="383"/>
    </row>
    <row r="435">
      <c r="AG435" s="383"/>
    </row>
    <row r="436">
      <c r="AG436" s="383"/>
    </row>
    <row r="437">
      <c r="AG437" s="383"/>
    </row>
    <row r="438">
      <c r="AG438" s="383"/>
    </row>
    <row r="439">
      <c r="AG439" s="383"/>
    </row>
    <row r="440">
      <c r="AG440" s="383"/>
    </row>
    <row r="441">
      <c r="AG441" s="383"/>
    </row>
    <row r="442">
      <c r="AG442" s="383"/>
    </row>
    <row r="443">
      <c r="AG443" s="383"/>
    </row>
    <row r="444">
      <c r="AG444" s="383"/>
    </row>
    <row r="445">
      <c r="AG445" s="383"/>
    </row>
    <row r="446">
      <c r="AG446" s="383"/>
    </row>
    <row r="447">
      <c r="AG447" s="383"/>
    </row>
    <row r="448">
      <c r="AG448" s="383"/>
    </row>
    <row r="449">
      <c r="AG449" s="383"/>
    </row>
    <row r="450">
      <c r="AG450" s="383"/>
    </row>
    <row r="451">
      <c r="AG451" s="383"/>
    </row>
    <row r="452">
      <c r="AG452" s="383"/>
    </row>
    <row r="453">
      <c r="AG453" s="383"/>
    </row>
    <row r="454">
      <c r="AG454" s="383"/>
    </row>
    <row r="455">
      <c r="AG455" s="383"/>
    </row>
    <row r="456">
      <c r="AG456" s="383"/>
    </row>
    <row r="457">
      <c r="AG457" s="383"/>
    </row>
    <row r="458">
      <c r="AG458" s="383"/>
    </row>
    <row r="459">
      <c r="AG459" s="383"/>
    </row>
    <row r="460">
      <c r="AG460" s="383"/>
    </row>
    <row r="461">
      <c r="AG461" s="383"/>
    </row>
    <row r="462">
      <c r="AG462" s="383"/>
    </row>
    <row r="463">
      <c r="AG463" s="383"/>
    </row>
    <row r="464">
      <c r="AG464" s="383"/>
    </row>
    <row r="465">
      <c r="AG465" s="383"/>
    </row>
    <row r="466">
      <c r="AG466" s="383"/>
    </row>
    <row r="467">
      <c r="AG467" s="383"/>
    </row>
    <row r="468">
      <c r="AG468" s="383"/>
    </row>
    <row r="469">
      <c r="AG469" s="383"/>
    </row>
    <row r="470">
      <c r="AG470" s="383"/>
    </row>
    <row r="471">
      <c r="AG471" s="383"/>
    </row>
    <row r="472">
      <c r="AG472" s="383"/>
    </row>
    <row r="473">
      <c r="AG473" s="383"/>
    </row>
    <row r="474">
      <c r="AG474" s="383"/>
    </row>
    <row r="475">
      <c r="AG475" s="383"/>
    </row>
    <row r="476">
      <c r="AG476" s="383"/>
    </row>
    <row r="477">
      <c r="AG477" s="383"/>
    </row>
    <row r="478">
      <c r="AG478" s="383"/>
    </row>
    <row r="479">
      <c r="AG479" s="383"/>
    </row>
    <row r="480">
      <c r="AG480" s="383"/>
    </row>
    <row r="481">
      <c r="AG481" s="383"/>
    </row>
    <row r="482">
      <c r="AG482" s="383"/>
    </row>
    <row r="483">
      <c r="AG483" s="383"/>
    </row>
    <row r="484">
      <c r="AG484" s="383"/>
    </row>
    <row r="485">
      <c r="AG485" s="383"/>
    </row>
    <row r="486">
      <c r="AG486" s="383"/>
    </row>
    <row r="487">
      <c r="AG487" s="383"/>
    </row>
    <row r="488">
      <c r="AG488" s="383"/>
    </row>
    <row r="489">
      <c r="AG489" s="383"/>
    </row>
    <row r="490">
      <c r="AG490" s="383"/>
    </row>
    <row r="491">
      <c r="AG491" s="383"/>
    </row>
    <row r="492">
      <c r="AG492" s="383"/>
    </row>
    <row r="493">
      <c r="AG493" s="383"/>
    </row>
    <row r="494">
      <c r="AG494" s="383"/>
    </row>
    <row r="495">
      <c r="AG495" s="383"/>
    </row>
    <row r="496">
      <c r="AG496" s="383"/>
    </row>
    <row r="497">
      <c r="AG497" s="383"/>
    </row>
    <row r="498">
      <c r="AG498" s="383"/>
    </row>
    <row r="499">
      <c r="AG499" s="383"/>
    </row>
    <row r="500">
      <c r="AG500" s="383"/>
    </row>
    <row r="501">
      <c r="AG501" s="383"/>
    </row>
    <row r="502">
      <c r="AG502" s="383"/>
    </row>
    <row r="503">
      <c r="AG503" s="383"/>
    </row>
    <row r="504">
      <c r="AG504" s="383"/>
    </row>
    <row r="505">
      <c r="AG505" s="383"/>
    </row>
    <row r="506">
      <c r="AG506" s="383"/>
    </row>
    <row r="507">
      <c r="AG507" s="383"/>
    </row>
    <row r="508">
      <c r="AG508" s="383"/>
    </row>
    <row r="509">
      <c r="AG509" s="383"/>
    </row>
    <row r="510">
      <c r="AG510" s="383"/>
    </row>
    <row r="511">
      <c r="AG511" s="383"/>
    </row>
    <row r="512">
      <c r="AG512" s="383"/>
    </row>
    <row r="513">
      <c r="AG513" s="383"/>
    </row>
    <row r="514">
      <c r="AG514" s="383"/>
    </row>
    <row r="515">
      <c r="AG515" s="383"/>
    </row>
    <row r="516">
      <c r="AG516" s="383"/>
    </row>
    <row r="517">
      <c r="AG517" s="383"/>
    </row>
    <row r="518">
      <c r="AG518" s="383"/>
    </row>
    <row r="519">
      <c r="AG519" s="383"/>
    </row>
    <row r="520">
      <c r="AG520" s="383"/>
    </row>
    <row r="521">
      <c r="AG521" s="383"/>
    </row>
    <row r="522">
      <c r="AG522" s="383"/>
    </row>
    <row r="523">
      <c r="AG523" s="383"/>
    </row>
    <row r="524">
      <c r="AG524" s="383"/>
    </row>
    <row r="525">
      <c r="AG525" s="383"/>
    </row>
    <row r="526">
      <c r="AG526" s="383"/>
    </row>
    <row r="527">
      <c r="AG527" s="383"/>
    </row>
    <row r="528">
      <c r="AG528" s="383"/>
    </row>
    <row r="529">
      <c r="AG529" s="383"/>
    </row>
    <row r="530">
      <c r="AG530" s="383"/>
    </row>
    <row r="531">
      <c r="AG531" s="383"/>
    </row>
    <row r="532">
      <c r="AG532" s="383"/>
    </row>
    <row r="533">
      <c r="AG533" s="383"/>
    </row>
    <row r="534">
      <c r="AG534" s="383"/>
    </row>
    <row r="535">
      <c r="AG535" s="383"/>
    </row>
    <row r="536">
      <c r="AG536" s="383"/>
    </row>
    <row r="537">
      <c r="AG537" s="383"/>
    </row>
    <row r="538">
      <c r="AG538" s="383"/>
    </row>
    <row r="539">
      <c r="AG539" s="383"/>
    </row>
    <row r="540">
      <c r="AG540" s="383"/>
    </row>
    <row r="541">
      <c r="AG541" s="383"/>
    </row>
    <row r="542">
      <c r="AG542" s="383"/>
    </row>
    <row r="543">
      <c r="AG543" s="383"/>
    </row>
    <row r="544">
      <c r="AG544" s="383"/>
    </row>
    <row r="545">
      <c r="AG545" s="383"/>
    </row>
    <row r="546">
      <c r="AG546" s="383"/>
    </row>
    <row r="547">
      <c r="AG547" s="383"/>
    </row>
    <row r="548">
      <c r="AG548" s="383"/>
    </row>
    <row r="549">
      <c r="AG549" s="383"/>
    </row>
    <row r="550">
      <c r="AG550" s="383"/>
    </row>
    <row r="551">
      <c r="AG551" s="383"/>
    </row>
    <row r="552">
      <c r="AG552" s="383"/>
    </row>
    <row r="553">
      <c r="AG553" s="383"/>
    </row>
    <row r="554">
      <c r="AG554" s="383"/>
    </row>
    <row r="555">
      <c r="AG555" s="383"/>
    </row>
    <row r="556">
      <c r="AG556" s="383"/>
    </row>
    <row r="557">
      <c r="AG557" s="383"/>
    </row>
    <row r="558">
      <c r="AG558" s="383"/>
    </row>
    <row r="559">
      <c r="AG559" s="383"/>
    </row>
    <row r="560">
      <c r="AG560" s="383"/>
    </row>
    <row r="561">
      <c r="AG561" s="383"/>
    </row>
    <row r="562">
      <c r="AG562" s="383"/>
    </row>
    <row r="563">
      <c r="AG563" s="383"/>
    </row>
    <row r="564">
      <c r="AG564" s="383"/>
    </row>
    <row r="565">
      <c r="AG565" s="383"/>
    </row>
    <row r="566">
      <c r="AG566" s="383"/>
    </row>
    <row r="567">
      <c r="AG567" s="383"/>
    </row>
    <row r="568">
      <c r="AG568" s="383"/>
    </row>
    <row r="569">
      <c r="AG569" s="383"/>
    </row>
    <row r="570">
      <c r="AG570" s="383"/>
    </row>
    <row r="571">
      <c r="AG571" s="383"/>
    </row>
    <row r="572">
      <c r="AG572" s="383"/>
    </row>
    <row r="573">
      <c r="AG573" s="383"/>
    </row>
    <row r="574">
      <c r="AG574" s="383"/>
    </row>
    <row r="575">
      <c r="AG575" s="383"/>
    </row>
    <row r="576">
      <c r="AG576" s="383"/>
    </row>
    <row r="577">
      <c r="AG577" s="383"/>
    </row>
    <row r="578">
      <c r="AG578" s="383"/>
    </row>
    <row r="579">
      <c r="AG579" s="383"/>
    </row>
    <row r="580">
      <c r="AG580" s="383"/>
    </row>
    <row r="581">
      <c r="AG581" s="383"/>
    </row>
    <row r="582">
      <c r="AG582" s="383"/>
    </row>
    <row r="583">
      <c r="AG583" s="383"/>
    </row>
    <row r="584">
      <c r="AG584" s="383"/>
    </row>
    <row r="585">
      <c r="AG585" s="383"/>
    </row>
    <row r="586">
      <c r="AG586" s="383"/>
    </row>
    <row r="587">
      <c r="AG587" s="383"/>
    </row>
    <row r="588">
      <c r="AG588" s="383"/>
    </row>
    <row r="589">
      <c r="AG589" s="383"/>
    </row>
    <row r="590">
      <c r="AG590" s="383"/>
    </row>
    <row r="591">
      <c r="AG591" s="383"/>
    </row>
    <row r="592">
      <c r="AG592" s="383"/>
    </row>
    <row r="593">
      <c r="AG593" s="383"/>
    </row>
    <row r="594">
      <c r="AG594" s="383"/>
    </row>
    <row r="595">
      <c r="AG595" s="383"/>
    </row>
    <row r="596">
      <c r="AG596" s="383"/>
    </row>
    <row r="597">
      <c r="AG597" s="383"/>
    </row>
    <row r="598">
      <c r="AG598" s="383"/>
    </row>
    <row r="599">
      <c r="AG599" s="383"/>
    </row>
    <row r="600">
      <c r="AG600" s="383"/>
    </row>
    <row r="601">
      <c r="AG601" s="383"/>
    </row>
    <row r="602">
      <c r="AG602" s="383"/>
    </row>
    <row r="603">
      <c r="AG603" s="383"/>
    </row>
    <row r="604">
      <c r="AG604" s="383"/>
    </row>
    <row r="605">
      <c r="AG605" s="383"/>
    </row>
    <row r="606">
      <c r="AG606" s="383"/>
    </row>
    <row r="607">
      <c r="AG607" s="383"/>
    </row>
    <row r="608">
      <c r="AG608" s="383"/>
    </row>
    <row r="609">
      <c r="AG609" s="383"/>
    </row>
    <row r="610">
      <c r="AG610" s="383"/>
    </row>
    <row r="611">
      <c r="AG611" s="383"/>
    </row>
    <row r="612">
      <c r="AG612" s="383"/>
    </row>
    <row r="613">
      <c r="AG613" s="383"/>
    </row>
    <row r="614">
      <c r="AG614" s="383"/>
    </row>
    <row r="615">
      <c r="AG615" s="383"/>
    </row>
    <row r="616">
      <c r="AG616" s="383"/>
    </row>
    <row r="617">
      <c r="AG617" s="383"/>
    </row>
    <row r="618">
      <c r="AG618" s="383"/>
    </row>
    <row r="619">
      <c r="AG619" s="383"/>
    </row>
    <row r="620">
      <c r="AG620" s="383"/>
    </row>
    <row r="621">
      <c r="AG621" s="383"/>
    </row>
    <row r="622">
      <c r="AG622" s="383"/>
    </row>
    <row r="623">
      <c r="AG623" s="383"/>
    </row>
    <row r="624">
      <c r="AG624" s="383"/>
    </row>
    <row r="625">
      <c r="AG625" s="383"/>
    </row>
    <row r="626">
      <c r="AG626" s="383"/>
    </row>
    <row r="627">
      <c r="AG627" s="383"/>
    </row>
    <row r="628">
      <c r="AG628" s="383"/>
    </row>
    <row r="629">
      <c r="AG629" s="383"/>
    </row>
    <row r="630">
      <c r="AG630" s="383"/>
    </row>
    <row r="631">
      <c r="AG631" s="383"/>
    </row>
    <row r="632">
      <c r="AG632" s="383"/>
    </row>
    <row r="633">
      <c r="AG633" s="383"/>
    </row>
    <row r="634">
      <c r="AG634" s="383"/>
    </row>
    <row r="635">
      <c r="AG635" s="383"/>
    </row>
    <row r="636">
      <c r="AG636" s="383"/>
    </row>
    <row r="637">
      <c r="AG637" s="383"/>
    </row>
    <row r="638">
      <c r="AG638" s="383"/>
    </row>
    <row r="639">
      <c r="AG639" s="383"/>
    </row>
    <row r="640">
      <c r="AG640" s="383"/>
    </row>
    <row r="641">
      <c r="AG641" s="383"/>
    </row>
    <row r="642">
      <c r="AG642" s="383"/>
    </row>
    <row r="643">
      <c r="AG643" s="383"/>
    </row>
    <row r="644">
      <c r="AG644" s="383"/>
    </row>
    <row r="645">
      <c r="AG645" s="383"/>
    </row>
    <row r="646">
      <c r="AG646" s="383"/>
    </row>
    <row r="647">
      <c r="AG647" s="383"/>
    </row>
    <row r="648">
      <c r="AG648" s="383"/>
    </row>
    <row r="649">
      <c r="AG649" s="383"/>
    </row>
    <row r="650">
      <c r="AG650" s="383"/>
    </row>
    <row r="651">
      <c r="AG651" s="383"/>
    </row>
    <row r="652">
      <c r="AG652" s="383"/>
    </row>
    <row r="653">
      <c r="AG653" s="383"/>
    </row>
    <row r="654">
      <c r="AG654" s="383"/>
    </row>
    <row r="655">
      <c r="AG655" s="383"/>
    </row>
    <row r="656">
      <c r="AG656" s="383"/>
    </row>
    <row r="657">
      <c r="AG657" s="383"/>
    </row>
    <row r="658">
      <c r="AG658" s="383"/>
    </row>
    <row r="659">
      <c r="AG659" s="383"/>
    </row>
    <row r="660">
      <c r="AG660" s="383"/>
    </row>
    <row r="661">
      <c r="AG661" s="383"/>
    </row>
    <row r="662">
      <c r="AG662" s="383"/>
    </row>
    <row r="663">
      <c r="AG663" s="383"/>
    </row>
    <row r="664">
      <c r="AG664" s="383"/>
    </row>
    <row r="665">
      <c r="AG665" s="383"/>
    </row>
    <row r="666">
      <c r="AG666" s="383"/>
    </row>
    <row r="667">
      <c r="AG667" s="383"/>
    </row>
    <row r="668">
      <c r="AG668" s="383"/>
    </row>
    <row r="669">
      <c r="AG669" s="383"/>
    </row>
    <row r="670">
      <c r="AG670" s="383"/>
    </row>
    <row r="671">
      <c r="AG671" s="383"/>
    </row>
    <row r="672">
      <c r="AG672" s="383"/>
    </row>
    <row r="673">
      <c r="AG673" s="383"/>
    </row>
    <row r="674">
      <c r="AG674" s="383"/>
    </row>
    <row r="675">
      <c r="AG675" s="383"/>
    </row>
    <row r="676">
      <c r="AG676" s="383"/>
    </row>
    <row r="677">
      <c r="AG677" s="383"/>
    </row>
    <row r="678">
      <c r="AG678" s="383"/>
    </row>
    <row r="679">
      <c r="AG679" s="383"/>
    </row>
    <row r="680">
      <c r="AG680" s="383"/>
    </row>
    <row r="681">
      <c r="AG681" s="383"/>
    </row>
    <row r="682">
      <c r="AG682" s="383"/>
    </row>
    <row r="683">
      <c r="AG683" s="383"/>
    </row>
    <row r="684">
      <c r="AG684" s="383"/>
    </row>
    <row r="685">
      <c r="AG685" s="383"/>
    </row>
    <row r="686">
      <c r="AG686" s="383"/>
    </row>
    <row r="687">
      <c r="AG687" s="383"/>
    </row>
    <row r="688">
      <c r="AG688" s="383"/>
    </row>
    <row r="689">
      <c r="AG689" s="383"/>
    </row>
    <row r="690">
      <c r="AG690" s="383"/>
    </row>
    <row r="691">
      <c r="AG691" s="383"/>
    </row>
    <row r="692">
      <c r="AG692" s="383"/>
    </row>
    <row r="693">
      <c r="AG693" s="383"/>
    </row>
    <row r="694">
      <c r="AG694" s="383"/>
    </row>
    <row r="695">
      <c r="AG695" s="383"/>
    </row>
    <row r="696">
      <c r="AG696" s="383"/>
    </row>
    <row r="697">
      <c r="AG697" s="383"/>
    </row>
    <row r="698">
      <c r="AG698" s="383"/>
    </row>
    <row r="699">
      <c r="AG699" s="383"/>
    </row>
    <row r="700">
      <c r="AG700" s="383"/>
    </row>
    <row r="701">
      <c r="AG701" s="383"/>
    </row>
    <row r="702">
      <c r="AG702" s="383"/>
    </row>
    <row r="703">
      <c r="AG703" s="383"/>
    </row>
    <row r="704">
      <c r="AG704" s="383"/>
    </row>
    <row r="705">
      <c r="AG705" s="383"/>
    </row>
    <row r="706">
      <c r="AG706" s="383"/>
    </row>
    <row r="707">
      <c r="AG707" s="383"/>
    </row>
    <row r="708">
      <c r="AG708" s="383"/>
    </row>
    <row r="709">
      <c r="AG709" s="383"/>
    </row>
    <row r="710">
      <c r="AG710" s="383"/>
    </row>
    <row r="711">
      <c r="AG711" s="383"/>
    </row>
    <row r="712">
      <c r="AG712" s="383"/>
    </row>
    <row r="713">
      <c r="AG713" s="383"/>
    </row>
    <row r="714">
      <c r="AG714" s="383"/>
    </row>
    <row r="715">
      <c r="AG715" s="383"/>
    </row>
    <row r="716">
      <c r="AG716" s="383"/>
    </row>
    <row r="717">
      <c r="AG717" s="383"/>
    </row>
    <row r="718">
      <c r="AG718" s="383"/>
    </row>
    <row r="719">
      <c r="AG719" s="383"/>
    </row>
    <row r="720">
      <c r="AG720" s="383"/>
    </row>
    <row r="721">
      <c r="AG721" s="383"/>
    </row>
    <row r="722">
      <c r="AG722" s="383"/>
    </row>
    <row r="723">
      <c r="AG723" s="383"/>
    </row>
    <row r="724">
      <c r="AG724" s="383"/>
    </row>
    <row r="725">
      <c r="AG725" s="383"/>
    </row>
    <row r="726">
      <c r="AG726" s="383"/>
    </row>
    <row r="727">
      <c r="AG727" s="383"/>
    </row>
    <row r="728">
      <c r="AG728" s="383"/>
    </row>
    <row r="729">
      <c r="AG729" s="383"/>
    </row>
    <row r="730">
      <c r="AG730" s="383"/>
    </row>
    <row r="731">
      <c r="AG731" s="383"/>
    </row>
    <row r="732">
      <c r="AG732" s="383"/>
    </row>
    <row r="733">
      <c r="AG733" s="383"/>
    </row>
    <row r="734">
      <c r="AG734" s="383"/>
    </row>
    <row r="735">
      <c r="AG735" s="383"/>
    </row>
    <row r="736">
      <c r="AG736" s="383"/>
    </row>
    <row r="737">
      <c r="AG737" s="383"/>
    </row>
    <row r="738">
      <c r="AG738" s="383"/>
    </row>
    <row r="739">
      <c r="AG739" s="383"/>
    </row>
    <row r="740">
      <c r="AG740" s="383"/>
    </row>
    <row r="741">
      <c r="AG741" s="383"/>
    </row>
    <row r="742">
      <c r="AG742" s="383"/>
    </row>
    <row r="743">
      <c r="AG743" s="383"/>
    </row>
    <row r="744">
      <c r="AG744" s="383"/>
    </row>
    <row r="745">
      <c r="AG745" s="383"/>
    </row>
    <row r="746">
      <c r="AG746" s="383"/>
    </row>
    <row r="747">
      <c r="AG747" s="383"/>
    </row>
    <row r="748">
      <c r="AG748" s="383"/>
    </row>
    <row r="749">
      <c r="AG749" s="383"/>
    </row>
    <row r="750">
      <c r="AG750" s="383"/>
    </row>
    <row r="751">
      <c r="AG751" s="383"/>
    </row>
    <row r="752">
      <c r="AG752" s="383"/>
    </row>
    <row r="753">
      <c r="AG753" s="383"/>
    </row>
    <row r="754">
      <c r="AG754" s="383"/>
    </row>
    <row r="755">
      <c r="AG755" s="383"/>
    </row>
    <row r="756">
      <c r="AG756" s="383"/>
    </row>
    <row r="757">
      <c r="AG757" s="383"/>
    </row>
    <row r="758">
      <c r="AG758" s="383"/>
    </row>
    <row r="759">
      <c r="AG759" s="383"/>
    </row>
    <row r="760">
      <c r="AG760" s="383"/>
    </row>
    <row r="761">
      <c r="AG761" s="383"/>
    </row>
    <row r="762">
      <c r="AG762" s="383"/>
    </row>
    <row r="763">
      <c r="AG763" s="383"/>
    </row>
    <row r="764">
      <c r="AG764" s="383"/>
    </row>
    <row r="765">
      <c r="AG765" s="383"/>
    </row>
    <row r="766">
      <c r="AG766" s="383"/>
    </row>
    <row r="767">
      <c r="AG767" s="383"/>
    </row>
    <row r="768">
      <c r="AG768" s="383"/>
    </row>
    <row r="769">
      <c r="AG769" s="383"/>
    </row>
    <row r="770">
      <c r="AG770" s="383"/>
    </row>
    <row r="771">
      <c r="AG771" s="383"/>
    </row>
    <row r="772">
      <c r="AG772" s="383"/>
    </row>
    <row r="773">
      <c r="AG773" s="383"/>
    </row>
    <row r="774">
      <c r="AG774" s="383"/>
    </row>
    <row r="775">
      <c r="AG775" s="383"/>
    </row>
    <row r="776">
      <c r="AG776" s="383"/>
    </row>
    <row r="777">
      <c r="AG777" s="383"/>
    </row>
    <row r="778">
      <c r="AG778" s="383"/>
    </row>
    <row r="779">
      <c r="AG779" s="383"/>
    </row>
    <row r="780">
      <c r="AG780" s="38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77" t="s">
        <v>104</v>
      </c>
      <c r="B1" s="78">
        <v>45413.0</v>
      </c>
      <c r="C1" s="78">
        <v>45414.0</v>
      </c>
      <c r="D1" s="78">
        <v>45415.0</v>
      </c>
      <c r="E1" s="78">
        <v>45416.0</v>
      </c>
      <c r="F1" s="78">
        <v>45417.0</v>
      </c>
      <c r="G1" s="78">
        <v>45418.0</v>
      </c>
      <c r="H1" s="78">
        <v>45419.0</v>
      </c>
      <c r="I1" s="78">
        <v>45420.0</v>
      </c>
      <c r="J1" s="78">
        <v>45421.0</v>
      </c>
      <c r="K1" s="78">
        <v>45422.0</v>
      </c>
      <c r="L1" s="78">
        <v>45423.0</v>
      </c>
      <c r="M1" s="78">
        <v>45424.0</v>
      </c>
      <c r="N1" s="78">
        <v>45425.0</v>
      </c>
      <c r="O1" s="78">
        <v>45426.0</v>
      </c>
      <c r="P1" s="78">
        <v>45427.0</v>
      </c>
      <c r="Q1" s="78">
        <v>45428.0</v>
      </c>
      <c r="R1" s="78">
        <v>45429.0</v>
      </c>
      <c r="S1" s="78">
        <v>45430.0</v>
      </c>
      <c r="T1" s="78">
        <v>45431.0</v>
      </c>
      <c r="U1" s="78">
        <v>45432.0</v>
      </c>
      <c r="V1" s="78">
        <v>45433.0</v>
      </c>
      <c r="W1" s="78">
        <v>45434.0</v>
      </c>
      <c r="X1" s="78">
        <v>45435.0</v>
      </c>
      <c r="Y1" s="78">
        <v>45436.0</v>
      </c>
      <c r="Z1" s="78">
        <v>45437.0</v>
      </c>
      <c r="AA1" s="78">
        <v>45438.0</v>
      </c>
      <c r="AB1" s="78">
        <v>45439.0</v>
      </c>
      <c r="AC1" s="78">
        <v>45440.0</v>
      </c>
      <c r="AD1" s="78">
        <v>45441.0</v>
      </c>
      <c r="AE1" s="78">
        <v>45442.0</v>
      </c>
      <c r="AF1" s="78">
        <v>45443.0</v>
      </c>
      <c r="AG1" s="298"/>
    </row>
    <row r="2">
      <c r="A2" s="80" t="s">
        <v>105</v>
      </c>
      <c r="B2" s="81" t="s">
        <v>0</v>
      </c>
      <c r="C2" s="81" t="s">
        <v>1</v>
      </c>
      <c r="D2" s="81" t="s">
        <v>2</v>
      </c>
      <c r="E2" s="81" t="s">
        <v>3</v>
      </c>
      <c r="F2" s="81" t="s">
        <v>4</v>
      </c>
      <c r="G2" s="81" t="s">
        <v>5</v>
      </c>
      <c r="H2" s="81" t="s">
        <v>6</v>
      </c>
      <c r="I2" s="81" t="s">
        <v>0</v>
      </c>
      <c r="J2" s="81" t="s">
        <v>1</v>
      </c>
      <c r="K2" s="81" t="s">
        <v>2</v>
      </c>
      <c r="L2" s="81" t="s">
        <v>3</v>
      </c>
      <c r="M2" s="81" t="s">
        <v>4</v>
      </c>
      <c r="N2" s="81" t="s">
        <v>5</v>
      </c>
      <c r="O2" s="81" t="s">
        <v>6</v>
      </c>
      <c r="P2" s="81" t="s">
        <v>0</v>
      </c>
      <c r="Q2" s="81" t="s">
        <v>1</v>
      </c>
      <c r="R2" s="81" t="s">
        <v>2</v>
      </c>
      <c r="S2" s="81" t="s">
        <v>3</v>
      </c>
      <c r="T2" s="81" t="s">
        <v>4</v>
      </c>
      <c r="U2" s="81" t="s">
        <v>5</v>
      </c>
      <c r="V2" s="81" t="s">
        <v>6</v>
      </c>
      <c r="W2" s="81" t="s">
        <v>0</v>
      </c>
      <c r="X2" s="81" t="s">
        <v>1</v>
      </c>
      <c r="Y2" s="81" t="s">
        <v>2</v>
      </c>
      <c r="Z2" s="81" t="s">
        <v>3</v>
      </c>
      <c r="AA2" s="81" t="s">
        <v>4</v>
      </c>
      <c r="AB2" s="81" t="s">
        <v>5</v>
      </c>
      <c r="AC2" s="81" t="s">
        <v>6</v>
      </c>
      <c r="AD2" s="81" t="s">
        <v>0</v>
      </c>
      <c r="AE2" s="81" t="s">
        <v>1</v>
      </c>
      <c r="AF2" s="81" t="s">
        <v>2</v>
      </c>
      <c r="AG2" s="298"/>
    </row>
    <row r="3" ht="30.0" customHeight="1">
      <c r="A3" s="412" t="s">
        <v>639</v>
      </c>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146"/>
      <c r="AF3" s="146"/>
      <c r="AG3" s="413"/>
    </row>
    <row r="4">
      <c r="A4" s="133" t="s">
        <v>89</v>
      </c>
      <c r="B4" s="134">
        <f>Summary!B23</f>
        <v>636.818772</v>
      </c>
      <c r="C4" s="134">
        <f>Summary!C23</f>
        <v>318.409386</v>
      </c>
      <c r="D4" s="134">
        <f>Summary!D23</f>
        <v>955.228158</v>
      </c>
      <c r="E4" s="134">
        <f>Summary!E23</f>
        <v>318.409386</v>
      </c>
      <c r="F4" s="134">
        <f>Summary!F23</f>
        <v>0</v>
      </c>
      <c r="G4" s="134">
        <f>Summary!G23</f>
        <v>0</v>
      </c>
      <c r="H4" s="134">
        <f>Summary!H23</f>
        <v>955.228158</v>
      </c>
      <c r="I4" s="134">
        <f>Summary!I23</f>
        <v>955.228158</v>
      </c>
      <c r="J4" s="134">
        <f>Summary!J23</f>
        <v>636.818772</v>
      </c>
      <c r="K4" s="134">
        <f>Summary!K23</f>
        <v>318.409386</v>
      </c>
      <c r="L4" s="134">
        <f>Summary!L23</f>
        <v>318.409386</v>
      </c>
      <c r="M4" s="134">
        <f>Summary!M23</f>
        <v>318.409386</v>
      </c>
      <c r="N4" s="134">
        <f>Summary!N23</f>
        <v>0</v>
      </c>
      <c r="O4" s="134">
        <f>Summary!O23</f>
        <v>0</v>
      </c>
      <c r="P4" s="134">
        <f>Summary!P23</f>
        <v>0</v>
      </c>
      <c r="Q4" s="134">
        <f>Summary!Q23</f>
        <v>318.409386</v>
      </c>
      <c r="R4" s="134">
        <f>Summary!R23</f>
        <v>0</v>
      </c>
      <c r="S4" s="134">
        <f>Summary!S23</f>
        <v>0</v>
      </c>
      <c r="T4" s="134">
        <f>Summary!T23</f>
        <v>636.818772</v>
      </c>
      <c r="U4" s="134">
        <f>Summary!U23</f>
        <v>0</v>
      </c>
      <c r="V4" s="134">
        <f>Summary!V23</f>
        <v>0</v>
      </c>
      <c r="W4" s="134">
        <f>Summary!W23</f>
        <v>0</v>
      </c>
      <c r="X4" s="134">
        <f>Summary!X23</f>
        <v>318.409386</v>
      </c>
      <c r="Y4" s="134">
        <f>Summary!Y23</f>
        <v>0</v>
      </c>
      <c r="Z4" s="134">
        <f>Summary!Z23</f>
        <v>0</v>
      </c>
      <c r="AA4" s="134">
        <f>Summary!AA23</f>
        <v>0</v>
      </c>
      <c r="AB4" s="134">
        <f>Summary!AB23</f>
        <v>955.228158</v>
      </c>
      <c r="AC4" s="134">
        <f>Summary!AC23</f>
        <v>318.409386</v>
      </c>
      <c r="AD4" s="134">
        <f>Summary!AD23</f>
        <v>0</v>
      </c>
      <c r="AE4" s="134">
        <f>Summary!AE23</f>
        <v>0</v>
      </c>
      <c r="AF4" s="134">
        <f>Summary!AF23</f>
        <v>318.409386</v>
      </c>
      <c r="AG4" s="303">
        <f t="shared" ref="AG4:AG8" si="1">SUM(B4:AF4)</f>
        <v>8597.053422</v>
      </c>
    </row>
    <row r="5" outlineLevel="1">
      <c r="A5" s="414" t="s">
        <v>121</v>
      </c>
      <c r="B5" s="415"/>
      <c r="C5" s="415"/>
      <c r="D5" s="415"/>
      <c r="E5" s="415"/>
      <c r="F5" s="415"/>
      <c r="G5" s="415"/>
      <c r="H5" s="415"/>
      <c r="I5" s="415"/>
      <c r="J5" s="415"/>
      <c r="K5" s="415"/>
      <c r="L5" s="415"/>
      <c r="M5" s="415"/>
      <c r="N5" s="415"/>
      <c r="O5" s="415"/>
      <c r="P5" s="415"/>
      <c r="Q5" s="415"/>
      <c r="R5" s="415"/>
      <c r="S5" s="415"/>
      <c r="T5" s="415"/>
      <c r="U5" s="415"/>
      <c r="V5" s="415"/>
      <c r="W5" s="415"/>
      <c r="X5" s="415"/>
      <c r="Y5" s="415"/>
      <c r="Z5" s="415"/>
      <c r="AA5" s="415"/>
      <c r="AB5" s="415"/>
      <c r="AC5" s="415"/>
      <c r="AD5" s="415"/>
      <c r="AE5" s="415"/>
      <c r="AF5" s="415"/>
      <c r="AG5" s="303">
        <f t="shared" si="1"/>
        <v>0</v>
      </c>
    </row>
    <row r="6" outlineLevel="1">
      <c r="A6" s="416" t="s">
        <v>41</v>
      </c>
      <c r="B6" s="134">
        <f>Summary!B25</f>
        <v>36.838772</v>
      </c>
      <c r="C6" s="134">
        <f>Summary!C25</f>
        <v>18.419386</v>
      </c>
      <c r="D6" s="134">
        <f>Summary!D25</f>
        <v>55.258158</v>
      </c>
      <c r="E6" s="134">
        <f>Summary!E25</f>
        <v>18.419386</v>
      </c>
      <c r="F6" s="134">
        <f>Summary!F25</f>
        <v>0</v>
      </c>
      <c r="G6" s="134">
        <f>Summary!G25</f>
        <v>0</v>
      </c>
      <c r="H6" s="134">
        <f>Summary!H25</f>
        <v>55.258158</v>
      </c>
      <c r="I6" s="134">
        <f>Summary!I25</f>
        <v>55.258158</v>
      </c>
      <c r="J6" s="134">
        <f>Summary!J25</f>
        <v>36.838772</v>
      </c>
      <c r="K6" s="134">
        <f>Summary!K25</f>
        <v>18.419386</v>
      </c>
      <c r="L6" s="134">
        <f>Summary!L25</f>
        <v>18.419386</v>
      </c>
      <c r="M6" s="134">
        <f>Summary!M25</f>
        <v>18.419386</v>
      </c>
      <c r="N6" s="134">
        <f>Summary!N25</f>
        <v>0</v>
      </c>
      <c r="O6" s="134">
        <f>Summary!O25</f>
        <v>0</v>
      </c>
      <c r="P6" s="134">
        <f>Summary!P25</f>
        <v>0</v>
      </c>
      <c r="Q6" s="134">
        <f>Summary!Q25</f>
        <v>18.419386</v>
      </c>
      <c r="R6" s="134">
        <f>Summary!R25</f>
        <v>0</v>
      </c>
      <c r="S6" s="134">
        <f>Summary!S25</f>
        <v>0</v>
      </c>
      <c r="T6" s="134">
        <f>Summary!T25</f>
        <v>36.838772</v>
      </c>
      <c r="U6" s="134">
        <f>Summary!U25</f>
        <v>0</v>
      </c>
      <c r="V6" s="134">
        <f>Summary!V25</f>
        <v>0</v>
      </c>
      <c r="W6" s="134">
        <f>Summary!W25</f>
        <v>0</v>
      </c>
      <c r="X6" s="134">
        <f>Summary!X25</f>
        <v>18.419386</v>
      </c>
      <c r="Y6" s="134">
        <f>Summary!Y25</f>
        <v>0</v>
      </c>
      <c r="Z6" s="134">
        <f>Summary!Z25</f>
        <v>0</v>
      </c>
      <c r="AA6" s="134">
        <f>Summary!AA25</f>
        <v>0</v>
      </c>
      <c r="AB6" s="134">
        <f>Summary!AB25</f>
        <v>55.258158</v>
      </c>
      <c r="AC6" s="134">
        <f>Summary!AC25</f>
        <v>18.419386</v>
      </c>
      <c r="AD6" s="134">
        <f>Summary!AD25</f>
        <v>0</v>
      </c>
      <c r="AE6" s="134">
        <f>Summary!AE25</f>
        <v>0</v>
      </c>
      <c r="AF6" s="134">
        <f>Summary!AF25</f>
        <v>18.419386</v>
      </c>
      <c r="AG6" s="303">
        <f t="shared" si="1"/>
        <v>497.323422</v>
      </c>
    </row>
    <row r="7" outlineLevel="1">
      <c r="A7" s="416" t="s">
        <v>640</v>
      </c>
      <c r="B7" s="134" t="str">
        <f>Summary!B26</f>
        <v/>
      </c>
      <c r="C7" s="134" t="str">
        <f>Summary!C26</f>
        <v/>
      </c>
      <c r="D7" s="134" t="str">
        <f>Summary!D26</f>
        <v/>
      </c>
      <c r="E7" s="134" t="str">
        <f>Summary!E26</f>
        <v/>
      </c>
      <c r="F7" s="134" t="str">
        <f>Summary!F26</f>
        <v/>
      </c>
      <c r="G7" s="134" t="str">
        <f>Summary!G26</f>
        <v/>
      </c>
      <c r="H7" s="134" t="str">
        <f>Summary!H26</f>
        <v/>
      </c>
      <c r="I7" s="134" t="str">
        <f>Summary!I26</f>
        <v/>
      </c>
      <c r="J7" s="134" t="str">
        <f>Summary!J26</f>
        <v/>
      </c>
      <c r="K7" s="134" t="str">
        <f>Summary!K26</f>
        <v/>
      </c>
      <c r="L7" s="134" t="str">
        <f>Summary!L26</f>
        <v/>
      </c>
      <c r="M7" s="134" t="str">
        <f>Summary!M26</f>
        <v/>
      </c>
      <c r="N7" s="134" t="str">
        <f>Summary!N26</f>
        <v/>
      </c>
      <c r="O7" s="134" t="str">
        <f>Summary!O26</f>
        <v/>
      </c>
      <c r="P7" s="134" t="str">
        <f>Summary!P26</f>
        <v/>
      </c>
      <c r="Q7" s="134" t="str">
        <f>Summary!Q26</f>
        <v/>
      </c>
      <c r="R7" s="134" t="str">
        <f>Summary!R26</f>
        <v/>
      </c>
      <c r="S7" s="134" t="str">
        <f>Summary!S26</f>
        <v/>
      </c>
      <c r="T7" s="134" t="str">
        <f>Summary!T26</f>
        <v/>
      </c>
      <c r="U7" s="134" t="str">
        <f>Summary!U26</f>
        <v/>
      </c>
      <c r="V7" s="134" t="str">
        <f>Summary!V26</f>
        <v/>
      </c>
      <c r="W7" s="134" t="str">
        <f>Summary!W26</f>
        <v/>
      </c>
      <c r="X7" s="134" t="str">
        <f>Summary!X26</f>
        <v/>
      </c>
      <c r="Y7" s="134" t="str">
        <f>Summary!Y26</f>
        <v/>
      </c>
      <c r="Z7" s="134" t="str">
        <f>Summary!Z26</f>
        <v/>
      </c>
      <c r="AA7" s="134" t="str">
        <f>Summary!AA26</f>
        <v/>
      </c>
      <c r="AB7" s="134" t="str">
        <f>Summary!AB26</f>
        <v/>
      </c>
      <c r="AC7" s="134" t="str">
        <f>Summary!AC26</f>
        <v/>
      </c>
      <c r="AD7" s="134" t="str">
        <f>Summary!AD26</f>
        <v/>
      </c>
      <c r="AE7" s="134"/>
      <c r="AF7" s="134"/>
      <c r="AG7" s="303">
        <f t="shared" si="1"/>
        <v>0</v>
      </c>
    </row>
    <row r="8">
      <c r="A8" s="133" t="s">
        <v>96</v>
      </c>
      <c r="B8" s="141">
        <f>Summary!B62</f>
        <v>2</v>
      </c>
      <c r="C8" s="141">
        <f>Summary!C62</f>
        <v>1</v>
      </c>
      <c r="D8" s="141">
        <f>Summary!D62</f>
        <v>3</v>
      </c>
      <c r="E8" s="141">
        <f>Summary!E62</f>
        <v>1</v>
      </c>
      <c r="F8" s="141">
        <f>Summary!F62</f>
        <v>0</v>
      </c>
      <c r="G8" s="141">
        <f>Summary!G62</f>
        <v>0</v>
      </c>
      <c r="H8" s="141">
        <f>Summary!H62</f>
        <v>4</v>
      </c>
      <c r="I8" s="141">
        <f>Summary!I62</f>
        <v>3</v>
      </c>
      <c r="J8" s="141">
        <f>Summary!J62</f>
        <v>2</v>
      </c>
      <c r="K8" s="141">
        <f>Summary!K62</f>
        <v>1</v>
      </c>
      <c r="L8" s="141">
        <f>Summary!L62</f>
        <v>1</v>
      </c>
      <c r="M8" s="141">
        <f>Summary!M62</f>
        <v>1</v>
      </c>
      <c r="N8" s="141">
        <f>Summary!N62</f>
        <v>0</v>
      </c>
      <c r="O8" s="141">
        <f>Summary!O62</f>
        <v>0</v>
      </c>
      <c r="P8" s="141">
        <f>Summary!P62</f>
        <v>0</v>
      </c>
      <c r="Q8" s="141">
        <f>Summary!Q62</f>
        <v>1</v>
      </c>
      <c r="R8" s="141">
        <f>Summary!R62</f>
        <v>0</v>
      </c>
      <c r="S8" s="141">
        <f>Summary!S62</f>
        <v>0</v>
      </c>
      <c r="T8" s="141">
        <f>Summary!T62</f>
        <v>2</v>
      </c>
      <c r="U8" s="141">
        <f>Summary!U62</f>
        <v>0</v>
      </c>
      <c r="V8" s="141">
        <f>Summary!V62</f>
        <v>0</v>
      </c>
      <c r="W8" s="141">
        <f>Summary!W62</f>
        <v>0</v>
      </c>
      <c r="X8" s="141">
        <f>Summary!X62</f>
        <v>1</v>
      </c>
      <c r="Y8" s="141">
        <f>Summary!Y62</f>
        <v>0</v>
      </c>
      <c r="Z8" s="141">
        <f>Summary!Z62</f>
        <v>0</v>
      </c>
      <c r="AA8" s="141">
        <f>Summary!AA62</f>
        <v>0</v>
      </c>
      <c r="AB8" s="141">
        <f>Summary!AB62</f>
        <v>3</v>
      </c>
      <c r="AC8" s="141">
        <f>Summary!AC62</f>
        <v>1</v>
      </c>
      <c r="AD8" s="141">
        <f>Summary!AD62</f>
        <v>0</v>
      </c>
      <c r="AE8" s="141">
        <f>Summary!AE62</f>
        <v>0</v>
      </c>
      <c r="AF8" s="141">
        <f>Summary!AF62</f>
        <v>1</v>
      </c>
      <c r="AG8" s="303">
        <f t="shared" si="1"/>
        <v>28</v>
      </c>
    </row>
    <row r="9">
      <c r="A9" s="98"/>
      <c r="B9" s="83"/>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417"/>
    </row>
    <row r="10">
      <c r="A10" s="215" t="s">
        <v>641</v>
      </c>
      <c r="B10" s="203">
        <f>Summary!B85</f>
        <v>127.3637544</v>
      </c>
      <c r="C10" s="203">
        <f>Summary!C85</f>
        <v>63.6818772</v>
      </c>
      <c r="D10" s="203">
        <f>Summary!D85</f>
        <v>191.0456316</v>
      </c>
      <c r="E10" s="203">
        <f>Summary!E85</f>
        <v>63.6818772</v>
      </c>
      <c r="F10" s="203">
        <f>Summary!F85</f>
        <v>0</v>
      </c>
      <c r="G10" s="203">
        <f>Summary!G85</f>
        <v>0</v>
      </c>
      <c r="H10" s="203">
        <f>Summary!H85</f>
        <v>191.0456316</v>
      </c>
      <c r="I10" s="203">
        <f>Summary!I85</f>
        <v>191.0456316</v>
      </c>
      <c r="J10" s="203">
        <f>Summary!J85</f>
        <v>127.3637544</v>
      </c>
      <c r="K10" s="203">
        <f>Summary!K85</f>
        <v>63.6818772</v>
      </c>
      <c r="L10" s="203">
        <f>Summary!L85</f>
        <v>63.6818772</v>
      </c>
      <c r="M10" s="203">
        <f>Summary!M85</f>
        <v>63.6818772</v>
      </c>
      <c r="N10" s="203">
        <f>Summary!N85</f>
        <v>0</v>
      </c>
      <c r="O10" s="203">
        <f>Summary!O85</f>
        <v>0</v>
      </c>
      <c r="P10" s="203">
        <f>Summary!P85</f>
        <v>0</v>
      </c>
      <c r="Q10" s="203">
        <f>Summary!Q85</f>
        <v>63.6818772</v>
      </c>
      <c r="R10" s="203">
        <f>Summary!R85</f>
        <v>0</v>
      </c>
      <c r="S10" s="203">
        <f>Summary!S85</f>
        <v>0</v>
      </c>
      <c r="T10" s="203">
        <f>Summary!T85</f>
        <v>127.3637544</v>
      </c>
      <c r="U10" s="203">
        <f>Summary!U85</f>
        <v>0</v>
      </c>
      <c r="V10" s="203">
        <f>Summary!V85</f>
        <v>0</v>
      </c>
      <c r="W10" s="203">
        <f>Summary!W85</f>
        <v>0</v>
      </c>
      <c r="X10" s="203">
        <f>Summary!X85</f>
        <v>63.6818772</v>
      </c>
      <c r="Y10" s="203">
        <f>Summary!Y85</f>
        <v>0</v>
      </c>
      <c r="Z10" s="203">
        <f>Summary!Z85</f>
        <v>0</v>
      </c>
      <c r="AA10" s="203">
        <f>Summary!AA85</f>
        <v>0</v>
      </c>
      <c r="AB10" s="203">
        <f>Summary!AB85</f>
        <v>191.0456316</v>
      </c>
      <c r="AC10" s="203">
        <f>Summary!AC85</f>
        <v>63.6818772</v>
      </c>
      <c r="AD10" s="203">
        <f>Summary!AD85</f>
        <v>0</v>
      </c>
      <c r="AE10" s="203">
        <f>Summary!AE85</f>
        <v>0</v>
      </c>
      <c r="AF10" s="203">
        <f>Summary!AF85</f>
        <v>63.6818772</v>
      </c>
      <c r="AG10" s="303">
        <f>SUM(B10:AF10)</f>
        <v>1719.410684</v>
      </c>
    </row>
    <row r="11">
      <c r="A11" s="98"/>
      <c r="B11" s="83"/>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83"/>
      <c r="AF11" s="83"/>
      <c r="AG11" s="417"/>
    </row>
    <row r="12">
      <c r="A12" s="138" t="s">
        <v>642</v>
      </c>
      <c r="B12" s="155"/>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83"/>
      <c r="AF12" s="83"/>
      <c r="AG12" s="413"/>
    </row>
    <row r="13">
      <c r="A13" s="153" t="s">
        <v>643</v>
      </c>
      <c r="B13" s="141">
        <v>0.0</v>
      </c>
      <c r="C13" s="141">
        <v>0.0</v>
      </c>
      <c r="D13" s="141">
        <v>0.0</v>
      </c>
      <c r="E13" s="141">
        <v>0.0</v>
      </c>
      <c r="F13" s="141">
        <v>0.0</v>
      </c>
      <c r="G13" s="141">
        <v>0.0</v>
      </c>
      <c r="H13" s="141">
        <v>0.0</v>
      </c>
      <c r="I13" s="141">
        <v>0.0</v>
      </c>
      <c r="J13" s="141">
        <v>0.0</v>
      </c>
      <c r="K13" s="141">
        <v>0.0</v>
      </c>
      <c r="L13" s="141">
        <v>0.0</v>
      </c>
      <c r="M13" s="141">
        <v>0.0</v>
      </c>
      <c r="N13" s="141">
        <v>0.0</v>
      </c>
      <c r="O13" s="141">
        <v>0.0</v>
      </c>
      <c r="P13" s="141">
        <v>0.0</v>
      </c>
      <c r="Q13" s="141">
        <v>0.0</v>
      </c>
      <c r="R13" s="141">
        <v>0.0</v>
      </c>
      <c r="S13" s="141">
        <v>0.0</v>
      </c>
      <c r="T13" s="141">
        <v>0.0</v>
      </c>
      <c r="U13" s="141">
        <v>0.0</v>
      </c>
      <c r="V13" s="141">
        <v>0.0</v>
      </c>
      <c r="W13" s="141">
        <v>0.0</v>
      </c>
      <c r="X13" s="141">
        <v>0.0</v>
      </c>
      <c r="Y13" s="141">
        <v>0.0</v>
      </c>
      <c r="Z13" s="141">
        <v>0.0</v>
      </c>
      <c r="AA13" s="141">
        <v>0.0</v>
      </c>
      <c r="AB13" s="141">
        <v>0.0</v>
      </c>
      <c r="AC13" s="141">
        <v>0.0</v>
      </c>
      <c r="AD13" s="141">
        <v>0.0</v>
      </c>
      <c r="AE13" s="141">
        <v>0.0</v>
      </c>
      <c r="AF13" s="141">
        <v>0.0</v>
      </c>
      <c r="AG13" s="312">
        <f t="shared" ref="AG13:AG17" si="2">SUM(B13:AF13)</f>
        <v>0</v>
      </c>
    </row>
    <row r="14">
      <c r="A14" s="153" t="s">
        <v>644</v>
      </c>
      <c r="B14" s="141">
        <v>0.0</v>
      </c>
      <c r="C14" s="141">
        <v>0.0</v>
      </c>
      <c r="D14" s="141">
        <v>0.0</v>
      </c>
      <c r="E14" s="141">
        <v>0.0</v>
      </c>
      <c r="F14" s="141">
        <v>0.0</v>
      </c>
      <c r="G14" s="141">
        <v>0.0</v>
      </c>
      <c r="H14" s="141">
        <v>0.0</v>
      </c>
      <c r="I14" s="141">
        <v>0.0</v>
      </c>
      <c r="J14" s="141">
        <v>0.0</v>
      </c>
      <c r="K14" s="141">
        <v>0.0</v>
      </c>
      <c r="L14" s="141">
        <v>0.0</v>
      </c>
      <c r="M14" s="141">
        <v>0.0</v>
      </c>
      <c r="N14" s="141">
        <v>0.0</v>
      </c>
      <c r="O14" s="141">
        <v>0.0</v>
      </c>
      <c r="P14" s="141">
        <v>0.0</v>
      </c>
      <c r="Q14" s="141">
        <v>0.0</v>
      </c>
      <c r="R14" s="141">
        <v>0.0</v>
      </c>
      <c r="S14" s="141">
        <v>0.0</v>
      </c>
      <c r="T14" s="141">
        <v>0.0</v>
      </c>
      <c r="U14" s="141">
        <v>0.0</v>
      </c>
      <c r="V14" s="141">
        <v>0.0</v>
      </c>
      <c r="W14" s="141">
        <v>0.0</v>
      </c>
      <c r="X14" s="141">
        <v>0.0</v>
      </c>
      <c r="Y14" s="141">
        <v>0.0</v>
      </c>
      <c r="Z14" s="141">
        <v>0.0</v>
      </c>
      <c r="AA14" s="141">
        <v>0.0</v>
      </c>
      <c r="AB14" s="141">
        <v>0.0</v>
      </c>
      <c r="AC14" s="141">
        <v>0.0</v>
      </c>
      <c r="AD14" s="141">
        <v>0.0</v>
      </c>
      <c r="AE14" s="141">
        <v>0.0</v>
      </c>
      <c r="AF14" s="141">
        <v>0.0</v>
      </c>
      <c r="AG14" s="312">
        <f t="shared" si="2"/>
        <v>0</v>
      </c>
    </row>
    <row r="15">
      <c r="A15" s="153" t="s">
        <v>645</v>
      </c>
      <c r="B15" s="141">
        <v>1.0</v>
      </c>
      <c r="C15" s="141">
        <v>1.0</v>
      </c>
      <c r="D15" s="141">
        <v>1.0</v>
      </c>
      <c r="E15" s="141">
        <v>1.0</v>
      </c>
      <c r="F15" s="141">
        <v>0.0</v>
      </c>
      <c r="G15" s="141">
        <v>0.0</v>
      </c>
      <c r="H15" s="141">
        <v>4.0</v>
      </c>
      <c r="I15" s="141">
        <v>3.0</v>
      </c>
      <c r="J15" s="141">
        <v>2.0</v>
      </c>
      <c r="K15" s="141">
        <v>1.0</v>
      </c>
      <c r="L15" s="141">
        <v>1.0</v>
      </c>
      <c r="M15" s="141">
        <v>1.0</v>
      </c>
      <c r="N15" s="141">
        <v>0.0</v>
      </c>
      <c r="O15" s="141">
        <v>0.0</v>
      </c>
      <c r="P15" s="141">
        <v>0.0</v>
      </c>
      <c r="Q15" s="141">
        <v>1.0</v>
      </c>
      <c r="R15" s="141">
        <v>0.0</v>
      </c>
      <c r="S15" s="141">
        <v>0.0</v>
      </c>
      <c r="T15" s="141">
        <v>2.0</v>
      </c>
      <c r="U15" s="141">
        <v>0.0</v>
      </c>
      <c r="V15" s="141">
        <v>0.0</v>
      </c>
      <c r="W15" s="141">
        <v>0.0</v>
      </c>
      <c r="X15" s="141">
        <v>1.0</v>
      </c>
      <c r="Y15" s="141">
        <v>0.0</v>
      </c>
      <c r="Z15" s="141">
        <v>0.0</v>
      </c>
      <c r="AA15" s="141">
        <v>0.0</v>
      </c>
      <c r="AB15" s="155">
        <v>3.0</v>
      </c>
      <c r="AC15" s="141">
        <v>1.0</v>
      </c>
      <c r="AD15" s="141">
        <v>0.0</v>
      </c>
      <c r="AE15" s="141">
        <v>0.0</v>
      </c>
      <c r="AF15" s="141">
        <v>1.0</v>
      </c>
      <c r="AG15" s="312">
        <f t="shared" si="2"/>
        <v>25</v>
      </c>
    </row>
    <row r="16">
      <c r="A16" s="153" t="s">
        <v>646</v>
      </c>
      <c r="B16" s="141">
        <v>1.0</v>
      </c>
      <c r="C16" s="141">
        <v>0.0</v>
      </c>
      <c r="D16" s="141">
        <v>2.0</v>
      </c>
      <c r="E16" s="141">
        <v>0.0</v>
      </c>
      <c r="F16" s="141">
        <v>0.0</v>
      </c>
      <c r="G16" s="141">
        <v>0.0</v>
      </c>
      <c r="H16" s="141">
        <v>0.0</v>
      </c>
      <c r="I16" s="141">
        <v>0.0</v>
      </c>
      <c r="J16" s="141">
        <v>0.0</v>
      </c>
      <c r="K16" s="141">
        <v>0.0</v>
      </c>
      <c r="L16" s="141">
        <v>0.0</v>
      </c>
      <c r="M16" s="141">
        <v>0.0</v>
      </c>
      <c r="N16" s="141">
        <v>0.0</v>
      </c>
      <c r="O16" s="141">
        <v>0.0</v>
      </c>
      <c r="P16" s="141">
        <v>0.0</v>
      </c>
      <c r="Q16" s="141">
        <v>0.0</v>
      </c>
      <c r="R16" s="141">
        <v>0.0</v>
      </c>
      <c r="S16" s="141">
        <v>0.0</v>
      </c>
      <c r="T16" s="141">
        <v>0.0</v>
      </c>
      <c r="U16" s="141">
        <v>0.0</v>
      </c>
      <c r="V16" s="141">
        <v>0.0</v>
      </c>
      <c r="W16" s="141">
        <v>0.0</v>
      </c>
      <c r="X16" s="141">
        <v>0.0</v>
      </c>
      <c r="Y16" s="141">
        <v>0.0</v>
      </c>
      <c r="Z16" s="141">
        <v>0.0</v>
      </c>
      <c r="AA16" s="141">
        <v>0.0</v>
      </c>
      <c r="AB16" s="141">
        <v>0.0</v>
      </c>
      <c r="AC16" s="141">
        <v>0.0</v>
      </c>
      <c r="AD16" s="141">
        <v>0.0</v>
      </c>
      <c r="AE16" s="141">
        <v>0.0</v>
      </c>
      <c r="AF16" s="141">
        <v>0.0</v>
      </c>
      <c r="AG16" s="312">
        <f t="shared" si="2"/>
        <v>3</v>
      </c>
    </row>
    <row r="17">
      <c r="A17" s="158" t="s">
        <v>127</v>
      </c>
      <c r="B17" s="315">
        <f t="shared" ref="B17:AF17" si="3">SUM(B13:B16)</f>
        <v>2</v>
      </c>
      <c r="C17" s="315">
        <f t="shared" si="3"/>
        <v>1</v>
      </c>
      <c r="D17" s="315">
        <f t="shared" si="3"/>
        <v>3</v>
      </c>
      <c r="E17" s="315">
        <f t="shared" si="3"/>
        <v>1</v>
      </c>
      <c r="F17" s="315">
        <f t="shared" si="3"/>
        <v>0</v>
      </c>
      <c r="G17" s="315">
        <f t="shared" si="3"/>
        <v>0</v>
      </c>
      <c r="H17" s="315">
        <f t="shared" si="3"/>
        <v>4</v>
      </c>
      <c r="I17" s="315">
        <f t="shared" si="3"/>
        <v>3</v>
      </c>
      <c r="J17" s="315">
        <f t="shared" si="3"/>
        <v>2</v>
      </c>
      <c r="K17" s="315">
        <f t="shared" si="3"/>
        <v>1</v>
      </c>
      <c r="L17" s="315">
        <f t="shared" si="3"/>
        <v>1</v>
      </c>
      <c r="M17" s="315">
        <f t="shared" si="3"/>
        <v>1</v>
      </c>
      <c r="N17" s="315">
        <f t="shared" si="3"/>
        <v>0</v>
      </c>
      <c r="O17" s="315">
        <f t="shared" si="3"/>
        <v>0</v>
      </c>
      <c r="P17" s="315">
        <f t="shared" si="3"/>
        <v>0</v>
      </c>
      <c r="Q17" s="315">
        <f t="shared" si="3"/>
        <v>1</v>
      </c>
      <c r="R17" s="315">
        <f t="shared" si="3"/>
        <v>0</v>
      </c>
      <c r="S17" s="315">
        <f t="shared" si="3"/>
        <v>0</v>
      </c>
      <c r="T17" s="315">
        <f t="shared" si="3"/>
        <v>2</v>
      </c>
      <c r="U17" s="315">
        <f t="shared" si="3"/>
        <v>0</v>
      </c>
      <c r="V17" s="315">
        <f t="shared" si="3"/>
        <v>0</v>
      </c>
      <c r="W17" s="315">
        <f t="shared" si="3"/>
        <v>0</v>
      </c>
      <c r="X17" s="315">
        <f t="shared" si="3"/>
        <v>1</v>
      </c>
      <c r="Y17" s="315">
        <f t="shared" si="3"/>
        <v>0</v>
      </c>
      <c r="Z17" s="315">
        <f t="shared" si="3"/>
        <v>0</v>
      </c>
      <c r="AA17" s="315">
        <f t="shared" si="3"/>
        <v>0</v>
      </c>
      <c r="AB17" s="315">
        <f t="shared" si="3"/>
        <v>3</v>
      </c>
      <c r="AC17" s="315">
        <f t="shared" si="3"/>
        <v>1</v>
      </c>
      <c r="AD17" s="315">
        <f t="shared" si="3"/>
        <v>0</v>
      </c>
      <c r="AE17" s="315">
        <f t="shared" si="3"/>
        <v>0</v>
      </c>
      <c r="AF17" s="315">
        <f t="shared" si="3"/>
        <v>1</v>
      </c>
      <c r="AG17" s="312">
        <f t="shared" si="2"/>
        <v>28</v>
      </c>
    </row>
    <row r="18">
      <c r="A18" s="98"/>
      <c r="B18" s="162"/>
      <c r="C18" s="162"/>
      <c r="D18" s="162"/>
      <c r="E18" s="162"/>
      <c r="F18" s="162"/>
      <c r="G18" s="162"/>
      <c r="H18" s="162"/>
      <c r="I18" s="162"/>
      <c r="J18" s="83"/>
      <c r="K18" s="83"/>
      <c r="L18" s="83"/>
      <c r="M18" s="83"/>
      <c r="N18" s="83"/>
      <c r="O18" s="83"/>
      <c r="P18" s="83"/>
      <c r="Q18" s="83"/>
      <c r="R18" s="83"/>
      <c r="S18" s="83"/>
      <c r="T18" s="83"/>
      <c r="U18" s="83"/>
      <c r="V18" s="83"/>
      <c r="W18" s="83"/>
      <c r="X18" s="83"/>
      <c r="Y18" s="83"/>
      <c r="Z18" s="83"/>
      <c r="AA18" s="83"/>
      <c r="AB18" s="83"/>
      <c r="AC18" s="83"/>
      <c r="AD18" s="83"/>
      <c r="AE18" s="83"/>
      <c r="AF18" s="83"/>
      <c r="AG18" s="418"/>
    </row>
    <row r="19">
      <c r="A19" s="153" t="s">
        <v>131</v>
      </c>
      <c r="B19" s="155">
        <v>0.0</v>
      </c>
      <c r="C19" s="155">
        <v>0.0</v>
      </c>
      <c r="D19" s="155">
        <v>0.0</v>
      </c>
      <c r="E19" s="155">
        <v>0.0</v>
      </c>
      <c r="F19" s="155">
        <v>0.0</v>
      </c>
      <c r="G19" s="155">
        <v>0.0</v>
      </c>
      <c r="H19" s="155">
        <v>0.0</v>
      </c>
      <c r="I19" s="155">
        <v>0.0</v>
      </c>
      <c r="J19" s="155">
        <v>0.0</v>
      </c>
      <c r="K19" s="155">
        <v>0.0</v>
      </c>
      <c r="L19" s="155">
        <v>0.0</v>
      </c>
      <c r="M19" s="155">
        <v>0.0</v>
      </c>
      <c r="N19" s="155">
        <v>0.0</v>
      </c>
      <c r="O19" s="155">
        <v>0.0</v>
      </c>
      <c r="P19" s="155">
        <v>0.0</v>
      </c>
      <c r="Q19" s="155">
        <v>0.0</v>
      </c>
      <c r="R19" s="155">
        <v>0.0</v>
      </c>
      <c r="S19" s="155">
        <v>0.0</v>
      </c>
      <c r="T19" s="155">
        <v>0.0</v>
      </c>
      <c r="U19" s="155">
        <v>0.0</v>
      </c>
      <c r="V19" s="155">
        <v>0.0</v>
      </c>
      <c r="W19" s="155">
        <v>0.0</v>
      </c>
      <c r="X19" s="155">
        <v>0.0</v>
      </c>
      <c r="Y19" s="155">
        <v>0.0</v>
      </c>
      <c r="Z19" s="155">
        <v>0.0</v>
      </c>
      <c r="AA19" s="155">
        <v>0.0</v>
      </c>
      <c r="AB19" s="155">
        <v>0.0</v>
      </c>
      <c r="AC19" s="155">
        <v>0.0</v>
      </c>
      <c r="AD19" s="141">
        <v>0.0</v>
      </c>
      <c r="AE19" s="141">
        <v>0.0</v>
      </c>
      <c r="AF19" s="141">
        <v>0.0</v>
      </c>
      <c r="AG19" s="312">
        <f t="shared" ref="AG19:AG27" si="4">SUM(B19:AF19)</f>
        <v>0</v>
      </c>
    </row>
    <row r="20">
      <c r="A20" s="153" t="s">
        <v>132</v>
      </c>
      <c r="B20" s="155">
        <v>0.0</v>
      </c>
      <c r="C20" s="155">
        <v>0.0</v>
      </c>
      <c r="D20" s="155">
        <v>0.0</v>
      </c>
      <c r="E20" s="155">
        <v>0.0</v>
      </c>
      <c r="F20" s="155">
        <v>0.0</v>
      </c>
      <c r="G20" s="155">
        <v>0.0</v>
      </c>
      <c r="H20" s="155">
        <v>0.0</v>
      </c>
      <c r="I20" s="155">
        <v>0.0</v>
      </c>
      <c r="J20" s="155">
        <v>0.0</v>
      </c>
      <c r="K20" s="155">
        <v>0.0</v>
      </c>
      <c r="L20" s="155">
        <v>0.0</v>
      </c>
      <c r="M20" s="155">
        <v>0.0</v>
      </c>
      <c r="N20" s="155">
        <v>0.0</v>
      </c>
      <c r="O20" s="155">
        <v>0.0</v>
      </c>
      <c r="P20" s="155">
        <v>0.0</v>
      </c>
      <c r="Q20" s="155">
        <v>0.0</v>
      </c>
      <c r="R20" s="155">
        <v>0.0</v>
      </c>
      <c r="S20" s="155">
        <v>0.0</v>
      </c>
      <c r="T20" s="155">
        <v>0.0</v>
      </c>
      <c r="U20" s="155">
        <v>0.0</v>
      </c>
      <c r="V20" s="155">
        <v>0.0</v>
      </c>
      <c r="W20" s="155">
        <v>0.0</v>
      </c>
      <c r="X20" s="155">
        <v>0.0</v>
      </c>
      <c r="Y20" s="155">
        <v>0.0</v>
      </c>
      <c r="Z20" s="155">
        <v>0.0</v>
      </c>
      <c r="AA20" s="155">
        <v>0.0</v>
      </c>
      <c r="AB20" s="155">
        <v>0.0</v>
      </c>
      <c r="AC20" s="155">
        <v>0.0</v>
      </c>
      <c r="AD20" s="141">
        <v>0.0</v>
      </c>
      <c r="AE20" s="141">
        <v>0.0</v>
      </c>
      <c r="AF20" s="141">
        <v>0.0</v>
      </c>
      <c r="AG20" s="312">
        <f t="shared" si="4"/>
        <v>0</v>
      </c>
    </row>
    <row r="21">
      <c r="A21" s="153" t="s">
        <v>647</v>
      </c>
      <c r="B21" s="155">
        <v>0.0</v>
      </c>
      <c r="C21" s="155">
        <v>0.0</v>
      </c>
      <c r="D21" s="155">
        <v>0.0</v>
      </c>
      <c r="E21" s="155">
        <v>0.0</v>
      </c>
      <c r="F21" s="155">
        <v>0.0</v>
      </c>
      <c r="G21" s="155">
        <v>0.0</v>
      </c>
      <c r="H21" s="155">
        <v>0.0</v>
      </c>
      <c r="I21" s="155">
        <v>0.0</v>
      </c>
      <c r="J21" s="155">
        <v>0.0</v>
      </c>
      <c r="K21" s="155">
        <v>0.0</v>
      </c>
      <c r="L21" s="155">
        <v>0.0</v>
      </c>
      <c r="M21" s="155">
        <v>0.0</v>
      </c>
      <c r="N21" s="155">
        <v>0.0</v>
      </c>
      <c r="O21" s="155">
        <v>0.0</v>
      </c>
      <c r="P21" s="155">
        <v>0.0</v>
      </c>
      <c r="Q21" s="155">
        <v>0.0</v>
      </c>
      <c r="R21" s="155">
        <v>0.0</v>
      </c>
      <c r="S21" s="155">
        <v>0.0</v>
      </c>
      <c r="T21" s="155">
        <v>0.0</v>
      </c>
      <c r="U21" s="155">
        <v>0.0</v>
      </c>
      <c r="V21" s="155">
        <v>0.0</v>
      </c>
      <c r="W21" s="155">
        <v>0.0</v>
      </c>
      <c r="X21" s="155">
        <v>0.0</v>
      </c>
      <c r="Y21" s="155">
        <v>0.0</v>
      </c>
      <c r="Z21" s="155">
        <v>0.0</v>
      </c>
      <c r="AA21" s="155">
        <v>0.0</v>
      </c>
      <c r="AB21" s="155">
        <v>0.0</v>
      </c>
      <c r="AC21" s="155">
        <v>0.0</v>
      </c>
      <c r="AD21" s="141">
        <v>0.0</v>
      </c>
      <c r="AE21" s="141">
        <v>0.0</v>
      </c>
      <c r="AF21" s="141">
        <v>0.0</v>
      </c>
      <c r="AG21" s="312">
        <f t="shared" si="4"/>
        <v>0</v>
      </c>
    </row>
    <row r="22">
      <c r="A22" s="153" t="s">
        <v>648</v>
      </c>
      <c r="B22" s="154">
        <v>0.0</v>
      </c>
      <c r="C22" s="154">
        <v>0.0</v>
      </c>
      <c r="D22" s="154">
        <v>0.0</v>
      </c>
      <c r="E22" s="154">
        <v>0.0</v>
      </c>
      <c r="F22" s="154">
        <v>0.0</v>
      </c>
      <c r="G22" s="154">
        <v>0.0</v>
      </c>
      <c r="H22" s="154">
        <v>0.0</v>
      </c>
      <c r="I22" s="154">
        <v>0.0</v>
      </c>
      <c r="J22" s="154">
        <v>0.0</v>
      </c>
      <c r="K22" s="154">
        <v>0.0</v>
      </c>
      <c r="L22" s="154">
        <v>0.0</v>
      </c>
      <c r="M22" s="154">
        <v>0.0</v>
      </c>
      <c r="N22" s="154">
        <v>0.0</v>
      </c>
      <c r="O22" s="154">
        <v>0.0</v>
      </c>
      <c r="P22" s="154">
        <v>0.0</v>
      </c>
      <c r="Q22" s="154">
        <v>0.0</v>
      </c>
      <c r="R22" s="154">
        <v>0.0</v>
      </c>
      <c r="S22" s="154">
        <v>0.0</v>
      </c>
      <c r="T22" s="154">
        <v>0.0</v>
      </c>
      <c r="U22" s="154">
        <v>0.0</v>
      </c>
      <c r="V22" s="154">
        <v>0.0</v>
      </c>
      <c r="W22" s="154">
        <v>0.0</v>
      </c>
      <c r="X22" s="154">
        <v>0.0</v>
      </c>
      <c r="Y22" s="154">
        <v>0.0</v>
      </c>
      <c r="Z22" s="154">
        <v>0.0</v>
      </c>
      <c r="AA22" s="154">
        <v>0.0</v>
      </c>
      <c r="AB22" s="154">
        <v>0.0</v>
      </c>
      <c r="AC22" s="154">
        <v>0.0</v>
      </c>
      <c r="AD22" s="141">
        <v>0.0</v>
      </c>
      <c r="AE22" s="141">
        <v>0.0</v>
      </c>
      <c r="AF22" s="141">
        <v>0.0</v>
      </c>
      <c r="AG22" s="312">
        <f t="shared" si="4"/>
        <v>0</v>
      </c>
    </row>
    <row r="23">
      <c r="A23" s="153" t="s">
        <v>649</v>
      </c>
      <c r="B23" s="155">
        <v>0.0</v>
      </c>
      <c r="C23" s="155">
        <v>0.0</v>
      </c>
      <c r="D23" s="155">
        <v>0.0</v>
      </c>
      <c r="E23" s="155">
        <v>0.0</v>
      </c>
      <c r="F23" s="155">
        <v>0.0</v>
      </c>
      <c r="G23" s="155">
        <v>0.0</v>
      </c>
      <c r="H23" s="155">
        <v>0.0</v>
      </c>
      <c r="I23" s="155">
        <v>0.0</v>
      </c>
      <c r="J23" s="155">
        <v>0.0</v>
      </c>
      <c r="K23" s="155">
        <v>0.0</v>
      </c>
      <c r="L23" s="155">
        <v>0.0</v>
      </c>
      <c r="M23" s="155">
        <v>0.0</v>
      </c>
      <c r="N23" s="155">
        <v>0.0</v>
      </c>
      <c r="O23" s="155">
        <v>0.0</v>
      </c>
      <c r="P23" s="155">
        <v>0.0</v>
      </c>
      <c r="Q23" s="155">
        <v>0.0</v>
      </c>
      <c r="R23" s="155">
        <v>0.0</v>
      </c>
      <c r="S23" s="155">
        <v>0.0</v>
      </c>
      <c r="T23" s="155">
        <v>0.0</v>
      </c>
      <c r="U23" s="155">
        <v>0.0</v>
      </c>
      <c r="V23" s="155">
        <v>0.0</v>
      </c>
      <c r="W23" s="155">
        <v>0.0</v>
      </c>
      <c r="X23" s="155">
        <v>0.0</v>
      </c>
      <c r="Y23" s="155">
        <v>0.0</v>
      </c>
      <c r="Z23" s="155">
        <v>0.0</v>
      </c>
      <c r="AA23" s="155">
        <v>0.0</v>
      </c>
      <c r="AB23" s="155">
        <v>0.0</v>
      </c>
      <c r="AC23" s="155">
        <v>0.0</v>
      </c>
      <c r="AD23" s="141">
        <v>0.0</v>
      </c>
      <c r="AE23" s="141">
        <v>0.0</v>
      </c>
      <c r="AF23" s="141">
        <v>0.0</v>
      </c>
      <c r="AG23" s="312">
        <f t="shared" si="4"/>
        <v>0</v>
      </c>
    </row>
    <row r="24">
      <c r="A24" s="153" t="s">
        <v>650</v>
      </c>
      <c r="B24" s="154">
        <v>0.0</v>
      </c>
      <c r="C24" s="154">
        <v>0.0</v>
      </c>
      <c r="D24" s="154">
        <v>0.0</v>
      </c>
      <c r="E24" s="154">
        <v>0.0</v>
      </c>
      <c r="F24" s="154">
        <v>0.0</v>
      </c>
      <c r="G24" s="154">
        <v>0.0</v>
      </c>
      <c r="H24" s="154">
        <v>0.0</v>
      </c>
      <c r="I24" s="154">
        <v>0.0</v>
      </c>
      <c r="J24" s="154">
        <v>0.0</v>
      </c>
      <c r="K24" s="154">
        <v>0.0</v>
      </c>
      <c r="L24" s="154">
        <v>0.0</v>
      </c>
      <c r="M24" s="154">
        <v>0.0</v>
      </c>
      <c r="N24" s="154">
        <v>0.0</v>
      </c>
      <c r="O24" s="154">
        <v>0.0</v>
      </c>
      <c r="P24" s="154">
        <v>0.0</v>
      </c>
      <c r="Q24" s="154">
        <v>0.0</v>
      </c>
      <c r="R24" s="154">
        <v>0.0</v>
      </c>
      <c r="S24" s="154">
        <v>0.0</v>
      </c>
      <c r="T24" s="154">
        <v>0.0</v>
      </c>
      <c r="U24" s="154">
        <v>0.0</v>
      </c>
      <c r="V24" s="154">
        <v>0.0</v>
      </c>
      <c r="W24" s="154">
        <v>0.0</v>
      </c>
      <c r="X24" s="154">
        <v>0.0</v>
      </c>
      <c r="Y24" s="154">
        <v>0.0</v>
      </c>
      <c r="Z24" s="154">
        <v>0.0</v>
      </c>
      <c r="AA24" s="154">
        <v>0.0</v>
      </c>
      <c r="AB24" s="154">
        <v>0.0</v>
      </c>
      <c r="AC24" s="154">
        <v>0.0</v>
      </c>
      <c r="AD24" s="141">
        <v>0.0</v>
      </c>
      <c r="AE24" s="141">
        <v>0.0</v>
      </c>
      <c r="AF24" s="141">
        <v>0.0</v>
      </c>
      <c r="AG24" s="312">
        <f t="shared" si="4"/>
        <v>0</v>
      </c>
    </row>
    <row r="25">
      <c r="A25" s="153" t="s">
        <v>651</v>
      </c>
      <c r="B25" s="155">
        <v>0.0</v>
      </c>
      <c r="C25" s="155">
        <v>0.0</v>
      </c>
      <c r="D25" s="155">
        <v>0.0</v>
      </c>
      <c r="E25" s="155">
        <v>0.0</v>
      </c>
      <c r="F25" s="155">
        <v>0.0</v>
      </c>
      <c r="G25" s="155">
        <v>0.0</v>
      </c>
      <c r="H25" s="155">
        <v>0.0</v>
      </c>
      <c r="I25" s="155">
        <v>0.0</v>
      </c>
      <c r="J25" s="155">
        <v>0.0</v>
      </c>
      <c r="K25" s="155">
        <v>0.0</v>
      </c>
      <c r="L25" s="155">
        <v>0.0</v>
      </c>
      <c r="M25" s="155">
        <v>0.0</v>
      </c>
      <c r="N25" s="155">
        <v>0.0</v>
      </c>
      <c r="O25" s="155">
        <v>0.0</v>
      </c>
      <c r="P25" s="155">
        <v>0.0</v>
      </c>
      <c r="Q25" s="155">
        <v>0.0</v>
      </c>
      <c r="R25" s="155">
        <v>0.0</v>
      </c>
      <c r="S25" s="155">
        <v>0.0</v>
      </c>
      <c r="T25" s="155">
        <v>0.0</v>
      </c>
      <c r="U25" s="155">
        <v>0.0</v>
      </c>
      <c r="V25" s="155">
        <v>0.0</v>
      </c>
      <c r="W25" s="155">
        <v>0.0</v>
      </c>
      <c r="X25" s="155">
        <v>0.0</v>
      </c>
      <c r="Y25" s="155">
        <v>0.0</v>
      </c>
      <c r="Z25" s="155">
        <v>0.0</v>
      </c>
      <c r="AA25" s="155">
        <v>0.0</v>
      </c>
      <c r="AB25" s="155">
        <v>0.0</v>
      </c>
      <c r="AC25" s="155">
        <v>0.0</v>
      </c>
      <c r="AD25" s="141">
        <v>0.0</v>
      </c>
      <c r="AE25" s="141">
        <v>0.0</v>
      </c>
      <c r="AF25" s="141">
        <v>0.0</v>
      </c>
      <c r="AG25" s="312">
        <f t="shared" si="4"/>
        <v>0</v>
      </c>
    </row>
    <row r="26">
      <c r="A26" s="153" t="s">
        <v>652</v>
      </c>
      <c r="B26" s="155">
        <v>0.0</v>
      </c>
      <c r="C26" s="155">
        <v>0.0</v>
      </c>
      <c r="D26" s="155">
        <v>0.0</v>
      </c>
      <c r="E26" s="155">
        <v>0.0</v>
      </c>
      <c r="F26" s="155">
        <v>0.0</v>
      </c>
      <c r="G26" s="155">
        <v>0.0</v>
      </c>
      <c r="H26" s="155">
        <v>0.0</v>
      </c>
      <c r="I26" s="155">
        <v>0.0</v>
      </c>
      <c r="J26" s="155">
        <v>0.0</v>
      </c>
      <c r="K26" s="155">
        <v>0.0</v>
      </c>
      <c r="L26" s="155">
        <v>0.0</v>
      </c>
      <c r="M26" s="155">
        <v>0.0</v>
      </c>
      <c r="N26" s="155">
        <v>0.0</v>
      </c>
      <c r="O26" s="155">
        <v>0.0</v>
      </c>
      <c r="P26" s="155">
        <v>0.0</v>
      </c>
      <c r="Q26" s="155">
        <v>0.0</v>
      </c>
      <c r="R26" s="155">
        <v>0.0</v>
      </c>
      <c r="S26" s="155">
        <v>0.0</v>
      </c>
      <c r="T26" s="155">
        <v>0.0</v>
      </c>
      <c r="U26" s="155">
        <v>0.0</v>
      </c>
      <c r="V26" s="155">
        <v>0.0</v>
      </c>
      <c r="W26" s="155">
        <v>0.0</v>
      </c>
      <c r="X26" s="155">
        <v>0.0</v>
      </c>
      <c r="Y26" s="155">
        <v>0.0</v>
      </c>
      <c r="Z26" s="155">
        <v>0.0</v>
      </c>
      <c r="AA26" s="155">
        <v>0.0</v>
      </c>
      <c r="AB26" s="155">
        <v>0.0</v>
      </c>
      <c r="AC26" s="155">
        <v>0.0</v>
      </c>
      <c r="AD26" s="141">
        <v>0.0</v>
      </c>
      <c r="AE26" s="141">
        <v>0.0</v>
      </c>
      <c r="AF26" s="141">
        <v>0.0</v>
      </c>
      <c r="AG26" s="312">
        <f t="shared" si="4"/>
        <v>0</v>
      </c>
    </row>
    <row r="27">
      <c r="A27" s="158" t="s">
        <v>141</v>
      </c>
      <c r="B27" s="315">
        <f t="shared" ref="B27:AF27" si="5">SUM(B19:B26)</f>
        <v>0</v>
      </c>
      <c r="C27" s="315">
        <f t="shared" si="5"/>
        <v>0</v>
      </c>
      <c r="D27" s="315">
        <f t="shared" si="5"/>
        <v>0</v>
      </c>
      <c r="E27" s="315">
        <f t="shared" si="5"/>
        <v>0</v>
      </c>
      <c r="F27" s="315">
        <f t="shared" si="5"/>
        <v>0</v>
      </c>
      <c r="G27" s="315">
        <f t="shared" si="5"/>
        <v>0</v>
      </c>
      <c r="H27" s="315">
        <f t="shared" si="5"/>
        <v>0</v>
      </c>
      <c r="I27" s="315">
        <f t="shared" si="5"/>
        <v>0</v>
      </c>
      <c r="J27" s="315">
        <f t="shared" si="5"/>
        <v>0</v>
      </c>
      <c r="K27" s="315">
        <f t="shared" si="5"/>
        <v>0</v>
      </c>
      <c r="L27" s="315">
        <f t="shared" si="5"/>
        <v>0</v>
      </c>
      <c r="M27" s="315">
        <f t="shared" si="5"/>
        <v>0</v>
      </c>
      <c r="N27" s="315">
        <f t="shared" si="5"/>
        <v>0</v>
      </c>
      <c r="O27" s="315">
        <f t="shared" si="5"/>
        <v>0</v>
      </c>
      <c r="P27" s="315">
        <f t="shared" si="5"/>
        <v>0</v>
      </c>
      <c r="Q27" s="315">
        <f t="shared" si="5"/>
        <v>0</v>
      </c>
      <c r="R27" s="315">
        <f t="shared" si="5"/>
        <v>0</v>
      </c>
      <c r="S27" s="315">
        <f t="shared" si="5"/>
        <v>0</v>
      </c>
      <c r="T27" s="315">
        <f t="shared" si="5"/>
        <v>0</v>
      </c>
      <c r="U27" s="315">
        <f t="shared" si="5"/>
        <v>0</v>
      </c>
      <c r="V27" s="315">
        <f t="shared" si="5"/>
        <v>0</v>
      </c>
      <c r="W27" s="315">
        <f t="shared" si="5"/>
        <v>0</v>
      </c>
      <c r="X27" s="315">
        <f t="shared" si="5"/>
        <v>0</v>
      </c>
      <c r="Y27" s="315">
        <f t="shared" si="5"/>
        <v>0</v>
      </c>
      <c r="Z27" s="315">
        <f t="shared" si="5"/>
        <v>0</v>
      </c>
      <c r="AA27" s="315">
        <f t="shared" si="5"/>
        <v>0</v>
      </c>
      <c r="AB27" s="315">
        <f t="shared" si="5"/>
        <v>0</v>
      </c>
      <c r="AC27" s="315">
        <f t="shared" si="5"/>
        <v>0</v>
      </c>
      <c r="AD27" s="315">
        <f t="shared" si="5"/>
        <v>0</v>
      </c>
      <c r="AE27" s="315">
        <f t="shared" si="5"/>
        <v>0</v>
      </c>
      <c r="AF27" s="315">
        <f t="shared" si="5"/>
        <v>0</v>
      </c>
      <c r="AG27" s="312">
        <f t="shared" si="4"/>
        <v>0</v>
      </c>
    </row>
    <row r="28">
      <c r="A28" s="98"/>
      <c r="B28" s="83"/>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83"/>
      <c r="AF28" s="83"/>
      <c r="AG28" s="417"/>
    </row>
    <row r="29">
      <c r="A29" s="419" t="s">
        <v>653</v>
      </c>
      <c r="B29" s="420"/>
      <c r="C29" s="420"/>
      <c r="D29" s="420"/>
      <c r="E29" s="420"/>
      <c r="F29" s="420"/>
      <c r="G29" s="420"/>
      <c r="H29" s="420"/>
      <c r="I29" s="420"/>
      <c r="J29" s="420"/>
      <c r="K29" s="420"/>
      <c r="L29" s="420"/>
      <c r="M29" s="420"/>
      <c r="N29" s="420"/>
      <c r="O29" s="420"/>
      <c r="P29" s="420"/>
      <c r="Q29" s="420"/>
      <c r="R29" s="420"/>
      <c r="S29" s="420"/>
      <c r="T29" s="420"/>
      <c r="U29" s="420"/>
      <c r="V29" s="420"/>
      <c r="W29" s="420"/>
      <c r="X29" s="420"/>
      <c r="Y29" s="420"/>
      <c r="Z29" s="420"/>
      <c r="AA29" s="420"/>
      <c r="AB29" s="420"/>
      <c r="AC29" s="420"/>
      <c r="AD29" s="420"/>
      <c r="AE29" s="420"/>
      <c r="AF29" s="420"/>
      <c r="AG29" s="421"/>
    </row>
    <row r="30" outlineLevel="1">
      <c r="A30" s="422"/>
      <c r="AG30" s="421"/>
    </row>
    <row r="31" outlineLevel="1">
      <c r="A31" s="138" t="s">
        <v>654</v>
      </c>
      <c r="B31" s="183"/>
      <c r="C31" s="183"/>
      <c r="D31" s="183"/>
      <c r="E31" s="183"/>
      <c r="F31" s="183"/>
      <c r="G31" s="183"/>
      <c r="H31" s="183"/>
      <c r="I31" s="146"/>
      <c r="J31" s="146"/>
      <c r="K31" s="146"/>
      <c r="L31" s="146"/>
      <c r="M31" s="146"/>
      <c r="N31" s="146"/>
      <c r="O31" s="146"/>
      <c r="P31" s="146"/>
      <c r="Q31" s="146"/>
      <c r="R31" s="146"/>
      <c r="S31" s="146"/>
      <c r="T31" s="146"/>
      <c r="U31" s="146"/>
      <c r="V31" s="146"/>
      <c r="W31" s="146"/>
      <c r="X31" s="146"/>
      <c r="Y31" s="146"/>
      <c r="Z31" s="146"/>
      <c r="AA31" s="146"/>
      <c r="AB31" s="146"/>
      <c r="AC31" s="146"/>
      <c r="AD31" s="146"/>
      <c r="AE31" s="146"/>
      <c r="AF31" s="146"/>
      <c r="AG31" s="423"/>
    </row>
    <row r="32" outlineLevel="1">
      <c r="A32" s="215" t="s">
        <v>655</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187"/>
      <c r="AF32" s="187"/>
      <c r="AG32" s="303">
        <f t="shared" ref="AG32:AG37" si="6">SUM(B32:AF32)</f>
        <v>0</v>
      </c>
    </row>
    <row r="33" outlineLevel="1">
      <c r="A33" s="215" t="s">
        <v>656</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187"/>
      <c r="AF33" s="187"/>
      <c r="AG33" s="303">
        <f t="shared" si="6"/>
        <v>0</v>
      </c>
    </row>
    <row r="34" outlineLevel="1">
      <c r="A34" s="215" t="s">
        <v>657</v>
      </c>
      <c r="B34" s="192"/>
      <c r="C34" s="192"/>
      <c r="D34" s="187"/>
      <c r="E34" s="192"/>
      <c r="F34" s="187"/>
      <c r="G34" s="187"/>
      <c r="H34" s="192"/>
      <c r="I34" s="192"/>
      <c r="J34" s="192"/>
      <c r="K34" s="192"/>
      <c r="L34" s="192"/>
      <c r="M34" s="192"/>
      <c r="N34" s="192"/>
      <c r="O34" s="187"/>
      <c r="P34" s="187"/>
      <c r="Q34" s="187"/>
      <c r="R34" s="187"/>
      <c r="S34" s="187"/>
      <c r="T34" s="187"/>
      <c r="U34" s="187"/>
      <c r="V34" s="187"/>
      <c r="W34" s="187"/>
      <c r="X34" s="187"/>
      <c r="Y34" s="160">
        <v>1.0</v>
      </c>
      <c r="Z34" s="187"/>
      <c r="AA34" s="187"/>
      <c r="AB34" s="187"/>
      <c r="AC34" s="187"/>
      <c r="AD34" s="187"/>
      <c r="AE34" s="187"/>
      <c r="AF34" s="187"/>
      <c r="AG34" s="303">
        <f t="shared" si="6"/>
        <v>1</v>
      </c>
    </row>
    <row r="35" outlineLevel="1">
      <c r="A35" s="215" t="s">
        <v>658</v>
      </c>
      <c r="B35" s="192"/>
      <c r="C35" s="192"/>
      <c r="D35" s="187"/>
      <c r="E35" s="192"/>
      <c r="F35" s="192"/>
      <c r="G35" s="192"/>
      <c r="H35" s="192"/>
      <c r="I35" s="192"/>
      <c r="J35" s="192"/>
      <c r="K35" s="192"/>
      <c r="L35" s="192"/>
      <c r="M35" s="192"/>
      <c r="N35" s="192"/>
      <c r="O35" s="187"/>
      <c r="P35" s="187"/>
      <c r="Q35" s="187"/>
      <c r="R35" s="187"/>
      <c r="S35" s="187"/>
      <c r="T35" s="187"/>
      <c r="U35" s="187"/>
      <c r="V35" s="187"/>
      <c r="W35" s="187"/>
      <c r="X35" s="187"/>
      <c r="Y35" s="187"/>
      <c r="Z35" s="187"/>
      <c r="AA35" s="187"/>
      <c r="AB35" s="187"/>
      <c r="AC35" s="187"/>
      <c r="AD35" s="187"/>
      <c r="AE35" s="187"/>
      <c r="AF35" s="187"/>
      <c r="AG35" s="303">
        <f t="shared" si="6"/>
        <v>0</v>
      </c>
    </row>
    <row r="36" outlineLevel="1">
      <c r="A36" s="223" t="s">
        <v>221</v>
      </c>
      <c r="B36" s="345">
        <f t="shared" ref="B36:AF36" si="7">SUM(B32:B33)</f>
        <v>0</v>
      </c>
      <c r="C36" s="345">
        <f t="shared" si="7"/>
        <v>0</v>
      </c>
      <c r="D36" s="345">
        <f t="shared" si="7"/>
        <v>0</v>
      </c>
      <c r="E36" s="345">
        <f t="shared" si="7"/>
        <v>0</v>
      </c>
      <c r="F36" s="345">
        <f t="shared" si="7"/>
        <v>0</v>
      </c>
      <c r="G36" s="345">
        <f t="shared" si="7"/>
        <v>0</v>
      </c>
      <c r="H36" s="345">
        <f t="shared" si="7"/>
        <v>0</v>
      </c>
      <c r="I36" s="345">
        <f t="shared" si="7"/>
        <v>0</v>
      </c>
      <c r="J36" s="345">
        <f t="shared" si="7"/>
        <v>0</v>
      </c>
      <c r="K36" s="345">
        <f t="shared" si="7"/>
        <v>0</v>
      </c>
      <c r="L36" s="345">
        <f t="shared" si="7"/>
        <v>0</v>
      </c>
      <c r="M36" s="345">
        <f t="shared" si="7"/>
        <v>0</v>
      </c>
      <c r="N36" s="345">
        <f t="shared" si="7"/>
        <v>0</v>
      </c>
      <c r="O36" s="345">
        <f t="shared" si="7"/>
        <v>0</v>
      </c>
      <c r="P36" s="345">
        <f t="shared" si="7"/>
        <v>0</v>
      </c>
      <c r="Q36" s="345">
        <f t="shared" si="7"/>
        <v>0</v>
      </c>
      <c r="R36" s="345">
        <f t="shared" si="7"/>
        <v>0</v>
      </c>
      <c r="S36" s="345">
        <f t="shared" si="7"/>
        <v>0</v>
      </c>
      <c r="T36" s="345">
        <f t="shared" si="7"/>
        <v>0</v>
      </c>
      <c r="U36" s="345">
        <f t="shared" si="7"/>
        <v>0</v>
      </c>
      <c r="V36" s="345">
        <f t="shared" si="7"/>
        <v>0</v>
      </c>
      <c r="W36" s="345">
        <f t="shared" si="7"/>
        <v>0</v>
      </c>
      <c r="X36" s="345">
        <f t="shared" si="7"/>
        <v>0</v>
      </c>
      <c r="Y36" s="345">
        <f t="shared" si="7"/>
        <v>0</v>
      </c>
      <c r="Z36" s="345">
        <f t="shared" si="7"/>
        <v>0</v>
      </c>
      <c r="AA36" s="345">
        <f t="shared" si="7"/>
        <v>0</v>
      </c>
      <c r="AB36" s="345">
        <f t="shared" si="7"/>
        <v>0</v>
      </c>
      <c r="AC36" s="345">
        <f t="shared" si="7"/>
        <v>0</v>
      </c>
      <c r="AD36" s="345">
        <f t="shared" si="7"/>
        <v>0</v>
      </c>
      <c r="AE36" s="345">
        <f t="shared" si="7"/>
        <v>0</v>
      </c>
      <c r="AF36" s="345">
        <f t="shared" si="7"/>
        <v>0</v>
      </c>
      <c r="AG36" s="303">
        <f t="shared" si="6"/>
        <v>0</v>
      </c>
    </row>
    <row r="37" outlineLevel="1">
      <c r="A37" s="223" t="s">
        <v>222</v>
      </c>
      <c r="B37" s="345">
        <f t="shared" ref="B37:AF37" si="8">SUM(B34:B35)</f>
        <v>0</v>
      </c>
      <c r="C37" s="345">
        <f t="shared" si="8"/>
        <v>0</v>
      </c>
      <c r="D37" s="345">
        <f t="shared" si="8"/>
        <v>0</v>
      </c>
      <c r="E37" s="345">
        <f t="shared" si="8"/>
        <v>0</v>
      </c>
      <c r="F37" s="345">
        <f t="shared" si="8"/>
        <v>0</v>
      </c>
      <c r="G37" s="345">
        <f t="shared" si="8"/>
        <v>0</v>
      </c>
      <c r="H37" s="345">
        <f t="shared" si="8"/>
        <v>0</v>
      </c>
      <c r="I37" s="345">
        <f t="shared" si="8"/>
        <v>0</v>
      </c>
      <c r="J37" s="345">
        <f t="shared" si="8"/>
        <v>0</v>
      </c>
      <c r="K37" s="345">
        <f t="shared" si="8"/>
        <v>0</v>
      </c>
      <c r="L37" s="345">
        <f t="shared" si="8"/>
        <v>0</v>
      </c>
      <c r="M37" s="345">
        <f t="shared" si="8"/>
        <v>0</v>
      </c>
      <c r="N37" s="345">
        <f t="shared" si="8"/>
        <v>0</v>
      </c>
      <c r="O37" s="345">
        <f t="shared" si="8"/>
        <v>0</v>
      </c>
      <c r="P37" s="345">
        <f t="shared" si="8"/>
        <v>0</v>
      </c>
      <c r="Q37" s="345">
        <f t="shared" si="8"/>
        <v>0</v>
      </c>
      <c r="R37" s="345">
        <f t="shared" si="8"/>
        <v>0</v>
      </c>
      <c r="S37" s="345">
        <f t="shared" si="8"/>
        <v>0</v>
      </c>
      <c r="T37" s="345">
        <f t="shared" si="8"/>
        <v>0</v>
      </c>
      <c r="U37" s="345">
        <f t="shared" si="8"/>
        <v>0</v>
      </c>
      <c r="V37" s="345">
        <f t="shared" si="8"/>
        <v>0</v>
      </c>
      <c r="W37" s="345">
        <f t="shared" si="8"/>
        <v>0</v>
      </c>
      <c r="X37" s="345">
        <f t="shared" si="8"/>
        <v>0</v>
      </c>
      <c r="Y37" s="345">
        <f t="shared" si="8"/>
        <v>1</v>
      </c>
      <c r="Z37" s="345">
        <f t="shared" si="8"/>
        <v>0</v>
      </c>
      <c r="AA37" s="345">
        <f t="shared" si="8"/>
        <v>0</v>
      </c>
      <c r="AB37" s="345">
        <f t="shared" si="8"/>
        <v>0</v>
      </c>
      <c r="AC37" s="345">
        <f t="shared" si="8"/>
        <v>0</v>
      </c>
      <c r="AD37" s="345">
        <f t="shared" si="8"/>
        <v>0</v>
      </c>
      <c r="AE37" s="345">
        <f t="shared" si="8"/>
        <v>0</v>
      </c>
      <c r="AF37" s="345">
        <f t="shared" si="8"/>
        <v>0</v>
      </c>
      <c r="AG37" s="303">
        <f t="shared" si="6"/>
        <v>1</v>
      </c>
    </row>
    <row r="38" outlineLevel="1">
      <c r="A38" s="98"/>
      <c r="B38" s="127"/>
      <c r="C38" s="127"/>
      <c r="D38" s="127"/>
      <c r="E38" s="127"/>
      <c r="F38" s="127"/>
      <c r="G38" s="127"/>
      <c r="H38" s="127"/>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413"/>
    </row>
    <row r="39" outlineLevel="1">
      <c r="A39" s="215" t="s">
        <v>224</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303">
        <f t="shared" ref="AG39:AG47" si="9">SUM(B39:AF39)</f>
        <v>0</v>
      </c>
    </row>
    <row r="40" outlineLevel="1">
      <c r="A40" s="215" t="s">
        <v>225</v>
      </c>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187"/>
      <c r="AF40" s="187"/>
      <c r="AG40" s="303">
        <f t="shared" si="9"/>
        <v>0</v>
      </c>
    </row>
    <row r="41" outlineLevel="1">
      <c r="A41" s="215" t="s">
        <v>659</v>
      </c>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187"/>
      <c r="AF41" s="187"/>
      <c r="AG41" s="303">
        <f t="shared" si="9"/>
        <v>0</v>
      </c>
    </row>
    <row r="42" outlineLevel="1">
      <c r="A42" s="215" t="s">
        <v>660</v>
      </c>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187"/>
      <c r="AF42" s="187"/>
      <c r="AG42" s="303">
        <f t="shared" si="9"/>
        <v>0</v>
      </c>
    </row>
    <row r="43" outlineLevel="1">
      <c r="A43" s="215" t="s">
        <v>661</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187"/>
      <c r="AF43" s="187"/>
      <c r="AG43" s="303">
        <f t="shared" si="9"/>
        <v>0</v>
      </c>
    </row>
    <row r="44" outlineLevel="1">
      <c r="A44" s="215" t="s">
        <v>662</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187"/>
      <c r="AF44" s="187"/>
      <c r="AG44" s="303">
        <f t="shared" si="9"/>
        <v>0</v>
      </c>
    </row>
    <row r="45" outlineLevel="1">
      <c r="A45" s="215" t="s">
        <v>663</v>
      </c>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187"/>
      <c r="AF45" s="187"/>
      <c r="AG45" s="303">
        <f t="shared" si="9"/>
        <v>0</v>
      </c>
    </row>
    <row r="46" outlineLevel="1">
      <c r="A46" s="215" t="s">
        <v>664</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187"/>
      <c r="AF46" s="187"/>
      <c r="AG46" s="303">
        <f t="shared" si="9"/>
        <v>0</v>
      </c>
    </row>
    <row r="47" outlineLevel="1">
      <c r="A47" s="225" t="s">
        <v>141</v>
      </c>
      <c r="B47" s="345">
        <f t="shared" ref="B47:AF47" si="10">SUM(B39:B46)</f>
        <v>0</v>
      </c>
      <c r="C47" s="345">
        <f t="shared" si="10"/>
        <v>0</v>
      </c>
      <c r="D47" s="345">
        <f t="shared" si="10"/>
        <v>0</v>
      </c>
      <c r="E47" s="345">
        <f t="shared" si="10"/>
        <v>0</v>
      </c>
      <c r="F47" s="345">
        <f t="shared" si="10"/>
        <v>0</v>
      </c>
      <c r="G47" s="345">
        <f t="shared" si="10"/>
        <v>0</v>
      </c>
      <c r="H47" s="345">
        <f t="shared" si="10"/>
        <v>0</v>
      </c>
      <c r="I47" s="345">
        <f t="shared" si="10"/>
        <v>0</v>
      </c>
      <c r="J47" s="345">
        <f t="shared" si="10"/>
        <v>0</v>
      </c>
      <c r="K47" s="345">
        <f t="shared" si="10"/>
        <v>0</v>
      </c>
      <c r="L47" s="345">
        <f t="shared" si="10"/>
        <v>0</v>
      </c>
      <c r="M47" s="345">
        <f t="shared" si="10"/>
        <v>0</v>
      </c>
      <c r="N47" s="345">
        <f t="shared" si="10"/>
        <v>0</v>
      </c>
      <c r="O47" s="345">
        <f t="shared" si="10"/>
        <v>0</v>
      </c>
      <c r="P47" s="345">
        <f t="shared" si="10"/>
        <v>0</v>
      </c>
      <c r="Q47" s="345">
        <f t="shared" si="10"/>
        <v>0</v>
      </c>
      <c r="R47" s="345">
        <f t="shared" si="10"/>
        <v>0</v>
      </c>
      <c r="S47" s="345">
        <f t="shared" si="10"/>
        <v>0</v>
      </c>
      <c r="T47" s="345">
        <f t="shared" si="10"/>
        <v>0</v>
      </c>
      <c r="U47" s="345">
        <f t="shared" si="10"/>
        <v>0</v>
      </c>
      <c r="V47" s="345">
        <f t="shared" si="10"/>
        <v>0</v>
      </c>
      <c r="W47" s="345">
        <f t="shared" si="10"/>
        <v>0</v>
      </c>
      <c r="X47" s="345">
        <f t="shared" si="10"/>
        <v>0</v>
      </c>
      <c r="Y47" s="345">
        <f t="shared" si="10"/>
        <v>0</v>
      </c>
      <c r="Z47" s="345">
        <f t="shared" si="10"/>
        <v>0</v>
      </c>
      <c r="AA47" s="345">
        <f t="shared" si="10"/>
        <v>0</v>
      </c>
      <c r="AB47" s="345">
        <f t="shared" si="10"/>
        <v>0</v>
      </c>
      <c r="AC47" s="345">
        <f t="shared" si="10"/>
        <v>0</v>
      </c>
      <c r="AD47" s="345">
        <f t="shared" si="10"/>
        <v>0</v>
      </c>
      <c r="AE47" s="345">
        <f t="shared" si="10"/>
        <v>0</v>
      </c>
      <c r="AF47" s="345">
        <f t="shared" si="10"/>
        <v>0</v>
      </c>
      <c r="AG47" s="303">
        <f t="shared" si="9"/>
        <v>0</v>
      </c>
    </row>
    <row r="48" outlineLevel="1">
      <c r="A48" s="98"/>
      <c r="B48" s="127"/>
      <c r="C48" s="127"/>
      <c r="D48" s="127"/>
      <c r="E48" s="127"/>
      <c r="F48" s="127"/>
      <c r="G48" s="127"/>
      <c r="H48" s="127"/>
      <c r="I48" s="83"/>
      <c r="J48" s="83"/>
      <c r="K48" s="83"/>
      <c r="L48" s="83"/>
      <c r="M48" s="83"/>
      <c r="N48" s="83"/>
      <c r="O48" s="83"/>
      <c r="P48" s="83"/>
      <c r="Q48" s="83"/>
      <c r="R48" s="83"/>
      <c r="S48" s="83"/>
      <c r="T48" s="83"/>
      <c r="U48" s="83"/>
      <c r="V48" s="83"/>
      <c r="W48" s="83"/>
      <c r="X48" s="83"/>
      <c r="Y48" s="83"/>
      <c r="Z48" s="83"/>
      <c r="AA48" s="83"/>
      <c r="AB48" s="83"/>
      <c r="AC48" s="83"/>
      <c r="AD48" s="83"/>
      <c r="AE48" s="83"/>
      <c r="AF48" s="83"/>
      <c r="AG48" s="413"/>
    </row>
    <row r="49" outlineLevel="1">
      <c r="A49" s="138" t="s">
        <v>665</v>
      </c>
      <c r="B49" s="127"/>
      <c r="C49" s="127"/>
      <c r="D49" s="127"/>
      <c r="E49" s="127"/>
      <c r="F49" s="127"/>
      <c r="G49" s="197"/>
      <c r="H49" s="127"/>
      <c r="I49" s="83"/>
      <c r="J49" s="83"/>
      <c r="K49" s="83"/>
      <c r="L49" s="83"/>
      <c r="M49" s="83"/>
      <c r="N49" s="83"/>
      <c r="O49" s="83"/>
      <c r="P49" s="83"/>
      <c r="Q49" s="83"/>
      <c r="R49" s="83"/>
      <c r="S49" s="83"/>
      <c r="T49" s="83"/>
      <c r="U49" s="83"/>
      <c r="V49" s="83"/>
      <c r="W49" s="83"/>
      <c r="X49" s="83"/>
      <c r="Y49" s="83"/>
      <c r="Z49" s="83"/>
      <c r="AA49" s="83"/>
      <c r="AB49" s="83"/>
      <c r="AC49" s="83"/>
      <c r="AD49" s="83"/>
      <c r="AE49" s="83"/>
      <c r="AF49" s="83"/>
      <c r="AG49" s="423"/>
    </row>
    <row r="50" outlineLevel="1">
      <c r="A50" s="215" t="s">
        <v>666</v>
      </c>
      <c r="B50" s="200"/>
      <c r="C50" s="200"/>
      <c r="D50" s="200"/>
      <c r="E50" s="200"/>
      <c r="F50" s="200"/>
      <c r="G50" s="200"/>
      <c r="H50" s="200"/>
      <c r="I50" s="200"/>
      <c r="J50" s="200"/>
      <c r="K50" s="200"/>
      <c r="L50" s="200"/>
      <c r="M50" s="200"/>
      <c r="N50" s="200"/>
      <c r="O50" s="200"/>
      <c r="P50" s="200"/>
      <c r="Q50" s="200"/>
      <c r="R50" s="200"/>
      <c r="S50" s="200"/>
      <c r="T50" s="200"/>
      <c r="U50" s="200"/>
      <c r="V50" s="200"/>
      <c r="W50" s="200"/>
      <c r="X50" s="200"/>
      <c r="Y50" s="197">
        <v>299.99</v>
      </c>
      <c r="Z50" s="200"/>
      <c r="AA50" s="200"/>
      <c r="AB50" s="200"/>
      <c r="AC50" s="200"/>
      <c r="AD50" s="200"/>
      <c r="AE50" s="200"/>
      <c r="AF50" s="200"/>
      <c r="AG50" s="303">
        <f t="shared" ref="AG50:AG53" si="11">SUM(B50:AF50)</f>
        <v>299.99</v>
      </c>
    </row>
    <row r="51" outlineLevel="1">
      <c r="A51" s="215" t="s">
        <v>483</v>
      </c>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97">
        <v>0.0</v>
      </c>
      <c r="Z51" s="113"/>
      <c r="AA51" s="113"/>
      <c r="AB51" s="113"/>
      <c r="AC51" s="113"/>
      <c r="AD51" s="113"/>
      <c r="AE51" s="113"/>
      <c r="AF51" s="113"/>
      <c r="AG51" s="303">
        <f t="shared" si="11"/>
        <v>0</v>
      </c>
    </row>
    <row r="52" outlineLevel="1">
      <c r="A52" s="215" t="s">
        <v>667</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303">
        <f t="shared" si="11"/>
        <v>0</v>
      </c>
    </row>
    <row r="53" outlineLevel="1">
      <c r="A53" s="365" t="s">
        <v>668</v>
      </c>
      <c r="B53" s="353">
        <f t="shared" ref="B53:AF53" si="12">SUM(B50:B52)</f>
        <v>0</v>
      </c>
      <c r="C53" s="353">
        <f t="shared" si="12"/>
        <v>0</v>
      </c>
      <c r="D53" s="353">
        <f t="shared" si="12"/>
        <v>0</v>
      </c>
      <c r="E53" s="353">
        <f t="shared" si="12"/>
        <v>0</v>
      </c>
      <c r="F53" s="353">
        <f t="shared" si="12"/>
        <v>0</v>
      </c>
      <c r="G53" s="353">
        <f t="shared" si="12"/>
        <v>0</v>
      </c>
      <c r="H53" s="353">
        <f t="shared" si="12"/>
        <v>0</v>
      </c>
      <c r="I53" s="353">
        <f t="shared" si="12"/>
        <v>0</v>
      </c>
      <c r="J53" s="353">
        <f t="shared" si="12"/>
        <v>0</v>
      </c>
      <c r="K53" s="353">
        <f t="shared" si="12"/>
        <v>0</v>
      </c>
      <c r="L53" s="353">
        <f t="shared" si="12"/>
        <v>0</v>
      </c>
      <c r="M53" s="353">
        <f t="shared" si="12"/>
        <v>0</v>
      </c>
      <c r="N53" s="353">
        <f t="shared" si="12"/>
        <v>0</v>
      </c>
      <c r="O53" s="353">
        <f t="shared" si="12"/>
        <v>0</v>
      </c>
      <c r="P53" s="353">
        <f t="shared" si="12"/>
        <v>0</v>
      </c>
      <c r="Q53" s="353">
        <f t="shared" si="12"/>
        <v>0</v>
      </c>
      <c r="R53" s="353">
        <f t="shared" si="12"/>
        <v>0</v>
      </c>
      <c r="S53" s="353">
        <f t="shared" si="12"/>
        <v>0</v>
      </c>
      <c r="T53" s="353">
        <f t="shared" si="12"/>
        <v>0</v>
      </c>
      <c r="U53" s="353">
        <f t="shared" si="12"/>
        <v>0</v>
      </c>
      <c r="V53" s="353">
        <f t="shared" si="12"/>
        <v>0</v>
      </c>
      <c r="W53" s="353">
        <f t="shared" si="12"/>
        <v>0</v>
      </c>
      <c r="X53" s="353">
        <f t="shared" si="12"/>
        <v>0</v>
      </c>
      <c r="Y53" s="353">
        <f t="shared" si="12"/>
        <v>299.99</v>
      </c>
      <c r="Z53" s="353">
        <f t="shared" si="12"/>
        <v>0</v>
      </c>
      <c r="AA53" s="353">
        <f t="shared" si="12"/>
        <v>0</v>
      </c>
      <c r="AB53" s="353">
        <f t="shared" si="12"/>
        <v>0</v>
      </c>
      <c r="AC53" s="353">
        <f t="shared" si="12"/>
        <v>0</v>
      </c>
      <c r="AD53" s="353">
        <f t="shared" si="12"/>
        <v>0</v>
      </c>
      <c r="AE53" s="353">
        <f t="shared" si="12"/>
        <v>0</v>
      </c>
      <c r="AF53" s="353">
        <f t="shared" si="12"/>
        <v>0</v>
      </c>
      <c r="AG53" s="303">
        <f t="shared" si="11"/>
        <v>299.99</v>
      </c>
    </row>
    <row r="54" outlineLevel="1">
      <c r="A54" s="98"/>
      <c r="B54" s="127"/>
      <c r="C54" s="127"/>
      <c r="D54" s="127"/>
      <c r="E54" s="127"/>
      <c r="F54" s="127"/>
      <c r="G54" s="127"/>
      <c r="H54" s="127"/>
      <c r="I54" s="83"/>
      <c r="J54" s="83"/>
      <c r="K54" s="83"/>
      <c r="L54" s="83"/>
      <c r="M54" s="83"/>
      <c r="N54" s="83"/>
      <c r="O54" s="83"/>
      <c r="P54" s="83"/>
      <c r="Q54" s="83"/>
      <c r="R54" s="83"/>
      <c r="S54" s="83"/>
      <c r="T54" s="83"/>
      <c r="U54" s="83"/>
      <c r="V54" s="83"/>
      <c r="W54" s="83"/>
      <c r="X54" s="83"/>
      <c r="Y54" s="83"/>
      <c r="Z54" s="83"/>
      <c r="AA54" s="83"/>
      <c r="AB54" s="83"/>
      <c r="AC54" s="83"/>
      <c r="AD54" s="83"/>
      <c r="AE54" s="83"/>
      <c r="AF54" s="83"/>
      <c r="AG54" s="413"/>
    </row>
    <row r="55" outlineLevel="1">
      <c r="A55" s="375" t="s">
        <v>308</v>
      </c>
      <c r="B55" s="200"/>
      <c r="C55" s="200"/>
      <c r="D55" s="200"/>
      <c r="E55" s="200"/>
      <c r="F55" s="200"/>
      <c r="G55" s="200"/>
      <c r="H55" s="200"/>
      <c r="I55" s="200"/>
      <c r="J55" s="200"/>
      <c r="K55" s="200"/>
      <c r="L55" s="200"/>
      <c r="M55" s="200"/>
      <c r="N55" s="200"/>
      <c r="O55" s="424"/>
      <c r="P55" s="424"/>
      <c r="Q55" s="424"/>
      <c r="R55" s="424"/>
      <c r="S55" s="424"/>
      <c r="T55" s="424"/>
      <c r="U55" s="424"/>
      <c r="V55" s="424"/>
      <c r="W55" s="424"/>
      <c r="X55" s="200"/>
      <c r="Y55" s="424"/>
      <c r="Z55" s="424"/>
      <c r="AA55" s="424"/>
      <c r="AB55" s="424"/>
      <c r="AC55" s="424"/>
      <c r="AD55" s="200"/>
      <c r="AE55" s="200"/>
      <c r="AF55" s="200"/>
      <c r="AG55" s="303">
        <f t="shared" ref="AG55:AG57" si="13">SUM(B55:AF55)</f>
        <v>0</v>
      </c>
    </row>
    <row r="56" outlineLevel="1">
      <c r="A56" s="425" t="s">
        <v>309</v>
      </c>
      <c r="B56" s="97"/>
      <c r="C56" s="97"/>
      <c r="D56" s="97"/>
      <c r="E56" s="97"/>
      <c r="F56" s="97"/>
      <c r="G56" s="331"/>
      <c r="H56" s="331"/>
      <c r="I56" s="331"/>
      <c r="J56" s="331"/>
      <c r="K56" s="97"/>
      <c r="L56" s="331"/>
      <c r="M56" s="331"/>
      <c r="N56" s="331"/>
      <c r="O56" s="331"/>
      <c r="P56" s="331"/>
      <c r="Q56" s="331"/>
      <c r="R56" s="331"/>
      <c r="S56" s="331"/>
      <c r="T56" s="331"/>
      <c r="U56" s="331"/>
      <c r="V56" s="331"/>
      <c r="W56" s="331"/>
      <c r="X56" s="331"/>
      <c r="Y56" s="331"/>
      <c r="Z56" s="331"/>
      <c r="AA56" s="331"/>
      <c r="AB56" s="331"/>
      <c r="AC56" s="331"/>
      <c r="AD56" s="331"/>
      <c r="AE56" s="331"/>
      <c r="AF56" s="331"/>
      <c r="AG56" s="303">
        <f t="shared" si="13"/>
        <v>0</v>
      </c>
    </row>
    <row r="57" outlineLevel="1">
      <c r="A57" s="426" t="s">
        <v>669</v>
      </c>
      <c r="B57" s="427">
        <f t="shared" ref="B57:AF57" si="14">sum(B55:B56)</f>
        <v>0</v>
      </c>
      <c r="C57" s="427">
        <f t="shared" si="14"/>
        <v>0</v>
      </c>
      <c r="D57" s="427">
        <f t="shared" si="14"/>
        <v>0</v>
      </c>
      <c r="E57" s="427">
        <f t="shared" si="14"/>
        <v>0</v>
      </c>
      <c r="F57" s="427">
        <f t="shared" si="14"/>
        <v>0</v>
      </c>
      <c r="G57" s="427">
        <f t="shared" si="14"/>
        <v>0</v>
      </c>
      <c r="H57" s="427">
        <f t="shared" si="14"/>
        <v>0</v>
      </c>
      <c r="I57" s="427">
        <f t="shared" si="14"/>
        <v>0</v>
      </c>
      <c r="J57" s="427">
        <f t="shared" si="14"/>
        <v>0</v>
      </c>
      <c r="K57" s="427">
        <f t="shared" si="14"/>
        <v>0</v>
      </c>
      <c r="L57" s="427">
        <f t="shared" si="14"/>
        <v>0</v>
      </c>
      <c r="M57" s="427">
        <f t="shared" si="14"/>
        <v>0</v>
      </c>
      <c r="N57" s="427">
        <f t="shared" si="14"/>
        <v>0</v>
      </c>
      <c r="O57" s="427">
        <f t="shared" si="14"/>
        <v>0</v>
      </c>
      <c r="P57" s="427">
        <f t="shared" si="14"/>
        <v>0</v>
      </c>
      <c r="Q57" s="427">
        <f t="shared" si="14"/>
        <v>0</v>
      </c>
      <c r="R57" s="427">
        <f t="shared" si="14"/>
        <v>0</v>
      </c>
      <c r="S57" s="427">
        <f t="shared" si="14"/>
        <v>0</v>
      </c>
      <c r="T57" s="427">
        <f t="shared" si="14"/>
        <v>0</v>
      </c>
      <c r="U57" s="427">
        <f t="shared" si="14"/>
        <v>0</v>
      </c>
      <c r="V57" s="427">
        <f t="shared" si="14"/>
        <v>0</v>
      </c>
      <c r="W57" s="427">
        <f t="shared" si="14"/>
        <v>0</v>
      </c>
      <c r="X57" s="427">
        <f t="shared" si="14"/>
        <v>0</v>
      </c>
      <c r="Y57" s="427">
        <f t="shared" si="14"/>
        <v>0</v>
      </c>
      <c r="Z57" s="427">
        <f t="shared" si="14"/>
        <v>0</v>
      </c>
      <c r="AA57" s="427">
        <f t="shared" si="14"/>
        <v>0</v>
      </c>
      <c r="AB57" s="427">
        <f t="shared" si="14"/>
        <v>0</v>
      </c>
      <c r="AC57" s="427">
        <f t="shared" si="14"/>
        <v>0</v>
      </c>
      <c r="AD57" s="427">
        <f t="shared" si="14"/>
        <v>0</v>
      </c>
      <c r="AE57" s="427">
        <f t="shared" si="14"/>
        <v>0</v>
      </c>
      <c r="AF57" s="427">
        <f t="shared" si="14"/>
        <v>0</v>
      </c>
      <c r="AG57" s="303">
        <f t="shared" si="13"/>
        <v>0</v>
      </c>
    </row>
    <row r="58" outlineLevel="1">
      <c r="A58" s="98"/>
      <c r="B58" s="127"/>
      <c r="C58" s="127"/>
      <c r="D58" s="127"/>
      <c r="E58" s="127"/>
      <c r="F58" s="127"/>
      <c r="G58" s="127"/>
      <c r="H58" s="127"/>
      <c r="I58" s="83"/>
      <c r="J58" s="83"/>
      <c r="K58" s="83"/>
      <c r="L58" s="83"/>
      <c r="M58" s="83"/>
      <c r="N58" s="83"/>
      <c r="O58" s="83"/>
      <c r="P58" s="83"/>
      <c r="Q58" s="83"/>
      <c r="R58" s="83"/>
      <c r="S58" s="83"/>
      <c r="T58" s="83"/>
      <c r="U58" s="83"/>
      <c r="V58" s="83"/>
      <c r="W58" s="83"/>
      <c r="X58" s="83"/>
      <c r="Y58" s="83"/>
      <c r="Z58" s="83"/>
      <c r="AA58" s="83"/>
      <c r="AB58" s="83"/>
      <c r="AC58" s="83"/>
      <c r="AD58" s="83"/>
      <c r="AE58" s="83"/>
      <c r="AF58" s="83"/>
      <c r="AG58" s="413"/>
    </row>
    <row r="59" outlineLevel="1">
      <c r="A59" s="428" t="s">
        <v>670</v>
      </c>
      <c r="B59" s="429"/>
      <c r="C59" s="429"/>
      <c r="D59" s="429"/>
      <c r="E59" s="429"/>
      <c r="F59" s="429"/>
      <c r="G59" s="429"/>
      <c r="H59" s="429"/>
      <c r="I59" s="429"/>
      <c r="J59" s="429"/>
      <c r="K59" s="429"/>
      <c r="L59" s="429"/>
      <c r="M59" s="429"/>
      <c r="N59" s="429"/>
      <c r="O59" s="429"/>
      <c r="P59" s="429"/>
      <c r="Q59" s="429"/>
      <c r="R59" s="429"/>
      <c r="S59" s="429"/>
      <c r="T59" s="430"/>
      <c r="U59" s="430"/>
      <c r="V59" s="430"/>
      <c r="W59" s="430"/>
      <c r="X59" s="430"/>
      <c r="Y59" s="430"/>
      <c r="Z59" s="430"/>
      <c r="AA59" s="430"/>
      <c r="AB59" s="430"/>
      <c r="AC59" s="430"/>
      <c r="AD59" s="430"/>
      <c r="AE59" s="230"/>
      <c r="AF59" s="230"/>
      <c r="AG59" s="423"/>
    </row>
    <row r="60" outlineLevel="1">
      <c r="A60" s="215" t="s">
        <v>671</v>
      </c>
      <c r="B60" s="187"/>
      <c r="C60" s="187"/>
      <c r="D60" s="187"/>
      <c r="E60" s="187"/>
      <c r="F60" s="187"/>
      <c r="G60" s="187"/>
      <c r="H60" s="187"/>
      <c r="I60" s="187"/>
      <c r="J60" s="187"/>
      <c r="K60" s="187"/>
      <c r="L60" s="187"/>
      <c r="M60" s="187"/>
      <c r="N60" s="187"/>
      <c r="O60" s="187"/>
      <c r="P60" s="187"/>
      <c r="Q60" s="187"/>
      <c r="R60" s="187"/>
      <c r="S60" s="187"/>
      <c r="T60" s="187"/>
      <c r="U60" s="187"/>
      <c r="V60" s="187"/>
      <c r="W60" s="187"/>
      <c r="X60" s="187"/>
      <c r="Y60" s="187"/>
      <c r="Z60" s="187"/>
      <c r="AA60" s="187"/>
      <c r="AB60" s="187"/>
      <c r="AC60" s="187"/>
      <c r="AD60" s="187"/>
      <c r="AE60" s="187"/>
      <c r="AF60" s="187"/>
      <c r="AG60" s="303">
        <f t="shared" ref="AG60:AG65" si="15">SUM(B60:AF60)</f>
        <v>0</v>
      </c>
    </row>
    <row r="61" outlineLevel="1">
      <c r="A61" s="215" t="s">
        <v>672</v>
      </c>
      <c r="B61" s="187"/>
      <c r="C61" s="187"/>
      <c r="D61" s="187"/>
      <c r="E61" s="187"/>
      <c r="F61" s="187"/>
      <c r="G61" s="187"/>
      <c r="H61" s="187"/>
      <c r="I61" s="187"/>
      <c r="J61" s="187"/>
      <c r="K61" s="187"/>
      <c r="L61" s="187"/>
      <c r="M61" s="187"/>
      <c r="N61" s="187"/>
      <c r="O61" s="187"/>
      <c r="P61" s="187"/>
      <c r="Q61" s="187"/>
      <c r="R61" s="187"/>
      <c r="S61" s="187"/>
      <c r="T61" s="187"/>
      <c r="U61" s="187"/>
      <c r="V61" s="187"/>
      <c r="W61" s="187"/>
      <c r="X61" s="187"/>
      <c r="Y61" s="187"/>
      <c r="Z61" s="187"/>
      <c r="AA61" s="187"/>
      <c r="AB61" s="187"/>
      <c r="AC61" s="187"/>
      <c r="AD61" s="187"/>
      <c r="AE61" s="187"/>
      <c r="AF61" s="187"/>
      <c r="AG61" s="303">
        <f t="shared" si="15"/>
        <v>0</v>
      </c>
    </row>
    <row r="62" outlineLevel="1">
      <c r="A62" s="215" t="s">
        <v>673</v>
      </c>
      <c r="B62" s="187"/>
      <c r="C62" s="187"/>
      <c r="D62" s="187"/>
      <c r="E62" s="187"/>
      <c r="F62" s="187"/>
      <c r="G62" s="187"/>
      <c r="H62" s="187"/>
      <c r="I62" s="187"/>
      <c r="J62" s="187"/>
      <c r="K62" s="187"/>
      <c r="L62" s="187"/>
      <c r="M62" s="187"/>
      <c r="N62" s="187"/>
      <c r="O62" s="187"/>
      <c r="P62" s="187"/>
      <c r="Q62" s="187"/>
      <c r="R62" s="187"/>
      <c r="S62" s="187"/>
      <c r="T62" s="187"/>
      <c r="U62" s="187"/>
      <c r="V62" s="187"/>
      <c r="W62" s="187"/>
      <c r="X62" s="187"/>
      <c r="Y62" s="187"/>
      <c r="Z62" s="187"/>
      <c r="AA62" s="187"/>
      <c r="AB62" s="187"/>
      <c r="AC62" s="187"/>
      <c r="AD62" s="187"/>
      <c r="AE62" s="187"/>
      <c r="AF62" s="187"/>
      <c r="AG62" s="303">
        <f t="shared" si="15"/>
        <v>0</v>
      </c>
    </row>
    <row r="63" outlineLevel="1">
      <c r="A63" s="215" t="s">
        <v>674</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187"/>
      <c r="AF63" s="187"/>
      <c r="AG63" s="303">
        <f t="shared" si="15"/>
        <v>0</v>
      </c>
    </row>
    <row r="64" outlineLevel="1">
      <c r="A64" s="223" t="s">
        <v>221</v>
      </c>
      <c r="B64" s="345">
        <f t="shared" ref="B64:AF64" si="16">SUM(B60:B61)</f>
        <v>0</v>
      </c>
      <c r="C64" s="345">
        <f t="shared" si="16"/>
        <v>0</v>
      </c>
      <c r="D64" s="345">
        <f t="shared" si="16"/>
        <v>0</v>
      </c>
      <c r="E64" s="345">
        <f t="shared" si="16"/>
        <v>0</v>
      </c>
      <c r="F64" s="345">
        <f t="shared" si="16"/>
        <v>0</v>
      </c>
      <c r="G64" s="345">
        <f t="shared" si="16"/>
        <v>0</v>
      </c>
      <c r="H64" s="345">
        <f t="shared" si="16"/>
        <v>0</v>
      </c>
      <c r="I64" s="345">
        <f t="shared" si="16"/>
        <v>0</v>
      </c>
      <c r="J64" s="345">
        <f t="shared" si="16"/>
        <v>0</v>
      </c>
      <c r="K64" s="345">
        <f t="shared" si="16"/>
        <v>0</v>
      </c>
      <c r="L64" s="345">
        <f t="shared" si="16"/>
        <v>0</v>
      </c>
      <c r="M64" s="345">
        <f t="shared" si="16"/>
        <v>0</v>
      </c>
      <c r="N64" s="345">
        <f t="shared" si="16"/>
        <v>0</v>
      </c>
      <c r="O64" s="345">
        <f t="shared" si="16"/>
        <v>0</v>
      </c>
      <c r="P64" s="345">
        <f t="shared" si="16"/>
        <v>0</v>
      </c>
      <c r="Q64" s="345">
        <f t="shared" si="16"/>
        <v>0</v>
      </c>
      <c r="R64" s="345">
        <f t="shared" si="16"/>
        <v>0</v>
      </c>
      <c r="S64" s="345">
        <f t="shared" si="16"/>
        <v>0</v>
      </c>
      <c r="T64" s="345">
        <f t="shared" si="16"/>
        <v>0</v>
      </c>
      <c r="U64" s="345">
        <f t="shared" si="16"/>
        <v>0</v>
      </c>
      <c r="V64" s="345">
        <f t="shared" si="16"/>
        <v>0</v>
      </c>
      <c r="W64" s="345">
        <f t="shared" si="16"/>
        <v>0</v>
      </c>
      <c r="X64" s="345">
        <f t="shared" si="16"/>
        <v>0</v>
      </c>
      <c r="Y64" s="345">
        <f t="shared" si="16"/>
        <v>0</v>
      </c>
      <c r="Z64" s="345">
        <f t="shared" si="16"/>
        <v>0</v>
      </c>
      <c r="AA64" s="345">
        <f t="shared" si="16"/>
        <v>0</v>
      </c>
      <c r="AB64" s="345">
        <f t="shared" si="16"/>
        <v>0</v>
      </c>
      <c r="AC64" s="345">
        <f t="shared" si="16"/>
        <v>0</v>
      </c>
      <c r="AD64" s="345">
        <f t="shared" si="16"/>
        <v>0</v>
      </c>
      <c r="AE64" s="345">
        <f t="shared" si="16"/>
        <v>0</v>
      </c>
      <c r="AF64" s="345">
        <f t="shared" si="16"/>
        <v>0</v>
      </c>
      <c r="AG64" s="303">
        <f t="shared" si="15"/>
        <v>0</v>
      </c>
    </row>
    <row r="65" outlineLevel="1">
      <c r="A65" s="223" t="s">
        <v>222</v>
      </c>
      <c r="B65" s="345">
        <f t="shared" ref="B65:AF65" si="17">SUM(B62:B63)</f>
        <v>0</v>
      </c>
      <c r="C65" s="345">
        <f t="shared" si="17"/>
        <v>0</v>
      </c>
      <c r="D65" s="345">
        <f t="shared" si="17"/>
        <v>0</v>
      </c>
      <c r="E65" s="345">
        <f t="shared" si="17"/>
        <v>0</v>
      </c>
      <c r="F65" s="345">
        <f t="shared" si="17"/>
        <v>0</v>
      </c>
      <c r="G65" s="345">
        <f t="shared" si="17"/>
        <v>0</v>
      </c>
      <c r="H65" s="345">
        <f t="shared" si="17"/>
        <v>0</v>
      </c>
      <c r="I65" s="345">
        <f t="shared" si="17"/>
        <v>0</v>
      </c>
      <c r="J65" s="345">
        <f t="shared" si="17"/>
        <v>0</v>
      </c>
      <c r="K65" s="345">
        <f t="shared" si="17"/>
        <v>0</v>
      </c>
      <c r="L65" s="345">
        <f t="shared" si="17"/>
        <v>0</v>
      </c>
      <c r="M65" s="345">
        <f t="shared" si="17"/>
        <v>0</v>
      </c>
      <c r="N65" s="345">
        <f t="shared" si="17"/>
        <v>0</v>
      </c>
      <c r="O65" s="345">
        <f t="shared" si="17"/>
        <v>0</v>
      </c>
      <c r="P65" s="345">
        <f t="shared" si="17"/>
        <v>0</v>
      </c>
      <c r="Q65" s="345">
        <f t="shared" si="17"/>
        <v>0</v>
      </c>
      <c r="R65" s="345">
        <f t="shared" si="17"/>
        <v>0</v>
      </c>
      <c r="S65" s="345">
        <f t="shared" si="17"/>
        <v>0</v>
      </c>
      <c r="T65" s="345">
        <f t="shared" si="17"/>
        <v>0</v>
      </c>
      <c r="U65" s="345">
        <f t="shared" si="17"/>
        <v>0</v>
      </c>
      <c r="V65" s="345">
        <f t="shared" si="17"/>
        <v>0</v>
      </c>
      <c r="W65" s="345">
        <f t="shared" si="17"/>
        <v>0</v>
      </c>
      <c r="X65" s="345">
        <f t="shared" si="17"/>
        <v>0</v>
      </c>
      <c r="Y65" s="345">
        <f t="shared" si="17"/>
        <v>0</v>
      </c>
      <c r="Z65" s="345">
        <f t="shared" si="17"/>
        <v>0</v>
      </c>
      <c r="AA65" s="345">
        <f t="shared" si="17"/>
        <v>0</v>
      </c>
      <c r="AB65" s="345">
        <f t="shared" si="17"/>
        <v>0</v>
      </c>
      <c r="AC65" s="345">
        <f t="shared" si="17"/>
        <v>0</v>
      </c>
      <c r="AD65" s="345">
        <f t="shared" si="17"/>
        <v>0</v>
      </c>
      <c r="AE65" s="345">
        <f t="shared" si="17"/>
        <v>0</v>
      </c>
      <c r="AF65" s="345">
        <f t="shared" si="17"/>
        <v>0</v>
      </c>
      <c r="AG65" s="303">
        <f t="shared" si="15"/>
        <v>0</v>
      </c>
    </row>
    <row r="66" outlineLevel="1">
      <c r="A66" s="98"/>
      <c r="B66" s="177"/>
      <c r="C66" s="177"/>
      <c r="D66" s="177"/>
      <c r="E66" s="177"/>
      <c r="F66" s="177"/>
      <c r="G66" s="177"/>
      <c r="H66" s="177"/>
      <c r="I66" s="177"/>
      <c r="J66" s="177"/>
      <c r="K66" s="177"/>
      <c r="L66" s="177"/>
      <c r="M66" s="177"/>
      <c r="N66" s="177"/>
      <c r="O66" s="177"/>
      <c r="P66" s="177"/>
      <c r="Q66" s="177"/>
      <c r="R66" s="177"/>
      <c r="S66" s="177"/>
      <c r="T66" s="177"/>
      <c r="U66" s="177"/>
      <c r="V66" s="177"/>
      <c r="W66" s="177"/>
      <c r="X66" s="177"/>
      <c r="Y66" s="177"/>
      <c r="Z66" s="177"/>
      <c r="AA66" s="177"/>
      <c r="AB66" s="177"/>
      <c r="AC66" s="177"/>
      <c r="AD66" s="177"/>
      <c r="AE66" s="177"/>
      <c r="AF66" s="177"/>
      <c r="AG66" s="423"/>
    </row>
    <row r="67" outlineLevel="1">
      <c r="A67" s="215" t="s">
        <v>224</v>
      </c>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187"/>
      <c r="AF67" s="187"/>
      <c r="AG67" s="303">
        <f t="shared" ref="AG67:AG75" si="18">SUM(B67:AF67)</f>
        <v>0</v>
      </c>
    </row>
    <row r="68" outlineLevel="1">
      <c r="A68" s="215" t="s">
        <v>225</v>
      </c>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187"/>
      <c r="AF68" s="187"/>
      <c r="AG68" s="303">
        <f t="shared" si="18"/>
        <v>0</v>
      </c>
    </row>
    <row r="69" outlineLevel="1">
      <c r="A69" s="215" t="s">
        <v>675</v>
      </c>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187"/>
      <c r="AF69" s="187"/>
      <c r="AG69" s="303">
        <f t="shared" si="18"/>
        <v>0</v>
      </c>
    </row>
    <row r="70" outlineLevel="1">
      <c r="A70" s="215" t="s">
        <v>676</v>
      </c>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187"/>
      <c r="AF70" s="187"/>
      <c r="AG70" s="303">
        <f t="shared" si="18"/>
        <v>0</v>
      </c>
    </row>
    <row r="71" outlineLevel="1">
      <c r="A71" s="215" t="s">
        <v>677</v>
      </c>
      <c r="B71" s="187"/>
      <c r="C71" s="187"/>
      <c r="D71" s="187"/>
      <c r="E71" s="187"/>
      <c r="F71" s="187"/>
      <c r="G71" s="187"/>
      <c r="H71" s="187"/>
      <c r="I71" s="187"/>
      <c r="J71" s="187"/>
      <c r="K71" s="187"/>
      <c r="L71" s="187"/>
      <c r="M71" s="187"/>
      <c r="N71" s="187"/>
      <c r="O71" s="187"/>
      <c r="P71" s="187"/>
      <c r="Q71" s="187"/>
      <c r="R71" s="187"/>
      <c r="S71" s="187"/>
      <c r="T71" s="187"/>
      <c r="U71" s="187"/>
      <c r="V71" s="187"/>
      <c r="W71" s="187"/>
      <c r="X71" s="187"/>
      <c r="Y71" s="187"/>
      <c r="Z71" s="187"/>
      <c r="AA71" s="187"/>
      <c r="AB71" s="187"/>
      <c r="AC71" s="187"/>
      <c r="AD71" s="187"/>
      <c r="AE71" s="187"/>
      <c r="AF71" s="187"/>
      <c r="AG71" s="303">
        <f t="shared" si="18"/>
        <v>0</v>
      </c>
    </row>
    <row r="72" outlineLevel="1">
      <c r="A72" s="215" t="s">
        <v>678</v>
      </c>
      <c r="B72" s="187"/>
      <c r="C72" s="187"/>
      <c r="D72" s="187"/>
      <c r="E72" s="187"/>
      <c r="F72" s="187"/>
      <c r="G72" s="187"/>
      <c r="H72" s="187"/>
      <c r="I72" s="187"/>
      <c r="J72" s="187"/>
      <c r="K72" s="187"/>
      <c r="L72" s="187"/>
      <c r="M72" s="187"/>
      <c r="N72" s="187"/>
      <c r="O72" s="187"/>
      <c r="P72" s="187"/>
      <c r="Q72" s="187"/>
      <c r="R72" s="187"/>
      <c r="S72" s="187"/>
      <c r="T72" s="187"/>
      <c r="U72" s="187"/>
      <c r="V72" s="187"/>
      <c r="W72" s="187"/>
      <c r="X72" s="187"/>
      <c r="Y72" s="187"/>
      <c r="Z72" s="187"/>
      <c r="AA72" s="187"/>
      <c r="AB72" s="187"/>
      <c r="AC72" s="187"/>
      <c r="AD72" s="187"/>
      <c r="AE72" s="187"/>
      <c r="AF72" s="187"/>
      <c r="AG72" s="303">
        <f t="shared" si="18"/>
        <v>0</v>
      </c>
    </row>
    <row r="73" outlineLevel="1">
      <c r="A73" s="215" t="s">
        <v>679</v>
      </c>
      <c r="B73" s="187"/>
      <c r="C73" s="187"/>
      <c r="D73" s="187"/>
      <c r="E73" s="187"/>
      <c r="F73" s="187"/>
      <c r="G73" s="187"/>
      <c r="H73" s="187"/>
      <c r="I73" s="187"/>
      <c r="J73" s="187"/>
      <c r="K73" s="187"/>
      <c r="L73" s="187"/>
      <c r="M73" s="187"/>
      <c r="N73" s="187"/>
      <c r="O73" s="187"/>
      <c r="P73" s="187"/>
      <c r="Q73" s="187"/>
      <c r="R73" s="187"/>
      <c r="S73" s="187"/>
      <c r="T73" s="187"/>
      <c r="U73" s="187"/>
      <c r="V73" s="187"/>
      <c r="W73" s="187"/>
      <c r="X73" s="187"/>
      <c r="Y73" s="187"/>
      <c r="Z73" s="187"/>
      <c r="AA73" s="187"/>
      <c r="AB73" s="187"/>
      <c r="AC73" s="187"/>
      <c r="AD73" s="187"/>
      <c r="AE73" s="187"/>
      <c r="AF73" s="187"/>
      <c r="AG73" s="303">
        <f t="shared" si="18"/>
        <v>0</v>
      </c>
    </row>
    <row r="74" outlineLevel="1">
      <c r="A74" s="215" t="s">
        <v>680</v>
      </c>
      <c r="B74" s="187"/>
      <c r="C74" s="187"/>
      <c r="D74" s="187"/>
      <c r="E74" s="187"/>
      <c r="F74" s="187"/>
      <c r="G74" s="187"/>
      <c r="H74" s="187"/>
      <c r="I74" s="187"/>
      <c r="J74" s="187"/>
      <c r="K74" s="187"/>
      <c r="L74" s="187"/>
      <c r="M74" s="187"/>
      <c r="N74" s="187"/>
      <c r="O74" s="187"/>
      <c r="P74" s="187"/>
      <c r="Q74" s="187"/>
      <c r="R74" s="187"/>
      <c r="S74" s="187"/>
      <c r="T74" s="187"/>
      <c r="U74" s="187"/>
      <c r="V74" s="187"/>
      <c r="W74" s="187"/>
      <c r="X74" s="187"/>
      <c r="Y74" s="187"/>
      <c r="Z74" s="187"/>
      <c r="AA74" s="187"/>
      <c r="AB74" s="187"/>
      <c r="AC74" s="187"/>
      <c r="AD74" s="187"/>
      <c r="AE74" s="187"/>
      <c r="AF74" s="187"/>
      <c r="AG74" s="303">
        <f t="shared" si="18"/>
        <v>0</v>
      </c>
    </row>
    <row r="75" outlineLevel="1">
      <c r="A75" s="225" t="s">
        <v>141</v>
      </c>
      <c r="B75" s="345">
        <f t="shared" ref="B75:AF75" si="19">SUM(B67:B74)</f>
        <v>0</v>
      </c>
      <c r="C75" s="345">
        <f t="shared" si="19"/>
        <v>0</v>
      </c>
      <c r="D75" s="345">
        <f t="shared" si="19"/>
        <v>0</v>
      </c>
      <c r="E75" s="345">
        <f t="shared" si="19"/>
        <v>0</v>
      </c>
      <c r="F75" s="345">
        <f t="shared" si="19"/>
        <v>0</v>
      </c>
      <c r="G75" s="345">
        <f t="shared" si="19"/>
        <v>0</v>
      </c>
      <c r="H75" s="345">
        <f t="shared" si="19"/>
        <v>0</v>
      </c>
      <c r="I75" s="345">
        <f t="shared" si="19"/>
        <v>0</v>
      </c>
      <c r="J75" s="345">
        <f t="shared" si="19"/>
        <v>0</v>
      </c>
      <c r="K75" s="345">
        <f t="shared" si="19"/>
        <v>0</v>
      </c>
      <c r="L75" s="345">
        <f t="shared" si="19"/>
        <v>0</v>
      </c>
      <c r="M75" s="345">
        <f t="shared" si="19"/>
        <v>0</v>
      </c>
      <c r="N75" s="345">
        <f t="shared" si="19"/>
        <v>0</v>
      </c>
      <c r="O75" s="345">
        <f t="shared" si="19"/>
        <v>0</v>
      </c>
      <c r="P75" s="345">
        <f t="shared" si="19"/>
        <v>0</v>
      </c>
      <c r="Q75" s="345">
        <f t="shared" si="19"/>
        <v>0</v>
      </c>
      <c r="R75" s="345">
        <f t="shared" si="19"/>
        <v>0</v>
      </c>
      <c r="S75" s="345">
        <f t="shared" si="19"/>
        <v>0</v>
      </c>
      <c r="T75" s="345">
        <f t="shared" si="19"/>
        <v>0</v>
      </c>
      <c r="U75" s="345">
        <f t="shared" si="19"/>
        <v>0</v>
      </c>
      <c r="V75" s="345">
        <f t="shared" si="19"/>
        <v>0</v>
      </c>
      <c r="W75" s="345">
        <f t="shared" si="19"/>
        <v>0</v>
      </c>
      <c r="X75" s="345">
        <f t="shared" si="19"/>
        <v>0</v>
      </c>
      <c r="Y75" s="345">
        <f t="shared" si="19"/>
        <v>0</v>
      </c>
      <c r="Z75" s="345">
        <f t="shared" si="19"/>
        <v>0</v>
      </c>
      <c r="AA75" s="345">
        <f t="shared" si="19"/>
        <v>0</v>
      </c>
      <c r="AB75" s="345">
        <f t="shared" si="19"/>
        <v>0</v>
      </c>
      <c r="AC75" s="345">
        <f t="shared" si="19"/>
        <v>0</v>
      </c>
      <c r="AD75" s="345">
        <f t="shared" si="19"/>
        <v>0</v>
      </c>
      <c r="AE75" s="345">
        <f t="shared" si="19"/>
        <v>0</v>
      </c>
      <c r="AF75" s="345">
        <f t="shared" si="19"/>
        <v>0</v>
      </c>
      <c r="AG75" s="303">
        <f t="shared" si="18"/>
        <v>0</v>
      </c>
    </row>
    <row r="76" outlineLevel="1">
      <c r="A76" s="98"/>
      <c r="B76" s="127"/>
      <c r="C76" s="127"/>
      <c r="D76" s="127"/>
      <c r="E76" s="127"/>
      <c r="F76" s="127"/>
      <c r="G76" s="127"/>
      <c r="H76" s="127"/>
      <c r="I76" s="83"/>
      <c r="J76" s="83"/>
      <c r="K76" s="83"/>
      <c r="L76" s="83"/>
      <c r="M76" s="83"/>
      <c r="N76" s="83"/>
      <c r="O76" s="83"/>
      <c r="P76" s="83"/>
      <c r="Q76" s="83"/>
      <c r="R76" s="83"/>
      <c r="S76" s="83"/>
      <c r="T76" s="83"/>
      <c r="U76" s="83"/>
      <c r="V76" s="83"/>
      <c r="W76" s="83"/>
      <c r="X76" s="83"/>
      <c r="Y76" s="83"/>
      <c r="Z76" s="83"/>
      <c r="AA76" s="83"/>
      <c r="AB76" s="83"/>
      <c r="AC76" s="83"/>
      <c r="AD76" s="83"/>
      <c r="AE76" s="83"/>
      <c r="AF76" s="83"/>
      <c r="AG76" s="413"/>
    </row>
    <row r="77" outlineLevel="1">
      <c r="A77" s="215" t="s">
        <v>681</v>
      </c>
      <c r="B77" s="238"/>
      <c r="C77" s="238"/>
      <c r="D77" s="238"/>
      <c r="E77" s="238"/>
      <c r="F77" s="238"/>
      <c r="G77" s="238"/>
      <c r="H77" s="238"/>
      <c r="I77" s="238"/>
      <c r="J77" s="238"/>
      <c r="K77" s="238"/>
      <c r="L77" s="238"/>
      <c r="M77" s="238"/>
      <c r="N77" s="238"/>
      <c r="O77" s="238"/>
      <c r="P77" s="238"/>
      <c r="Q77" s="238"/>
      <c r="R77" s="238"/>
      <c r="S77" s="238"/>
      <c r="T77" s="238"/>
      <c r="U77" s="238"/>
      <c r="V77" s="238"/>
      <c r="W77" s="238"/>
      <c r="X77" s="238"/>
      <c r="Y77" s="238"/>
      <c r="Z77" s="238"/>
      <c r="AA77" s="238"/>
      <c r="AB77" s="238"/>
      <c r="AC77" s="238"/>
      <c r="AD77" s="238"/>
      <c r="AE77" s="238"/>
      <c r="AF77" s="238"/>
      <c r="AG77" s="303">
        <f>SUM(B77:AF77)</f>
        <v>0</v>
      </c>
    </row>
    <row r="78" outlineLevel="1">
      <c r="A78" s="98"/>
      <c r="B78" s="127"/>
      <c r="C78" s="127"/>
      <c r="D78" s="127"/>
      <c r="E78" s="127"/>
      <c r="F78" s="127"/>
      <c r="G78" s="127"/>
      <c r="H78" s="127"/>
      <c r="I78" s="83"/>
      <c r="J78" s="83"/>
      <c r="K78" s="83"/>
      <c r="L78" s="83"/>
      <c r="M78" s="83"/>
      <c r="N78" s="83"/>
      <c r="O78" s="83"/>
      <c r="P78" s="83"/>
      <c r="Q78" s="83"/>
      <c r="R78" s="83"/>
      <c r="S78" s="83"/>
      <c r="T78" s="83"/>
      <c r="U78" s="83"/>
      <c r="V78" s="83"/>
      <c r="W78" s="83"/>
      <c r="X78" s="83"/>
      <c r="Y78" s="83"/>
      <c r="Z78" s="83"/>
      <c r="AA78" s="83"/>
      <c r="AB78" s="83"/>
      <c r="AC78" s="83"/>
      <c r="AD78" s="83"/>
      <c r="AE78" s="83"/>
      <c r="AF78" s="83"/>
      <c r="AG78" s="413"/>
    </row>
    <row r="79" outlineLevel="1">
      <c r="A79" s="138" t="s">
        <v>682</v>
      </c>
      <c r="B79" s="177"/>
      <c r="C79" s="177"/>
      <c r="D79" s="177"/>
      <c r="E79" s="177"/>
      <c r="F79" s="177"/>
      <c r="G79" s="177"/>
      <c r="H79" s="177"/>
      <c r="I79" s="177"/>
      <c r="J79" s="177"/>
      <c r="K79" s="177"/>
      <c r="L79" s="177"/>
      <c r="M79" s="177"/>
      <c r="N79" s="177"/>
      <c r="O79" s="177"/>
      <c r="P79" s="177"/>
      <c r="Q79" s="177"/>
      <c r="R79" s="177"/>
      <c r="S79" s="177"/>
      <c r="T79" s="177"/>
      <c r="U79" s="177"/>
      <c r="V79" s="177"/>
      <c r="W79" s="177"/>
      <c r="X79" s="177"/>
      <c r="Y79" s="177"/>
      <c r="Z79" s="177"/>
      <c r="AA79" s="177"/>
      <c r="AB79" s="177"/>
      <c r="AC79" s="177"/>
      <c r="AD79" s="177"/>
      <c r="AE79" s="177"/>
      <c r="AF79" s="177"/>
      <c r="AG79" s="423"/>
    </row>
    <row r="80" outlineLevel="1">
      <c r="A80" s="215" t="s">
        <v>666</v>
      </c>
      <c r="B80" s="97"/>
      <c r="C80" s="97"/>
      <c r="D80" s="97"/>
      <c r="E80" s="97"/>
      <c r="F80" s="97"/>
      <c r="G80" s="97"/>
      <c r="H80" s="97"/>
      <c r="I80" s="97"/>
      <c r="J80" s="97"/>
      <c r="K80" s="97"/>
      <c r="L80" s="97"/>
      <c r="M80" s="97"/>
      <c r="N80" s="97"/>
      <c r="O80" s="97"/>
      <c r="P80" s="97"/>
      <c r="Q80" s="97"/>
      <c r="R80" s="97"/>
      <c r="S80" s="97"/>
      <c r="T80" s="97"/>
      <c r="U80" s="97"/>
      <c r="V80" s="97"/>
      <c r="W80" s="97"/>
      <c r="X80" s="97"/>
      <c r="Y80" s="97"/>
      <c r="Z80" s="97"/>
      <c r="AA80" s="97"/>
      <c r="AB80" s="97"/>
      <c r="AC80" s="97"/>
      <c r="AD80" s="97"/>
      <c r="AE80" s="97"/>
      <c r="AF80" s="97"/>
      <c r="AG80" s="303">
        <f t="shared" ref="AG80:AG83" si="20">SUM(B80:AF80)</f>
        <v>0</v>
      </c>
    </row>
    <row r="81" outlineLevel="1">
      <c r="A81" s="215" t="s">
        <v>483</v>
      </c>
      <c r="B81" s="97"/>
      <c r="C81" s="97"/>
      <c r="D81" s="97"/>
      <c r="E81" s="97"/>
      <c r="F81" s="97"/>
      <c r="G81" s="97"/>
      <c r="H81" s="97"/>
      <c r="I81" s="97"/>
      <c r="J81" s="97"/>
      <c r="K81" s="97"/>
      <c r="L81" s="97"/>
      <c r="M81" s="97"/>
      <c r="N81" s="97"/>
      <c r="O81" s="97"/>
      <c r="P81" s="97"/>
      <c r="Q81" s="97"/>
      <c r="R81" s="97"/>
      <c r="S81" s="97"/>
      <c r="T81" s="97"/>
      <c r="U81" s="97"/>
      <c r="V81" s="331"/>
      <c r="W81" s="331"/>
      <c r="X81" s="331"/>
      <c r="Y81" s="331"/>
      <c r="Z81" s="331"/>
      <c r="AA81" s="331"/>
      <c r="AB81" s="331"/>
      <c r="AC81" s="331"/>
      <c r="AD81" s="331"/>
      <c r="AE81" s="331"/>
      <c r="AF81" s="331"/>
      <c r="AG81" s="303">
        <f t="shared" si="20"/>
        <v>0</v>
      </c>
    </row>
    <row r="82" outlineLevel="1">
      <c r="A82" s="215" t="s">
        <v>667</v>
      </c>
      <c r="B82" s="97"/>
      <c r="C82" s="97"/>
      <c r="D82" s="97"/>
      <c r="E82" s="97"/>
      <c r="F82" s="97"/>
      <c r="G82" s="331"/>
      <c r="H82" s="331"/>
      <c r="I82" s="331"/>
      <c r="J82" s="331"/>
      <c r="K82" s="97"/>
      <c r="L82" s="331"/>
      <c r="M82" s="331"/>
      <c r="N82" s="331"/>
      <c r="O82" s="331"/>
      <c r="P82" s="331"/>
      <c r="Q82" s="331"/>
      <c r="R82" s="331"/>
      <c r="S82" s="331"/>
      <c r="T82" s="331"/>
      <c r="U82" s="331"/>
      <c r="V82" s="331"/>
      <c r="W82" s="331"/>
      <c r="X82" s="331"/>
      <c r="Y82" s="331"/>
      <c r="Z82" s="331"/>
      <c r="AA82" s="331"/>
      <c r="AB82" s="331"/>
      <c r="AC82" s="331"/>
      <c r="AD82" s="331"/>
      <c r="AE82" s="331"/>
      <c r="AF82" s="331"/>
      <c r="AG82" s="303">
        <f t="shared" si="20"/>
        <v>0</v>
      </c>
    </row>
    <row r="83" outlineLevel="1">
      <c r="A83" s="365" t="s">
        <v>668</v>
      </c>
      <c r="B83" s="358">
        <f t="shared" ref="B83:AF83" si="21">sum(B80:B82)</f>
        <v>0</v>
      </c>
      <c r="C83" s="358">
        <f t="shared" si="21"/>
        <v>0</v>
      </c>
      <c r="D83" s="358">
        <f t="shared" si="21"/>
        <v>0</v>
      </c>
      <c r="E83" s="358">
        <f t="shared" si="21"/>
        <v>0</v>
      </c>
      <c r="F83" s="358">
        <f t="shared" si="21"/>
        <v>0</v>
      </c>
      <c r="G83" s="358">
        <f t="shared" si="21"/>
        <v>0</v>
      </c>
      <c r="H83" s="358">
        <f t="shared" si="21"/>
        <v>0</v>
      </c>
      <c r="I83" s="358">
        <f t="shared" si="21"/>
        <v>0</v>
      </c>
      <c r="J83" s="358">
        <f t="shared" si="21"/>
        <v>0</v>
      </c>
      <c r="K83" s="358">
        <f t="shared" si="21"/>
        <v>0</v>
      </c>
      <c r="L83" s="358">
        <f t="shared" si="21"/>
        <v>0</v>
      </c>
      <c r="M83" s="358">
        <f t="shared" si="21"/>
        <v>0</v>
      </c>
      <c r="N83" s="358">
        <f t="shared" si="21"/>
        <v>0</v>
      </c>
      <c r="O83" s="358">
        <f t="shared" si="21"/>
        <v>0</v>
      </c>
      <c r="P83" s="358">
        <f t="shared" si="21"/>
        <v>0</v>
      </c>
      <c r="Q83" s="358">
        <f t="shared" si="21"/>
        <v>0</v>
      </c>
      <c r="R83" s="358">
        <f t="shared" si="21"/>
        <v>0</v>
      </c>
      <c r="S83" s="358">
        <f t="shared" si="21"/>
        <v>0</v>
      </c>
      <c r="T83" s="358">
        <f t="shared" si="21"/>
        <v>0</v>
      </c>
      <c r="U83" s="358">
        <f t="shared" si="21"/>
        <v>0</v>
      </c>
      <c r="V83" s="358">
        <f t="shared" si="21"/>
        <v>0</v>
      </c>
      <c r="W83" s="358">
        <f t="shared" si="21"/>
        <v>0</v>
      </c>
      <c r="X83" s="358">
        <f t="shared" si="21"/>
        <v>0</v>
      </c>
      <c r="Y83" s="358">
        <f t="shared" si="21"/>
        <v>0</v>
      </c>
      <c r="Z83" s="358">
        <f t="shared" si="21"/>
        <v>0</v>
      </c>
      <c r="AA83" s="358">
        <f t="shared" si="21"/>
        <v>0</v>
      </c>
      <c r="AB83" s="358">
        <f t="shared" si="21"/>
        <v>0</v>
      </c>
      <c r="AC83" s="358">
        <f t="shared" si="21"/>
        <v>0</v>
      </c>
      <c r="AD83" s="358">
        <f t="shared" si="21"/>
        <v>0</v>
      </c>
      <c r="AE83" s="358">
        <f t="shared" si="21"/>
        <v>0</v>
      </c>
      <c r="AF83" s="358">
        <f t="shared" si="21"/>
        <v>0</v>
      </c>
      <c r="AG83" s="303">
        <f t="shared" si="20"/>
        <v>0</v>
      </c>
    </row>
    <row r="84" outlineLevel="1">
      <c r="A84" s="166"/>
      <c r="B84" s="177"/>
      <c r="C84" s="177"/>
      <c r="D84" s="177"/>
      <c r="E84" s="177"/>
      <c r="F84" s="177"/>
      <c r="G84" s="177"/>
      <c r="H84" s="177"/>
      <c r="I84" s="177"/>
      <c r="J84" s="177"/>
      <c r="K84" s="177"/>
      <c r="L84" s="177"/>
      <c r="M84" s="177"/>
      <c r="N84" s="177"/>
      <c r="O84" s="177"/>
      <c r="P84" s="177"/>
      <c r="Q84" s="177"/>
      <c r="R84" s="177"/>
      <c r="S84" s="177"/>
      <c r="T84" s="177"/>
      <c r="U84" s="177"/>
      <c r="V84" s="177"/>
      <c r="W84" s="177"/>
      <c r="X84" s="177"/>
      <c r="Y84" s="177"/>
      <c r="Z84" s="177"/>
      <c r="AA84" s="177"/>
      <c r="AB84" s="177"/>
      <c r="AC84" s="177"/>
      <c r="AD84" s="177"/>
      <c r="AE84" s="177"/>
      <c r="AF84" s="177"/>
      <c r="AG84" s="431"/>
    </row>
    <row r="85" outlineLevel="1">
      <c r="A85" s="375" t="s">
        <v>308</v>
      </c>
      <c r="B85" s="200"/>
      <c r="C85" s="200"/>
      <c r="D85" s="200"/>
      <c r="E85" s="200"/>
      <c r="F85" s="200"/>
      <c r="G85" s="200"/>
      <c r="H85" s="200"/>
      <c r="I85" s="200"/>
      <c r="J85" s="200"/>
      <c r="K85" s="200"/>
      <c r="L85" s="200"/>
      <c r="M85" s="200"/>
      <c r="N85" s="200"/>
      <c r="O85" s="424"/>
      <c r="P85" s="424"/>
      <c r="Q85" s="424"/>
      <c r="R85" s="424"/>
      <c r="S85" s="424"/>
      <c r="T85" s="424"/>
      <c r="U85" s="424"/>
      <c r="V85" s="424"/>
      <c r="W85" s="424"/>
      <c r="X85" s="200"/>
      <c r="Y85" s="424"/>
      <c r="Z85" s="424"/>
      <c r="AA85" s="424"/>
      <c r="AB85" s="424"/>
      <c r="AC85" s="424"/>
      <c r="AD85" s="200"/>
      <c r="AE85" s="200"/>
      <c r="AF85" s="200"/>
      <c r="AG85" s="303">
        <f t="shared" ref="AG85:AG87" si="22">SUM(B85:AF85)</f>
        <v>0</v>
      </c>
    </row>
    <row r="86" outlineLevel="1">
      <c r="A86" s="425" t="s">
        <v>309</v>
      </c>
      <c r="B86" s="97"/>
      <c r="C86" s="97"/>
      <c r="D86" s="97"/>
      <c r="E86" s="97"/>
      <c r="F86" s="97"/>
      <c r="G86" s="331"/>
      <c r="H86" s="331"/>
      <c r="I86" s="331"/>
      <c r="J86" s="331"/>
      <c r="K86" s="97"/>
      <c r="L86" s="331"/>
      <c r="M86" s="331"/>
      <c r="N86" s="331"/>
      <c r="O86" s="331"/>
      <c r="P86" s="331"/>
      <c r="Q86" s="331"/>
      <c r="R86" s="331"/>
      <c r="S86" s="331"/>
      <c r="T86" s="331"/>
      <c r="U86" s="331"/>
      <c r="V86" s="331"/>
      <c r="W86" s="331"/>
      <c r="X86" s="331"/>
      <c r="Y86" s="331"/>
      <c r="Z86" s="331"/>
      <c r="AA86" s="331"/>
      <c r="AB86" s="331"/>
      <c r="AC86" s="331"/>
      <c r="AD86" s="331"/>
      <c r="AE86" s="331"/>
      <c r="AF86" s="331"/>
      <c r="AG86" s="303">
        <f t="shared" si="22"/>
        <v>0</v>
      </c>
    </row>
    <row r="87" outlineLevel="1">
      <c r="A87" s="426" t="s">
        <v>669</v>
      </c>
      <c r="B87" s="427">
        <f t="shared" ref="B87:AF87" si="23">sum(B85:B86)</f>
        <v>0</v>
      </c>
      <c r="C87" s="427">
        <f t="shared" si="23"/>
        <v>0</v>
      </c>
      <c r="D87" s="427">
        <f t="shared" si="23"/>
        <v>0</v>
      </c>
      <c r="E87" s="427">
        <f t="shared" si="23"/>
        <v>0</v>
      </c>
      <c r="F87" s="427">
        <f t="shared" si="23"/>
        <v>0</v>
      </c>
      <c r="G87" s="427">
        <f t="shared" si="23"/>
        <v>0</v>
      </c>
      <c r="H87" s="427">
        <f t="shared" si="23"/>
        <v>0</v>
      </c>
      <c r="I87" s="427">
        <f t="shared" si="23"/>
        <v>0</v>
      </c>
      <c r="J87" s="427">
        <f t="shared" si="23"/>
        <v>0</v>
      </c>
      <c r="K87" s="427">
        <f t="shared" si="23"/>
        <v>0</v>
      </c>
      <c r="L87" s="427">
        <f t="shared" si="23"/>
        <v>0</v>
      </c>
      <c r="M87" s="427">
        <f t="shared" si="23"/>
        <v>0</v>
      </c>
      <c r="N87" s="427">
        <f t="shared" si="23"/>
        <v>0</v>
      </c>
      <c r="O87" s="427">
        <f t="shared" si="23"/>
        <v>0</v>
      </c>
      <c r="P87" s="427">
        <f t="shared" si="23"/>
        <v>0</v>
      </c>
      <c r="Q87" s="427">
        <f t="shared" si="23"/>
        <v>0</v>
      </c>
      <c r="R87" s="427">
        <f t="shared" si="23"/>
        <v>0</v>
      </c>
      <c r="S87" s="427">
        <f t="shared" si="23"/>
        <v>0</v>
      </c>
      <c r="T87" s="427">
        <f t="shared" si="23"/>
        <v>0</v>
      </c>
      <c r="U87" s="427">
        <f t="shared" si="23"/>
        <v>0</v>
      </c>
      <c r="V87" s="427">
        <f t="shared" si="23"/>
        <v>0</v>
      </c>
      <c r="W87" s="427">
        <f t="shared" si="23"/>
        <v>0</v>
      </c>
      <c r="X87" s="427">
        <f t="shared" si="23"/>
        <v>0</v>
      </c>
      <c r="Y87" s="427">
        <f t="shared" si="23"/>
        <v>0</v>
      </c>
      <c r="Z87" s="427">
        <f t="shared" si="23"/>
        <v>0</v>
      </c>
      <c r="AA87" s="427">
        <f t="shared" si="23"/>
        <v>0</v>
      </c>
      <c r="AB87" s="427">
        <f t="shared" si="23"/>
        <v>0</v>
      </c>
      <c r="AC87" s="427">
        <f t="shared" si="23"/>
        <v>0</v>
      </c>
      <c r="AD87" s="427">
        <f t="shared" si="23"/>
        <v>0</v>
      </c>
      <c r="AE87" s="427">
        <f t="shared" si="23"/>
        <v>0</v>
      </c>
      <c r="AF87" s="427">
        <f t="shared" si="23"/>
        <v>0</v>
      </c>
      <c r="AG87" s="303">
        <f t="shared" si="22"/>
        <v>0</v>
      </c>
    </row>
    <row r="88">
      <c r="A88" s="166"/>
      <c r="B88" s="177"/>
      <c r="C88" s="177"/>
      <c r="D88" s="177"/>
      <c r="E88" s="177"/>
      <c r="F88" s="177"/>
      <c r="G88" s="177"/>
      <c r="H88" s="177"/>
      <c r="I88" s="177"/>
      <c r="J88" s="177"/>
      <c r="K88" s="177"/>
      <c r="L88" s="177"/>
      <c r="M88" s="177"/>
      <c r="N88" s="177"/>
      <c r="O88" s="177"/>
      <c r="P88" s="177"/>
      <c r="Q88" s="177"/>
      <c r="R88" s="177"/>
      <c r="S88" s="177"/>
      <c r="T88" s="177"/>
      <c r="U88" s="177"/>
      <c r="V88" s="177"/>
      <c r="W88" s="177"/>
      <c r="X88" s="177"/>
      <c r="Y88" s="177"/>
      <c r="Z88" s="177"/>
      <c r="AA88" s="177"/>
      <c r="AB88" s="177"/>
      <c r="AC88" s="177"/>
      <c r="AD88" s="177"/>
      <c r="AE88" s="177"/>
      <c r="AF88" s="177"/>
      <c r="AG88" s="431"/>
    </row>
    <row r="89">
      <c r="A89" s="419" t="s">
        <v>683</v>
      </c>
      <c r="B89" s="420"/>
      <c r="C89" s="420"/>
      <c r="D89" s="420"/>
      <c r="E89" s="420"/>
      <c r="F89" s="420"/>
      <c r="G89" s="420"/>
      <c r="H89" s="420"/>
      <c r="I89" s="420"/>
      <c r="J89" s="420"/>
      <c r="K89" s="420"/>
      <c r="L89" s="420"/>
      <c r="M89" s="420"/>
      <c r="N89" s="420"/>
      <c r="O89" s="420"/>
      <c r="P89" s="420"/>
      <c r="Q89" s="420"/>
      <c r="R89" s="420"/>
      <c r="S89" s="420"/>
      <c r="T89" s="420"/>
      <c r="U89" s="420"/>
      <c r="V89" s="420"/>
      <c r="W89" s="420"/>
      <c r="X89" s="420"/>
      <c r="Y89" s="420"/>
      <c r="Z89" s="420"/>
      <c r="AA89" s="420"/>
      <c r="AB89" s="420"/>
      <c r="AC89" s="420"/>
      <c r="AD89" s="420"/>
      <c r="AE89" s="420"/>
      <c r="AF89" s="420"/>
      <c r="AG89" s="421"/>
    </row>
    <row r="90" outlineLevel="1">
      <c r="A90" s="215" t="s">
        <v>684</v>
      </c>
      <c r="B90" s="155">
        <v>0.0</v>
      </c>
      <c r="C90" s="155">
        <v>0.0</v>
      </c>
      <c r="D90" s="155">
        <v>0.0</v>
      </c>
      <c r="E90" s="155">
        <v>0.0</v>
      </c>
      <c r="F90" s="155">
        <v>0.0</v>
      </c>
      <c r="G90" s="155">
        <v>0.0</v>
      </c>
      <c r="H90" s="155">
        <v>0.0</v>
      </c>
      <c r="I90" s="155">
        <v>0.0</v>
      </c>
      <c r="J90" s="155">
        <v>0.0</v>
      </c>
      <c r="K90" s="155">
        <v>0.0</v>
      </c>
      <c r="L90" s="155">
        <v>0.0</v>
      </c>
      <c r="M90" s="155">
        <v>0.0</v>
      </c>
      <c r="N90" s="155">
        <v>0.0</v>
      </c>
      <c r="O90" s="155">
        <v>0.0</v>
      </c>
      <c r="P90" s="155">
        <v>0.0</v>
      </c>
      <c r="Q90" s="155">
        <v>0.0</v>
      </c>
      <c r="R90" s="155">
        <v>0.0</v>
      </c>
      <c r="S90" s="155">
        <v>0.0</v>
      </c>
      <c r="T90" s="155">
        <v>0.0</v>
      </c>
      <c r="U90" s="155">
        <v>0.0</v>
      </c>
      <c r="V90" s="155">
        <v>0.0</v>
      </c>
      <c r="W90" s="155">
        <v>0.0</v>
      </c>
      <c r="X90" s="155">
        <v>0.0</v>
      </c>
      <c r="Y90" s="155">
        <v>0.0</v>
      </c>
      <c r="Z90" s="155">
        <v>0.0</v>
      </c>
      <c r="AA90" s="155">
        <v>0.0</v>
      </c>
      <c r="AB90" s="155">
        <v>0.0</v>
      </c>
      <c r="AC90" s="155">
        <v>0.0</v>
      </c>
      <c r="AD90" s="155">
        <v>0.0</v>
      </c>
      <c r="AE90" s="155">
        <v>0.0</v>
      </c>
      <c r="AF90" s="155">
        <v>0.0</v>
      </c>
      <c r="AG90" s="303">
        <f t="shared" ref="AG90:AG105" si="24">SUM(B90:AF90)</f>
        <v>0</v>
      </c>
    </row>
    <row r="91" outlineLevel="1">
      <c r="A91" s="215" t="s">
        <v>685</v>
      </c>
      <c r="B91" s="155">
        <v>0.0</v>
      </c>
      <c r="C91" s="155">
        <v>0.0</v>
      </c>
      <c r="D91" s="155">
        <v>0.0</v>
      </c>
      <c r="E91" s="155">
        <v>0.0</v>
      </c>
      <c r="F91" s="155">
        <v>0.0</v>
      </c>
      <c r="G91" s="155">
        <v>0.0</v>
      </c>
      <c r="H91" s="155">
        <v>0.0</v>
      </c>
      <c r="I91" s="155">
        <v>0.0</v>
      </c>
      <c r="J91" s="155">
        <v>0.0</v>
      </c>
      <c r="K91" s="155">
        <v>0.0</v>
      </c>
      <c r="L91" s="155">
        <v>0.0</v>
      </c>
      <c r="M91" s="155">
        <v>0.0</v>
      </c>
      <c r="N91" s="155">
        <v>0.0</v>
      </c>
      <c r="O91" s="155">
        <v>0.0</v>
      </c>
      <c r="P91" s="155">
        <v>0.0</v>
      </c>
      <c r="Q91" s="155">
        <v>0.0</v>
      </c>
      <c r="R91" s="155">
        <v>0.0</v>
      </c>
      <c r="S91" s="155">
        <v>0.0</v>
      </c>
      <c r="T91" s="155">
        <v>0.0</v>
      </c>
      <c r="U91" s="155">
        <v>0.0</v>
      </c>
      <c r="V91" s="155">
        <v>0.0</v>
      </c>
      <c r="W91" s="155">
        <v>0.0</v>
      </c>
      <c r="X91" s="155">
        <v>0.0</v>
      </c>
      <c r="Y91" s="155">
        <v>0.0</v>
      </c>
      <c r="Z91" s="155">
        <v>0.0</v>
      </c>
      <c r="AA91" s="155">
        <v>0.0</v>
      </c>
      <c r="AB91" s="155">
        <v>0.0</v>
      </c>
      <c r="AC91" s="155">
        <v>0.0</v>
      </c>
      <c r="AD91" s="155">
        <v>0.0</v>
      </c>
      <c r="AE91" s="155">
        <v>0.0</v>
      </c>
      <c r="AF91" s="155">
        <v>0.0</v>
      </c>
      <c r="AG91" s="303">
        <f t="shared" si="24"/>
        <v>0</v>
      </c>
    </row>
    <row r="92" outlineLevel="1">
      <c r="A92" s="215" t="s">
        <v>686</v>
      </c>
      <c r="B92" s="155">
        <v>0.0</v>
      </c>
      <c r="C92" s="155">
        <v>0.0</v>
      </c>
      <c r="D92" s="155">
        <v>0.0</v>
      </c>
      <c r="E92" s="155">
        <v>0.0</v>
      </c>
      <c r="F92" s="155">
        <v>0.0</v>
      </c>
      <c r="G92" s="155">
        <v>0.0</v>
      </c>
      <c r="H92" s="155">
        <v>0.0</v>
      </c>
      <c r="I92" s="155">
        <v>0.0</v>
      </c>
      <c r="J92" s="155">
        <v>0.0</v>
      </c>
      <c r="K92" s="155">
        <v>0.0</v>
      </c>
      <c r="L92" s="155">
        <v>0.0</v>
      </c>
      <c r="M92" s="155">
        <v>0.0</v>
      </c>
      <c r="N92" s="155">
        <v>0.0</v>
      </c>
      <c r="O92" s="155">
        <v>0.0</v>
      </c>
      <c r="P92" s="155">
        <v>0.0</v>
      </c>
      <c r="Q92" s="155">
        <v>0.0</v>
      </c>
      <c r="R92" s="155">
        <v>0.0</v>
      </c>
      <c r="S92" s="155">
        <v>0.0</v>
      </c>
      <c r="T92" s="155">
        <v>0.0</v>
      </c>
      <c r="U92" s="155">
        <v>0.0</v>
      </c>
      <c r="V92" s="155">
        <v>0.0</v>
      </c>
      <c r="W92" s="155">
        <v>0.0</v>
      </c>
      <c r="X92" s="155">
        <v>0.0</v>
      </c>
      <c r="Y92" s="155">
        <v>0.0</v>
      </c>
      <c r="Z92" s="155">
        <v>0.0</v>
      </c>
      <c r="AA92" s="155">
        <v>0.0</v>
      </c>
      <c r="AB92" s="155">
        <v>0.0</v>
      </c>
      <c r="AC92" s="155">
        <v>0.0</v>
      </c>
      <c r="AD92" s="155">
        <v>0.0</v>
      </c>
      <c r="AE92" s="155">
        <v>0.0</v>
      </c>
      <c r="AF92" s="155">
        <v>0.0</v>
      </c>
      <c r="AG92" s="303">
        <f t="shared" si="24"/>
        <v>0</v>
      </c>
    </row>
    <row r="93" outlineLevel="1">
      <c r="A93" s="215" t="s">
        <v>687</v>
      </c>
      <c r="B93" s="155">
        <v>0.0</v>
      </c>
      <c r="C93" s="155">
        <v>0.0</v>
      </c>
      <c r="D93" s="155">
        <v>0.0</v>
      </c>
      <c r="E93" s="155">
        <v>0.0</v>
      </c>
      <c r="F93" s="155">
        <v>0.0</v>
      </c>
      <c r="G93" s="155">
        <v>0.0</v>
      </c>
      <c r="H93" s="155">
        <v>0.0</v>
      </c>
      <c r="I93" s="155">
        <v>0.0</v>
      </c>
      <c r="J93" s="155">
        <v>0.0</v>
      </c>
      <c r="K93" s="155">
        <v>0.0</v>
      </c>
      <c r="L93" s="155">
        <v>0.0</v>
      </c>
      <c r="M93" s="155">
        <v>0.0</v>
      </c>
      <c r="N93" s="155">
        <v>0.0</v>
      </c>
      <c r="O93" s="155">
        <v>0.0</v>
      </c>
      <c r="P93" s="155">
        <v>0.0</v>
      </c>
      <c r="Q93" s="155">
        <v>0.0</v>
      </c>
      <c r="R93" s="155">
        <v>0.0</v>
      </c>
      <c r="S93" s="155">
        <v>0.0</v>
      </c>
      <c r="T93" s="155">
        <v>0.0</v>
      </c>
      <c r="U93" s="155">
        <v>0.0</v>
      </c>
      <c r="V93" s="155">
        <v>0.0</v>
      </c>
      <c r="W93" s="155">
        <v>0.0</v>
      </c>
      <c r="X93" s="155">
        <v>0.0</v>
      </c>
      <c r="Y93" s="155">
        <v>0.0</v>
      </c>
      <c r="Z93" s="155">
        <v>0.0</v>
      </c>
      <c r="AA93" s="155">
        <v>0.0</v>
      </c>
      <c r="AB93" s="155">
        <v>0.0</v>
      </c>
      <c r="AC93" s="155">
        <v>0.0</v>
      </c>
      <c r="AD93" s="155">
        <v>0.0</v>
      </c>
      <c r="AE93" s="155">
        <v>0.0</v>
      </c>
      <c r="AF93" s="155">
        <v>0.0</v>
      </c>
      <c r="AG93" s="303">
        <f t="shared" si="24"/>
        <v>0</v>
      </c>
    </row>
    <row r="94" outlineLevel="1">
      <c r="A94" s="223" t="s">
        <v>221</v>
      </c>
      <c r="B94" s="243">
        <f t="shared" ref="B94:AF94" si="25">B90+B91</f>
        <v>0</v>
      </c>
      <c r="C94" s="243">
        <f t="shared" si="25"/>
        <v>0</v>
      </c>
      <c r="D94" s="243">
        <f t="shared" si="25"/>
        <v>0</v>
      </c>
      <c r="E94" s="243">
        <f t="shared" si="25"/>
        <v>0</v>
      </c>
      <c r="F94" s="243">
        <f t="shared" si="25"/>
        <v>0</v>
      </c>
      <c r="G94" s="243">
        <f t="shared" si="25"/>
        <v>0</v>
      </c>
      <c r="H94" s="243">
        <f t="shared" si="25"/>
        <v>0</v>
      </c>
      <c r="I94" s="243">
        <f t="shared" si="25"/>
        <v>0</v>
      </c>
      <c r="J94" s="243">
        <f t="shared" si="25"/>
        <v>0</v>
      </c>
      <c r="K94" s="243">
        <f t="shared" si="25"/>
        <v>0</v>
      </c>
      <c r="L94" s="243">
        <f t="shared" si="25"/>
        <v>0</v>
      </c>
      <c r="M94" s="243">
        <f t="shared" si="25"/>
        <v>0</v>
      </c>
      <c r="N94" s="243">
        <f t="shared" si="25"/>
        <v>0</v>
      </c>
      <c r="O94" s="243">
        <f t="shared" si="25"/>
        <v>0</v>
      </c>
      <c r="P94" s="243">
        <f t="shared" si="25"/>
        <v>0</v>
      </c>
      <c r="Q94" s="243">
        <f t="shared" si="25"/>
        <v>0</v>
      </c>
      <c r="R94" s="243">
        <f t="shared" si="25"/>
        <v>0</v>
      </c>
      <c r="S94" s="243">
        <f t="shared" si="25"/>
        <v>0</v>
      </c>
      <c r="T94" s="243">
        <f t="shared" si="25"/>
        <v>0</v>
      </c>
      <c r="U94" s="243">
        <f t="shared" si="25"/>
        <v>0</v>
      </c>
      <c r="V94" s="243">
        <f t="shared" si="25"/>
        <v>0</v>
      </c>
      <c r="W94" s="243">
        <f t="shared" si="25"/>
        <v>0</v>
      </c>
      <c r="X94" s="243">
        <f t="shared" si="25"/>
        <v>0</v>
      </c>
      <c r="Y94" s="243">
        <f t="shared" si="25"/>
        <v>0</v>
      </c>
      <c r="Z94" s="243">
        <f t="shared" si="25"/>
        <v>0</v>
      </c>
      <c r="AA94" s="243">
        <f t="shared" si="25"/>
        <v>0</v>
      </c>
      <c r="AB94" s="243">
        <f t="shared" si="25"/>
        <v>0</v>
      </c>
      <c r="AC94" s="243">
        <f t="shared" si="25"/>
        <v>0</v>
      </c>
      <c r="AD94" s="243">
        <f t="shared" si="25"/>
        <v>0</v>
      </c>
      <c r="AE94" s="243">
        <f t="shared" si="25"/>
        <v>0</v>
      </c>
      <c r="AF94" s="243">
        <f t="shared" si="25"/>
        <v>0</v>
      </c>
      <c r="AG94" s="303">
        <f t="shared" si="24"/>
        <v>0</v>
      </c>
    </row>
    <row r="95" outlineLevel="1">
      <c r="A95" s="223" t="s">
        <v>222</v>
      </c>
      <c r="B95" s="243">
        <f t="shared" ref="B95:AF95" si="26">B92+B93</f>
        <v>0</v>
      </c>
      <c r="C95" s="243">
        <f t="shared" si="26"/>
        <v>0</v>
      </c>
      <c r="D95" s="243">
        <f t="shared" si="26"/>
        <v>0</v>
      </c>
      <c r="E95" s="243">
        <f t="shared" si="26"/>
        <v>0</v>
      </c>
      <c r="F95" s="243">
        <f t="shared" si="26"/>
        <v>0</v>
      </c>
      <c r="G95" s="243">
        <f t="shared" si="26"/>
        <v>0</v>
      </c>
      <c r="H95" s="243">
        <f t="shared" si="26"/>
        <v>0</v>
      </c>
      <c r="I95" s="243">
        <f t="shared" si="26"/>
        <v>0</v>
      </c>
      <c r="J95" s="243">
        <f t="shared" si="26"/>
        <v>0</v>
      </c>
      <c r="K95" s="243">
        <f t="shared" si="26"/>
        <v>0</v>
      </c>
      <c r="L95" s="243">
        <f t="shared" si="26"/>
        <v>0</v>
      </c>
      <c r="M95" s="243">
        <f t="shared" si="26"/>
        <v>0</v>
      </c>
      <c r="N95" s="243">
        <f t="shared" si="26"/>
        <v>0</v>
      </c>
      <c r="O95" s="243">
        <f t="shared" si="26"/>
        <v>0</v>
      </c>
      <c r="P95" s="243">
        <f t="shared" si="26"/>
        <v>0</v>
      </c>
      <c r="Q95" s="243">
        <f t="shared" si="26"/>
        <v>0</v>
      </c>
      <c r="R95" s="243">
        <f t="shared" si="26"/>
        <v>0</v>
      </c>
      <c r="S95" s="243">
        <f t="shared" si="26"/>
        <v>0</v>
      </c>
      <c r="T95" s="243">
        <f t="shared" si="26"/>
        <v>0</v>
      </c>
      <c r="U95" s="243">
        <f t="shared" si="26"/>
        <v>0</v>
      </c>
      <c r="V95" s="243">
        <f t="shared" si="26"/>
        <v>0</v>
      </c>
      <c r="W95" s="243">
        <f t="shared" si="26"/>
        <v>0</v>
      </c>
      <c r="X95" s="243">
        <f t="shared" si="26"/>
        <v>0</v>
      </c>
      <c r="Y95" s="243">
        <f t="shared" si="26"/>
        <v>0</v>
      </c>
      <c r="Z95" s="243">
        <f t="shared" si="26"/>
        <v>0</v>
      </c>
      <c r="AA95" s="243">
        <f t="shared" si="26"/>
        <v>0</v>
      </c>
      <c r="AB95" s="243">
        <f t="shared" si="26"/>
        <v>0</v>
      </c>
      <c r="AC95" s="243">
        <f t="shared" si="26"/>
        <v>0</v>
      </c>
      <c r="AD95" s="243">
        <f t="shared" si="26"/>
        <v>0</v>
      </c>
      <c r="AE95" s="243">
        <f t="shared" si="26"/>
        <v>0</v>
      </c>
      <c r="AF95" s="243">
        <f t="shared" si="26"/>
        <v>0</v>
      </c>
      <c r="AG95" s="303">
        <f t="shared" si="24"/>
        <v>0</v>
      </c>
    </row>
    <row r="96" outlineLevel="1">
      <c r="A96" s="98"/>
      <c r="B96" s="177"/>
      <c r="C96" s="177"/>
      <c r="D96" s="177"/>
      <c r="E96" s="177"/>
      <c r="F96" s="177"/>
      <c r="G96" s="177"/>
      <c r="H96" s="177"/>
      <c r="I96" s="177"/>
      <c r="J96" s="177"/>
      <c r="K96" s="177"/>
      <c r="L96" s="177"/>
      <c r="M96" s="177"/>
      <c r="N96" s="177"/>
      <c r="O96" s="177"/>
      <c r="P96" s="177"/>
      <c r="Q96" s="177"/>
      <c r="R96" s="177"/>
      <c r="S96" s="177"/>
      <c r="T96" s="177"/>
      <c r="U96" s="177"/>
      <c r="V96" s="177"/>
      <c r="W96" s="177"/>
      <c r="X96" s="177"/>
      <c r="Y96" s="177"/>
      <c r="Z96" s="177"/>
      <c r="AA96" s="177"/>
      <c r="AB96" s="177"/>
      <c r="AC96" s="177"/>
      <c r="AD96" s="177"/>
      <c r="AE96" s="177"/>
      <c r="AF96" s="177"/>
      <c r="AG96" s="303">
        <f t="shared" si="24"/>
        <v>0</v>
      </c>
    </row>
    <row r="97" outlineLevel="1">
      <c r="A97" s="215" t="s">
        <v>224</v>
      </c>
      <c r="B97" s="155">
        <v>0.0</v>
      </c>
      <c r="C97" s="155">
        <v>0.0</v>
      </c>
      <c r="D97" s="155">
        <v>0.0</v>
      </c>
      <c r="E97" s="155">
        <v>0.0</v>
      </c>
      <c r="F97" s="155">
        <v>0.0</v>
      </c>
      <c r="G97" s="155">
        <v>0.0</v>
      </c>
      <c r="H97" s="155">
        <v>0.0</v>
      </c>
      <c r="I97" s="155">
        <v>0.0</v>
      </c>
      <c r="J97" s="155">
        <v>0.0</v>
      </c>
      <c r="K97" s="155">
        <v>0.0</v>
      </c>
      <c r="L97" s="155">
        <v>0.0</v>
      </c>
      <c r="M97" s="155">
        <v>0.0</v>
      </c>
      <c r="N97" s="155">
        <v>0.0</v>
      </c>
      <c r="O97" s="155">
        <v>0.0</v>
      </c>
      <c r="P97" s="155">
        <v>0.0</v>
      </c>
      <c r="Q97" s="155">
        <v>0.0</v>
      </c>
      <c r="R97" s="155">
        <v>0.0</v>
      </c>
      <c r="S97" s="155">
        <v>0.0</v>
      </c>
      <c r="T97" s="155">
        <v>0.0</v>
      </c>
      <c r="U97" s="155">
        <v>0.0</v>
      </c>
      <c r="V97" s="155">
        <v>0.0</v>
      </c>
      <c r="W97" s="155">
        <v>0.0</v>
      </c>
      <c r="X97" s="155">
        <v>0.0</v>
      </c>
      <c r="Y97" s="155">
        <v>0.0</v>
      </c>
      <c r="Z97" s="155">
        <v>0.0</v>
      </c>
      <c r="AA97" s="155">
        <v>0.0</v>
      </c>
      <c r="AB97" s="155">
        <v>0.0</v>
      </c>
      <c r="AC97" s="155">
        <v>0.0</v>
      </c>
      <c r="AD97" s="155">
        <v>0.0</v>
      </c>
      <c r="AE97" s="155">
        <v>0.0</v>
      </c>
      <c r="AF97" s="155">
        <v>0.0</v>
      </c>
      <c r="AG97" s="303">
        <f t="shared" si="24"/>
        <v>0</v>
      </c>
    </row>
    <row r="98" outlineLevel="1">
      <c r="A98" s="215" t="s">
        <v>225</v>
      </c>
      <c r="B98" s="155">
        <v>0.0</v>
      </c>
      <c r="C98" s="155">
        <v>0.0</v>
      </c>
      <c r="D98" s="155">
        <v>0.0</v>
      </c>
      <c r="E98" s="155">
        <v>0.0</v>
      </c>
      <c r="F98" s="155">
        <v>0.0</v>
      </c>
      <c r="G98" s="155">
        <v>0.0</v>
      </c>
      <c r="H98" s="155">
        <v>0.0</v>
      </c>
      <c r="I98" s="155">
        <v>0.0</v>
      </c>
      <c r="J98" s="155">
        <v>0.0</v>
      </c>
      <c r="K98" s="155">
        <v>0.0</v>
      </c>
      <c r="L98" s="155">
        <v>0.0</v>
      </c>
      <c r="M98" s="155">
        <v>0.0</v>
      </c>
      <c r="N98" s="155">
        <v>0.0</v>
      </c>
      <c r="O98" s="155">
        <v>0.0</v>
      </c>
      <c r="P98" s="155">
        <v>0.0</v>
      </c>
      <c r="Q98" s="155">
        <v>0.0</v>
      </c>
      <c r="R98" s="155">
        <v>0.0</v>
      </c>
      <c r="S98" s="155">
        <v>0.0</v>
      </c>
      <c r="T98" s="155">
        <v>0.0</v>
      </c>
      <c r="U98" s="155">
        <v>0.0</v>
      </c>
      <c r="V98" s="155">
        <v>0.0</v>
      </c>
      <c r="W98" s="155">
        <v>0.0</v>
      </c>
      <c r="X98" s="155">
        <v>0.0</v>
      </c>
      <c r="Y98" s="155">
        <v>0.0</v>
      </c>
      <c r="Z98" s="155">
        <v>0.0</v>
      </c>
      <c r="AA98" s="155">
        <v>0.0</v>
      </c>
      <c r="AB98" s="155">
        <v>0.0</v>
      </c>
      <c r="AC98" s="155">
        <v>0.0</v>
      </c>
      <c r="AD98" s="155">
        <v>0.0</v>
      </c>
      <c r="AE98" s="155">
        <v>0.0</v>
      </c>
      <c r="AF98" s="155">
        <v>0.0</v>
      </c>
      <c r="AG98" s="303">
        <f t="shared" si="24"/>
        <v>0</v>
      </c>
    </row>
    <row r="99" outlineLevel="1">
      <c r="A99" s="215" t="s">
        <v>688</v>
      </c>
      <c r="B99" s="155">
        <v>0.0</v>
      </c>
      <c r="C99" s="155">
        <v>0.0</v>
      </c>
      <c r="D99" s="155">
        <v>0.0</v>
      </c>
      <c r="E99" s="155">
        <v>0.0</v>
      </c>
      <c r="F99" s="155">
        <v>0.0</v>
      </c>
      <c r="G99" s="155">
        <v>0.0</v>
      </c>
      <c r="H99" s="155">
        <v>0.0</v>
      </c>
      <c r="I99" s="155">
        <v>0.0</v>
      </c>
      <c r="J99" s="155">
        <v>0.0</v>
      </c>
      <c r="K99" s="155">
        <v>0.0</v>
      </c>
      <c r="L99" s="155">
        <v>0.0</v>
      </c>
      <c r="M99" s="155">
        <v>0.0</v>
      </c>
      <c r="N99" s="155">
        <v>0.0</v>
      </c>
      <c r="O99" s="155">
        <v>0.0</v>
      </c>
      <c r="P99" s="155">
        <v>0.0</v>
      </c>
      <c r="Q99" s="155">
        <v>0.0</v>
      </c>
      <c r="R99" s="155">
        <v>0.0</v>
      </c>
      <c r="S99" s="155">
        <v>0.0</v>
      </c>
      <c r="T99" s="155">
        <v>0.0</v>
      </c>
      <c r="U99" s="155">
        <v>0.0</v>
      </c>
      <c r="V99" s="155">
        <v>0.0</v>
      </c>
      <c r="W99" s="155">
        <v>0.0</v>
      </c>
      <c r="X99" s="155">
        <v>0.0</v>
      </c>
      <c r="Y99" s="155">
        <v>0.0</v>
      </c>
      <c r="Z99" s="155">
        <v>0.0</v>
      </c>
      <c r="AA99" s="155">
        <v>0.0</v>
      </c>
      <c r="AB99" s="155">
        <v>0.0</v>
      </c>
      <c r="AC99" s="155">
        <v>0.0</v>
      </c>
      <c r="AD99" s="155">
        <v>0.0</v>
      </c>
      <c r="AE99" s="155">
        <v>0.0</v>
      </c>
      <c r="AF99" s="155">
        <v>0.0</v>
      </c>
      <c r="AG99" s="303">
        <f t="shared" si="24"/>
        <v>0</v>
      </c>
    </row>
    <row r="100" outlineLevel="1">
      <c r="A100" s="215" t="s">
        <v>689</v>
      </c>
      <c r="B100" s="155">
        <v>0.0</v>
      </c>
      <c r="C100" s="155">
        <v>0.0</v>
      </c>
      <c r="D100" s="155">
        <v>0.0</v>
      </c>
      <c r="E100" s="155">
        <v>0.0</v>
      </c>
      <c r="F100" s="155">
        <v>0.0</v>
      </c>
      <c r="G100" s="155">
        <v>0.0</v>
      </c>
      <c r="H100" s="155">
        <v>0.0</v>
      </c>
      <c r="I100" s="155">
        <v>0.0</v>
      </c>
      <c r="J100" s="155">
        <v>0.0</v>
      </c>
      <c r="K100" s="155">
        <v>0.0</v>
      </c>
      <c r="L100" s="155">
        <v>0.0</v>
      </c>
      <c r="M100" s="155">
        <v>0.0</v>
      </c>
      <c r="N100" s="155">
        <v>0.0</v>
      </c>
      <c r="O100" s="155">
        <v>0.0</v>
      </c>
      <c r="P100" s="155">
        <v>0.0</v>
      </c>
      <c r="Q100" s="155">
        <v>0.0</v>
      </c>
      <c r="R100" s="155">
        <v>0.0</v>
      </c>
      <c r="S100" s="155">
        <v>0.0</v>
      </c>
      <c r="T100" s="155">
        <v>0.0</v>
      </c>
      <c r="U100" s="155">
        <v>0.0</v>
      </c>
      <c r="V100" s="155">
        <v>0.0</v>
      </c>
      <c r="W100" s="155">
        <v>0.0</v>
      </c>
      <c r="X100" s="155">
        <v>0.0</v>
      </c>
      <c r="Y100" s="155">
        <v>0.0</v>
      </c>
      <c r="Z100" s="155">
        <v>0.0</v>
      </c>
      <c r="AA100" s="155">
        <v>0.0</v>
      </c>
      <c r="AB100" s="155">
        <v>0.0</v>
      </c>
      <c r="AC100" s="155">
        <v>0.0</v>
      </c>
      <c r="AD100" s="155">
        <v>0.0</v>
      </c>
      <c r="AE100" s="155">
        <v>0.0</v>
      </c>
      <c r="AF100" s="155">
        <v>0.0</v>
      </c>
      <c r="AG100" s="303">
        <f t="shared" si="24"/>
        <v>0</v>
      </c>
    </row>
    <row r="101" outlineLevel="1">
      <c r="A101" s="215" t="s">
        <v>690</v>
      </c>
      <c r="B101" s="155">
        <v>0.0</v>
      </c>
      <c r="C101" s="155">
        <v>0.0</v>
      </c>
      <c r="D101" s="155">
        <v>0.0</v>
      </c>
      <c r="E101" s="155">
        <v>0.0</v>
      </c>
      <c r="F101" s="155">
        <v>0.0</v>
      </c>
      <c r="G101" s="155">
        <v>0.0</v>
      </c>
      <c r="H101" s="155">
        <v>0.0</v>
      </c>
      <c r="I101" s="155">
        <v>0.0</v>
      </c>
      <c r="J101" s="155">
        <v>0.0</v>
      </c>
      <c r="K101" s="155">
        <v>0.0</v>
      </c>
      <c r="L101" s="155">
        <v>0.0</v>
      </c>
      <c r="M101" s="155">
        <v>0.0</v>
      </c>
      <c r="N101" s="155">
        <v>0.0</v>
      </c>
      <c r="O101" s="155">
        <v>0.0</v>
      </c>
      <c r="P101" s="155">
        <v>0.0</v>
      </c>
      <c r="Q101" s="155">
        <v>0.0</v>
      </c>
      <c r="R101" s="155">
        <v>0.0</v>
      </c>
      <c r="S101" s="155">
        <v>0.0</v>
      </c>
      <c r="T101" s="155">
        <v>0.0</v>
      </c>
      <c r="U101" s="155">
        <v>0.0</v>
      </c>
      <c r="V101" s="155">
        <v>0.0</v>
      </c>
      <c r="W101" s="155">
        <v>0.0</v>
      </c>
      <c r="X101" s="155">
        <v>0.0</v>
      </c>
      <c r="Y101" s="155">
        <v>0.0</v>
      </c>
      <c r="Z101" s="155">
        <v>0.0</v>
      </c>
      <c r="AA101" s="155">
        <v>0.0</v>
      </c>
      <c r="AB101" s="155">
        <v>0.0</v>
      </c>
      <c r="AC101" s="155">
        <v>0.0</v>
      </c>
      <c r="AD101" s="155">
        <v>0.0</v>
      </c>
      <c r="AE101" s="155">
        <v>0.0</v>
      </c>
      <c r="AF101" s="155">
        <v>0.0</v>
      </c>
      <c r="AG101" s="303">
        <f t="shared" si="24"/>
        <v>0</v>
      </c>
    </row>
    <row r="102" outlineLevel="1">
      <c r="A102" s="215" t="s">
        <v>691</v>
      </c>
      <c r="B102" s="155">
        <v>0.0</v>
      </c>
      <c r="C102" s="155">
        <v>0.0</v>
      </c>
      <c r="D102" s="155">
        <v>0.0</v>
      </c>
      <c r="E102" s="155">
        <v>0.0</v>
      </c>
      <c r="F102" s="155">
        <v>0.0</v>
      </c>
      <c r="G102" s="155">
        <v>0.0</v>
      </c>
      <c r="H102" s="155">
        <v>0.0</v>
      </c>
      <c r="I102" s="155">
        <v>0.0</v>
      </c>
      <c r="J102" s="155">
        <v>0.0</v>
      </c>
      <c r="K102" s="155">
        <v>0.0</v>
      </c>
      <c r="L102" s="155">
        <v>0.0</v>
      </c>
      <c r="M102" s="155">
        <v>0.0</v>
      </c>
      <c r="N102" s="155">
        <v>0.0</v>
      </c>
      <c r="O102" s="155">
        <v>0.0</v>
      </c>
      <c r="P102" s="155">
        <v>0.0</v>
      </c>
      <c r="Q102" s="155">
        <v>0.0</v>
      </c>
      <c r="R102" s="155">
        <v>0.0</v>
      </c>
      <c r="S102" s="155">
        <v>0.0</v>
      </c>
      <c r="T102" s="155">
        <v>0.0</v>
      </c>
      <c r="U102" s="155">
        <v>0.0</v>
      </c>
      <c r="V102" s="155">
        <v>0.0</v>
      </c>
      <c r="W102" s="155">
        <v>0.0</v>
      </c>
      <c r="X102" s="155">
        <v>0.0</v>
      </c>
      <c r="Y102" s="155">
        <v>0.0</v>
      </c>
      <c r="Z102" s="155">
        <v>0.0</v>
      </c>
      <c r="AA102" s="155">
        <v>0.0</v>
      </c>
      <c r="AB102" s="155">
        <v>0.0</v>
      </c>
      <c r="AC102" s="155">
        <v>0.0</v>
      </c>
      <c r="AD102" s="155">
        <v>0.0</v>
      </c>
      <c r="AE102" s="155">
        <v>0.0</v>
      </c>
      <c r="AF102" s="155">
        <v>0.0</v>
      </c>
      <c r="AG102" s="303">
        <f t="shared" si="24"/>
        <v>0</v>
      </c>
    </row>
    <row r="103" outlineLevel="1">
      <c r="A103" s="215" t="s">
        <v>692</v>
      </c>
      <c r="B103" s="155">
        <v>0.0</v>
      </c>
      <c r="C103" s="155">
        <v>0.0</v>
      </c>
      <c r="D103" s="155">
        <v>0.0</v>
      </c>
      <c r="E103" s="155">
        <v>0.0</v>
      </c>
      <c r="F103" s="155">
        <v>0.0</v>
      </c>
      <c r="G103" s="155">
        <v>0.0</v>
      </c>
      <c r="H103" s="155">
        <v>0.0</v>
      </c>
      <c r="I103" s="155">
        <v>0.0</v>
      </c>
      <c r="J103" s="155">
        <v>0.0</v>
      </c>
      <c r="K103" s="155">
        <v>0.0</v>
      </c>
      <c r="L103" s="155">
        <v>0.0</v>
      </c>
      <c r="M103" s="155">
        <v>0.0</v>
      </c>
      <c r="N103" s="155">
        <v>0.0</v>
      </c>
      <c r="O103" s="155">
        <v>0.0</v>
      </c>
      <c r="P103" s="155">
        <v>0.0</v>
      </c>
      <c r="Q103" s="155">
        <v>0.0</v>
      </c>
      <c r="R103" s="155">
        <v>0.0</v>
      </c>
      <c r="S103" s="155">
        <v>0.0</v>
      </c>
      <c r="T103" s="155">
        <v>0.0</v>
      </c>
      <c r="U103" s="155">
        <v>0.0</v>
      </c>
      <c r="V103" s="155">
        <v>0.0</v>
      </c>
      <c r="W103" s="155">
        <v>0.0</v>
      </c>
      <c r="X103" s="155">
        <v>0.0</v>
      </c>
      <c r="Y103" s="155">
        <v>0.0</v>
      </c>
      <c r="Z103" s="155">
        <v>0.0</v>
      </c>
      <c r="AA103" s="155">
        <v>0.0</v>
      </c>
      <c r="AB103" s="155">
        <v>0.0</v>
      </c>
      <c r="AC103" s="155">
        <v>0.0</v>
      </c>
      <c r="AD103" s="155">
        <v>0.0</v>
      </c>
      <c r="AE103" s="155">
        <v>0.0</v>
      </c>
      <c r="AF103" s="155">
        <v>0.0</v>
      </c>
      <c r="AG103" s="303">
        <f t="shared" si="24"/>
        <v>0</v>
      </c>
    </row>
    <row r="104" outlineLevel="1">
      <c r="A104" s="215" t="s">
        <v>693</v>
      </c>
      <c r="B104" s="155">
        <v>0.0</v>
      </c>
      <c r="C104" s="155">
        <v>0.0</v>
      </c>
      <c r="D104" s="155">
        <v>0.0</v>
      </c>
      <c r="E104" s="155">
        <v>0.0</v>
      </c>
      <c r="F104" s="155">
        <v>0.0</v>
      </c>
      <c r="G104" s="155">
        <v>0.0</v>
      </c>
      <c r="H104" s="155">
        <v>0.0</v>
      </c>
      <c r="I104" s="155">
        <v>0.0</v>
      </c>
      <c r="J104" s="155">
        <v>0.0</v>
      </c>
      <c r="K104" s="155">
        <v>0.0</v>
      </c>
      <c r="L104" s="155">
        <v>0.0</v>
      </c>
      <c r="M104" s="155">
        <v>0.0</v>
      </c>
      <c r="N104" s="155">
        <v>0.0</v>
      </c>
      <c r="O104" s="155">
        <v>0.0</v>
      </c>
      <c r="P104" s="155">
        <v>0.0</v>
      </c>
      <c r="Q104" s="155">
        <v>0.0</v>
      </c>
      <c r="R104" s="155">
        <v>0.0</v>
      </c>
      <c r="S104" s="155">
        <v>0.0</v>
      </c>
      <c r="T104" s="155">
        <v>0.0</v>
      </c>
      <c r="U104" s="155">
        <v>0.0</v>
      </c>
      <c r="V104" s="155">
        <v>0.0</v>
      </c>
      <c r="W104" s="155">
        <v>0.0</v>
      </c>
      <c r="X104" s="155">
        <v>0.0</v>
      </c>
      <c r="Y104" s="155">
        <v>0.0</v>
      </c>
      <c r="Z104" s="155">
        <v>0.0</v>
      </c>
      <c r="AA104" s="155">
        <v>0.0</v>
      </c>
      <c r="AB104" s="155">
        <v>0.0</v>
      </c>
      <c r="AC104" s="155">
        <v>0.0</v>
      </c>
      <c r="AD104" s="155">
        <v>0.0</v>
      </c>
      <c r="AE104" s="155">
        <v>0.0</v>
      </c>
      <c r="AF104" s="155">
        <v>0.0</v>
      </c>
      <c r="AG104" s="303">
        <f t="shared" si="24"/>
        <v>0</v>
      </c>
    </row>
    <row r="105" outlineLevel="1">
      <c r="A105" s="225" t="s">
        <v>141</v>
      </c>
      <c r="B105" s="243">
        <f t="shared" ref="B105:AF105" si="27">SUM(B97:B101)</f>
        <v>0</v>
      </c>
      <c r="C105" s="243">
        <f t="shared" si="27"/>
        <v>0</v>
      </c>
      <c r="D105" s="243">
        <f t="shared" si="27"/>
        <v>0</v>
      </c>
      <c r="E105" s="243">
        <f t="shared" si="27"/>
        <v>0</v>
      </c>
      <c r="F105" s="243">
        <f t="shared" si="27"/>
        <v>0</v>
      </c>
      <c r="G105" s="243">
        <f t="shared" si="27"/>
        <v>0</v>
      </c>
      <c r="H105" s="243">
        <f t="shared" si="27"/>
        <v>0</v>
      </c>
      <c r="I105" s="243">
        <f t="shared" si="27"/>
        <v>0</v>
      </c>
      <c r="J105" s="243">
        <f t="shared" si="27"/>
        <v>0</v>
      </c>
      <c r="K105" s="243">
        <f t="shared" si="27"/>
        <v>0</v>
      </c>
      <c r="L105" s="243">
        <f t="shared" si="27"/>
        <v>0</v>
      </c>
      <c r="M105" s="243">
        <f t="shared" si="27"/>
        <v>0</v>
      </c>
      <c r="N105" s="243">
        <f t="shared" si="27"/>
        <v>0</v>
      </c>
      <c r="O105" s="243">
        <f t="shared" si="27"/>
        <v>0</v>
      </c>
      <c r="P105" s="243">
        <f t="shared" si="27"/>
        <v>0</v>
      </c>
      <c r="Q105" s="243">
        <f t="shared" si="27"/>
        <v>0</v>
      </c>
      <c r="R105" s="243">
        <f t="shared" si="27"/>
        <v>0</v>
      </c>
      <c r="S105" s="243">
        <f t="shared" si="27"/>
        <v>0</v>
      </c>
      <c r="T105" s="243">
        <f t="shared" si="27"/>
        <v>0</v>
      </c>
      <c r="U105" s="243">
        <f t="shared" si="27"/>
        <v>0</v>
      </c>
      <c r="V105" s="243">
        <f t="shared" si="27"/>
        <v>0</v>
      </c>
      <c r="W105" s="243">
        <f t="shared" si="27"/>
        <v>0</v>
      </c>
      <c r="X105" s="243">
        <f t="shared" si="27"/>
        <v>0</v>
      </c>
      <c r="Y105" s="243">
        <f t="shared" si="27"/>
        <v>0</v>
      </c>
      <c r="Z105" s="243">
        <f t="shared" si="27"/>
        <v>0</v>
      </c>
      <c r="AA105" s="243">
        <f t="shared" si="27"/>
        <v>0</v>
      </c>
      <c r="AB105" s="243">
        <f t="shared" si="27"/>
        <v>0</v>
      </c>
      <c r="AC105" s="243">
        <f t="shared" si="27"/>
        <v>0</v>
      </c>
      <c r="AD105" s="243">
        <f t="shared" si="27"/>
        <v>0</v>
      </c>
      <c r="AE105" s="243">
        <f t="shared" si="27"/>
        <v>0</v>
      </c>
      <c r="AF105" s="243">
        <f t="shared" si="27"/>
        <v>0</v>
      </c>
      <c r="AG105" s="303">
        <f t="shared" si="24"/>
        <v>0</v>
      </c>
    </row>
    <row r="106" outlineLevel="1">
      <c r="A106" s="363"/>
      <c r="B106" s="160"/>
      <c r="C106" s="160"/>
      <c r="D106" s="160"/>
      <c r="E106" s="160"/>
      <c r="F106" s="160"/>
      <c r="G106" s="160"/>
      <c r="H106" s="160"/>
      <c r="I106" s="160"/>
      <c r="J106" s="160"/>
      <c r="K106" s="160"/>
      <c r="L106" s="160"/>
      <c r="M106" s="160"/>
      <c r="N106" s="160"/>
      <c r="O106" s="160"/>
      <c r="P106" s="160"/>
      <c r="Q106" s="160"/>
      <c r="R106" s="160"/>
      <c r="S106" s="160"/>
      <c r="T106" s="160"/>
      <c r="U106" s="160"/>
      <c r="V106" s="160"/>
      <c r="W106" s="160"/>
      <c r="X106" s="160"/>
      <c r="Y106" s="160"/>
      <c r="Z106" s="160"/>
      <c r="AA106" s="160"/>
      <c r="AB106" s="160"/>
      <c r="AC106" s="160"/>
      <c r="AD106" s="160"/>
      <c r="AE106" s="160"/>
      <c r="AF106" s="160"/>
      <c r="AG106" s="431"/>
    </row>
    <row r="107" outlineLevel="1">
      <c r="A107" s="225" t="s">
        <v>588</v>
      </c>
      <c r="B107" s="243"/>
      <c r="C107" s="243"/>
      <c r="D107" s="243"/>
      <c r="E107" s="243"/>
      <c r="F107" s="243"/>
      <c r="G107" s="243"/>
      <c r="H107" s="243"/>
      <c r="I107" s="243"/>
      <c r="J107" s="243"/>
      <c r="K107" s="243"/>
      <c r="L107" s="243"/>
      <c r="M107" s="243"/>
      <c r="N107" s="243"/>
      <c r="O107" s="243"/>
      <c r="P107" s="243"/>
      <c r="Q107" s="243"/>
      <c r="R107" s="243"/>
      <c r="S107" s="243"/>
      <c r="T107" s="243"/>
      <c r="U107" s="243"/>
      <c r="V107" s="243"/>
      <c r="W107" s="243"/>
      <c r="X107" s="243"/>
      <c r="Y107" s="243"/>
      <c r="Z107" s="243"/>
      <c r="AA107" s="243"/>
      <c r="AB107" s="243"/>
      <c r="AC107" s="243"/>
      <c r="AD107" s="243"/>
      <c r="AE107" s="243"/>
      <c r="AF107" s="243"/>
      <c r="AG107" s="431"/>
    </row>
    <row r="108" outlineLevel="1">
      <c r="A108" s="215" t="s">
        <v>589</v>
      </c>
      <c r="B108" s="155">
        <v>0.0</v>
      </c>
      <c r="C108" s="155">
        <v>0.0</v>
      </c>
      <c r="D108" s="155">
        <v>0.0</v>
      </c>
      <c r="E108" s="155">
        <v>0.0</v>
      </c>
      <c r="F108" s="155">
        <v>0.0</v>
      </c>
      <c r="G108" s="155">
        <v>0.0</v>
      </c>
      <c r="H108" s="155">
        <v>0.0</v>
      </c>
      <c r="I108" s="155">
        <v>0.0</v>
      </c>
      <c r="J108" s="155">
        <v>0.0</v>
      </c>
      <c r="K108" s="155">
        <v>0.0</v>
      </c>
      <c r="L108" s="155">
        <v>0.0</v>
      </c>
      <c r="M108" s="155">
        <v>0.0</v>
      </c>
      <c r="N108" s="155">
        <v>0.0</v>
      </c>
      <c r="O108" s="155">
        <v>0.0</v>
      </c>
      <c r="P108" s="155">
        <v>0.0</v>
      </c>
      <c r="Q108" s="155">
        <v>0.0</v>
      </c>
      <c r="R108" s="155">
        <v>0.0</v>
      </c>
      <c r="S108" s="155">
        <v>0.0</v>
      </c>
      <c r="T108" s="155">
        <v>0.0</v>
      </c>
      <c r="U108" s="155">
        <v>0.0</v>
      </c>
      <c r="V108" s="155">
        <v>0.0</v>
      </c>
      <c r="W108" s="155">
        <v>0.0</v>
      </c>
      <c r="X108" s="155">
        <v>0.0</v>
      </c>
      <c r="Y108" s="155">
        <v>0.0</v>
      </c>
      <c r="Z108" s="155">
        <v>0.0</v>
      </c>
      <c r="AA108" s="155">
        <v>0.0</v>
      </c>
      <c r="AB108" s="155">
        <v>0.0</v>
      </c>
      <c r="AC108" s="155">
        <v>0.0</v>
      </c>
      <c r="AD108" s="155">
        <v>0.0</v>
      </c>
      <c r="AE108" s="155">
        <v>0.0</v>
      </c>
      <c r="AF108" s="155">
        <v>0.0</v>
      </c>
      <c r="AG108" s="303">
        <f t="shared" ref="AG108:AG110" si="28">SUM(B108:AF108)</f>
        <v>0</v>
      </c>
    </row>
    <row r="109" outlineLevel="1">
      <c r="A109" s="215" t="s">
        <v>590</v>
      </c>
      <c r="B109" s="155">
        <v>0.0</v>
      </c>
      <c r="C109" s="155">
        <v>0.0</v>
      </c>
      <c r="D109" s="155">
        <v>0.0</v>
      </c>
      <c r="E109" s="155">
        <v>0.0</v>
      </c>
      <c r="F109" s="155">
        <v>0.0</v>
      </c>
      <c r="G109" s="155">
        <v>0.0</v>
      </c>
      <c r="H109" s="155">
        <v>0.0</v>
      </c>
      <c r="I109" s="155">
        <v>0.0</v>
      </c>
      <c r="J109" s="155">
        <v>0.0</v>
      </c>
      <c r="K109" s="155">
        <v>0.0</v>
      </c>
      <c r="L109" s="155">
        <v>0.0</v>
      </c>
      <c r="M109" s="155">
        <v>0.0</v>
      </c>
      <c r="N109" s="155">
        <v>0.0</v>
      </c>
      <c r="O109" s="155">
        <v>0.0</v>
      </c>
      <c r="P109" s="155">
        <v>0.0</v>
      </c>
      <c r="Q109" s="155">
        <v>0.0</v>
      </c>
      <c r="R109" s="155">
        <v>0.0</v>
      </c>
      <c r="S109" s="155">
        <v>0.0</v>
      </c>
      <c r="T109" s="155">
        <v>0.0</v>
      </c>
      <c r="U109" s="155">
        <v>0.0</v>
      </c>
      <c r="V109" s="155">
        <v>0.0</v>
      </c>
      <c r="W109" s="155">
        <v>0.0</v>
      </c>
      <c r="X109" s="155">
        <v>0.0</v>
      </c>
      <c r="Y109" s="155">
        <v>0.0</v>
      </c>
      <c r="Z109" s="155">
        <v>0.0</v>
      </c>
      <c r="AA109" s="155">
        <v>0.0</v>
      </c>
      <c r="AB109" s="155">
        <v>0.0</v>
      </c>
      <c r="AC109" s="155">
        <v>0.0</v>
      </c>
      <c r="AD109" s="155">
        <v>0.0</v>
      </c>
      <c r="AE109" s="155">
        <v>0.0</v>
      </c>
      <c r="AF109" s="155">
        <v>0.0</v>
      </c>
      <c r="AG109" s="303">
        <f t="shared" si="28"/>
        <v>0</v>
      </c>
    </row>
    <row r="110" outlineLevel="1">
      <c r="A110" s="215" t="s">
        <v>591</v>
      </c>
      <c r="B110" s="155">
        <v>0.0</v>
      </c>
      <c r="C110" s="155">
        <v>0.0</v>
      </c>
      <c r="D110" s="155">
        <v>0.0</v>
      </c>
      <c r="E110" s="155">
        <v>0.0</v>
      </c>
      <c r="F110" s="155">
        <v>0.0</v>
      </c>
      <c r="G110" s="155">
        <v>0.0</v>
      </c>
      <c r="H110" s="155">
        <v>0.0</v>
      </c>
      <c r="I110" s="155">
        <v>1.0</v>
      </c>
      <c r="J110" s="155">
        <v>0.0</v>
      </c>
      <c r="K110" s="155">
        <v>0.0</v>
      </c>
      <c r="L110" s="155">
        <v>0.0</v>
      </c>
      <c r="M110" s="155">
        <v>0.0</v>
      </c>
      <c r="N110" s="155">
        <v>0.0</v>
      </c>
      <c r="O110" s="155">
        <v>0.0</v>
      </c>
      <c r="P110" s="155">
        <v>0.0</v>
      </c>
      <c r="Q110" s="155">
        <v>0.0</v>
      </c>
      <c r="R110" s="155">
        <v>0.0</v>
      </c>
      <c r="S110" s="155">
        <v>0.0</v>
      </c>
      <c r="T110" s="155">
        <v>0.0</v>
      </c>
      <c r="U110" s="155">
        <v>0.0</v>
      </c>
      <c r="V110" s="155">
        <v>0.0</v>
      </c>
      <c r="W110" s="155">
        <v>0.0</v>
      </c>
      <c r="X110" s="155">
        <v>0.0</v>
      </c>
      <c r="Y110" s="155">
        <v>0.0</v>
      </c>
      <c r="Z110" s="155">
        <v>0.0</v>
      </c>
      <c r="AA110" s="155">
        <v>0.0</v>
      </c>
      <c r="AB110" s="155">
        <v>0.0</v>
      </c>
      <c r="AC110" s="155">
        <v>0.0</v>
      </c>
      <c r="AD110" s="155">
        <v>0.0</v>
      </c>
      <c r="AE110" s="155">
        <v>0.0</v>
      </c>
      <c r="AF110" s="155">
        <v>0.0</v>
      </c>
      <c r="AG110" s="303">
        <f t="shared" si="28"/>
        <v>1</v>
      </c>
    </row>
    <row r="111" outlineLevel="1">
      <c r="A111" s="364"/>
      <c r="B111" s="160"/>
      <c r="C111" s="160"/>
      <c r="D111" s="160"/>
      <c r="E111" s="160"/>
      <c r="F111" s="160"/>
      <c r="G111" s="160"/>
      <c r="H111" s="160"/>
      <c r="I111" s="160"/>
      <c r="J111" s="160"/>
      <c r="K111" s="160"/>
      <c r="L111" s="160"/>
      <c r="M111" s="160"/>
      <c r="N111" s="160"/>
      <c r="O111" s="160"/>
      <c r="P111" s="160"/>
      <c r="Q111" s="160"/>
      <c r="R111" s="160"/>
      <c r="S111" s="160"/>
      <c r="T111" s="160"/>
      <c r="U111" s="160"/>
      <c r="V111" s="160"/>
      <c r="W111" s="160"/>
      <c r="X111" s="160"/>
      <c r="Y111" s="160"/>
      <c r="Z111" s="160"/>
      <c r="AA111" s="160"/>
      <c r="AB111" s="160"/>
      <c r="AC111" s="160"/>
      <c r="AD111" s="160"/>
      <c r="AE111" s="160"/>
      <c r="AF111" s="160"/>
      <c r="AG111" s="431"/>
    </row>
    <row r="112" outlineLevel="1">
      <c r="A112" s="365" t="s">
        <v>592</v>
      </c>
      <c r="B112" s="243">
        <v>0.0</v>
      </c>
      <c r="C112" s="243">
        <v>0.0</v>
      </c>
      <c r="D112" s="243">
        <v>0.0</v>
      </c>
      <c r="E112" s="243">
        <v>0.0</v>
      </c>
      <c r="F112" s="243">
        <v>0.0</v>
      </c>
      <c r="G112" s="243">
        <v>0.0</v>
      </c>
      <c r="H112" s="243">
        <v>0.0</v>
      </c>
      <c r="I112" s="243">
        <v>1.0</v>
      </c>
      <c r="J112" s="243">
        <v>0.0</v>
      </c>
      <c r="K112" s="243">
        <v>0.0</v>
      </c>
      <c r="L112" s="243">
        <v>0.0</v>
      </c>
      <c r="M112" s="243">
        <v>0.0</v>
      </c>
      <c r="N112" s="243">
        <v>0.0</v>
      </c>
      <c r="O112" s="243">
        <v>0.0</v>
      </c>
      <c r="P112" s="243">
        <v>0.0</v>
      </c>
      <c r="Q112" s="243">
        <v>0.0</v>
      </c>
      <c r="R112" s="243">
        <v>0.0</v>
      </c>
      <c r="S112" s="243">
        <v>0.0</v>
      </c>
      <c r="T112" s="243">
        <v>0.0</v>
      </c>
      <c r="U112" s="243">
        <v>0.0</v>
      </c>
      <c r="V112" s="243">
        <v>0.0</v>
      </c>
      <c r="W112" s="243">
        <v>0.0</v>
      </c>
      <c r="X112" s="243">
        <v>0.0</v>
      </c>
      <c r="Y112" s="243">
        <v>0.0</v>
      </c>
      <c r="Z112" s="243">
        <v>0.0</v>
      </c>
      <c r="AA112" s="243">
        <v>0.0</v>
      </c>
      <c r="AB112" s="243">
        <v>0.0</v>
      </c>
      <c r="AC112" s="243">
        <v>0.0</v>
      </c>
      <c r="AD112" s="243">
        <v>0.0</v>
      </c>
      <c r="AE112" s="243">
        <v>0.0</v>
      </c>
      <c r="AF112" s="243">
        <v>0.0</v>
      </c>
      <c r="AG112" s="303">
        <f>SUM(B112:AF112)</f>
        <v>1</v>
      </c>
    </row>
    <row r="113">
      <c r="A113" s="166"/>
      <c r="B113" s="177"/>
      <c r="C113" s="177"/>
      <c r="D113" s="177"/>
      <c r="E113" s="177"/>
      <c r="F113" s="177"/>
      <c r="G113" s="177"/>
      <c r="H113" s="292"/>
      <c r="I113" s="177"/>
      <c r="J113" s="177"/>
      <c r="K113" s="177"/>
      <c r="L113" s="177"/>
      <c r="M113" s="177"/>
      <c r="N113" s="177"/>
      <c r="O113" s="177"/>
      <c r="P113" s="177"/>
      <c r="Q113" s="177"/>
      <c r="R113" s="177"/>
      <c r="S113" s="177"/>
      <c r="T113" s="177"/>
      <c r="U113" s="83"/>
      <c r="V113" s="177"/>
      <c r="W113" s="177"/>
      <c r="X113" s="154"/>
      <c r="Y113" s="177"/>
      <c r="Z113" s="177"/>
      <c r="AA113" s="177"/>
      <c r="AB113" s="177"/>
      <c r="AC113" s="177"/>
      <c r="AD113" s="177"/>
      <c r="AE113" s="177"/>
      <c r="AF113" s="177"/>
      <c r="AG113" s="431"/>
    </row>
    <row r="114">
      <c r="A114" s="166"/>
      <c r="B114" s="177"/>
      <c r="C114" s="177"/>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c r="AA114" s="177"/>
      <c r="AB114" s="177"/>
      <c r="AC114" s="177"/>
      <c r="AD114" s="177"/>
      <c r="AE114" s="177"/>
      <c r="AF114" s="177"/>
      <c r="AG114" s="431"/>
    </row>
    <row r="115" ht="28.5" customHeight="1">
      <c r="A115" s="412" t="s">
        <v>694</v>
      </c>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c r="AA115" s="146"/>
      <c r="AB115" s="146"/>
      <c r="AC115" s="146"/>
      <c r="AD115" s="146"/>
      <c r="AE115" s="146"/>
      <c r="AF115" s="146"/>
      <c r="AG115" s="413"/>
    </row>
    <row r="116">
      <c r="A116" s="133" t="s">
        <v>89</v>
      </c>
      <c r="B116" s="134">
        <f>Summary!B27</f>
        <v>0</v>
      </c>
      <c r="C116" s="134">
        <f>Summary!C27</f>
        <v>317.3586</v>
      </c>
      <c r="D116" s="134">
        <f>Summary!D27</f>
        <v>0</v>
      </c>
      <c r="E116" s="134">
        <f>Summary!E27</f>
        <v>0</v>
      </c>
      <c r="F116" s="134">
        <f>Summary!F27</f>
        <v>0</v>
      </c>
      <c r="G116" s="134">
        <f>Summary!G27</f>
        <v>0</v>
      </c>
      <c r="H116" s="134">
        <f>Summary!H27</f>
        <v>0</v>
      </c>
      <c r="I116" s="134">
        <f>Summary!I27</f>
        <v>0</v>
      </c>
      <c r="J116" s="134">
        <f>Summary!J27</f>
        <v>0</v>
      </c>
      <c r="K116" s="134">
        <f>Summary!K27</f>
        <v>0</v>
      </c>
      <c r="L116" s="134">
        <f>Summary!L27</f>
        <v>0</v>
      </c>
      <c r="M116" s="134">
        <f>Summary!M27</f>
        <v>0</v>
      </c>
      <c r="N116" s="134">
        <f>Summary!N27</f>
        <v>0</v>
      </c>
      <c r="O116" s="134">
        <f>Summary!O27</f>
        <v>0</v>
      </c>
      <c r="P116" s="134">
        <f>Summary!P27</f>
        <v>0</v>
      </c>
      <c r="Q116" s="134">
        <f>Summary!Q27</f>
        <v>0</v>
      </c>
      <c r="R116" s="134">
        <f>Summary!R27</f>
        <v>0</v>
      </c>
      <c r="S116" s="134">
        <f>Summary!S27</f>
        <v>0</v>
      </c>
      <c r="T116" s="134">
        <f>Summary!T27</f>
        <v>0</v>
      </c>
      <c r="U116" s="134">
        <f>Summary!U27</f>
        <v>0</v>
      </c>
      <c r="V116" s="134">
        <f>Summary!V27</f>
        <v>0</v>
      </c>
      <c r="W116" s="134">
        <f>Summary!W27</f>
        <v>0</v>
      </c>
      <c r="X116" s="134">
        <f>Summary!X27</f>
        <v>0</v>
      </c>
      <c r="Y116" s="134">
        <f>Summary!Y27</f>
        <v>0</v>
      </c>
      <c r="Z116" s="134">
        <f>Summary!Z27</f>
        <v>0</v>
      </c>
      <c r="AA116" s="134">
        <f>Summary!AA27</f>
        <v>0</v>
      </c>
      <c r="AB116" s="134">
        <f>Summary!AB27</f>
        <v>0</v>
      </c>
      <c r="AC116" s="134">
        <f>Summary!AC27</f>
        <v>0</v>
      </c>
      <c r="AD116" s="134">
        <f>Summary!AD27</f>
        <v>0</v>
      </c>
      <c r="AE116" s="134">
        <f>Summary!AE27</f>
        <v>0</v>
      </c>
      <c r="AF116" s="134">
        <f>Summary!AF27</f>
        <v>0</v>
      </c>
      <c r="AG116" s="303">
        <f>SUM(B116:AF116)</f>
        <v>317.3586</v>
      </c>
    </row>
    <row r="117" outlineLevel="1">
      <c r="A117" s="414" t="s">
        <v>121</v>
      </c>
      <c r="B117" s="415"/>
      <c r="C117" s="415"/>
      <c r="D117" s="415"/>
      <c r="E117" s="415"/>
      <c r="F117" s="415"/>
      <c r="G117" s="415"/>
      <c r="H117" s="415"/>
      <c r="I117" s="415"/>
      <c r="J117" s="415"/>
      <c r="K117" s="415"/>
      <c r="L117" s="415"/>
      <c r="M117" s="415"/>
      <c r="N117" s="415"/>
      <c r="O117" s="415"/>
      <c r="P117" s="415"/>
      <c r="Q117" s="415"/>
      <c r="R117" s="415"/>
      <c r="S117" s="415"/>
      <c r="T117" s="415"/>
      <c r="U117" s="415"/>
      <c r="V117" s="415"/>
      <c r="W117" s="415"/>
      <c r="X117" s="415"/>
      <c r="Y117" s="415"/>
      <c r="Z117" s="415"/>
      <c r="AA117" s="415"/>
      <c r="AB117" s="415"/>
      <c r="AC117" s="415"/>
      <c r="AD117" s="415"/>
      <c r="AE117" s="415"/>
      <c r="AF117" s="415"/>
      <c r="AG117" s="413"/>
    </row>
    <row r="118" outlineLevel="1">
      <c r="A118" s="416" t="s">
        <v>41</v>
      </c>
      <c r="B118" s="134">
        <f>Summary!B29</f>
        <v>0</v>
      </c>
      <c r="C118" s="134">
        <f>Summary!C29</f>
        <v>18.3586</v>
      </c>
      <c r="D118" s="134">
        <f>Summary!D29</f>
        <v>0</v>
      </c>
      <c r="E118" s="134">
        <f>Summary!E29</f>
        <v>0</v>
      </c>
      <c r="F118" s="134">
        <f>Summary!F29</f>
        <v>0</v>
      </c>
      <c r="G118" s="134">
        <f>Summary!G29</f>
        <v>0</v>
      </c>
      <c r="H118" s="134">
        <f>Summary!H29</f>
        <v>0</v>
      </c>
      <c r="I118" s="134">
        <f>Summary!I29</f>
        <v>0</v>
      </c>
      <c r="J118" s="134">
        <f>Summary!J29</f>
        <v>0</v>
      </c>
      <c r="K118" s="134">
        <f>Summary!K29</f>
        <v>0</v>
      </c>
      <c r="L118" s="134">
        <f>Summary!L29</f>
        <v>0</v>
      </c>
      <c r="M118" s="134">
        <f>Summary!M29</f>
        <v>0</v>
      </c>
      <c r="N118" s="134">
        <f>Summary!N29</f>
        <v>0</v>
      </c>
      <c r="O118" s="134">
        <f>Summary!O29</f>
        <v>0</v>
      </c>
      <c r="P118" s="134">
        <f>Summary!P29</f>
        <v>0</v>
      </c>
      <c r="Q118" s="134">
        <f>Summary!Q29</f>
        <v>0</v>
      </c>
      <c r="R118" s="134">
        <f>Summary!R29</f>
        <v>0</v>
      </c>
      <c r="S118" s="134">
        <f>Summary!S29</f>
        <v>0</v>
      </c>
      <c r="T118" s="134">
        <f>Summary!T29</f>
        <v>0</v>
      </c>
      <c r="U118" s="134">
        <f>Summary!U29</f>
        <v>0</v>
      </c>
      <c r="V118" s="134">
        <f>Summary!V29</f>
        <v>0</v>
      </c>
      <c r="W118" s="134">
        <f>Summary!W29</f>
        <v>0</v>
      </c>
      <c r="X118" s="134">
        <f>Summary!X29</f>
        <v>0</v>
      </c>
      <c r="Y118" s="134">
        <f>Summary!Y29</f>
        <v>0</v>
      </c>
      <c r="Z118" s="134">
        <f>Summary!Z29</f>
        <v>0</v>
      </c>
      <c r="AA118" s="134">
        <f>Summary!AA29</f>
        <v>0</v>
      </c>
      <c r="AB118" s="134">
        <f>Summary!AB29</f>
        <v>0</v>
      </c>
      <c r="AC118" s="134">
        <f>Summary!AC29</f>
        <v>0</v>
      </c>
      <c r="AD118" s="134">
        <f>Summary!AD29</f>
        <v>0</v>
      </c>
      <c r="AE118" s="134">
        <f>Summary!AE29</f>
        <v>0</v>
      </c>
      <c r="AF118" s="134">
        <f>Summary!AF29</f>
        <v>0</v>
      </c>
      <c r="AG118" s="303">
        <f t="shared" ref="AG118:AG120" si="29">SUM(B118:AF118)</f>
        <v>18.3586</v>
      </c>
    </row>
    <row r="119" outlineLevel="1">
      <c r="A119" s="416" t="s">
        <v>640</v>
      </c>
      <c r="B119" s="134" t="str">
        <f>Summary!B30</f>
        <v/>
      </c>
      <c r="C119" s="134" t="str">
        <f>Summary!C30</f>
        <v/>
      </c>
      <c r="D119" s="134" t="str">
        <f>Summary!D30</f>
        <v/>
      </c>
      <c r="E119" s="134" t="str">
        <f>Summary!E30</f>
        <v/>
      </c>
      <c r="F119" s="134" t="str">
        <f>Summary!F30</f>
        <v/>
      </c>
      <c r="G119" s="134" t="str">
        <f>Summary!G30</f>
        <v/>
      </c>
      <c r="H119" s="134" t="str">
        <f>Summary!H30</f>
        <v/>
      </c>
      <c r="I119" s="134" t="str">
        <f>Summary!I30</f>
        <v/>
      </c>
      <c r="J119" s="134" t="str">
        <f>Summary!J30</f>
        <v/>
      </c>
      <c r="K119" s="134" t="str">
        <f>Summary!K30</f>
        <v/>
      </c>
      <c r="L119" s="134" t="str">
        <f>Summary!L30</f>
        <v/>
      </c>
      <c r="M119" s="134" t="str">
        <f>Summary!M30</f>
        <v/>
      </c>
      <c r="N119" s="134" t="str">
        <f>Summary!N30</f>
        <v/>
      </c>
      <c r="O119" s="134" t="str">
        <f>Summary!O30</f>
        <v/>
      </c>
      <c r="P119" s="134" t="str">
        <f>Summary!P30</f>
        <v/>
      </c>
      <c r="Q119" s="134" t="str">
        <f>Summary!Q30</f>
        <v/>
      </c>
      <c r="R119" s="134" t="str">
        <f>Summary!R30</f>
        <v/>
      </c>
      <c r="S119" s="134" t="str">
        <f>Summary!S30</f>
        <v/>
      </c>
      <c r="T119" s="134" t="str">
        <f>Summary!T30</f>
        <v/>
      </c>
      <c r="U119" s="134" t="str">
        <f>Summary!U30</f>
        <v/>
      </c>
      <c r="V119" s="134" t="str">
        <f>Summary!V30</f>
        <v/>
      </c>
      <c r="W119" s="134" t="str">
        <f>Summary!W30</f>
        <v/>
      </c>
      <c r="X119" s="134" t="str">
        <f>Summary!X30</f>
        <v/>
      </c>
      <c r="Y119" s="134" t="str">
        <f>Summary!Y30</f>
        <v/>
      </c>
      <c r="Z119" s="134" t="str">
        <f>Summary!Z30</f>
        <v/>
      </c>
      <c r="AA119" s="134" t="str">
        <f>Summary!AA30</f>
        <v/>
      </c>
      <c r="AB119" s="134" t="str">
        <f>Summary!AB30</f>
        <v/>
      </c>
      <c r="AC119" s="134" t="str">
        <f>Summary!AC30</f>
        <v/>
      </c>
      <c r="AD119" s="134" t="str">
        <f>Summary!AD30</f>
        <v/>
      </c>
      <c r="AE119" s="134"/>
      <c r="AF119" s="134"/>
      <c r="AG119" s="303">
        <f t="shared" si="29"/>
        <v>0</v>
      </c>
    </row>
    <row r="120">
      <c r="A120" s="133" t="s">
        <v>96</v>
      </c>
      <c r="B120" s="141">
        <f>Summary!B63</f>
        <v>0</v>
      </c>
      <c r="C120" s="141">
        <f>Summary!C63</f>
        <v>1</v>
      </c>
      <c r="D120" s="141">
        <f>Summary!D63</f>
        <v>0</v>
      </c>
      <c r="E120" s="141">
        <f>Summary!E63</f>
        <v>0</v>
      </c>
      <c r="F120" s="141">
        <f>Summary!F63</f>
        <v>0</v>
      </c>
      <c r="G120" s="141">
        <f>Summary!G63</f>
        <v>0</v>
      </c>
      <c r="H120" s="141">
        <f>Summary!H63</f>
        <v>0</v>
      </c>
      <c r="I120" s="141">
        <f>Summary!I63</f>
        <v>0</v>
      </c>
      <c r="J120" s="141">
        <f>Summary!J63</f>
        <v>0</v>
      </c>
      <c r="K120" s="141">
        <f>Summary!K63</f>
        <v>0</v>
      </c>
      <c r="L120" s="141">
        <f>Summary!L63</f>
        <v>0</v>
      </c>
      <c r="M120" s="141">
        <f>Summary!M63</f>
        <v>0</v>
      </c>
      <c r="N120" s="141">
        <f>Summary!N63</f>
        <v>0</v>
      </c>
      <c r="O120" s="141">
        <f>Summary!O63</f>
        <v>0</v>
      </c>
      <c r="P120" s="141">
        <f>Summary!P63</f>
        <v>0</v>
      </c>
      <c r="Q120" s="141">
        <f>Summary!Q63</f>
        <v>0</v>
      </c>
      <c r="R120" s="141">
        <f>Summary!R63</f>
        <v>0</v>
      </c>
      <c r="S120" s="141">
        <f>Summary!S63</f>
        <v>0</v>
      </c>
      <c r="T120" s="141">
        <f>Summary!T63</f>
        <v>0</v>
      </c>
      <c r="U120" s="141">
        <f>Summary!U63</f>
        <v>0</v>
      </c>
      <c r="V120" s="141">
        <f>Summary!V63</f>
        <v>0</v>
      </c>
      <c r="W120" s="141">
        <f>Summary!W63</f>
        <v>0</v>
      </c>
      <c r="X120" s="141">
        <f>Summary!X63</f>
        <v>0</v>
      </c>
      <c r="Y120" s="141">
        <f>Summary!Y63</f>
        <v>0</v>
      </c>
      <c r="Z120" s="141">
        <f>Summary!Z63</f>
        <v>0</v>
      </c>
      <c r="AA120" s="141">
        <f>Summary!AA63</f>
        <v>0</v>
      </c>
      <c r="AB120" s="141">
        <f>Summary!AB63</f>
        <v>0</v>
      </c>
      <c r="AC120" s="141">
        <f>Summary!AC63</f>
        <v>0</v>
      </c>
      <c r="AD120" s="141">
        <f>Summary!AD63</f>
        <v>0</v>
      </c>
      <c r="AE120" s="141">
        <f>Summary!AE63</f>
        <v>0</v>
      </c>
      <c r="AF120" s="141">
        <f>Summary!AF63</f>
        <v>0</v>
      </c>
      <c r="AG120" s="303">
        <f t="shared" si="29"/>
        <v>1</v>
      </c>
    </row>
    <row r="121">
      <c r="A121" s="98"/>
      <c r="B121" s="83"/>
      <c r="C121" s="83"/>
      <c r="D121" s="83"/>
      <c r="E121" s="83"/>
      <c r="F121" s="83"/>
      <c r="G121" s="83"/>
      <c r="H121" s="83"/>
      <c r="I121" s="83"/>
      <c r="J121" s="83"/>
      <c r="K121" s="83"/>
      <c r="L121" s="83"/>
      <c r="M121" s="83"/>
      <c r="N121" s="83"/>
      <c r="O121" s="83"/>
      <c r="P121" s="83"/>
      <c r="Q121" s="83"/>
      <c r="R121" s="83"/>
      <c r="S121" s="83"/>
      <c r="T121" s="83"/>
      <c r="U121" s="83"/>
      <c r="V121" s="83"/>
      <c r="W121" s="83"/>
      <c r="X121" s="83"/>
      <c r="Y121" s="83"/>
      <c r="Z121" s="83"/>
      <c r="AA121" s="83"/>
      <c r="AB121" s="83"/>
      <c r="AC121" s="83"/>
      <c r="AD121" s="83"/>
      <c r="AE121" s="83"/>
      <c r="AF121" s="83"/>
      <c r="AG121" s="413"/>
    </row>
    <row r="122">
      <c r="A122" s="215" t="s">
        <v>695</v>
      </c>
      <c r="B122" s="203">
        <f>Summary!B86</f>
        <v>0</v>
      </c>
      <c r="C122" s="203">
        <f>Summary!C86</f>
        <v>47.60379</v>
      </c>
      <c r="D122" s="203">
        <f>Summary!D86</f>
        <v>0</v>
      </c>
      <c r="E122" s="203">
        <f>Summary!E86</f>
        <v>0</v>
      </c>
      <c r="F122" s="203">
        <f>Summary!F86</f>
        <v>0</v>
      </c>
      <c r="G122" s="203">
        <f>Summary!G86</f>
        <v>0</v>
      </c>
      <c r="H122" s="203">
        <f>Summary!H86</f>
        <v>0</v>
      </c>
      <c r="I122" s="203">
        <f>Summary!I86</f>
        <v>0</v>
      </c>
      <c r="J122" s="203">
        <f>Summary!J86</f>
        <v>0</v>
      </c>
      <c r="K122" s="203">
        <f>Summary!K86</f>
        <v>0</v>
      </c>
      <c r="L122" s="203">
        <f>Summary!L86</f>
        <v>0</v>
      </c>
      <c r="M122" s="203">
        <f>Summary!M86</f>
        <v>0</v>
      </c>
      <c r="N122" s="203">
        <f>Summary!N86</f>
        <v>0</v>
      </c>
      <c r="O122" s="203">
        <f>Summary!O86</f>
        <v>0</v>
      </c>
      <c r="P122" s="203">
        <f>Summary!P86</f>
        <v>0</v>
      </c>
      <c r="Q122" s="203">
        <f>Summary!Q86</f>
        <v>0</v>
      </c>
      <c r="R122" s="203">
        <f>Summary!R86</f>
        <v>0</v>
      </c>
      <c r="S122" s="203">
        <f>Summary!S86</f>
        <v>0</v>
      </c>
      <c r="T122" s="203">
        <f>Summary!T86</f>
        <v>0</v>
      </c>
      <c r="U122" s="203">
        <f>Summary!U86</f>
        <v>0</v>
      </c>
      <c r="V122" s="203">
        <f>Summary!V86</f>
        <v>0</v>
      </c>
      <c r="W122" s="203">
        <f>Summary!W86</f>
        <v>0</v>
      </c>
      <c r="X122" s="203">
        <f>Summary!X86</f>
        <v>0</v>
      </c>
      <c r="Y122" s="203">
        <f>Summary!Y86</f>
        <v>0</v>
      </c>
      <c r="Z122" s="203">
        <f>Summary!Z86</f>
        <v>0</v>
      </c>
      <c r="AA122" s="203">
        <f>Summary!AA86</f>
        <v>0</v>
      </c>
      <c r="AB122" s="203">
        <f>Summary!AB86</f>
        <v>0</v>
      </c>
      <c r="AC122" s="203">
        <f>Summary!AC86</f>
        <v>0</v>
      </c>
      <c r="AD122" s="203">
        <f>Summary!AD86</f>
        <v>0</v>
      </c>
      <c r="AE122" s="203">
        <f>Summary!AE86</f>
        <v>0</v>
      </c>
      <c r="AF122" s="203">
        <f>Summary!AF86</f>
        <v>0</v>
      </c>
      <c r="AG122" s="303">
        <f>SUM(B122:AF122)</f>
        <v>47.60379</v>
      </c>
    </row>
    <row r="123">
      <c r="A123" s="98"/>
      <c r="B123" s="83"/>
      <c r="C123" s="83"/>
      <c r="D123" s="83"/>
      <c r="E123" s="83"/>
      <c r="F123" s="83"/>
      <c r="G123" s="83"/>
      <c r="H123" s="83"/>
      <c r="I123" s="83"/>
      <c r="J123" s="83"/>
      <c r="K123" s="83"/>
      <c r="L123" s="83"/>
      <c r="M123" s="83"/>
      <c r="N123" s="83"/>
      <c r="O123" s="83"/>
      <c r="P123" s="83"/>
      <c r="Q123" s="83"/>
      <c r="R123" s="83"/>
      <c r="S123" s="83"/>
      <c r="T123" s="83"/>
      <c r="U123" s="83"/>
      <c r="V123" s="83"/>
      <c r="W123" s="83"/>
      <c r="X123" s="83"/>
      <c r="Y123" s="83"/>
      <c r="Z123" s="83"/>
      <c r="AA123" s="83"/>
      <c r="AB123" s="83"/>
      <c r="AC123" s="83"/>
      <c r="AD123" s="83"/>
      <c r="AE123" s="83"/>
      <c r="AF123" s="83"/>
      <c r="AG123" s="417"/>
    </row>
    <row r="124">
      <c r="A124" s="138" t="s">
        <v>696</v>
      </c>
      <c r="B124" s="155"/>
      <c r="C124" s="83"/>
      <c r="D124" s="83"/>
      <c r="E124" s="83"/>
      <c r="F124" s="83"/>
      <c r="G124" s="83"/>
      <c r="H124" s="83"/>
      <c r="I124" s="83"/>
      <c r="J124" s="83"/>
      <c r="K124" s="83"/>
      <c r="L124" s="83"/>
      <c r="M124" s="83"/>
      <c r="N124" s="83"/>
      <c r="O124" s="83"/>
      <c r="P124" s="83"/>
      <c r="Q124" s="83"/>
      <c r="R124" s="83"/>
      <c r="S124" s="83"/>
      <c r="T124" s="83"/>
      <c r="U124" s="83"/>
      <c r="V124" s="83"/>
      <c r="W124" s="83"/>
      <c r="X124" s="83"/>
      <c r="Y124" s="83"/>
      <c r="Z124" s="83"/>
      <c r="AA124" s="83"/>
      <c r="AB124" s="83"/>
      <c r="AC124" s="83"/>
      <c r="AD124" s="83"/>
      <c r="AE124" s="83"/>
      <c r="AF124" s="83"/>
      <c r="AG124" s="413"/>
    </row>
    <row r="125">
      <c r="A125" s="153" t="s">
        <v>697</v>
      </c>
      <c r="B125" s="155">
        <v>0.0</v>
      </c>
      <c r="C125" s="155">
        <v>0.0</v>
      </c>
      <c r="D125" s="155">
        <v>0.0</v>
      </c>
      <c r="E125" s="155">
        <v>0.0</v>
      </c>
      <c r="F125" s="155">
        <v>0.0</v>
      </c>
      <c r="G125" s="155">
        <v>0.0</v>
      </c>
      <c r="H125" s="155">
        <v>0.0</v>
      </c>
      <c r="I125" s="155">
        <v>0.0</v>
      </c>
      <c r="J125" s="155">
        <v>0.0</v>
      </c>
      <c r="K125" s="155">
        <v>0.0</v>
      </c>
      <c r="L125" s="155">
        <v>0.0</v>
      </c>
      <c r="M125" s="155">
        <v>0.0</v>
      </c>
      <c r="N125" s="155">
        <v>0.0</v>
      </c>
      <c r="O125" s="155">
        <v>0.0</v>
      </c>
      <c r="P125" s="155">
        <v>0.0</v>
      </c>
      <c r="Q125" s="155">
        <v>0.0</v>
      </c>
      <c r="R125" s="155">
        <v>0.0</v>
      </c>
      <c r="S125" s="155">
        <v>0.0</v>
      </c>
      <c r="T125" s="155">
        <v>0.0</v>
      </c>
      <c r="U125" s="155">
        <v>0.0</v>
      </c>
      <c r="V125" s="141">
        <v>0.0</v>
      </c>
      <c r="W125" s="141">
        <v>0.0</v>
      </c>
      <c r="X125" s="141">
        <v>0.0</v>
      </c>
      <c r="Y125" s="141">
        <v>0.0</v>
      </c>
      <c r="Z125" s="141">
        <v>0.0</v>
      </c>
      <c r="AA125" s="141">
        <v>0.0</v>
      </c>
      <c r="AB125" s="141">
        <v>0.0</v>
      </c>
      <c r="AC125" s="141">
        <v>0.0</v>
      </c>
      <c r="AD125" s="141">
        <v>0.0</v>
      </c>
      <c r="AE125" s="141">
        <v>0.0</v>
      </c>
      <c r="AF125" s="141">
        <v>0.0</v>
      </c>
      <c r="AG125" s="312">
        <f t="shared" ref="AG125:AG129" si="30">SUM(B125:AF125)</f>
        <v>0</v>
      </c>
    </row>
    <row r="126">
      <c r="A126" s="153" t="s">
        <v>698</v>
      </c>
      <c r="B126" s="155">
        <v>0.0</v>
      </c>
      <c r="C126" s="155">
        <v>0.0</v>
      </c>
      <c r="D126" s="155">
        <v>0.0</v>
      </c>
      <c r="E126" s="155">
        <v>0.0</v>
      </c>
      <c r="F126" s="155">
        <v>0.0</v>
      </c>
      <c r="G126" s="155">
        <v>0.0</v>
      </c>
      <c r="H126" s="155">
        <v>0.0</v>
      </c>
      <c r="I126" s="155">
        <v>0.0</v>
      </c>
      <c r="J126" s="155">
        <v>0.0</v>
      </c>
      <c r="K126" s="155">
        <v>0.0</v>
      </c>
      <c r="L126" s="155">
        <v>0.0</v>
      </c>
      <c r="M126" s="155">
        <v>0.0</v>
      </c>
      <c r="N126" s="155">
        <v>0.0</v>
      </c>
      <c r="O126" s="155">
        <v>0.0</v>
      </c>
      <c r="P126" s="155">
        <v>0.0</v>
      </c>
      <c r="Q126" s="155">
        <v>0.0</v>
      </c>
      <c r="R126" s="155">
        <v>0.0</v>
      </c>
      <c r="S126" s="155">
        <v>0.0</v>
      </c>
      <c r="T126" s="155">
        <v>0.0</v>
      </c>
      <c r="U126" s="155">
        <v>0.0</v>
      </c>
      <c r="V126" s="141">
        <v>0.0</v>
      </c>
      <c r="W126" s="141">
        <v>0.0</v>
      </c>
      <c r="X126" s="141">
        <v>0.0</v>
      </c>
      <c r="Y126" s="141">
        <v>0.0</v>
      </c>
      <c r="Z126" s="141">
        <v>0.0</v>
      </c>
      <c r="AA126" s="141">
        <v>0.0</v>
      </c>
      <c r="AB126" s="141">
        <v>0.0</v>
      </c>
      <c r="AC126" s="141">
        <v>0.0</v>
      </c>
      <c r="AD126" s="141">
        <v>0.0</v>
      </c>
      <c r="AE126" s="141">
        <v>0.0</v>
      </c>
      <c r="AF126" s="141">
        <v>0.0</v>
      </c>
      <c r="AG126" s="312">
        <f t="shared" si="30"/>
        <v>0</v>
      </c>
    </row>
    <row r="127">
      <c r="A127" s="153" t="s">
        <v>699</v>
      </c>
      <c r="B127" s="155">
        <v>0.0</v>
      </c>
      <c r="C127" s="155">
        <v>0.0</v>
      </c>
      <c r="D127" s="155">
        <v>0.0</v>
      </c>
      <c r="E127" s="155">
        <v>0.0</v>
      </c>
      <c r="F127" s="155">
        <v>0.0</v>
      </c>
      <c r="G127" s="155">
        <v>0.0</v>
      </c>
      <c r="H127" s="155">
        <v>0.0</v>
      </c>
      <c r="I127" s="155">
        <v>0.0</v>
      </c>
      <c r="J127" s="155">
        <v>0.0</v>
      </c>
      <c r="K127" s="155">
        <v>0.0</v>
      </c>
      <c r="L127" s="155">
        <v>1.0</v>
      </c>
      <c r="M127" s="155">
        <v>0.0</v>
      </c>
      <c r="N127" s="155">
        <v>0.0</v>
      </c>
      <c r="O127" s="155">
        <v>0.0</v>
      </c>
      <c r="P127" s="155">
        <v>0.0</v>
      </c>
      <c r="Q127" s="155">
        <v>0.0</v>
      </c>
      <c r="R127" s="155">
        <v>0.0</v>
      </c>
      <c r="S127" s="155">
        <v>0.0</v>
      </c>
      <c r="T127" s="155">
        <v>0.0</v>
      </c>
      <c r="U127" s="155">
        <v>0.0</v>
      </c>
      <c r="V127" s="141">
        <v>0.0</v>
      </c>
      <c r="W127" s="141">
        <v>0.0</v>
      </c>
      <c r="X127" s="141">
        <v>0.0</v>
      </c>
      <c r="Y127" s="141">
        <v>0.0</v>
      </c>
      <c r="Z127" s="141">
        <v>0.0</v>
      </c>
      <c r="AA127" s="141">
        <v>0.0</v>
      </c>
      <c r="AB127" s="155">
        <v>0.0</v>
      </c>
      <c r="AC127" s="155">
        <v>0.0</v>
      </c>
      <c r="AD127" s="155">
        <v>0.0</v>
      </c>
      <c r="AE127" s="155">
        <v>0.0</v>
      </c>
      <c r="AF127" s="155">
        <v>0.0</v>
      </c>
      <c r="AG127" s="312">
        <f t="shared" si="30"/>
        <v>1</v>
      </c>
    </row>
    <row r="128">
      <c r="A128" s="153" t="s">
        <v>700</v>
      </c>
      <c r="B128" s="155">
        <v>0.0</v>
      </c>
      <c r="C128" s="155">
        <v>1.0</v>
      </c>
      <c r="D128" s="155">
        <v>0.0</v>
      </c>
      <c r="E128" s="155">
        <v>0.0</v>
      </c>
      <c r="F128" s="155">
        <v>0.0</v>
      </c>
      <c r="G128" s="155">
        <v>0.0</v>
      </c>
      <c r="H128" s="155">
        <v>0.0</v>
      </c>
      <c r="I128" s="155">
        <v>0.0</v>
      </c>
      <c r="J128" s="155">
        <v>0.0</v>
      </c>
      <c r="K128" s="155">
        <v>0.0</v>
      </c>
      <c r="L128" s="155">
        <v>0.0</v>
      </c>
      <c r="M128" s="155">
        <v>0.0</v>
      </c>
      <c r="N128" s="155">
        <v>0.0</v>
      </c>
      <c r="O128" s="155">
        <v>0.0</v>
      </c>
      <c r="P128" s="155">
        <v>0.0</v>
      </c>
      <c r="Q128" s="155">
        <v>0.0</v>
      </c>
      <c r="R128" s="155">
        <v>0.0</v>
      </c>
      <c r="S128" s="155">
        <v>0.0</v>
      </c>
      <c r="T128" s="155">
        <v>0.0</v>
      </c>
      <c r="U128" s="155">
        <v>0.0</v>
      </c>
      <c r="V128" s="141">
        <v>0.0</v>
      </c>
      <c r="W128" s="141">
        <v>0.0</v>
      </c>
      <c r="X128" s="141">
        <v>0.0</v>
      </c>
      <c r="Y128" s="141">
        <v>0.0</v>
      </c>
      <c r="Z128" s="141">
        <v>0.0</v>
      </c>
      <c r="AA128" s="141">
        <v>0.0</v>
      </c>
      <c r="AB128" s="141">
        <v>0.0</v>
      </c>
      <c r="AC128" s="141">
        <v>0.0</v>
      </c>
      <c r="AD128" s="141">
        <v>0.0</v>
      </c>
      <c r="AE128" s="141">
        <v>0.0</v>
      </c>
      <c r="AF128" s="141">
        <v>0.0</v>
      </c>
      <c r="AG128" s="312">
        <f t="shared" si="30"/>
        <v>1</v>
      </c>
    </row>
    <row r="129">
      <c r="A129" s="158" t="s">
        <v>127</v>
      </c>
      <c r="B129" s="315">
        <f t="shared" ref="B129:AF129" si="31">SUM(B125:B128)</f>
        <v>0</v>
      </c>
      <c r="C129" s="315">
        <f t="shared" si="31"/>
        <v>1</v>
      </c>
      <c r="D129" s="315">
        <f t="shared" si="31"/>
        <v>0</v>
      </c>
      <c r="E129" s="315">
        <f t="shared" si="31"/>
        <v>0</v>
      </c>
      <c r="F129" s="315">
        <f t="shared" si="31"/>
        <v>0</v>
      </c>
      <c r="G129" s="315">
        <f t="shared" si="31"/>
        <v>0</v>
      </c>
      <c r="H129" s="315">
        <f t="shared" si="31"/>
        <v>0</v>
      </c>
      <c r="I129" s="315">
        <f t="shared" si="31"/>
        <v>0</v>
      </c>
      <c r="J129" s="315">
        <f t="shared" si="31"/>
        <v>0</v>
      </c>
      <c r="K129" s="315">
        <f t="shared" si="31"/>
        <v>0</v>
      </c>
      <c r="L129" s="315">
        <f t="shared" si="31"/>
        <v>1</v>
      </c>
      <c r="M129" s="315">
        <f t="shared" si="31"/>
        <v>0</v>
      </c>
      <c r="N129" s="315">
        <f t="shared" si="31"/>
        <v>0</v>
      </c>
      <c r="O129" s="315">
        <f t="shared" si="31"/>
        <v>0</v>
      </c>
      <c r="P129" s="315">
        <f t="shared" si="31"/>
        <v>0</v>
      </c>
      <c r="Q129" s="315">
        <f t="shared" si="31"/>
        <v>0</v>
      </c>
      <c r="R129" s="315">
        <f t="shared" si="31"/>
        <v>0</v>
      </c>
      <c r="S129" s="315">
        <f t="shared" si="31"/>
        <v>0</v>
      </c>
      <c r="T129" s="315">
        <f t="shared" si="31"/>
        <v>0</v>
      </c>
      <c r="U129" s="315">
        <f t="shared" si="31"/>
        <v>0</v>
      </c>
      <c r="V129" s="315">
        <f t="shared" si="31"/>
        <v>0</v>
      </c>
      <c r="W129" s="315">
        <f t="shared" si="31"/>
        <v>0</v>
      </c>
      <c r="X129" s="315">
        <f t="shared" si="31"/>
        <v>0</v>
      </c>
      <c r="Y129" s="315">
        <f t="shared" si="31"/>
        <v>0</v>
      </c>
      <c r="Z129" s="315">
        <f t="shared" si="31"/>
        <v>0</v>
      </c>
      <c r="AA129" s="315">
        <f t="shared" si="31"/>
        <v>0</v>
      </c>
      <c r="AB129" s="315">
        <f t="shared" si="31"/>
        <v>0</v>
      </c>
      <c r="AC129" s="315">
        <f t="shared" si="31"/>
        <v>0</v>
      </c>
      <c r="AD129" s="315">
        <f t="shared" si="31"/>
        <v>0</v>
      </c>
      <c r="AE129" s="315">
        <f t="shared" si="31"/>
        <v>0</v>
      </c>
      <c r="AF129" s="315">
        <f t="shared" si="31"/>
        <v>0</v>
      </c>
      <c r="AG129" s="312">
        <f t="shared" si="30"/>
        <v>2</v>
      </c>
    </row>
    <row r="130">
      <c r="A130" s="98"/>
      <c r="B130" s="162"/>
      <c r="C130" s="162"/>
      <c r="D130" s="162"/>
      <c r="E130" s="162"/>
      <c r="F130" s="162"/>
      <c r="G130" s="162"/>
      <c r="H130" s="162"/>
      <c r="I130" s="162"/>
      <c r="J130" s="83"/>
      <c r="K130" s="83"/>
      <c r="L130" s="83"/>
      <c r="M130" s="83"/>
      <c r="N130" s="83"/>
      <c r="O130" s="83"/>
      <c r="P130" s="83"/>
      <c r="Q130" s="83"/>
      <c r="R130" s="83"/>
      <c r="S130" s="83"/>
      <c r="T130" s="83"/>
      <c r="U130" s="83"/>
      <c r="V130" s="83"/>
      <c r="W130" s="83"/>
      <c r="X130" s="83"/>
      <c r="Y130" s="83"/>
      <c r="Z130" s="83"/>
      <c r="AA130" s="83"/>
      <c r="AB130" s="83"/>
      <c r="AC130" s="83"/>
      <c r="AD130" s="83"/>
      <c r="AE130" s="83"/>
      <c r="AF130" s="83"/>
      <c r="AG130" s="418"/>
    </row>
    <row r="131">
      <c r="A131" s="153" t="s">
        <v>131</v>
      </c>
      <c r="B131" s="155">
        <v>0.0</v>
      </c>
      <c r="C131" s="155">
        <v>0.0</v>
      </c>
      <c r="D131" s="155">
        <v>0.0</v>
      </c>
      <c r="E131" s="155">
        <v>0.0</v>
      </c>
      <c r="F131" s="155">
        <v>0.0</v>
      </c>
      <c r="G131" s="155">
        <v>0.0</v>
      </c>
      <c r="H131" s="155">
        <v>0.0</v>
      </c>
      <c r="I131" s="155">
        <v>0.0</v>
      </c>
      <c r="J131" s="155">
        <v>0.0</v>
      </c>
      <c r="K131" s="155">
        <v>0.0</v>
      </c>
      <c r="L131" s="155">
        <v>0.0</v>
      </c>
      <c r="M131" s="155">
        <v>0.0</v>
      </c>
      <c r="N131" s="155">
        <v>0.0</v>
      </c>
      <c r="O131" s="155">
        <v>0.0</v>
      </c>
      <c r="P131" s="155">
        <v>0.0</v>
      </c>
      <c r="Q131" s="155">
        <v>0.0</v>
      </c>
      <c r="R131" s="155">
        <v>0.0</v>
      </c>
      <c r="S131" s="155">
        <v>0.0</v>
      </c>
      <c r="T131" s="155">
        <v>0.0</v>
      </c>
      <c r="U131" s="155">
        <v>0.0</v>
      </c>
      <c r="V131" s="155">
        <v>0.0</v>
      </c>
      <c r="W131" s="155">
        <v>0.0</v>
      </c>
      <c r="X131" s="155">
        <v>0.0</v>
      </c>
      <c r="Y131" s="155">
        <v>0.0</v>
      </c>
      <c r="Z131" s="155">
        <v>0.0</v>
      </c>
      <c r="AA131" s="155">
        <v>0.0</v>
      </c>
      <c r="AB131" s="155">
        <v>0.0</v>
      </c>
      <c r="AC131" s="155">
        <v>0.0</v>
      </c>
      <c r="AD131" s="155">
        <v>0.0</v>
      </c>
      <c r="AE131" s="155">
        <v>0.0</v>
      </c>
      <c r="AF131" s="141">
        <v>0.0</v>
      </c>
      <c r="AG131" s="312">
        <f t="shared" ref="AG131:AG139" si="32">SUM(B131:AF131)</f>
        <v>0</v>
      </c>
    </row>
    <row r="132">
      <c r="A132" s="153" t="s">
        <v>132</v>
      </c>
      <c r="B132" s="155">
        <v>0.0</v>
      </c>
      <c r="C132" s="155">
        <v>0.0</v>
      </c>
      <c r="D132" s="155">
        <v>0.0</v>
      </c>
      <c r="E132" s="155">
        <v>0.0</v>
      </c>
      <c r="F132" s="155">
        <v>0.0</v>
      </c>
      <c r="G132" s="155">
        <v>0.0</v>
      </c>
      <c r="H132" s="155">
        <v>0.0</v>
      </c>
      <c r="I132" s="155">
        <v>0.0</v>
      </c>
      <c r="J132" s="155">
        <v>0.0</v>
      </c>
      <c r="K132" s="155">
        <v>0.0</v>
      </c>
      <c r="L132" s="155">
        <v>0.0</v>
      </c>
      <c r="M132" s="155">
        <v>0.0</v>
      </c>
      <c r="N132" s="155">
        <v>0.0</v>
      </c>
      <c r="O132" s="155">
        <v>0.0</v>
      </c>
      <c r="P132" s="155">
        <v>0.0</v>
      </c>
      <c r="Q132" s="155">
        <v>0.0</v>
      </c>
      <c r="R132" s="155">
        <v>0.0</v>
      </c>
      <c r="S132" s="155">
        <v>0.0</v>
      </c>
      <c r="T132" s="155">
        <v>0.0</v>
      </c>
      <c r="U132" s="155">
        <v>0.0</v>
      </c>
      <c r="V132" s="155">
        <v>0.0</v>
      </c>
      <c r="W132" s="155">
        <v>0.0</v>
      </c>
      <c r="X132" s="155">
        <v>0.0</v>
      </c>
      <c r="Y132" s="155">
        <v>0.0</v>
      </c>
      <c r="Z132" s="155">
        <v>0.0</v>
      </c>
      <c r="AA132" s="155">
        <v>0.0</v>
      </c>
      <c r="AB132" s="155">
        <v>0.0</v>
      </c>
      <c r="AC132" s="155">
        <v>0.0</v>
      </c>
      <c r="AD132" s="155">
        <v>0.0</v>
      </c>
      <c r="AE132" s="155">
        <v>0.0</v>
      </c>
      <c r="AF132" s="141">
        <v>0.0</v>
      </c>
      <c r="AG132" s="312">
        <f t="shared" si="32"/>
        <v>0</v>
      </c>
    </row>
    <row r="133">
      <c r="A133" s="153" t="s">
        <v>701</v>
      </c>
      <c r="B133" s="155">
        <v>0.0</v>
      </c>
      <c r="C133" s="155">
        <v>0.0</v>
      </c>
      <c r="D133" s="155">
        <v>0.0</v>
      </c>
      <c r="E133" s="155">
        <v>0.0</v>
      </c>
      <c r="F133" s="155">
        <v>0.0</v>
      </c>
      <c r="G133" s="155">
        <v>0.0</v>
      </c>
      <c r="H133" s="155">
        <v>0.0</v>
      </c>
      <c r="I133" s="155">
        <v>0.0</v>
      </c>
      <c r="J133" s="155">
        <v>0.0</v>
      </c>
      <c r="K133" s="155">
        <v>0.0</v>
      </c>
      <c r="L133" s="155">
        <v>0.0</v>
      </c>
      <c r="M133" s="155">
        <v>0.0</v>
      </c>
      <c r="N133" s="155">
        <v>0.0</v>
      </c>
      <c r="O133" s="155">
        <v>0.0</v>
      </c>
      <c r="P133" s="155">
        <v>0.0</v>
      </c>
      <c r="Q133" s="155">
        <v>0.0</v>
      </c>
      <c r="R133" s="155">
        <v>0.0</v>
      </c>
      <c r="S133" s="155">
        <v>0.0</v>
      </c>
      <c r="T133" s="155">
        <v>0.0</v>
      </c>
      <c r="U133" s="155">
        <v>0.0</v>
      </c>
      <c r="V133" s="155">
        <v>0.0</v>
      </c>
      <c r="W133" s="155">
        <v>0.0</v>
      </c>
      <c r="X133" s="155">
        <v>0.0</v>
      </c>
      <c r="Y133" s="155">
        <v>0.0</v>
      </c>
      <c r="Z133" s="155">
        <v>0.0</v>
      </c>
      <c r="AA133" s="155">
        <v>0.0</v>
      </c>
      <c r="AB133" s="155">
        <v>0.0</v>
      </c>
      <c r="AC133" s="155">
        <v>0.0</v>
      </c>
      <c r="AD133" s="155">
        <v>0.0</v>
      </c>
      <c r="AE133" s="155">
        <v>0.0</v>
      </c>
      <c r="AF133" s="141">
        <v>0.0</v>
      </c>
      <c r="AG133" s="312">
        <f t="shared" si="32"/>
        <v>0</v>
      </c>
    </row>
    <row r="134">
      <c r="A134" s="153" t="s">
        <v>702</v>
      </c>
      <c r="B134" s="154">
        <v>0.0</v>
      </c>
      <c r="C134" s="154">
        <v>0.0</v>
      </c>
      <c r="D134" s="154">
        <v>0.0</v>
      </c>
      <c r="E134" s="154">
        <v>0.0</v>
      </c>
      <c r="F134" s="154">
        <v>0.0</v>
      </c>
      <c r="G134" s="154">
        <v>0.0</v>
      </c>
      <c r="H134" s="154">
        <v>0.0</v>
      </c>
      <c r="I134" s="154">
        <v>0.0</v>
      </c>
      <c r="J134" s="154">
        <v>0.0</v>
      </c>
      <c r="K134" s="154">
        <v>0.0</v>
      </c>
      <c r="L134" s="154">
        <v>0.0</v>
      </c>
      <c r="M134" s="154">
        <v>0.0</v>
      </c>
      <c r="N134" s="154">
        <v>0.0</v>
      </c>
      <c r="O134" s="154">
        <v>0.0</v>
      </c>
      <c r="P134" s="154">
        <v>0.0</v>
      </c>
      <c r="Q134" s="154">
        <v>0.0</v>
      </c>
      <c r="R134" s="154">
        <v>0.0</v>
      </c>
      <c r="S134" s="154">
        <v>0.0</v>
      </c>
      <c r="T134" s="154">
        <v>0.0</v>
      </c>
      <c r="U134" s="154">
        <v>0.0</v>
      </c>
      <c r="V134" s="154">
        <v>0.0</v>
      </c>
      <c r="W134" s="154">
        <v>0.0</v>
      </c>
      <c r="X134" s="154">
        <v>0.0</v>
      </c>
      <c r="Y134" s="154">
        <v>0.0</v>
      </c>
      <c r="Z134" s="154">
        <v>0.0</v>
      </c>
      <c r="AA134" s="154">
        <v>0.0</v>
      </c>
      <c r="AB134" s="154">
        <v>0.0</v>
      </c>
      <c r="AC134" s="154">
        <v>0.0</v>
      </c>
      <c r="AD134" s="154">
        <v>0.0</v>
      </c>
      <c r="AE134" s="154">
        <v>0.0</v>
      </c>
      <c r="AF134" s="141">
        <v>0.0</v>
      </c>
      <c r="AG134" s="312">
        <f t="shared" si="32"/>
        <v>0</v>
      </c>
    </row>
    <row r="135">
      <c r="A135" s="153" t="s">
        <v>703</v>
      </c>
      <c r="B135" s="155">
        <v>0.0</v>
      </c>
      <c r="C135" s="155">
        <v>0.0</v>
      </c>
      <c r="D135" s="155">
        <v>0.0</v>
      </c>
      <c r="E135" s="155">
        <v>0.0</v>
      </c>
      <c r="F135" s="155">
        <v>0.0</v>
      </c>
      <c r="G135" s="155">
        <v>0.0</v>
      </c>
      <c r="H135" s="155">
        <v>0.0</v>
      </c>
      <c r="I135" s="155">
        <v>0.0</v>
      </c>
      <c r="J135" s="155">
        <v>0.0</v>
      </c>
      <c r="K135" s="155">
        <v>0.0</v>
      </c>
      <c r="L135" s="155">
        <v>0.0</v>
      </c>
      <c r="M135" s="155">
        <v>0.0</v>
      </c>
      <c r="N135" s="155">
        <v>0.0</v>
      </c>
      <c r="O135" s="155">
        <v>0.0</v>
      </c>
      <c r="P135" s="155">
        <v>0.0</v>
      </c>
      <c r="Q135" s="155">
        <v>0.0</v>
      </c>
      <c r="R135" s="155">
        <v>0.0</v>
      </c>
      <c r="S135" s="155">
        <v>0.0</v>
      </c>
      <c r="T135" s="155">
        <v>0.0</v>
      </c>
      <c r="U135" s="155">
        <v>0.0</v>
      </c>
      <c r="V135" s="155">
        <v>0.0</v>
      </c>
      <c r="W135" s="155">
        <v>0.0</v>
      </c>
      <c r="X135" s="155">
        <v>0.0</v>
      </c>
      <c r="Y135" s="155">
        <v>0.0</v>
      </c>
      <c r="Z135" s="155">
        <v>0.0</v>
      </c>
      <c r="AA135" s="155">
        <v>0.0</v>
      </c>
      <c r="AB135" s="155">
        <v>0.0</v>
      </c>
      <c r="AC135" s="155">
        <v>0.0</v>
      </c>
      <c r="AD135" s="155">
        <v>0.0</v>
      </c>
      <c r="AE135" s="155">
        <v>0.0</v>
      </c>
      <c r="AF135" s="141">
        <v>0.0</v>
      </c>
      <c r="AG135" s="312">
        <f t="shared" si="32"/>
        <v>0</v>
      </c>
    </row>
    <row r="136">
      <c r="A136" s="153" t="s">
        <v>704</v>
      </c>
      <c r="B136" s="154">
        <v>0.0</v>
      </c>
      <c r="C136" s="154">
        <v>0.0</v>
      </c>
      <c r="D136" s="154">
        <v>0.0</v>
      </c>
      <c r="E136" s="154">
        <v>0.0</v>
      </c>
      <c r="F136" s="154">
        <v>0.0</v>
      </c>
      <c r="G136" s="154">
        <v>0.0</v>
      </c>
      <c r="H136" s="154">
        <v>0.0</v>
      </c>
      <c r="I136" s="154">
        <v>0.0</v>
      </c>
      <c r="J136" s="154">
        <v>0.0</v>
      </c>
      <c r="K136" s="154">
        <v>0.0</v>
      </c>
      <c r="L136" s="154">
        <v>0.0</v>
      </c>
      <c r="M136" s="154">
        <v>0.0</v>
      </c>
      <c r="N136" s="154">
        <v>0.0</v>
      </c>
      <c r="O136" s="154">
        <v>0.0</v>
      </c>
      <c r="P136" s="154">
        <v>0.0</v>
      </c>
      <c r="Q136" s="154">
        <v>0.0</v>
      </c>
      <c r="R136" s="154">
        <v>0.0</v>
      </c>
      <c r="S136" s="154">
        <v>0.0</v>
      </c>
      <c r="T136" s="154">
        <v>0.0</v>
      </c>
      <c r="U136" s="154">
        <v>0.0</v>
      </c>
      <c r="V136" s="154">
        <v>0.0</v>
      </c>
      <c r="W136" s="154">
        <v>0.0</v>
      </c>
      <c r="X136" s="154">
        <v>0.0</v>
      </c>
      <c r="Y136" s="154">
        <v>0.0</v>
      </c>
      <c r="Z136" s="154">
        <v>0.0</v>
      </c>
      <c r="AA136" s="154">
        <v>0.0</v>
      </c>
      <c r="AB136" s="154">
        <v>0.0</v>
      </c>
      <c r="AC136" s="154">
        <v>0.0</v>
      </c>
      <c r="AD136" s="154">
        <v>0.0</v>
      </c>
      <c r="AE136" s="154">
        <v>0.0</v>
      </c>
      <c r="AF136" s="141">
        <v>0.0</v>
      </c>
      <c r="AG136" s="312">
        <f t="shared" si="32"/>
        <v>0</v>
      </c>
    </row>
    <row r="137">
      <c r="A137" s="153" t="s">
        <v>705</v>
      </c>
      <c r="B137" s="155">
        <v>0.0</v>
      </c>
      <c r="C137" s="155">
        <v>0.0</v>
      </c>
      <c r="D137" s="155">
        <v>0.0</v>
      </c>
      <c r="E137" s="155">
        <v>0.0</v>
      </c>
      <c r="F137" s="155">
        <v>0.0</v>
      </c>
      <c r="G137" s="155">
        <v>0.0</v>
      </c>
      <c r="H137" s="155">
        <v>0.0</v>
      </c>
      <c r="I137" s="155">
        <v>0.0</v>
      </c>
      <c r="J137" s="155">
        <v>0.0</v>
      </c>
      <c r="K137" s="155">
        <v>0.0</v>
      </c>
      <c r="L137" s="155">
        <v>0.0</v>
      </c>
      <c r="M137" s="155">
        <v>0.0</v>
      </c>
      <c r="N137" s="155">
        <v>0.0</v>
      </c>
      <c r="O137" s="155">
        <v>0.0</v>
      </c>
      <c r="P137" s="155">
        <v>0.0</v>
      </c>
      <c r="Q137" s="155">
        <v>0.0</v>
      </c>
      <c r="R137" s="155">
        <v>0.0</v>
      </c>
      <c r="S137" s="155">
        <v>0.0</v>
      </c>
      <c r="T137" s="155">
        <v>0.0</v>
      </c>
      <c r="U137" s="155">
        <v>0.0</v>
      </c>
      <c r="V137" s="155">
        <v>0.0</v>
      </c>
      <c r="W137" s="155">
        <v>0.0</v>
      </c>
      <c r="X137" s="155">
        <v>0.0</v>
      </c>
      <c r="Y137" s="155">
        <v>0.0</v>
      </c>
      <c r="Z137" s="155">
        <v>0.0</v>
      </c>
      <c r="AA137" s="155">
        <v>0.0</v>
      </c>
      <c r="AB137" s="155">
        <v>0.0</v>
      </c>
      <c r="AC137" s="155">
        <v>0.0</v>
      </c>
      <c r="AD137" s="155">
        <v>0.0</v>
      </c>
      <c r="AE137" s="155">
        <v>0.0</v>
      </c>
      <c r="AF137" s="141">
        <v>0.0</v>
      </c>
      <c r="AG137" s="312">
        <f t="shared" si="32"/>
        <v>0</v>
      </c>
    </row>
    <row r="138">
      <c r="A138" s="153" t="s">
        <v>706</v>
      </c>
      <c r="B138" s="155">
        <v>0.0</v>
      </c>
      <c r="C138" s="155">
        <v>0.0</v>
      </c>
      <c r="D138" s="155">
        <v>0.0</v>
      </c>
      <c r="E138" s="155">
        <v>0.0</v>
      </c>
      <c r="F138" s="155">
        <v>0.0</v>
      </c>
      <c r="G138" s="155">
        <v>0.0</v>
      </c>
      <c r="H138" s="155">
        <v>0.0</v>
      </c>
      <c r="I138" s="155">
        <v>0.0</v>
      </c>
      <c r="J138" s="155">
        <v>0.0</v>
      </c>
      <c r="K138" s="155">
        <v>0.0</v>
      </c>
      <c r="L138" s="155">
        <v>0.0</v>
      </c>
      <c r="M138" s="155">
        <v>0.0</v>
      </c>
      <c r="N138" s="155">
        <v>0.0</v>
      </c>
      <c r="O138" s="155">
        <v>0.0</v>
      </c>
      <c r="P138" s="155">
        <v>0.0</v>
      </c>
      <c r="Q138" s="155">
        <v>0.0</v>
      </c>
      <c r="R138" s="155">
        <v>0.0</v>
      </c>
      <c r="S138" s="155">
        <v>0.0</v>
      </c>
      <c r="T138" s="155">
        <v>0.0</v>
      </c>
      <c r="U138" s="155">
        <v>0.0</v>
      </c>
      <c r="V138" s="155">
        <v>0.0</v>
      </c>
      <c r="W138" s="155">
        <v>0.0</v>
      </c>
      <c r="X138" s="155">
        <v>0.0</v>
      </c>
      <c r="Y138" s="155">
        <v>0.0</v>
      </c>
      <c r="Z138" s="155">
        <v>0.0</v>
      </c>
      <c r="AA138" s="155">
        <v>0.0</v>
      </c>
      <c r="AB138" s="155">
        <v>0.0</v>
      </c>
      <c r="AC138" s="155">
        <v>0.0</v>
      </c>
      <c r="AD138" s="155">
        <v>0.0</v>
      </c>
      <c r="AE138" s="155">
        <v>0.0</v>
      </c>
      <c r="AF138" s="141">
        <v>0.0</v>
      </c>
      <c r="AG138" s="312">
        <f t="shared" si="32"/>
        <v>0</v>
      </c>
    </row>
    <row r="139">
      <c r="A139" s="391" t="s">
        <v>141</v>
      </c>
      <c r="B139" s="432">
        <f t="shared" ref="B139:AF139" si="33">SUM(B131:B138)</f>
        <v>0</v>
      </c>
      <c r="C139" s="315">
        <f t="shared" si="33"/>
        <v>0</v>
      </c>
      <c r="D139" s="315">
        <f t="shared" si="33"/>
        <v>0</v>
      </c>
      <c r="E139" s="315">
        <f t="shared" si="33"/>
        <v>0</v>
      </c>
      <c r="F139" s="315">
        <f t="shared" si="33"/>
        <v>0</v>
      </c>
      <c r="G139" s="315">
        <f t="shared" si="33"/>
        <v>0</v>
      </c>
      <c r="H139" s="315">
        <f t="shared" si="33"/>
        <v>0</v>
      </c>
      <c r="I139" s="315">
        <f t="shared" si="33"/>
        <v>0</v>
      </c>
      <c r="J139" s="315">
        <f t="shared" si="33"/>
        <v>0</v>
      </c>
      <c r="K139" s="315">
        <f t="shared" si="33"/>
        <v>0</v>
      </c>
      <c r="L139" s="315">
        <f t="shared" si="33"/>
        <v>0</v>
      </c>
      <c r="M139" s="315">
        <f t="shared" si="33"/>
        <v>0</v>
      </c>
      <c r="N139" s="315">
        <f t="shared" si="33"/>
        <v>0</v>
      </c>
      <c r="O139" s="315">
        <f t="shared" si="33"/>
        <v>0</v>
      </c>
      <c r="P139" s="315">
        <f t="shared" si="33"/>
        <v>0</v>
      </c>
      <c r="Q139" s="315">
        <f t="shared" si="33"/>
        <v>0</v>
      </c>
      <c r="R139" s="315">
        <f t="shared" si="33"/>
        <v>0</v>
      </c>
      <c r="S139" s="315">
        <f t="shared" si="33"/>
        <v>0</v>
      </c>
      <c r="T139" s="315">
        <f t="shared" si="33"/>
        <v>0</v>
      </c>
      <c r="U139" s="315">
        <f t="shared" si="33"/>
        <v>0</v>
      </c>
      <c r="V139" s="315">
        <f t="shared" si="33"/>
        <v>0</v>
      </c>
      <c r="W139" s="315">
        <f t="shared" si="33"/>
        <v>0</v>
      </c>
      <c r="X139" s="315">
        <f t="shared" si="33"/>
        <v>0</v>
      </c>
      <c r="Y139" s="315">
        <f t="shared" si="33"/>
        <v>0</v>
      </c>
      <c r="Z139" s="315">
        <f t="shared" si="33"/>
        <v>0</v>
      </c>
      <c r="AA139" s="315">
        <f t="shared" si="33"/>
        <v>0</v>
      </c>
      <c r="AB139" s="315">
        <f t="shared" si="33"/>
        <v>0</v>
      </c>
      <c r="AC139" s="315">
        <f t="shared" si="33"/>
        <v>0</v>
      </c>
      <c r="AD139" s="315">
        <f t="shared" si="33"/>
        <v>0</v>
      </c>
      <c r="AE139" s="315">
        <f t="shared" si="33"/>
        <v>0</v>
      </c>
      <c r="AF139" s="315">
        <f t="shared" si="33"/>
        <v>0</v>
      </c>
      <c r="AG139" s="312">
        <f t="shared" si="32"/>
        <v>0</v>
      </c>
    </row>
    <row r="140">
      <c r="A140" s="98"/>
      <c r="B140" s="127"/>
      <c r="C140" s="127"/>
      <c r="D140" s="127"/>
      <c r="E140" s="127"/>
      <c r="F140" s="127"/>
      <c r="G140" s="127"/>
      <c r="H140" s="127"/>
      <c r="I140" s="83"/>
      <c r="J140" s="83"/>
      <c r="K140" s="83"/>
      <c r="L140" s="83"/>
      <c r="M140" s="83"/>
      <c r="N140" s="83"/>
      <c r="O140" s="83"/>
      <c r="P140" s="83"/>
      <c r="Q140" s="83"/>
      <c r="R140" s="83"/>
      <c r="S140" s="83"/>
      <c r="T140" s="83"/>
      <c r="U140" s="83"/>
      <c r="V140" s="83"/>
      <c r="W140" s="83"/>
      <c r="X140" s="83"/>
      <c r="Y140" s="83"/>
      <c r="Z140" s="83"/>
      <c r="AA140" s="83"/>
      <c r="AB140" s="83"/>
      <c r="AC140" s="83"/>
      <c r="AD140" s="83"/>
      <c r="AE140" s="83"/>
      <c r="AF140" s="83"/>
      <c r="AG140" s="413"/>
    </row>
    <row r="141">
      <c r="A141" s="419" t="s">
        <v>707</v>
      </c>
      <c r="B141" s="420"/>
      <c r="C141" s="420"/>
      <c r="D141" s="420"/>
      <c r="E141" s="420"/>
      <c r="F141" s="420"/>
      <c r="G141" s="420"/>
      <c r="H141" s="420"/>
      <c r="I141" s="420"/>
      <c r="J141" s="420"/>
      <c r="K141" s="420"/>
      <c r="L141" s="420"/>
      <c r="M141" s="420"/>
      <c r="N141" s="420"/>
      <c r="O141" s="420"/>
      <c r="P141" s="420"/>
      <c r="Q141" s="420"/>
      <c r="R141" s="420"/>
      <c r="S141" s="420"/>
      <c r="T141" s="420"/>
      <c r="U141" s="420"/>
      <c r="V141" s="420"/>
      <c r="W141" s="420"/>
      <c r="X141" s="420"/>
      <c r="Y141" s="420"/>
      <c r="Z141" s="420"/>
      <c r="AA141" s="420"/>
      <c r="AB141" s="420"/>
      <c r="AC141" s="420"/>
      <c r="AD141" s="420"/>
      <c r="AE141" s="420"/>
      <c r="AF141" s="420"/>
      <c r="AG141" s="421"/>
    </row>
    <row r="142" outlineLevel="1">
      <c r="A142" s="422"/>
      <c r="AG142" s="421"/>
    </row>
    <row r="143" outlineLevel="1">
      <c r="A143" s="428" t="s">
        <v>708</v>
      </c>
      <c r="B143" s="433"/>
      <c r="C143" s="433"/>
      <c r="D143" s="433"/>
      <c r="E143" s="433"/>
      <c r="F143" s="433"/>
      <c r="G143" s="433"/>
      <c r="H143" s="433"/>
      <c r="I143" s="434"/>
      <c r="J143" s="434"/>
      <c r="K143" s="434"/>
      <c r="L143" s="434"/>
      <c r="M143" s="434"/>
      <c r="N143" s="434"/>
      <c r="O143" s="434"/>
      <c r="P143" s="434"/>
      <c r="Q143" s="434"/>
      <c r="R143" s="434"/>
      <c r="S143" s="434"/>
      <c r="T143" s="434"/>
      <c r="U143" s="434"/>
      <c r="V143" s="434"/>
      <c r="W143" s="434"/>
      <c r="X143" s="434"/>
      <c r="Y143" s="434"/>
      <c r="Z143" s="434"/>
      <c r="AA143" s="434"/>
      <c r="AB143" s="434"/>
      <c r="AC143" s="434"/>
      <c r="AD143" s="434"/>
      <c r="AE143" s="146"/>
      <c r="AF143" s="146"/>
      <c r="AG143" s="423"/>
    </row>
    <row r="144" outlineLevel="1">
      <c r="A144" s="215" t="s">
        <v>709</v>
      </c>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187"/>
      <c r="AF144" s="187"/>
      <c r="AG144" s="303">
        <f t="shared" ref="AG144:AG149" si="34">SUM(B144:AF144)</f>
        <v>0</v>
      </c>
    </row>
    <row r="145" outlineLevel="1">
      <c r="A145" s="215" t="s">
        <v>710</v>
      </c>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187"/>
      <c r="AF145" s="187"/>
      <c r="AG145" s="303">
        <f t="shared" si="34"/>
        <v>0</v>
      </c>
    </row>
    <row r="146" outlineLevel="1">
      <c r="A146" s="215" t="s">
        <v>711</v>
      </c>
      <c r="B146" s="192"/>
      <c r="C146" s="192"/>
      <c r="D146" s="192"/>
      <c r="E146" s="192"/>
      <c r="F146" s="192"/>
      <c r="G146" s="192"/>
      <c r="H146" s="192"/>
      <c r="I146" s="192"/>
      <c r="J146" s="192"/>
      <c r="K146" s="192"/>
      <c r="L146" s="192"/>
      <c r="M146" s="192"/>
      <c r="N146" s="192"/>
      <c r="O146" s="187"/>
      <c r="P146" s="187"/>
      <c r="Q146" s="187"/>
      <c r="R146" s="187"/>
      <c r="S146" s="187"/>
      <c r="T146" s="187"/>
      <c r="U146" s="187"/>
      <c r="V146" s="187"/>
      <c r="W146" s="187"/>
      <c r="X146" s="187"/>
      <c r="Y146" s="187"/>
      <c r="Z146" s="187"/>
      <c r="AA146" s="187"/>
      <c r="AB146" s="187"/>
      <c r="AC146" s="187"/>
      <c r="AD146" s="187"/>
      <c r="AE146" s="187"/>
      <c r="AF146" s="187"/>
      <c r="AG146" s="303">
        <f t="shared" si="34"/>
        <v>0</v>
      </c>
    </row>
    <row r="147" outlineLevel="1">
      <c r="A147" s="215" t="s">
        <v>712</v>
      </c>
      <c r="B147" s="192"/>
      <c r="C147" s="192"/>
      <c r="D147" s="192"/>
      <c r="E147" s="192"/>
      <c r="F147" s="192"/>
      <c r="G147" s="192"/>
      <c r="H147" s="192"/>
      <c r="I147" s="192"/>
      <c r="J147" s="192"/>
      <c r="K147" s="192"/>
      <c r="L147" s="192"/>
      <c r="M147" s="192"/>
      <c r="N147" s="192"/>
      <c r="O147" s="187"/>
      <c r="P147" s="187"/>
      <c r="Q147" s="187"/>
      <c r="R147" s="187"/>
      <c r="S147" s="187"/>
      <c r="T147" s="187"/>
      <c r="U147" s="187"/>
      <c r="V147" s="187"/>
      <c r="W147" s="187"/>
      <c r="X147" s="187"/>
      <c r="Y147" s="187"/>
      <c r="Z147" s="187"/>
      <c r="AA147" s="187"/>
      <c r="AB147" s="187"/>
      <c r="AC147" s="187"/>
      <c r="AD147" s="187"/>
      <c r="AE147" s="187"/>
      <c r="AF147" s="187"/>
      <c r="AG147" s="303">
        <f t="shared" si="34"/>
        <v>0</v>
      </c>
    </row>
    <row r="148" outlineLevel="1">
      <c r="A148" s="223" t="s">
        <v>221</v>
      </c>
      <c r="B148" s="345">
        <f t="shared" ref="B148:AF148" si="35">SUM(B144:B145)</f>
        <v>0</v>
      </c>
      <c r="C148" s="345">
        <f t="shared" si="35"/>
        <v>0</v>
      </c>
      <c r="D148" s="345">
        <f t="shared" si="35"/>
        <v>0</v>
      </c>
      <c r="E148" s="345">
        <f t="shared" si="35"/>
        <v>0</v>
      </c>
      <c r="F148" s="345">
        <f t="shared" si="35"/>
        <v>0</v>
      </c>
      <c r="G148" s="345">
        <f t="shared" si="35"/>
        <v>0</v>
      </c>
      <c r="H148" s="345">
        <f t="shared" si="35"/>
        <v>0</v>
      </c>
      <c r="I148" s="345">
        <f t="shared" si="35"/>
        <v>0</v>
      </c>
      <c r="J148" s="345">
        <f t="shared" si="35"/>
        <v>0</v>
      </c>
      <c r="K148" s="345">
        <f t="shared" si="35"/>
        <v>0</v>
      </c>
      <c r="L148" s="345">
        <f t="shared" si="35"/>
        <v>0</v>
      </c>
      <c r="M148" s="345">
        <f t="shared" si="35"/>
        <v>0</v>
      </c>
      <c r="N148" s="345">
        <f t="shared" si="35"/>
        <v>0</v>
      </c>
      <c r="O148" s="345">
        <f t="shared" si="35"/>
        <v>0</v>
      </c>
      <c r="P148" s="345">
        <f t="shared" si="35"/>
        <v>0</v>
      </c>
      <c r="Q148" s="345">
        <f t="shared" si="35"/>
        <v>0</v>
      </c>
      <c r="R148" s="345">
        <f t="shared" si="35"/>
        <v>0</v>
      </c>
      <c r="S148" s="345">
        <f t="shared" si="35"/>
        <v>0</v>
      </c>
      <c r="T148" s="345">
        <f t="shared" si="35"/>
        <v>0</v>
      </c>
      <c r="U148" s="345">
        <f t="shared" si="35"/>
        <v>0</v>
      </c>
      <c r="V148" s="345">
        <f t="shared" si="35"/>
        <v>0</v>
      </c>
      <c r="W148" s="345">
        <f t="shared" si="35"/>
        <v>0</v>
      </c>
      <c r="X148" s="345">
        <f t="shared" si="35"/>
        <v>0</v>
      </c>
      <c r="Y148" s="345">
        <f t="shared" si="35"/>
        <v>0</v>
      </c>
      <c r="Z148" s="345">
        <f t="shared" si="35"/>
        <v>0</v>
      </c>
      <c r="AA148" s="345">
        <f t="shared" si="35"/>
        <v>0</v>
      </c>
      <c r="AB148" s="345">
        <f t="shared" si="35"/>
        <v>0</v>
      </c>
      <c r="AC148" s="345">
        <f t="shared" si="35"/>
        <v>0</v>
      </c>
      <c r="AD148" s="345">
        <f t="shared" si="35"/>
        <v>0</v>
      </c>
      <c r="AE148" s="345">
        <f t="shared" si="35"/>
        <v>0</v>
      </c>
      <c r="AF148" s="345">
        <f t="shared" si="35"/>
        <v>0</v>
      </c>
      <c r="AG148" s="303">
        <f t="shared" si="34"/>
        <v>0</v>
      </c>
    </row>
    <row r="149" outlineLevel="1">
      <c r="A149" s="223" t="s">
        <v>222</v>
      </c>
      <c r="B149" s="345">
        <f t="shared" ref="B149:AF149" si="36">SUM(B146:B147)</f>
        <v>0</v>
      </c>
      <c r="C149" s="345">
        <f t="shared" si="36"/>
        <v>0</v>
      </c>
      <c r="D149" s="345">
        <f t="shared" si="36"/>
        <v>0</v>
      </c>
      <c r="E149" s="345">
        <f t="shared" si="36"/>
        <v>0</v>
      </c>
      <c r="F149" s="345">
        <f t="shared" si="36"/>
        <v>0</v>
      </c>
      <c r="G149" s="345">
        <f t="shared" si="36"/>
        <v>0</v>
      </c>
      <c r="H149" s="345">
        <f t="shared" si="36"/>
        <v>0</v>
      </c>
      <c r="I149" s="345">
        <f t="shared" si="36"/>
        <v>0</v>
      </c>
      <c r="J149" s="345">
        <f t="shared" si="36"/>
        <v>0</v>
      </c>
      <c r="K149" s="345">
        <f t="shared" si="36"/>
        <v>0</v>
      </c>
      <c r="L149" s="345">
        <f t="shared" si="36"/>
        <v>0</v>
      </c>
      <c r="M149" s="345">
        <f t="shared" si="36"/>
        <v>0</v>
      </c>
      <c r="N149" s="345">
        <f t="shared" si="36"/>
        <v>0</v>
      </c>
      <c r="O149" s="345">
        <f t="shared" si="36"/>
        <v>0</v>
      </c>
      <c r="P149" s="345">
        <f t="shared" si="36"/>
        <v>0</v>
      </c>
      <c r="Q149" s="345">
        <f t="shared" si="36"/>
        <v>0</v>
      </c>
      <c r="R149" s="345">
        <f t="shared" si="36"/>
        <v>0</v>
      </c>
      <c r="S149" s="345">
        <f t="shared" si="36"/>
        <v>0</v>
      </c>
      <c r="T149" s="345">
        <f t="shared" si="36"/>
        <v>0</v>
      </c>
      <c r="U149" s="345">
        <f t="shared" si="36"/>
        <v>0</v>
      </c>
      <c r="V149" s="345">
        <f t="shared" si="36"/>
        <v>0</v>
      </c>
      <c r="W149" s="345">
        <f t="shared" si="36"/>
        <v>0</v>
      </c>
      <c r="X149" s="345">
        <f t="shared" si="36"/>
        <v>0</v>
      </c>
      <c r="Y149" s="345">
        <f t="shared" si="36"/>
        <v>0</v>
      </c>
      <c r="Z149" s="345">
        <f t="shared" si="36"/>
        <v>0</v>
      </c>
      <c r="AA149" s="345">
        <f t="shared" si="36"/>
        <v>0</v>
      </c>
      <c r="AB149" s="345">
        <f t="shared" si="36"/>
        <v>0</v>
      </c>
      <c r="AC149" s="345">
        <f t="shared" si="36"/>
        <v>0</v>
      </c>
      <c r="AD149" s="345">
        <f t="shared" si="36"/>
        <v>0</v>
      </c>
      <c r="AE149" s="345">
        <f t="shared" si="36"/>
        <v>0</v>
      </c>
      <c r="AF149" s="345">
        <f t="shared" si="36"/>
        <v>0</v>
      </c>
      <c r="AG149" s="303">
        <f t="shared" si="34"/>
        <v>0</v>
      </c>
    </row>
    <row r="150" outlineLevel="1">
      <c r="A150" s="98"/>
      <c r="B150" s="325"/>
      <c r="C150" s="325"/>
      <c r="D150" s="325"/>
      <c r="E150" s="325"/>
      <c r="F150" s="325"/>
      <c r="G150" s="325"/>
      <c r="H150" s="325"/>
      <c r="I150" s="193"/>
      <c r="J150" s="193"/>
      <c r="K150" s="193"/>
      <c r="L150" s="193"/>
      <c r="M150" s="193"/>
      <c r="N150" s="193"/>
      <c r="O150" s="193"/>
      <c r="P150" s="193"/>
      <c r="Q150" s="193"/>
      <c r="R150" s="193"/>
      <c r="S150" s="193"/>
      <c r="T150" s="193"/>
      <c r="U150" s="193"/>
      <c r="V150" s="193"/>
      <c r="W150" s="193"/>
      <c r="X150" s="193"/>
      <c r="Y150" s="193"/>
      <c r="Z150" s="193"/>
      <c r="AA150" s="193"/>
      <c r="AB150" s="193"/>
      <c r="AC150" s="193"/>
      <c r="AD150" s="193"/>
      <c r="AE150" s="193"/>
      <c r="AF150" s="193"/>
      <c r="AG150" s="413"/>
    </row>
    <row r="151" outlineLevel="1">
      <c r="A151" s="215" t="s">
        <v>224</v>
      </c>
      <c r="B151" s="187"/>
      <c r="C151" s="187"/>
      <c r="D151" s="187"/>
      <c r="E151" s="187"/>
      <c r="F151" s="187"/>
      <c r="G151" s="187"/>
      <c r="H151" s="187"/>
      <c r="I151" s="187"/>
      <c r="J151" s="187"/>
      <c r="K151" s="187"/>
      <c r="L151" s="187"/>
      <c r="M151" s="187"/>
      <c r="N151" s="187"/>
      <c r="O151" s="187"/>
      <c r="P151" s="187"/>
      <c r="Q151" s="187"/>
      <c r="R151" s="187"/>
      <c r="S151" s="187"/>
      <c r="T151" s="187"/>
      <c r="U151" s="187"/>
      <c r="V151" s="187"/>
      <c r="W151" s="187"/>
      <c r="X151" s="187"/>
      <c r="Y151" s="187"/>
      <c r="Z151" s="187"/>
      <c r="AA151" s="187"/>
      <c r="AB151" s="187"/>
      <c r="AC151" s="187"/>
      <c r="AD151" s="187"/>
      <c r="AE151" s="187"/>
      <c r="AF151" s="187"/>
      <c r="AG151" s="303">
        <f t="shared" ref="AG151:AG159" si="37">SUM(B151:AF151)</f>
        <v>0</v>
      </c>
    </row>
    <row r="152" outlineLevel="1">
      <c r="A152" s="215" t="s">
        <v>225</v>
      </c>
      <c r="B152" s="187"/>
      <c r="C152" s="187"/>
      <c r="D152" s="187"/>
      <c r="E152" s="187"/>
      <c r="F152" s="187"/>
      <c r="G152" s="187"/>
      <c r="H152" s="187"/>
      <c r="I152" s="187"/>
      <c r="J152" s="187"/>
      <c r="K152" s="187"/>
      <c r="L152" s="187"/>
      <c r="M152" s="187"/>
      <c r="N152" s="187"/>
      <c r="O152" s="187"/>
      <c r="P152" s="187"/>
      <c r="Q152" s="187"/>
      <c r="R152" s="187"/>
      <c r="S152" s="187"/>
      <c r="T152" s="187"/>
      <c r="U152" s="187"/>
      <c r="V152" s="187"/>
      <c r="W152" s="187"/>
      <c r="X152" s="187"/>
      <c r="Y152" s="187"/>
      <c r="Z152" s="187"/>
      <c r="AA152" s="187"/>
      <c r="AB152" s="187"/>
      <c r="AC152" s="187"/>
      <c r="AD152" s="187"/>
      <c r="AE152" s="187"/>
      <c r="AF152" s="187"/>
      <c r="AG152" s="303">
        <f t="shared" si="37"/>
        <v>0</v>
      </c>
    </row>
    <row r="153" outlineLevel="1">
      <c r="A153" s="215" t="s">
        <v>713</v>
      </c>
      <c r="B153" s="187"/>
      <c r="C153" s="187"/>
      <c r="D153" s="187"/>
      <c r="E153" s="187"/>
      <c r="F153" s="187"/>
      <c r="G153" s="187"/>
      <c r="H153" s="187"/>
      <c r="I153" s="187"/>
      <c r="J153" s="187"/>
      <c r="K153" s="187"/>
      <c r="L153" s="187"/>
      <c r="M153" s="187"/>
      <c r="N153" s="187"/>
      <c r="O153" s="187"/>
      <c r="P153" s="187"/>
      <c r="Q153" s="187"/>
      <c r="R153" s="187"/>
      <c r="S153" s="187"/>
      <c r="T153" s="187"/>
      <c r="U153" s="187"/>
      <c r="V153" s="187"/>
      <c r="W153" s="187"/>
      <c r="X153" s="187"/>
      <c r="Y153" s="187"/>
      <c r="Z153" s="187"/>
      <c r="AA153" s="187"/>
      <c r="AB153" s="187"/>
      <c r="AC153" s="187"/>
      <c r="AD153" s="187"/>
      <c r="AE153" s="187"/>
      <c r="AF153" s="187"/>
      <c r="AG153" s="303">
        <f t="shared" si="37"/>
        <v>0</v>
      </c>
    </row>
    <row r="154" outlineLevel="1">
      <c r="A154" s="215" t="s">
        <v>714</v>
      </c>
      <c r="B154" s="187"/>
      <c r="C154" s="187"/>
      <c r="D154" s="187"/>
      <c r="E154" s="187"/>
      <c r="F154" s="187"/>
      <c r="G154" s="187"/>
      <c r="H154" s="187"/>
      <c r="I154" s="187"/>
      <c r="J154" s="187"/>
      <c r="K154" s="187"/>
      <c r="L154" s="187"/>
      <c r="M154" s="187"/>
      <c r="N154" s="187"/>
      <c r="O154" s="187"/>
      <c r="P154" s="187"/>
      <c r="Q154" s="187"/>
      <c r="R154" s="187"/>
      <c r="S154" s="187"/>
      <c r="T154" s="187"/>
      <c r="U154" s="187"/>
      <c r="V154" s="187"/>
      <c r="W154" s="187"/>
      <c r="X154" s="187"/>
      <c r="Y154" s="187"/>
      <c r="Z154" s="187"/>
      <c r="AA154" s="187"/>
      <c r="AB154" s="187"/>
      <c r="AC154" s="187"/>
      <c r="AD154" s="187"/>
      <c r="AE154" s="187"/>
      <c r="AF154" s="187"/>
      <c r="AG154" s="303">
        <f t="shared" si="37"/>
        <v>0</v>
      </c>
    </row>
    <row r="155" outlineLevel="1">
      <c r="A155" s="215" t="s">
        <v>715</v>
      </c>
      <c r="B155" s="187"/>
      <c r="C155" s="187"/>
      <c r="D155" s="187"/>
      <c r="E155" s="187"/>
      <c r="F155" s="187"/>
      <c r="G155" s="187"/>
      <c r="H155" s="187"/>
      <c r="I155" s="187"/>
      <c r="J155" s="187"/>
      <c r="K155" s="187"/>
      <c r="L155" s="187"/>
      <c r="M155" s="187"/>
      <c r="N155" s="187"/>
      <c r="O155" s="187"/>
      <c r="P155" s="187"/>
      <c r="Q155" s="187"/>
      <c r="R155" s="187"/>
      <c r="S155" s="187"/>
      <c r="T155" s="187"/>
      <c r="U155" s="187"/>
      <c r="V155" s="187"/>
      <c r="W155" s="187"/>
      <c r="X155" s="187"/>
      <c r="Y155" s="187"/>
      <c r="Z155" s="187"/>
      <c r="AA155" s="187"/>
      <c r="AB155" s="187"/>
      <c r="AC155" s="187"/>
      <c r="AD155" s="187"/>
      <c r="AE155" s="187"/>
      <c r="AF155" s="187"/>
      <c r="AG155" s="303">
        <f t="shared" si="37"/>
        <v>0</v>
      </c>
    </row>
    <row r="156" outlineLevel="1">
      <c r="A156" s="215" t="s">
        <v>716</v>
      </c>
      <c r="B156" s="187"/>
      <c r="C156" s="187"/>
      <c r="D156" s="187"/>
      <c r="E156" s="187"/>
      <c r="F156" s="187"/>
      <c r="G156" s="187"/>
      <c r="H156" s="187"/>
      <c r="I156" s="187"/>
      <c r="J156" s="187"/>
      <c r="K156" s="187"/>
      <c r="L156" s="187"/>
      <c r="M156" s="187"/>
      <c r="N156" s="187"/>
      <c r="O156" s="187"/>
      <c r="P156" s="187"/>
      <c r="Q156" s="187"/>
      <c r="R156" s="187"/>
      <c r="S156" s="187"/>
      <c r="T156" s="187"/>
      <c r="U156" s="187"/>
      <c r="V156" s="187"/>
      <c r="W156" s="187"/>
      <c r="X156" s="187"/>
      <c r="Y156" s="187"/>
      <c r="Z156" s="187"/>
      <c r="AA156" s="187"/>
      <c r="AB156" s="187"/>
      <c r="AC156" s="187"/>
      <c r="AD156" s="187"/>
      <c r="AE156" s="187"/>
      <c r="AF156" s="187"/>
      <c r="AG156" s="303">
        <f t="shared" si="37"/>
        <v>0</v>
      </c>
    </row>
    <row r="157" outlineLevel="1">
      <c r="A157" s="215" t="s">
        <v>717</v>
      </c>
      <c r="B157" s="187"/>
      <c r="C157" s="187"/>
      <c r="D157" s="187"/>
      <c r="E157" s="187"/>
      <c r="F157" s="187"/>
      <c r="G157" s="187"/>
      <c r="H157" s="187"/>
      <c r="I157" s="187"/>
      <c r="J157" s="187"/>
      <c r="K157" s="187"/>
      <c r="L157" s="187"/>
      <c r="M157" s="187"/>
      <c r="N157" s="187"/>
      <c r="O157" s="187"/>
      <c r="P157" s="187"/>
      <c r="Q157" s="187"/>
      <c r="R157" s="187"/>
      <c r="S157" s="187"/>
      <c r="T157" s="187"/>
      <c r="U157" s="187"/>
      <c r="V157" s="187"/>
      <c r="W157" s="187"/>
      <c r="X157" s="187"/>
      <c r="Y157" s="187"/>
      <c r="Z157" s="187"/>
      <c r="AA157" s="187"/>
      <c r="AB157" s="187"/>
      <c r="AC157" s="187"/>
      <c r="AD157" s="187"/>
      <c r="AE157" s="187"/>
      <c r="AF157" s="187"/>
      <c r="AG157" s="303">
        <f t="shared" si="37"/>
        <v>0</v>
      </c>
    </row>
    <row r="158" outlineLevel="1">
      <c r="A158" s="215" t="s">
        <v>718</v>
      </c>
      <c r="B158" s="187"/>
      <c r="C158" s="187"/>
      <c r="D158" s="187"/>
      <c r="E158" s="187"/>
      <c r="F158" s="187"/>
      <c r="G158" s="187"/>
      <c r="H158" s="187"/>
      <c r="I158" s="187"/>
      <c r="J158" s="187"/>
      <c r="K158" s="187"/>
      <c r="L158" s="187"/>
      <c r="M158" s="187"/>
      <c r="N158" s="187"/>
      <c r="O158" s="187"/>
      <c r="P158" s="187"/>
      <c r="Q158" s="187"/>
      <c r="R158" s="187"/>
      <c r="S158" s="187"/>
      <c r="T158" s="187"/>
      <c r="U158" s="187"/>
      <c r="V158" s="187"/>
      <c r="W158" s="187"/>
      <c r="X158" s="187"/>
      <c r="Y158" s="187"/>
      <c r="Z158" s="187"/>
      <c r="AA158" s="187"/>
      <c r="AB158" s="187"/>
      <c r="AC158" s="187"/>
      <c r="AD158" s="187"/>
      <c r="AE158" s="187"/>
      <c r="AF158" s="187"/>
      <c r="AG158" s="303">
        <f t="shared" si="37"/>
        <v>0</v>
      </c>
    </row>
    <row r="159" outlineLevel="1">
      <c r="A159" s="225" t="s">
        <v>141</v>
      </c>
      <c r="B159" s="345">
        <f t="shared" ref="B159:AF159" si="38">SUM(B151:B158)</f>
        <v>0</v>
      </c>
      <c r="C159" s="345">
        <f t="shared" si="38"/>
        <v>0</v>
      </c>
      <c r="D159" s="345">
        <f t="shared" si="38"/>
        <v>0</v>
      </c>
      <c r="E159" s="345">
        <f t="shared" si="38"/>
        <v>0</v>
      </c>
      <c r="F159" s="345">
        <f t="shared" si="38"/>
        <v>0</v>
      </c>
      <c r="G159" s="345">
        <f t="shared" si="38"/>
        <v>0</v>
      </c>
      <c r="H159" s="345">
        <f t="shared" si="38"/>
        <v>0</v>
      </c>
      <c r="I159" s="345">
        <f t="shared" si="38"/>
        <v>0</v>
      </c>
      <c r="J159" s="345">
        <f t="shared" si="38"/>
        <v>0</v>
      </c>
      <c r="K159" s="345">
        <f t="shared" si="38"/>
        <v>0</v>
      </c>
      <c r="L159" s="345">
        <f t="shared" si="38"/>
        <v>0</v>
      </c>
      <c r="M159" s="345">
        <f t="shared" si="38"/>
        <v>0</v>
      </c>
      <c r="N159" s="345">
        <f t="shared" si="38"/>
        <v>0</v>
      </c>
      <c r="O159" s="345">
        <f t="shared" si="38"/>
        <v>0</v>
      </c>
      <c r="P159" s="345">
        <f t="shared" si="38"/>
        <v>0</v>
      </c>
      <c r="Q159" s="345">
        <f t="shared" si="38"/>
        <v>0</v>
      </c>
      <c r="R159" s="345">
        <f t="shared" si="38"/>
        <v>0</v>
      </c>
      <c r="S159" s="345">
        <f t="shared" si="38"/>
        <v>0</v>
      </c>
      <c r="T159" s="345">
        <f t="shared" si="38"/>
        <v>0</v>
      </c>
      <c r="U159" s="345">
        <f t="shared" si="38"/>
        <v>0</v>
      </c>
      <c r="V159" s="345">
        <f t="shared" si="38"/>
        <v>0</v>
      </c>
      <c r="W159" s="345">
        <f t="shared" si="38"/>
        <v>0</v>
      </c>
      <c r="X159" s="345">
        <f t="shared" si="38"/>
        <v>0</v>
      </c>
      <c r="Y159" s="345">
        <f t="shared" si="38"/>
        <v>0</v>
      </c>
      <c r="Z159" s="345">
        <f t="shared" si="38"/>
        <v>0</v>
      </c>
      <c r="AA159" s="345">
        <f t="shared" si="38"/>
        <v>0</v>
      </c>
      <c r="AB159" s="345">
        <f t="shared" si="38"/>
        <v>0</v>
      </c>
      <c r="AC159" s="345">
        <f t="shared" si="38"/>
        <v>0</v>
      </c>
      <c r="AD159" s="345">
        <f t="shared" si="38"/>
        <v>0</v>
      </c>
      <c r="AE159" s="345">
        <f t="shared" si="38"/>
        <v>0</v>
      </c>
      <c r="AF159" s="345">
        <f t="shared" si="38"/>
        <v>0</v>
      </c>
      <c r="AG159" s="303">
        <f t="shared" si="37"/>
        <v>0</v>
      </c>
    </row>
    <row r="160" outlineLevel="1">
      <c r="A160" s="98"/>
      <c r="B160" s="127"/>
      <c r="C160" s="127"/>
      <c r="D160" s="127"/>
      <c r="E160" s="127"/>
      <c r="F160" s="127"/>
      <c r="G160" s="127"/>
      <c r="H160" s="127"/>
      <c r="I160" s="83"/>
      <c r="J160" s="83"/>
      <c r="K160" s="83"/>
      <c r="L160" s="83"/>
      <c r="M160" s="83"/>
      <c r="N160" s="83"/>
      <c r="O160" s="83"/>
      <c r="P160" s="83"/>
      <c r="Q160" s="83"/>
      <c r="R160" s="83"/>
      <c r="S160" s="83"/>
      <c r="T160" s="83"/>
      <c r="U160" s="83"/>
      <c r="V160" s="83"/>
      <c r="W160" s="83"/>
      <c r="X160" s="83"/>
      <c r="Y160" s="83"/>
      <c r="Z160" s="83"/>
      <c r="AA160" s="83"/>
      <c r="AB160" s="83"/>
      <c r="AC160" s="83"/>
      <c r="AD160" s="83"/>
      <c r="AE160" s="83"/>
      <c r="AF160" s="83"/>
      <c r="AG160" s="413"/>
    </row>
    <row r="161" outlineLevel="1">
      <c r="A161" s="138" t="s">
        <v>719</v>
      </c>
      <c r="B161" s="127"/>
      <c r="C161" s="127"/>
      <c r="D161" s="127"/>
      <c r="E161" s="127"/>
      <c r="F161" s="127"/>
      <c r="G161" s="197"/>
      <c r="H161" s="127"/>
      <c r="I161" s="83"/>
      <c r="J161" s="83"/>
      <c r="K161" s="83"/>
      <c r="L161" s="83"/>
      <c r="M161" s="83"/>
      <c r="N161" s="83"/>
      <c r="O161" s="83"/>
      <c r="P161" s="83"/>
      <c r="Q161" s="83"/>
      <c r="R161" s="83"/>
      <c r="S161" s="83"/>
      <c r="T161" s="83"/>
      <c r="U161" s="83"/>
      <c r="V161" s="83"/>
      <c r="W161" s="83"/>
      <c r="X161" s="83"/>
      <c r="Y161" s="83"/>
      <c r="Z161" s="83"/>
      <c r="AA161" s="83"/>
      <c r="AB161" s="83"/>
      <c r="AC161" s="83"/>
      <c r="AD161" s="83"/>
      <c r="AE161" s="83"/>
      <c r="AF161" s="83"/>
      <c r="AG161" s="421"/>
    </row>
    <row r="162" outlineLevel="1">
      <c r="A162" s="215" t="s">
        <v>666</v>
      </c>
      <c r="B162" s="113"/>
      <c r="C162" s="113"/>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303">
        <f t="shared" ref="AG162:AG165" si="39">SUM(B162:AF162)</f>
        <v>0</v>
      </c>
    </row>
    <row r="163" outlineLevel="1">
      <c r="A163" s="215" t="s">
        <v>483</v>
      </c>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303">
        <f t="shared" si="39"/>
        <v>0</v>
      </c>
    </row>
    <row r="164" outlineLevel="1">
      <c r="A164" s="215" t="s">
        <v>667</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303">
        <f t="shared" si="39"/>
        <v>0</v>
      </c>
    </row>
    <row r="165" outlineLevel="1">
      <c r="A165" s="365" t="s">
        <v>668</v>
      </c>
      <c r="B165" s="353">
        <f t="shared" ref="B165:AF165" si="40">SUM(B162:B164)</f>
        <v>0</v>
      </c>
      <c r="C165" s="353">
        <f t="shared" si="40"/>
        <v>0</v>
      </c>
      <c r="D165" s="353">
        <f t="shared" si="40"/>
        <v>0</v>
      </c>
      <c r="E165" s="353">
        <f t="shared" si="40"/>
        <v>0</v>
      </c>
      <c r="F165" s="353">
        <f t="shared" si="40"/>
        <v>0</v>
      </c>
      <c r="G165" s="353">
        <f t="shared" si="40"/>
        <v>0</v>
      </c>
      <c r="H165" s="353">
        <f t="shared" si="40"/>
        <v>0</v>
      </c>
      <c r="I165" s="353">
        <f t="shared" si="40"/>
        <v>0</v>
      </c>
      <c r="J165" s="353">
        <f t="shared" si="40"/>
        <v>0</v>
      </c>
      <c r="K165" s="353">
        <f t="shared" si="40"/>
        <v>0</v>
      </c>
      <c r="L165" s="353">
        <f t="shared" si="40"/>
        <v>0</v>
      </c>
      <c r="M165" s="353">
        <f t="shared" si="40"/>
        <v>0</v>
      </c>
      <c r="N165" s="353">
        <f t="shared" si="40"/>
        <v>0</v>
      </c>
      <c r="O165" s="353">
        <f t="shared" si="40"/>
        <v>0</v>
      </c>
      <c r="P165" s="353">
        <f t="shared" si="40"/>
        <v>0</v>
      </c>
      <c r="Q165" s="353">
        <f t="shared" si="40"/>
        <v>0</v>
      </c>
      <c r="R165" s="353">
        <f t="shared" si="40"/>
        <v>0</v>
      </c>
      <c r="S165" s="353">
        <f t="shared" si="40"/>
        <v>0</v>
      </c>
      <c r="T165" s="353">
        <f t="shared" si="40"/>
        <v>0</v>
      </c>
      <c r="U165" s="353">
        <f t="shared" si="40"/>
        <v>0</v>
      </c>
      <c r="V165" s="353">
        <f t="shared" si="40"/>
        <v>0</v>
      </c>
      <c r="W165" s="353">
        <f t="shared" si="40"/>
        <v>0</v>
      </c>
      <c r="X165" s="353">
        <f t="shared" si="40"/>
        <v>0</v>
      </c>
      <c r="Y165" s="353">
        <f t="shared" si="40"/>
        <v>0</v>
      </c>
      <c r="Z165" s="353">
        <f t="shared" si="40"/>
        <v>0</v>
      </c>
      <c r="AA165" s="353">
        <f t="shared" si="40"/>
        <v>0</v>
      </c>
      <c r="AB165" s="353">
        <f t="shared" si="40"/>
        <v>0</v>
      </c>
      <c r="AC165" s="353">
        <f t="shared" si="40"/>
        <v>0</v>
      </c>
      <c r="AD165" s="353">
        <f t="shared" si="40"/>
        <v>0</v>
      </c>
      <c r="AE165" s="353">
        <f t="shared" si="40"/>
        <v>0</v>
      </c>
      <c r="AF165" s="353">
        <f t="shared" si="40"/>
        <v>0</v>
      </c>
      <c r="AG165" s="303">
        <f t="shared" si="39"/>
        <v>0</v>
      </c>
    </row>
    <row r="166" outlineLevel="1">
      <c r="A166" s="98"/>
      <c r="B166" s="127"/>
      <c r="C166" s="127"/>
      <c r="D166" s="127"/>
      <c r="E166" s="127"/>
      <c r="F166" s="127"/>
      <c r="G166" s="127"/>
      <c r="H166" s="127"/>
      <c r="I166" s="83"/>
      <c r="J166" s="83"/>
      <c r="K166" s="83"/>
      <c r="L166" s="83"/>
      <c r="M166" s="83"/>
      <c r="N166" s="83"/>
      <c r="O166" s="83"/>
      <c r="P166" s="83"/>
      <c r="Q166" s="83"/>
      <c r="R166" s="83"/>
      <c r="S166" s="83"/>
      <c r="T166" s="83"/>
      <c r="U166" s="83"/>
      <c r="V166" s="83"/>
      <c r="W166" s="83"/>
      <c r="X166" s="83"/>
      <c r="Y166" s="83"/>
      <c r="Z166" s="83"/>
      <c r="AA166" s="83"/>
      <c r="AB166" s="83"/>
      <c r="AC166" s="83"/>
      <c r="AD166" s="83"/>
      <c r="AE166" s="83"/>
      <c r="AF166" s="83"/>
      <c r="AG166" s="413"/>
    </row>
    <row r="167" outlineLevel="1">
      <c r="A167" s="435" t="s">
        <v>308</v>
      </c>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303">
        <f t="shared" ref="AG167:AG169" si="41">SUM(B167:AF167)</f>
        <v>0</v>
      </c>
    </row>
    <row r="168" outlineLevel="1">
      <c r="A168" s="425" t="s">
        <v>309</v>
      </c>
      <c r="B168" s="97"/>
      <c r="C168" s="97"/>
      <c r="D168" s="97"/>
      <c r="E168" s="97"/>
      <c r="F168" s="97"/>
      <c r="G168" s="331"/>
      <c r="H168" s="331"/>
      <c r="I168" s="331"/>
      <c r="J168" s="331"/>
      <c r="K168" s="97"/>
      <c r="L168" s="331"/>
      <c r="M168" s="331"/>
      <c r="N168" s="331"/>
      <c r="O168" s="331"/>
      <c r="P168" s="331"/>
      <c r="Q168" s="331"/>
      <c r="R168" s="331"/>
      <c r="S168" s="331"/>
      <c r="T168" s="331"/>
      <c r="U168" s="331"/>
      <c r="V168" s="331"/>
      <c r="W168" s="331"/>
      <c r="X168" s="331"/>
      <c r="Y168" s="331"/>
      <c r="Z168" s="331"/>
      <c r="AA168" s="331"/>
      <c r="AB168" s="331"/>
      <c r="AC168" s="331"/>
      <c r="AD168" s="331"/>
      <c r="AE168" s="331"/>
      <c r="AF168" s="331"/>
      <c r="AG168" s="303">
        <f t="shared" si="41"/>
        <v>0</v>
      </c>
    </row>
    <row r="169" outlineLevel="1">
      <c r="A169" s="426" t="s">
        <v>669</v>
      </c>
      <c r="B169" s="427">
        <f t="shared" ref="B169:AF169" si="42">sum(B167:B168)</f>
        <v>0</v>
      </c>
      <c r="C169" s="427">
        <f t="shared" si="42"/>
        <v>0</v>
      </c>
      <c r="D169" s="427">
        <f t="shared" si="42"/>
        <v>0</v>
      </c>
      <c r="E169" s="427">
        <f t="shared" si="42"/>
        <v>0</v>
      </c>
      <c r="F169" s="427">
        <f t="shared" si="42"/>
        <v>0</v>
      </c>
      <c r="G169" s="427">
        <f t="shared" si="42"/>
        <v>0</v>
      </c>
      <c r="H169" s="427">
        <f t="shared" si="42"/>
        <v>0</v>
      </c>
      <c r="I169" s="427">
        <f t="shared" si="42"/>
        <v>0</v>
      </c>
      <c r="J169" s="427">
        <f t="shared" si="42"/>
        <v>0</v>
      </c>
      <c r="K169" s="427">
        <f t="shared" si="42"/>
        <v>0</v>
      </c>
      <c r="L169" s="427">
        <f t="shared" si="42"/>
        <v>0</v>
      </c>
      <c r="M169" s="427">
        <f t="shared" si="42"/>
        <v>0</v>
      </c>
      <c r="N169" s="427">
        <f t="shared" si="42"/>
        <v>0</v>
      </c>
      <c r="O169" s="427">
        <f t="shared" si="42"/>
        <v>0</v>
      </c>
      <c r="P169" s="427">
        <f t="shared" si="42"/>
        <v>0</v>
      </c>
      <c r="Q169" s="427">
        <f t="shared" si="42"/>
        <v>0</v>
      </c>
      <c r="R169" s="427">
        <f t="shared" si="42"/>
        <v>0</v>
      </c>
      <c r="S169" s="427">
        <f t="shared" si="42"/>
        <v>0</v>
      </c>
      <c r="T169" s="427">
        <f t="shared" si="42"/>
        <v>0</v>
      </c>
      <c r="U169" s="427">
        <f t="shared" si="42"/>
        <v>0</v>
      </c>
      <c r="V169" s="427">
        <f t="shared" si="42"/>
        <v>0</v>
      </c>
      <c r="W169" s="427">
        <f t="shared" si="42"/>
        <v>0</v>
      </c>
      <c r="X169" s="427">
        <f t="shared" si="42"/>
        <v>0</v>
      </c>
      <c r="Y169" s="427">
        <f t="shared" si="42"/>
        <v>0</v>
      </c>
      <c r="Z169" s="427">
        <f t="shared" si="42"/>
        <v>0</v>
      </c>
      <c r="AA169" s="427">
        <f t="shared" si="42"/>
        <v>0</v>
      </c>
      <c r="AB169" s="427">
        <f t="shared" si="42"/>
        <v>0</v>
      </c>
      <c r="AC169" s="427">
        <f t="shared" si="42"/>
        <v>0</v>
      </c>
      <c r="AD169" s="427">
        <f t="shared" si="42"/>
        <v>0</v>
      </c>
      <c r="AE169" s="427">
        <f t="shared" si="42"/>
        <v>0</v>
      </c>
      <c r="AF169" s="427">
        <f t="shared" si="42"/>
        <v>0</v>
      </c>
      <c r="AG169" s="303">
        <f t="shared" si="41"/>
        <v>0</v>
      </c>
    </row>
    <row r="170" outlineLevel="1">
      <c r="A170" s="98"/>
      <c r="B170" s="127"/>
      <c r="C170" s="127"/>
      <c r="D170" s="127"/>
      <c r="E170" s="127"/>
      <c r="F170" s="127"/>
      <c r="G170" s="127"/>
      <c r="H170" s="127"/>
      <c r="I170" s="83"/>
      <c r="J170" s="83"/>
      <c r="K170" s="83"/>
      <c r="L170" s="83"/>
      <c r="M170" s="83"/>
      <c r="N170" s="83"/>
      <c r="O170" s="83"/>
      <c r="P170" s="83"/>
      <c r="Q170" s="83"/>
      <c r="R170" s="83"/>
      <c r="S170" s="83"/>
      <c r="T170" s="83"/>
      <c r="U170" s="83"/>
      <c r="V170" s="83"/>
      <c r="W170" s="83"/>
      <c r="X170" s="83"/>
      <c r="Y170" s="83"/>
      <c r="Z170" s="83"/>
      <c r="AA170" s="83"/>
      <c r="AB170" s="83"/>
      <c r="AC170" s="83"/>
      <c r="AD170" s="83"/>
      <c r="AE170" s="83"/>
      <c r="AF170" s="83"/>
      <c r="AG170" s="413"/>
    </row>
    <row r="171" outlineLevel="1">
      <c r="A171" s="428" t="s">
        <v>720</v>
      </c>
      <c r="B171" s="429"/>
      <c r="C171" s="429"/>
      <c r="D171" s="429"/>
      <c r="E171" s="429"/>
      <c r="F171" s="429"/>
      <c r="G171" s="429"/>
      <c r="H171" s="429"/>
      <c r="I171" s="429"/>
      <c r="J171" s="429"/>
      <c r="K171" s="429"/>
      <c r="L171" s="429"/>
      <c r="M171" s="429"/>
      <c r="N171" s="429"/>
      <c r="O171" s="429"/>
      <c r="P171" s="429"/>
      <c r="Q171" s="429"/>
      <c r="R171" s="429"/>
      <c r="S171" s="429"/>
      <c r="T171" s="430"/>
      <c r="U171" s="430"/>
      <c r="V171" s="430"/>
      <c r="W171" s="430"/>
      <c r="X171" s="430"/>
      <c r="Y171" s="430"/>
      <c r="Z171" s="430"/>
      <c r="AA171" s="430"/>
      <c r="AB171" s="430"/>
      <c r="AC171" s="430"/>
      <c r="AD171" s="430"/>
      <c r="AE171" s="230"/>
      <c r="AF171" s="230"/>
      <c r="AG171" s="423"/>
    </row>
    <row r="172" outlineLevel="1">
      <c r="A172" s="215" t="s">
        <v>721</v>
      </c>
      <c r="B172" s="436"/>
      <c r="C172" s="436"/>
      <c r="D172" s="436"/>
      <c r="E172" s="436"/>
      <c r="F172" s="436"/>
      <c r="G172" s="436"/>
      <c r="H172" s="436"/>
      <c r="I172" s="436"/>
      <c r="J172" s="436"/>
      <c r="K172" s="436"/>
      <c r="L172" s="436"/>
      <c r="M172" s="436"/>
      <c r="N172" s="436"/>
      <c r="O172" s="436"/>
      <c r="P172" s="436"/>
      <c r="Q172" s="436"/>
      <c r="R172" s="436"/>
      <c r="S172" s="436"/>
      <c r="T172" s="436"/>
      <c r="U172" s="436"/>
      <c r="V172" s="436"/>
      <c r="W172" s="436"/>
      <c r="X172" s="436"/>
      <c r="Y172" s="436"/>
      <c r="Z172" s="436"/>
      <c r="AA172" s="436"/>
      <c r="AB172" s="436"/>
      <c r="AC172" s="436"/>
      <c r="AD172" s="436"/>
      <c r="AE172" s="436"/>
      <c r="AF172" s="436"/>
      <c r="AG172" s="303">
        <f t="shared" ref="AG172:AG177" si="43">SUM(B172:AF172)</f>
        <v>0</v>
      </c>
    </row>
    <row r="173" outlineLevel="1">
      <c r="A173" s="215" t="s">
        <v>722</v>
      </c>
      <c r="B173" s="436"/>
      <c r="C173" s="436"/>
      <c r="D173" s="436"/>
      <c r="E173" s="436"/>
      <c r="F173" s="436"/>
      <c r="G173" s="436"/>
      <c r="H173" s="436"/>
      <c r="I173" s="436"/>
      <c r="J173" s="436"/>
      <c r="K173" s="436"/>
      <c r="L173" s="436"/>
      <c r="M173" s="436"/>
      <c r="N173" s="436"/>
      <c r="O173" s="436"/>
      <c r="P173" s="436"/>
      <c r="Q173" s="436"/>
      <c r="R173" s="436"/>
      <c r="S173" s="436"/>
      <c r="T173" s="436"/>
      <c r="U173" s="436"/>
      <c r="V173" s="436"/>
      <c r="W173" s="436"/>
      <c r="X173" s="436"/>
      <c r="Y173" s="436"/>
      <c r="Z173" s="436"/>
      <c r="AA173" s="436"/>
      <c r="AB173" s="436"/>
      <c r="AC173" s="436"/>
      <c r="AD173" s="436"/>
      <c r="AE173" s="436"/>
      <c r="AF173" s="436"/>
      <c r="AG173" s="303">
        <f t="shared" si="43"/>
        <v>0</v>
      </c>
    </row>
    <row r="174" outlineLevel="1">
      <c r="A174" s="215" t="s">
        <v>723</v>
      </c>
      <c r="B174" s="436"/>
      <c r="C174" s="436"/>
      <c r="D174" s="436"/>
      <c r="E174" s="436"/>
      <c r="F174" s="436"/>
      <c r="G174" s="436"/>
      <c r="H174" s="436"/>
      <c r="I174" s="436"/>
      <c r="J174" s="436"/>
      <c r="K174" s="436"/>
      <c r="L174" s="436"/>
      <c r="M174" s="436"/>
      <c r="N174" s="436"/>
      <c r="O174" s="436"/>
      <c r="P174" s="436"/>
      <c r="Q174" s="436"/>
      <c r="R174" s="436"/>
      <c r="S174" s="436"/>
      <c r="T174" s="436"/>
      <c r="U174" s="436"/>
      <c r="V174" s="436"/>
      <c r="W174" s="436"/>
      <c r="X174" s="436"/>
      <c r="Y174" s="436"/>
      <c r="Z174" s="436"/>
      <c r="AA174" s="436"/>
      <c r="AB174" s="436"/>
      <c r="AC174" s="436"/>
      <c r="AD174" s="436"/>
      <c r="AE174" s="436"/>
      <c r="AF174" s="436"/>
      <c r="AG174" s="303">
        <f t="shared" si="43"/>
        <v>0</v>
      </c>
    </row>
    <row r="175" outlineLevel="1">
      <c r="A175" s="215" t="s">
        <v>724</v>
      </c>
      <c r="B175" s="436"/>
      <c r="C175" s="436"/>
      <c r="D175" s="436"/>
      <c r="E175" s="436"/>
      <c r="F175" s="436"/>
      <c r="G175" s="436"/>
      <c r="H175" s="436"/>
      <c r="I175" s="436"/>
      <c r="J175" s="436"/>
      <c r="K175" s="436"/>
      <c r="L175" s="436"/>
      <c r="M175" s="436"/>
      <c r="N175" s="436"/>
      <c r="O175" s="436"/>
      <c r="P175" s="436"/>
      <c r="Q175" s="436"/>
      <c r="R175" s="436"/>
      <c r="S175" s="436"/>
      <c r="T175" s="436"/>
      <c r="U175" s="436"/>
      <c r="V175" s="436"/>
      <c r="W175" s="436"/>
      <c r="X175" s="436"/>
      <c r="Y175" s="436"/>
      <c r="Z175" s="436"/>
      <c r="AA175" s="436"/>
      <c r="AB175" s="436"/>
      <c r="AC175" s="436"/>
      <c r="AD175" s="436"/>
      <c r="AE175" s="436"/>
      <c r="AF175" s="436"/>
      <c r="AG175" s="303">
        <f t="shared" si="43"/>
        <v>0</v>
      </c>
    </row>
    <row r="176" outlineLevel="1">
      <c r="A176" s="223" t="s">
        <v>221</v>
      </c>
      <c r="B176" s="345">
        <f t="shared" ref="B176:AF176" si="44">SUM(B172:B173)</f>
        <v>0</v>
      </c>
      <c r="C176" s="345">
        <f t="shared" si="44"/>
        <v>0</v>
      </c>
      <c r="D176" s="345">
        <f t="shared" si="44"/>
        <v>0</v>
      </c>
      <c r="E176" s="345">
        <f t="shared" si="44"/>
        <v>0</v>
      </c>
      <c r="F176" s="345">
        <f t="shared" si="44"/>
        <v>0</v>
      </c>
      <c r="G176" s="345">
        <f t="shared" si="44"/>
        <v>0</v>
      </c>
      <c r="H176" s="345">
        <f t="shared" si="44"/>
        <v>0</v>
      </c>
      <c r="I176" s="345">
        <f t="shared" si="44"/>
        <v>0</v>
      </c>
      <c r="J176" s="345">
        <f t="shared" si="44"/>
        <v>0</v>
      </c>
      <c r="K176" s="345">
        <f t="shared" si="44"/>
        <v>0</v>
      </c>
      <c r="L176" s="345">
        <f t="shared" si="44"/>
        <v>0</v>
      </c>
      <c r="M176" s="345">
        <f t="shared" si="44"/>
        <v>0</v>
      </c>
      <c r="N176" s="345">
        <f t="shared" si="44"/>
        <v>0</v>
      </c>
      <c r="O176" s="345">
        <f t="shared" si="44"/>
        <v>0</v>
      </c>
      <c r="P176" s="345">
        <f t="shared" si="44"/>
        <v>0</v>
      </c>
      <c r="Q176" s="345">
        <f t="shared" si="44"/>
        <v>0</v>
      </c>
      <c r="R176" s="345">
        <f t="shared" si="44"/>
        <v>0</v>
      </c>
      <c r="S176" s="345">
        <f t="shared" si="44"/>
        <v>0</v>
      </c>
      <c r="T176" s="345">
        <f t="shared" si="44"/>
        <v>0</v>
      </c>
      <c r="U176" s="345">
        <f t="shared" si="44"/>
        <v>0</v>
      </c>
      <c r="V176" s="345">
        <f t="shared" si="44"/>
        <v>0</v>
      </c>
      <c r="W176" s="345">
        <f t="shared" si="44"/>
        <v>0</v>
      </c>
      <c r="X176" s="345">
        <f t="shared" si="44"/>
        <v>0</v>
      </c>
      <c r="Y176" s="345">
        <f t="shared" si="44"/>
        <v>0</v>
      </c>
      <c r="Z176" s="345">
        <f t="shared" si="44"/>
        <v>0</v>
      </c>
      <c r="AA176" s="345">
        <f t="shared" si="44"/>
        <v>0</v>
      </c>
      <c r="AB176" s="345">
        <f t="shared" si="44"/>
        <v>0</v>
      </c>
      <c r="AC176" s="345">
        <f t="shared" si="44"/>
        <v>0</v>
      </c>
      <c r="AD176" s="345">
        <f t="shared" si="44"/>
        <v>0</v>
      </c>
      <c r="AE176" s="345">
        <f t="shared" si="44"/>
        <v>0</v>
      </c>
      <c r="AF176" s="345">
        <f t="shared" si="44"/>
        <v>0</v>
      </c>
      <c r="AG176" s="303">
        <f t="shared" si="43"/>
        <v>0</v>
      </c>
    </row>
    <row r="177" outlineLevel="1">
      <c r="A177" s="223" t="s">
        <v>222</v>
      </c>
      <c r="B177" s="345">
        <f t="shared" ref="B177:AF177" si="45">SUM(B174:B175)</f>
        <v>0</v>
      </c>
      <c r="C177" s="345">
        <f t="shared" si="45"/>
        <v>0</v>
      </c>
      <c r="D177" s="345">
        <f t="shared" si="45"/>
        <v>0</v>
      </c>
      <c r="E177" s="345">
        <f t="shared" si="45"/>
        <v>0</v>
      </c>
      <c r="F177" s="345">
        <f t="shared" si="45"/>
        <v>0</v>
      </c>
      <c r="G177" s="345">
        <f t="shared" si="45"/>
        <v>0</v>
      </c>
      <c r="H177" s="345">
        <f t="shared" si="45"/>
        <v>0</v>
      </c>
      <c r="I177" s="345">
        <f t="shared" si="45"/>
        <v>0</v>
      </c>
      <c r="J177" s="345">
        <f t="shared" si="45"/>
        <v>0</v>
      </c>
      <c r="K177" s="345">
        <f t="shared" si="45"/>
        <v>0</v>
      </c>
      <c r="L177" s="345">
        <f t="shared" si="45"/>
        <v>0</v>
      </c>
      <c r="M177" s="345">
        <f t="shared" si="45"/>
        <v>0</v>
      </c>
      <c r="N177" s="345">
        <f t="shared" si="45"/>
        <v>0</v>
      </c>
      <c r="O177" s="345">
        <f t="shared" si="45"/>
        <v>0</v>
      </c>
      <c r="P177" s="345">
        <f t="shared" si="45"/>
        <v>0</v>
      </c>
      <c r="Q177" s="345">
        <f t="shared" si="45"/>
        <v>0</v>
      </c>
      <c r="R177" s="345">
        <f t="shared" si="45"/>
        <v>0</v>
      </c>
      <c r="S177" s="345">
        <f t="shared" si="45"/>
        <v>0</v>
      </c>
      <c r="T177" s="345">
        <f t="shared" si="45"/>
        <v>0</v>
      </c>
      <c r="U177" s="345">
        <f t="shared" si="45"/>
        <v>0</v>
      </c>
      <c r="V177" s="345">
        <f t="shared" si="45"/>
        <v>0</v>
      </c>
      <c r="W177" s="345">
        <f t="shared" si="45"/>
        <v>0</v>
      </c>
      <c r="X177" s="345">
        <f t="shared" si="45"/>
        <v>0</v>
      </c>
      <c r="Y177" s="345">
        <f t="shared" si="45"/>
        <v>0</v>
      </c>
      <c r="Z177" s="345">
        <f t="shared" si="45"/>
        <v>0</v>
      </c>
      <c r="AA177" s="345">
        <f t="shared" si="45"/>
        <v>0</v>
      </c>
      <c r="AB177" s="345">
        <f t="shared" si="45"/>
        <v>0</v>
      </c>
      <c r="AC177" s="345">
        <f t="shared" si="45"/>
        <v>0</v>
      </c>
      <c r="AD177" s="345">
        <f t="shared" si="45"/>
        <v>0</v>
      </c>
      <c r="AE177" s="345">
        <f t="shared" si="45"/>
        <v>0</v>
      </c>
      <c r="AF177" s="345">
        <f t="shared" si="45"/>
        <v>0</v>
      </c>
      <c r="AG177" s="303">
        <f t="shared" si="43"/>
        <v>0</v>
      </c>
    </row>
    <row r="178" outlineLevel="1">
      <c r="A178" s="98"/>
      <c r="B178" s="177"/>
      <c r="C178" s="177"/>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c r="AA178" s="177"/>
      <c r="AB178" s="177"/>
      <c r="AC178" s="177"/>
      <c r="AD178" s="177"/>
      <c r="AE178" s="177"/>
      <c r="AF178" s="177"/>
      <c r="AG178" s="423"/>
    </row>
    <row r="179" outlineLevel="1">
      <c r="A179" s="215" t="s">
        <v>224</v>
      </c>
      <c r="B179" s="436"/>
      <c r="C179" s="436"/>
      <c r="D179" s="436"/>
      <c r="E179" s="436"/>
      <c r="F179" s="436"/>
      <c r="G179" s="436"/>
      <c r="H179" s="436"/>
      <c r="I179" s="436"/>
      <c r="J179" s="436"/>
      <c r="K179" s="436"/>
      <c r="L179" s="436"/>
      <c r="M179" s="436"/>
      <c r="N179" s="436"/>
      <c r="O179" s="436"/>
      <c r="P179" s="436"/>
      <c r="Q179" s="436"/>
      <c r="R179" s="436"/>
      <c r="S179" s="436"/>
      <c r="T179" s="436"/>
      <c r="U179" s="436"/>
      <c r="V179" s="436"/>
      <c r="W179" s="436"/>
      <c r="X179" s="436"/>
      <c r="Y179" s="436"/>
      <c r="Z179" s="436"/>
      <c r="AA179" s="436"/>
      <c r="AB179" s="436"/>
      <c r="AC179" s="436"/>
      <c r="AD179" s="436"/>
      <c r="AE179" s="436"/>
      <c r="AF179" s="436"/>
      <c r="AG179" s="303">
        <f t="shared" ref="AG179:AG187" si="46">SUM(B179:AF179)</f>
        <v>0</v>
      </c>
    </row>
    <row r="180" outlineLevel="1">
      <c r="A180" s="215" t="s">
        <v>225</v>
      </c>
      <c r="B180" s="436"/>
      <c r="C180" s="436"/>
      <c r="D180" s="436"/>
      <c r="E180" s="436"/>
      <c r="F180" s="436"/>
      <c r="G180" s="436"/>
      <c r="H180" s="436"/>
      <c r="I180" s="436"/>
      <c r="J180" s="436"/>
      <c r="K180" s="436"/>
      <c r="L180" s="436"/>
      <c r="M180" s="436"/>
      <c r="N180" s="436"/>
      <c r="O180" s="436"/>
      <c r="P180" s="436"/>
      <c r="Q180" s="436"/>
      <c r="R180" s="436"/>
      <c r="S180" s="436"/>
      <c r="T180" s="436"/>
      <c r="U180" s="436"/>
      <c r="V180" s="436"/>
      <c r="W180" s="436"/>
      <c r="X180" s="436"/>
      <c r="Y180" s="436"/>
      <c r="Z180" s="436"/>
      <c r="AA180" s="436"/>
      <c r="AB180" s="436"/>
      <c r="AC180" s="436"/>
      <c r="AD180" s="436"/>
      <c r="AE180" s="436"/>
      <c r="AF180" s="436"/>
      <c r="AG180" s="303">
        <f t="shared" si="46"/>
        <v>0</v>
      </c>
    </row>
    <row r="181" outlineLevel="1">
      <c r="A181" s="215" t="s">
        <v>725</v>
      </c>
      <c r="B181" s="436"/>
      <c r="C181" s="436"/>
      <c r="D181" s="436"/>
      <c r="E181" s="436"/>
      <c r="F181" s="436"/>
      <c r="G181" s="436"/>
      <c r="H181" s="436"/>
      <c r="I181" s="436"/>
      <c r="J181" s="436"/>
      <c r="K181" s="436"/>
      <c r="L181" s="436"/>
      <c r="M181" s="436"/>
      <c r="N181" s="436"/>
      <c r="O181" s="436"/>
      <c r="P181" s="436"/>
      <c r="Q181" s="436"/>
      <c r="R181" s="436"/>
      <c r="S181" s="436"/>
      <c r="T181" s="436"/>
      <c r="U181" s="436"/>
      <c r="V181" s="436"/>
      <c r="W181" s="436"/>
      <c r="X181" s="436"/>
      <c r="Y181" s="436"/>
      <c r="Z181" s="436"/>
      <c r="AA181" s="436"/>
      <c r="AB181" s="436"/>
      <c r="AC181" s="436"/>
      <c r="AD181" s="436"/>
      <c r="AE181" s="436"/>
      <c r="AF181" s="436"/>
      <c r="AG181" s="303">
        <f t="shared" si="46"/>
        <v>0</v>
      </c>
    </row>
    <row r="182" outlineLevel="1">
      <c r="A182" s="215" t="s">
        <v>726</v>
      </c>
      <c r="B182" s="436"/>
      <c r="C182" s="436"/>
      <c r="D182" s="436"/>
      <c r="E182" s="436"/>
      <c r="F182" s="436"/>
      <c r="G182" s="436"/>
      <c r="H182" s="436"/>
      <c r="I182" s="436"/>
      <c r="J182" s="436"/>
      <c r="K182" s="436"/>
      <c r="L182" s="436"/>
      <c r="M182" s="436"/>
      <c r="N182" s="436"/>
      <c r="O182" s="436"/>
      <c r="P182" s="436"/>
      <c r="Q182" s="436"/>
      <c r="R182" s="436"/>
      <c r="S182" s="436"/>
      <c r="T182" s="436"/>
      <c r="U182" s="436"/>
      <c r="V182" s="436"/>
      <c r="W182" s="436"/>
      <c r="X182" s="436"/>
      <c r="Y182" s="436"/>
      <c r="Z182" s="436"/>
      <c r="AA182" s="436"/>
      <c r="AB182" s="436"/>
      <c r="AC182" s="436"/>
      <c r="AD182" s="436"/>
      <c r="AE182" s="436"/>
      <c r="AF182" s="436"/>
      <c r="AG182" s="303">
        <f t="shared" si="46"/>
        <v>0</v>
      </c>
    </row>
    <row r="183" outlineLevel="1">
      <c r="A183" s="215" t="s">
        <v>727</v>
      </c>
      <c r="B183" s="436"/>
      <c r="C183" s="436"/>
      <c r="D183" s="436"/>
      <c r="E183" s="436"/>
      <c r="F183" s="436"/>
      <c r="G183" s="436"/>
      <c r="H183" s="436"/>
      <c r="I183" s="436"/>
      <c r="J183" s="436"/>
      <c r="K183" s="436"/>
      <c r="L183" s="436"/>
      <c r="M183" s="436"/>
      <c r="N183" s="436"/>
      <c r="O183" s="436"/>
      <c r="P183" s="436"/>
      <c r="Q183" s="436"/>
      <c r="R183" s="436"/>
      <c r="S183" s="436"/>
      <c r="T183" s="436"/>
      <c r="U183" s="436"/>
      <c r="V183" s="436"/>
      <c r="W183" s="436"/>
      <c r="X183" s="436"/>
      <c r="Y183" s="436"/>
      <c r="Z183" s="436"/>
      <c r="AA183" s="436"/>
      <c r="AB183" s="436"/>
      <c r="AC183" s="436"/>
      <c r="AD183" s="436"/>
      <c r="AE183" s="436"/>
      <c r="AF183" s="436"/>
      <c r="AG183" s="303">
        <f t="shared" si="46"/>
        <v>0</v>
      </c>
    </row>
    <row r="184" outlineLevel="1">
      <c r="A184" s="215" t="s">
        <v>728</v>
      </c>
      <c r="B184" s="436"/>
      <c r="C184" s="436"/>
      <c r="D184" s="436"/>
      <c r="E184" s="436"/>
      <c r="F184" s="436"/>
      <c r="G184" s="436"/>
      <c r="H184" s="436"/>
      <c r="I184" s="436"/>
      <c r="J184" s="436"/>
      <c r="K184" s="436"/>
      <c r="L184" s="436"/>
      <c r="M184" s="436"/>
      <c r="N184" s="436"/>
      <c r="O184" s="436"/>
      <c r="P184" s="436"/>
      <c r="Q184" s="436"/>
      <c r="R184" s="436"/>
      <c r="S184" s="436"/>
      <c r="T184" s="436"/>
      <c r="U184" s="436"/>
      <c r="V184" s="436"/>
      <c r="W184" s="436"/>
      <c r="X184" s="436"/>
      <c r="Y184" s="436"/>
      <c r="Z184" s="436"/>
      <c r="AA184" s="436"/>
      <c r="AB184" s="436"/>
      <c r="AC184" s="436"/>
      <c r="AD184" s="436"/>
      <c r="AE184" s="436"/>
      <c r="AF184" s="436"/>
      <c r="AG184" s="303">
        <f t="shared" si="46"/>
        <v>0</v>
      </c>
    </row>
    <row r="185" outlineLevel="1">
      <c r="A185" s="215" t="s">
        <v>729</v>
      </c>
      <c r="B185" s="436"/>
      <c r="C185" s="436"/>
      <c r="D185" s="436"/>
      <c r="E185" s="436"/>
      <c r="F185" s="436"/>
      <c r="G185" s="436"/>
      <c r="H185" s="436"/>
      <c r="I185" s="436"/>
      <c r="J185" s="436"/>
      <c r="K185" s="436"/>
      <c r="L185" s="436"/>
      <c r="M185" s="436"/>
      <c r="N185" s="436"/>
      <c r="O185" s="436"/>
      <c r="P185" s="436"/>
      <c r="Q185" s="436"/>
      <c r="R185" s="436"/>
      <c r="S185" s="436"/>
      <c r="T185" s="436"/>
      <c r="U185" s="436"/>
      <c r="V185" s="436"/>
      <c r="W185" s="436"/>
      <c r="X185" s="436"/>
      <c r="Y185" s="436"/>
      <c r="Z185" s="436"/>
      <c r="AA185" s="436"/>
      <c r="AB185" s="436"/>
      <c r="AC185" s="436"/>
      <c r="AD185" s="436"/>
      <c r="AE185" s="436"/>
      <c r="AF185" s="436"/>
      <c r="AG185" s="303">
        <f t="shared" si="46"/>
        <v>0</v>
      </c>
    </row>
    <row r="186" outlineLevel="1">
      <c r="A186" s="215" t="s">
        <v>730</v>
      </c>
      <c r="B186" s="436"/>
      <c r="C186" s="436"/>
      <c r="D186" s="436"/>
      <c r="E186" s="436"/>
      <c r="F186" s="436"/>
      <c r="G186" s="436"/>
      <c r="H186" s="436"/>
      <c r="I186" s="436"/>
      <c r="J186" s="436"/>
      <c r="K186" s="436"/>
      <c r="L186" s="436"/>
      <c r="M186" s="436"/>
      <c r="N186" s="436"/>
      <c r="O186" s="436"/>
      <c r="P186" s="436"/>
      <c r="Q186" s="436"/>
      <c r="R186" s="436"/>
      <c r="S186" s="436"/>
      <c r="T186" s="436"/>
      <c r="U186" s="436"/>
      <c r="V186" s="436"/>
      <c r="W186" s="436"/>
      <c r="X186" s="436"/>
      <c r="Y186" s="436"/>
      <c r="Z186" s="436"/>
      <c r="AA186" s="436"/>
      <c r="AB186" s="436"/>
      <c r="AC186" s="436"/>
      <c r="AD186" s="436"/>
      <c r="AE186" s="436"/>
      <c r="AF186" s="436"/>
      <c r="AG186" s="303">
        <f t="shared" si="46"/>
        <v>0</v>
      </c>
    </row>
    <row r="187" outlineLevel="1">
      <c r="A187" s="225" t="s">
        <v>141</v>
      </c>
      <c r="B187" s="345">
        <f t="shared" ref="B187:AF187" si="47">SUM(B179:B186)</f>
        <v>0</v>
      </c>
      <c r="C187" s="345">
        <f t="shared" si="47"/>
        <v>0</v>
      </c>
      <c r="D187" s="345">
        <f t="shared" si="47"/>
        <v>0</v>
      </c>
      <c r="E187" s="345">
        <f t="shared" si="47"/>
        <v>0</v>
      </c>
      <c r="F187" s="345">
        <f t="shared" si="47"/>
        <v>0</v>
      </c>
      <c r="G187" s="345">
        <f t="shared" si="47"/>
        <v>0</v>
      </c>
      <c r="H187" s="345">
        <f t="shared" si="47"/>
        <v>0</v>
      </c>
      <c r="I187" s="345">
        <f t="shared" si="47"/>
        <v>0</v>
      </c>
      <c r="J187" s="345">
        <f t="shared" si="47"/>
        <v>0</v>
      </c>
      <c r="K187" s="345">
        <f t="shared" si="47"/>
        <v>0</v>
      </c>
      <c r="L187" s="345">
        <f t="shared" si="47"/>
        <v>0</v>
      </c>
      <c r="M187" s="345">
        <f t="shared" si="47"/>
        <v>0</v>
      </c>
      <c r="N187" s="345">
        <f t="shared" si="47"/>
        <v>0</v>
      </c>
      <c r="O187" s="345">
        <f t="shared" si="47"/>
        <v>0</v>
      </c>
      <c r="P187" s="345">
        <f t="shared" si="47"/>
        <v>0</v>
      </c>
      <c r="Q187" s="345">
        <f t="shared" si="47"/>
        <v>0</v>
      </c>
      <c r="R187" s="345">
        <f t="shared" si="47"/>
        <v>0</v>
      </c>
      <c r="S187" s="345">
        <f t="shared" si="47"/>
        <v>0</v>
      </c>
      <c r="T187" s="345">
        <f t="shared" si="47"/>
        <v>0</v>
      </c>
      <c r="U187" s="345">
        <f t="shared" si="47"/>
        <v>0</v>
      </c>
      <c r="V187" s="345">
        <f t="shared" si="47"/>
        <v>0</v>
      </c>
      <c r="W187" s="345">
        <f t="shared" si="47"/>
        <v>0</v>
      </c>
      <c r="X187" s="345">
        <f t="shared" si="47"/>
        <v>0</v>
      </c>
      <c r="Y187" s="345">
        <f t="shared" si="47"/>
        <v>0</v>
      </c>
      <c r="Z187" s="345">
        <f t="shared" si="47"/>
        <v>0</v>
      </c>
      <c r="AA187" s="345">
        <f t="shared" si="47"/>
        <v>0</v>
      </c>
      <c r="AB187" s="345">
        <f t="shared" si="47"/>
        <v>0</v>
      </c>
      <c r="AC187" s="345">
        <f t="shared" si="47"/>
        <v>0</v>
      </c>
      <c r="AD187" s="345">
        <f t="shared" si="47"/>
        <v>0</v>
      </c>
      <c r="AE187" s="345">
        <f t="shared" si="47"/>
        <v>0</v>
      </c>
      <c r="AF187" s="345">
        <f t="shared" si="47"/>
        <v>0</v>
      </c>
      <c r="AG187" s="303">
        <f t="shared" si="46"/>
        <v>0</v>
      </c>
    </row>
    <row r="188" outlineLevel="1">
      <c r="A188" s="166"/>
      <c r="AG188" s="421"/>
    </row>
    <row r="189" outlineLevel="1">
      <c r="A189" s="138" t="s">
        <v>731</v>
      </c>
      <c r="B189" s="177"/>
      <c r="C189" s="177"/>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c r="AA189" s="177"/>
      <c r="AB189" s="177"/>
      <c r="AC189" s="177"/>
      <c r="AD189" s="177"/>
      <c r="AE189" s="177"/>
      <c r="AF189" s="177"/>
      <c r="AG189" s="413"/>
    </row>
    <row r="190" outlineLevel="1">
      <c r="A190" s="215" t="s">
        <v>666</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303">
        <f t="shared" ref="AG190:AG193" si="48">SUM(B190:AF190)</f>
        <v>0</v>
      </c>
    </row>
    <row r="191" outlineLevel="1">
      <c r="A191" s="215" t="s">
        <v>483</v>
      </c>
      <c r="B191" s="97"/>
      <c r="C191" s="97"/>
      <c r="D191" s="97"/>
      <c r="E191" s="97"/>
      <c r="F191" s="97"/>
      <c r="G191" s="331"/>
      <c r="H191" s="331"/>
      <c r="I191" s="331"/>
      <c r="J191" s="331"/>
      <c r="K191" s="97"/>
      <c r="L191" s="331"/>
      <c r="M191" s="331"/>
      <c r="N191" s="331"/>
      <c r="O191" s="331"/>
      <c r="P191" s="331"/>
      <c r="Q191" s="331"/>
      <c r="R191" s="331"/>
      <c r="S191" s="331"/>
      <c r="T191" s="331"/>
      <c r="U191" s="331"/>
      <c r="V191" s="331"/>
      <c r="W191" s="331"/>
      <c r="X191" s="331"/>
      <c r="Y191" s="331"/>
      <c r="Z191" s="331"/>
      <c r="AA191" s="331"/>
      <c r="AB191" s="331"/>
      <c r="AC191" s="331"/>
      <c r="AD191" s="331"/>
      <c r="AE191" s="331"/>
      <c r="AF191" s="331"/>
      <c r="AG191" s="303">
        <f t="shared" si="48"/>
        <v>0</v>
      </c>
    </row>
    <row r="192" outlineLevel="1">
      <c r="A192" s="215" t="s">
        <v>667</v>
      </c>
      <c r="B192" s="97"/>
      <c r="C192" s="97"/>
      <c r="D192" s="97"/>
      <c r="E192" s="97"/>
      <c r="F192" s="97"/>
      <c r="G192" s="331"/>
      <c r="H192" s="331"/>
      <c r="I192" s="331"/>
      <c r="J192" s="331"/>
      <c r="K192" s="97"/>
      <c r="L192" s="331"/>
      <c r="M192" s="331"/>
      <c r="N192" s="331"/>
      <c r="O192" s="331"/>
      <c r="P192" s="331"/>
      <c r="Q192" s="331"/>
      <c r="R192" s="331"/>
      <c r="S192" s="331"/>
      <c r="T192" s="331"/>
      <c r="U192" s="331"/>
      <c r="V192" s="331"/>
      <c r="W192" s="331"/>
      <c r="X192" s="331"/>
      <c r="Y192" s="331"/>
      <c r="Z192" s="331"/>
      <c r="AA192" s="331"/>
      <c r="AB192" s="331"/>
      <c r="AC192" s="331"/>
      <c r="AD192" s="331"/>
      <c r="AE192" s="331"/>
      <c r="AF192" s="331"/>
      <c r="AG192" s="303">
        <f t="shared" si="48"/>
        <v>0</v>
      </c>
    </row>
    <row r="193" outlineLevel="1">
      <c r="A193" s="426" t="s">
        <v>668</v>
      </c>
      <c r="B193" s="427">
        <f t="shared" ref="B193:AF193" si="49">sum(B190:B192)</f>
        <v>0</v>
      </c>
      <c r="C193" s="427">
        <f t="shared" si="49"/>
        <v>0</v>
      </c>
      <c r="D193" s="427">
        <f t="shared" si="49"/>
        <v>0</v>
      </c>
      <c r="E193" s="427">
        <f t="shared" si="49"/>
        <v>0</v>
      </c>
      <c r="F193" s="427">
        <f t="shared" si="49"/>
        <v>0</v>
      </c>
      <c r="G193" s="427">
        <f t="shared" si="49"/>
        <v>0</v>
      </c>
      <c r="H193" s="427">
        <f t="shared" si="49"/>
        <v>0</v>
      </c>
      <c r="I193" s="427">
        <f t="shared" si="49"/>
        <v>0</v>
      </c>
      <c r="J193" s="427">
        <f t="shared" si="49"/>
        <v>0</v>
      </c>
      <c r="K193" s="427">
        <f t="shared" si="49"/>
        <v>0</v>
      </c>
      <c r="L193" s="427">
        <f t="shared" si="49"/>
        <v>0</v>
      </c>
      <c r="M193" s="427">
        <f t="shared" si="49"/>
        <v>0</v>
      </c>
      <c r="N193" s="427">
        <f t="shared" si="49"/>
        <v>0</v>
      </c>
      <c r="O193" s="427">
        <f t="shared" si="49"/>
        <v>0</v>
      </c>
      <c r="P193" s="427">
        <f t="shared" si="49"/>
        <v>0</v>
      </c>
      <c r="Q193" s="427">
        <f t="shared" si="49"/>
        <v>0</v>
      </c>
      <c r="R193" s="427">
        <f t="shared" si="49"/>
        <v>0</v>
      </c>
      <c r="S193" s="427">
        <f t="shared" si="49"/>
        <v>0</v>
      </c>
      <c r="T193" s="427">
        <f t="shared" si="49"/>
        <v>0</v>
      </c>
      <c r="U193" s="427">
        <f t="shared" si="49"/>
        <v>0</v>
      </c>
      <c r="V193" s="427">
        <f t="shared" si="49"/>
        <v>0</v>
      </c>
      <c r="W193" s="427">
        <f t="shared" si="49"/>
        <v>0</v>
      </c>
      <c r="X193" s="427">
        <f t="shared" si="49"/>
        <v>0</v>
      </c>
      <c r="Y193" s="427">
        <f t="shared" si="49"/>
        <v>0</v>
      </c>
      <c r="Z193" s="427">
        <f t="shared" si="49"/>
        <v>0</v>
      </c>
      <c r="AA193" s="427">
        <f t="shared" si="49"/>
        <v>0</v>
      </c>
      <c r="AB193" s="427">
        <f t="shared" si="49"/>
        <v>0</v>
      </c>
      <c r="AC193" s="427">
        <f t="shared" si="49"/>
        <v>0</v>
      </c>
      <c r="AD193" s="427">
        <f t="shared" si="49"/>
        <v>0</v>
      </c>
      <c r="AE193" s="427">
        <f t="shared" si="49"/>
        <v>0</v>
      </c>
      <c r="AF193" s="427">
        <f t="shared" si="49"/>
        <v>0</v>
      </c>
      <c r="AG193" s="303">
        <f t="shared" si="48"/>
        <v>0</v>
      </c>
    </row>
    <row r="194" outlineLevel="1">
      <c r="A194" s="166"/>
      <c r="AG194" s="421"/>
    </row>
    <row r="195" outlineLevel="1">
      <c r="A195" s="435" t="s">
        <v>308</v>
      </c>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303">
        <f t="shared" ref="AG195:AG197" si="50">SUM(B195:AF195)</f>
        <v>0</v>
      </c>
    </row>
    <row r="196" outlineLevel="1">
      <c r="A196" s="425" t="s">
        <v>309</v>
      </c>
      <c r="B196" s="97"/>
      <c r="C196" s="97"/>
      <c r="D196" s="97"/>
      <c r="E196" s="97"/>
      <c r="F196" s="97"/>
      <c r="G196" s="331"/>
      <c r="H196" s="331"/>
      <c r="I196" s="331"/>
      <c r="J196" s="331"/>
      <c r="K196" s="97"/>
      <c r="L196" s="331"/>
      <c r="M196" s="331"/>
      <c r="N196" s="331"/>
      <c r="O196" s="331"/>
      <c r="P196" s="331"/>
      <c r="Q196" s="331"/>
      <c r="R196" s="331"/>
      <c r="S196" s="331"/>
      <c r="T196" s="331"/>
      <c r="U196" s="331"/>
      <c r="V196" s="331"/>
      <c r="W196" s="331"/>
      <c r="X196" s="331"/>
      <c r="Y196" s="331"/>
      <c r="Z196" s="331"/>
      <c r="AA196" s="331"/>
      <c r="AB196" s="331"/>
      <c r="AC196" s="331"/>
      <c r="AD196" s="331"/>
      <c r="AE196" s="331"/>
      <c r="AF196" s="331"/>
      <c r="AG196" s="303">
        <f t="shared" si="50"/>
        <v>0</v>
      </c>
    </row>
    <row r="197" outlineLevel="1">
      <c r="A197" s="426" t="s">
        <v>669</v>
      </c>
      <c r="B197" s="427">
        <f t="shared" ref="B197:AF197" si="51">sum(B195:B196)</f>
        <v>0</v>
      </c>
      <c r="C197" s="427">
        <f t="shared" si="51"/>
        <v>0</v>
      </c>
      <c r="D197" s="427">
        <f t="shared" si="51"/>
        <v>0</v>
      </c>
      <c r="E197" s="427">
        <f t="shared" si="51"/>
        <v>0</v>
      </c>
      <c r="F197" s="427">
        <f t="shared" si="51"/>
        <v>0</v>
      </c>
      <c r="G197" s="427">
        <f t="shared" si="51"/>
        <v>0</v>
      </c>
      <c r="H197" s="427">
        <f t="shared" si="51"/>
        <v>0</v>
      </c>
      <c r="I197" s="427">
        <f t="shared" si="51"/>
        <v>0</v>
      </c>
      <c r="J197" s="427">
        <f t="shared" si="51"/>
        <v>0</v>
      </c>
      <c r="K197" s="427">
        <f t="shared" si="51"/>
        <v>0</v>
      </c>
      <c r="L197" s="427">
        <f t="shared" si="51"/>
        <v>0</v>
      </c>
      <c r="M197" s="427">
        <f t="shared" si="51"/>
        <v>0</v>
      </c>
      <c r="N197" s="427">
        <f t="shared" si="51"/>
        <v>0</v>
      </c>
      <c r="O197" s="427">
        <f t="shared" si="51"/>
        <v>0</v>
      </c>
      <c r="P197" s="427">
        <f t="shared" si="51"/>
        <v>0</v>
      </c>
      <c r="Q197" s="427">
        <f t="shared" si="51"/>
        <v>0</v>
      </c>
      <c r="R197" s="427">
        <f t="shared" si="51"/>
        <v>0</v>
      </c>
      <c r="S197" s="427">
        <f t="shared" si="51"/>
        <v>0</v>
      </c>
      <c r="T197" s="427">
        <f t="shared" si="51"/>
        <v>0</v>
      </c>
      <c r="U197" s="427">
        <f t="shared" si="51"/>
        <v>0</v>
      </c>
      <c r="V197" s="427">
        <f t="shared" si="51"/>
        <v>0</v>
      </c>
      <c r="W197" s="427">
        <f t="shared" si="51"/>
        <v>0</v>
      </c>
      <c r="X197" s="427">
        <f t="shared" si="51"/>
        <v>0</v>
      </c>
      <c r="Y197" s="427">
        <f t="shared" si="51"/>
        <v>0</v>
      </c>
      <c r="Z197" s="427">
        <f t="shared" si="51"/>
        <v>0</v>
      </c>
      <c r="AA197" s="427">
        <f t="shared" si="51"/>
        <v>0</v>
      </c>
      <c r="AB197" s="427">
        <f t="shared" si="51"/>
        <v>0</v>
      </c>
      <c r="AC197" s="427">
        <f t="shared" si="51"/>
        <v>0</v>
      </c>
      <c r="AD197" s="427">
        <f t="shared" si="51"/>
        <v>0</v>
      </c>
      <c r="AE197" s="427">
        <f t="shared" si="51"/>
        <v>0</v>
      </c>
      <c r="AF197" s="427">
        <f t="shared" si="51"/>
        <v>0</v>
      </c>
      <c r="AG197" s="303">
        <f t="shared" si="50"/>
        <v>0</v>
      </c>
    </row>
    <row r="198">
      <c r="A198" s="166"/>
      <c r="AG198" s="421"/>
    </row>
    <row r="199">
      <c r="A199" s="419" t="s">
        <v>732</v>
      </c>
      <c r="B199" s="420"/>
      <c r="C199" s="420"/>
      <c r="D199" s="420"/>
      <c r="E199" s="420"/>
      <c r="F199" s="420"/>
      <c r="G199" s="420"/>
      <c r="H199" s="420"/>
      <c r="I199" s="420"/>
      <c r="J199" s="420"/>
      <c r="K199" s="420"/>
      <c r="L199" s="420"/>
      <c r="M199" s="420"/>
      <c r="N199" s="420"/>
      <c r="O199" s="420"/>
      <c r="P199" s="420"/>
      <c r="Q199" s="420"/>
      <c r="R199" s="420"/>
      <c r="S199" s="420"/>
      <c r="T199" s="420"/>
      <c r="U199" s="420"/>
      <c r="V199" s="420"/>
      <c r="W199" s="420"/>
      <c r="X199" s="420"/>
      <c r="Y199" s="420"/>
      <c r="Z199" s="420"/>
      <c r="AA199" s="420"/>
      <c r="AB199" s="420"/>
      <c r="AC199" s="420"/>
      <c r="AD199" s="420"/>
      <c r="AE199" s="420"/>
      <c r="AF199" s="420"/>
      <c r="AG199" s="421"/>
    </row>
    <row r="200" outlineLevel="1">
      <c r="A200" s="215" t="s">
        <v>733</v>
      </c>
      <c r="B200" s="155">
        <v>0.0</v>
      </c>
      <c r="C200" s="155">
        <v>0.0</v>
      </c>
      <c r="D200" s="155">
        <v>0.0</v>
      </c>
      <c r="E200" s="155">
        <v>0.0</v>
      </c>
      <c r="F200" s="155">
        <v>0.0</v>
      </c>
      <c r="G200" s="155">
        <v>0.0</v>
      </c>
      <c r="H200" s="155">
        <v>0.0</v>
      </c>
      <c r="I200" s="155">
        <v>0.0</v>
      </c>
      <c r="J200" s="155">
        <v>0.0</v>
      </c>
      <c r="K200" s="155">
        <v>0.0</v>
      </c>
      <c r="L200" s="155">
        <v>0.0</v>
      </c>
      <c r="M200" s="155">
        <v>0.0</v>
      </c>
      <c r="N200" s="155">
        <v>0.0</v>
      </c>
      <c r="O200" s="155">
        <v>0.0</v>
      </c>
      <c r="P200" s="155">
        <v>0.0</v>
      </c>
      <c r="Q200" s="155">
        <v>0.0</v>
      </c>
      <c r="R200" s="155">
        <v>0.0</v>
      </c>
      <c r="S200" s="155">
        <v>0.0</v>
      </c>
      <c r="T200" s="155">
        <v>0.0</v>
      </c>
      <c r="U200" s="155">
        <v>0.0</v>
      </c>
      <c r="V200" s="155">
        <v>0.0</v>
      </c>
      <c r="W200" s="155">
        <v>0.0</v>
      </c>
      <c r="X200" s="155">
        <v>0.0</v>
      </c>
      <c r="Y200" s="155">
        <v>0.0</v>
      </c>
      <c r="Z200" s="155">
        <v>0.0</v>
      </c>
      <c r="AA200" s="155">
        <v>0.0</v>
      </c>
      <c r="AB200" s="155">
        <v>0.0</v>
      </c>
      <c r="AC200" s="155">
        <v>0.0</v>
      </c>
      <c r="AD200" s="155">
        <v>0.0</v>
      </c>
      <c r="AE200" s="155">
        <v>0.0</v>
      </c>
      <c r="AF200" s="155">
        <v>0.0</v>
      </c>
      <c r="AG200" s="303">
        <f t="shared" ref="AG200:AG215" si="52">SUM(B200:AF200)</f>
        <v>0</v>
      </c>
    </row>
    <row r="201" outlineLevel="1">
      <c r="A201" s="215" t="s">
        <v>734</v>
      </c>
      <c r="B201" s="155">
        <v>0.0</v>
      </c>
      <c r="C201" s="155">
        <v>0.0</v>
      </c>
      <c r="D201" s="155">
        <v>0.0</v>
      </c>
      <c r="E201" s="155">
        <v>0.0</v>
      </c>
      <c r="F201" s="155">
        <v>0.0</v>
      </c>
      <c r="G201" s="155">
        <v>0.0</v>
      </c>
      <c r="H201" s="155">
        <v>0.0</v>
      </c>
      <c r="I201" s="155">
        <v>0.0</v>
      </c>
      <c r="J201" s="155">
        <v>0.0</v>
      </c>
      <c r="K201" s="155">
        <v>0.0</v>
      </c>
      <c r="L201" s="155">
        <v>0.0</v>
      </c>
      <c r="M201" s="155">
        <v>0.0</v>
      </c>
      <c r="N201" s="155">
        <v>0.0</v>
      </c>
      <c r="O201" s="155">
        <v>0.0</v>
      </c>
      <c r="P201" s="155">
        <v>0.0</v>
      </c>
      <c r="Q201" s="155">
        <v>0.0</v>
      </c>
      <c r="R201" s="155">
        <v>0.0</v>
      </c>
      <c r="S201" s="155">
        <v>0.0</v>
      </c>
      <c r="T201" s="155">
        <v>0.0</v>
      </c>
      <c r="U201" s="155">
        <v>0.0</v>
      </c>
      <c r="V201" s="155">
        <v>0.0</v>
      </c>
      <c r="W201" s="155">
        <v>0.0</v>
      </c>
      <c r="X201" s="155">
        <v>0.0</v>
      </c>
      <c r="Y201" s="155">
        <v>0.0</v>
      </c>
      <c r="Z201" s="155">
        <v>0.0</v>
      </c>
      <c r="AA201" s="155">
        <v>0.0</v>
      </c>
      <c r="AB201" s="155">
        <v>0.0</v>
      </c>
      <c r="AC201" s="155">
        <v>0.0</v>
      </c>
      <c r="AD201" s="155">
        <v>0.0</v>
      </c>
      <c r="AE201" s="155">
        <v>0.0</v>
      </c>
      <c r="AF201" s="155">
        <v>0.0</v>
      </c>
      <c r="AG201" s="303">
        <f t="shared" si="52"/>
        <v>0</v>
      </c>
    </row>
    <row r="202" outlineLevel="1">
      <c r="A202" s="215" t="s">
        <v>735</v>
      </c>
      <c r="B202" s="155">
        <v>0.0</v>
      </c>
      <c r="C202" s="155">
        <v>0.0</v>
      </c>
      <c r="D202" s="155">
        <v>0.0</v>
      </c>
      <c r="E202" s="155">
        <v>0.0</v>
      </c>
      <c r="F202" s="155">
        <v>0.0</v>
      </c>
      <c r="G202" s="155">
        <v>0.0</v>
      </c>
      <c r="H202" s="155">
        <v>0.0</v>
      </c>
      <c r="I202" s="155">
        <v>0.0</v>
      </c>
      <c r="J202" s="155">
        <v>0.0</v>
      </c>
      <c r="K202" s="155">
        <v>0.0</v>
      </c>
      <c r="L202" s="155">
        <v>0.0</v>
      </c>
      <c r="M202" s="155">
        <v>0.0</v>
      </c>
      <c r="N202" s="155">
        <v>0.0</v>
      </c>
      <c r="O202" s="155">
        <v>0.0</v>
      </c>
      <c r="P202" s="155">
        <v>0.0</v>
      </c>
      <c r="Q202" s="155">
        <v>0.0</v>
      </c>
      <c r="R202" s="155">
        <v>0.0</v>
      </c>
      <c r="S202" s="155">
        <v>0.0</v>
      </c>
      <c r="T202" s="155">
        <v>0.0</v>
      </c>
      <c r="U202" s="155">
        <v>0.0</v>
      </c>
      <c r="V202" s="155">
        <v>0.0</v>
      </c>
      <c r="W202" s="155">
        <v>0.0</v>
      </c>
      <c r="X202" s="155">
        <v>0.0</v>
      </c>
      <c r="Y202" s="155">
        <v>0.0</v>
      </c>
      <c r="Z202" s="155">
        <v>0.0</v>
      </c>
      <c r="AA202" s="155">
        <v>0.0</v>
      </c>
      <c r="AB202" s="155">
        <v>0.0</v>
      </c>
      <c r="AC202" s="155">
        <v>0.0</v>
      </c>
      <c r="AD202" s="155">
        <v>0.0</v>
      </c>
      <c r="AE202" s="155">
        <v>0.0</v>
      </c>
      <c r="AF202" s="155">
        <v>0.0</v>
      </c>
      <c r="AG202" s="303">
        <f t="shared" si="52"/>
        <v>0</v>
      </c>
    </row>
    <row r="203" outlineLevel="1">
      <c r="A203" s="215" t="s">
        <v>736</v>
      </c>
      <c r="B203" s="155">
        <v>0.0</v>
      </c>
      <c r="C203" s="155">
        <v>0.0</v>
      </c>
      <c r="D203" s="155">
        <v>0.0</v>
      </c>
      <c r="E203" s="155">
        <v>0.0</v>
      </c>
      <c r="F203" s="155">
        <v>0.0</v>
      </c>
      <c r="G203" s="155">
        <v>0.0</v>
      </c>
      <c r="H203" s="155">
        <v>0.0</v>
      </c>
      <c r="I203" s="155">
        <v>0.0</v>
      </c>
      <c r="J203" s="155">
        <v>0.0</v>
      </c>
      <c r="K203" s="155">
        <v>0.0</v>
      </c>
      <c r="L203" s="155">
        <v>0.0</v>
      </c>
      <c r="M203" s="155">
        <v>0.0</v>
      </c>
      <c r="N203" s="155">
        <v>0.0</v>
      </c>
      <c r="O203" s="155">
        <v>0.0</v>
      </c>
      <c r="P203" s="155">
        <v>0.0</v>
      </c>
      <c r="Q203" s="155">
        <v>0.0</v>
      </c>
      <c r="R203" s="155">
        <v>0.0</v>
      </c>
      <c r="S203" s="155">
        <v>0.0</v>
      </c>
      <c r="T203" s="155">
        <v>0.0</v>
      </c>
      <c r="U203" s="155">
        <v>0.0</v>
      </c>
      <c r="V203" s="155">
        <v>0.0</v>
      </c>
      <c r="W203" s="155">
        <v>0.0</v>
      </c>
      <c r="X203" s="155">
        <v>0.0</v>
      </c>
      <c r="Y203" s="155">
        <v>0.0</v>
      </c>
      <c r="Z203" s="155">
        <v>0.0</v>
      </c>
      <c r="AA203" s="155">
        <v>0.0</v>
      </c>
      <c r="AB203" s="155">
        <v>0.0</v>
      </c>
      <c r="AC203" s="155">
        <v>0.0</v>
      </c>
      <c r="AD203" s="155">
        <v>0.0</v>
      </c>
      <c r="AE203" s="155">
        <v>0.0</v>
      </c>
      <c r="AF203" s="155">
        <v>0.0</v>
      </c>
      <c r="AG203" s="303">
        <f t="shared" si="52"/>
        <v>0</v>
      </c>
    </row>
    <row r="204" outlineLevel="1">
      <c r="A204" s="223" t="s">
        <v>221</v>
      </c>
      <c r="B204" s="243">
        <f t="shared" ref="B204:AF204" si="53">B200+B201</f>
        <v>0</v>
      </c>
      <c r="C204" s="243">
        <f t="shared" si="53"/>
        <v>0</v>
      </c>
      <c r="D204" s="243">
        <f t="shared" si="53"/>
        <v>0</v>
      </c>
      <c r="E204" s="243">
        <f t="shared" si="53"/>
        <v>0</v>
      </c>
      <c r="F204" s="243">
        <f t="shared" si="53"/>
        <v>0</v>
      </c>
      <c r="G204" s="243">
        <f t="shared" si="53"/>
        <v>0</v>
      </c>
      <c r="H204" s="243">
        <f t="shared" si="53"/>
        <v>0</v>
      </c>
      <c r="I204" s="243">
        <f t="shared" si="53"/>
        <v>0</v>
      </c>
      <c r="J204" s="243">
        <f t="shared" si="53"/>
        <v>0</v>
      </c>
      <c r="K204" s="243">
        <f t="shared" si="53"/>
        <v>0</v>
      </c>
      <c r="L204" s="243">
        <f t="shared" si="53"/>
        <v>0</v>
      </c>
      <c r="M204" s="243">
        <f t="shared" si="53"/>
        <v>0</v>
      </c>
      <c r="N204" s="243">
        <f t="shared" si="53"/>
        <v>0</v>
      </c>
      <c r="O204" s="243">
        <f t="shared" si="53"/>
        <v>0</v>
      </c>
      <c r="P204" s="243">
        <f t="shared" si="53"/>
        <v>0</v>
      </c>
      <c r="Q204" s="243">
        <f t="shared" si="53"/>
        <v>0</v>
      </c>
      <c r="R204" s="243">
        <f t="shared" si="53"/>
        <v>0</v>
      </c>
      <c r="S204" s="243">
        <f t="shared" si="53"/>
        <v>0</v>
      </c>
      <c r="T204" s="243">
        <f t="shared" si="53"/>
        <v>0</v>
      </c>
      <c r="U204" s="243">
        <f t="shared" si="53"/>
        <v>0</v>
      </c>
      <c r="V204" s="243">
        <f t="shared" si="53"/>
        <v>0</v>
      </c>
      <c r="W204" s="243">
        <f t="shared" si="53"/>
        <v>0</v>
      </c>
      <c r="X204" s="243">
        <f t="shared" si="53"/>
        <v>0</v>
      </c>
      <c r="Y204" s="243">
        <f t="shared" si="53"/>
        <v>0</v>
      </c>
      <c r="Z204" s="243">
        <f t="shared" si="53"/>
        <v>0</v>
      </c>
      <c r="AA204" s="243">
        <f t="shared" si="53"/>
        <v>0</v>
      </c>
      <c r="AB204" s="243">
        <f t="shared" si="53"/>
        <v>0</v>
      </c>
      <c r="AC204" s="243">
        <f t="shared" si="53"/>
        <v>0</v>
      </c>
      <c r="AD204" s="243">
        <f t="shared" si="53"/>
        <v>0</v>
      </c>
      <c r="AE204" s="243">
        <f t="shared" si="53"/>
        <v>0</v>
      </c>
      <c r="AF204" s="243">
        <f t="shared" si="53"/>
        <v>0</v>
      </c>
      <c r="AG204" s="303">
        <f t="shared" si="52"/>
        <v>0</v>
      </c>
    </row>
    <row r="205" outlineLevel="1">
      <c r="A205" s="223" t="s">
        <v>222</v>
      </c>
      <c r="B205" s="243">
        <f t="shared" ref="B205:AF205" si="54">B202+B203</f>
        <v>0</v>
      </c>
      <c r="C205" s="243">
        <f t="shared" si="54"/>
        <v>0</v>
      </c>
      <c r="D205" s="243">
        <f t="shared" si="54"/>
        <v>0</v>
      </c>
      <c r="E205" s="243">
        <f t="shared" si="54"/>
        <v>0</v>
      </c>
      <c r="F205" s="243">
        <f t="shared" si="54"/>
        <v>0</v>
      </c>
      <c r="G205" s="243">
        <f t="shared" si="54"/>
        <v>0</v>
      </c>
      <c r="H205" s="243">
        <f t="shared" si="54"/>
        <v>0</v>
      </c>
      <c r="I205" s="243">
        <f t="shared" si="54"/>
        <v>0</v>
      </c>
      <c r="J205" s="243">
        <f t="shared" si="54"/>
        <v>0</v>
      </c>
      <c r="K205" s="243">
        <f t="shared" si="54"/>
        <v>0</v>
      </c>
      <c r="L205" s="243">
        <f t="shared" si="54"/>
        <v>0</v>
      </c>
      <c r="M205" s="243">
        <f t="shared" si="54"/>
        <v>0</v>
      </c>
      <c r="N205" s="243">
        <f t="shared" si="54"/>
        <v>0</v>
      </c>
      <c r="O205" s="243">
        <f t="shared" si="54"/>
        <v>0</v>
      </c>
      <c r="P205" s="243">
        <f t="shared" si="54"/>
        <v>0</v>
      </c>
      <c r="Q205" s="243">
        <f t="shared" si="54"/>
        <v>0</v>
      </c>
      <c r="R205" s="243">
        <f t="shared" si="54"/>
        <v>0</v>
      </c>
      <c r="S205" s="243">
        <f t="shared" si="54"/>
        <v>0</v>
      </c>
      <c r="T205" s="243">
        <f t="shared" si="54"/>
        <v>0</v>
      </c>
      <c r="U205" s="243">
        <f t="shared" si="54"/>
        <v>0</v>
      </c>
      <c r="V205" s="243">
        <f t="shared" si="54"/>
        <v>0</v>
      </c>
      <c r="W205" s="243">
        <f t="shared" si="54"/>
        <v>0</v>
      </c>
      <c r="X205" s="243">
        <f t="shared" si="54"/>
        <v>0</v>
      </c>
      <c r="Y205" s="243">
        <f t="shared" si="54"/>
        <v>0</v>
      </c>
      <c r="Z205" s="243">
        <f t="shared" si="54"/>
        <v>0</v>
      </c>
      <c r="AA205" s="243">
        <f t="shared" si="54"/>
        <v>0</v>
      </c>
      <c r="AB205" s="243">
        <f t="shared" si="54"/>
        <v>0</v>
      </c>
      <c r="AC205" s="243">
        <f t="shared" si="54"/>
        <v>0</v>
      </c>
      <c r="AD205" s="243">
        <f t="shared" si="54"/>
        <v>0</v>
      </c>
      <c r="AE205" s="243">
        <f t="shared" si="54"/>
        <v>0</v>
      </c>
      <c r="AF205" s="243">
        <f t="shared" si="54"/>
        <v>0</v>
      </c>
      <c r="AG205" s="303">
        <f t="shared" si="52"/>
        <v>0</v>
      </c>
    </row>
    <row r="206" outlineLevel="1">
      <c r="A206" s="98"/>
      <c r="B206" s="177"/>
      <c r="C206" s="177"/>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c r="AA206" s="177"/>
      <c r="AB206" s="177"/>
      <c r="AC206" s="177"/>
      <c r="AD206" s="177"/>
      <c r="AE206" s="177"/>
      <c r="AF206" s="177"/>
      <c r="AG206" s="303">
        <f t="shared" si="52"/>
        <v>0</v>
      </c>
    </row>
    <row r="207" outlineLevel="1">
      <c r="A207" s="215" t="s">
        <v>224</v>
      </c>
      <c r="B207" s="155">
        <v>0.0</v>
      </c>
      <c r="C207" s="155">
        <v>0.0</v>
      </c>
      <c r="D207" s="155">
        <v>0.0</v>
      </c>
      <c r="E207" s="155">
        <v>0.0</v>
      </c>
      <c r="F207" s="155">
        <v>0.0</v>
      </c>
      <c r="G207" s="155">
        <v>0.0</v>
      </c>
      <c r="H207" s="155">
        <v>0.0</v>
      </c>
      <c r="I207" s="155">
        <v>0.0</v>
      </c>
      <c r="J207" s="155">
        <v>0.0</v>
      </c>
      <c r="K207" s="155">
        <v>0.0</v>
      </c>
      <c r="L207" s="155">
        <v>0.0</v>
      </c>
      <c r="M207" s="155">
        <v>0.0</v>
      </c>
      <c r="N207" s="155">
        <v>0.0</v>
      </c>
      <c r="O207" s="155">
        <v>0.0</v>
      </c>
      <c r="P207" s="155">
        <v>0.0</v>
      </c>
      <c r="Q207" s="155">
        <v>0.0</v>
      </c>
      <c r="R207" s="155">
        <v>0.0</v>
      </c>
      <c r="S207" s="155">
        <v>0.0</v>
      </c>
      <c r="T207" s="155">
        <v>0.0</v>
      </c>
      <c r="U207" s="155">
        <v>0.0</v>
      </c>
      <c r="V207" s="155">
        <v>0.0</v>
      </c>
      <c r="W207" s="155">
        <v>0.0</v>
      </c>
      <c r="X207" s="155">
        <v>0.0</v>
      </c>
      <c r="Y207" s="155">
        <v>0.0</v>
      </c>
      <c r="Z207" s="155">
        <v>0.0</v>
      </c>
      <c r="AA207" s="155">
        <v>0.0</v>
      </c>
      <c r="AB207" s="155">
        <v>0.0</v>
      </c>
      <c r="AC207" s="155">
        <v>0.0</v>
      </c>
      <c r="AD207" s="155">
        <v>0.0</v>
      </c>
      <c r="AE207" s="155">
        <v>0.0</v>
      </c>
      <c r="AF207" s="155">
        <v>0.0</v>
      </c>
      <c r="AG207" s="303">
        <f t="shared" si="52"/>
        <v>0</v>
      </c>
    </row>
    <row r="208" outlineLevel="1">
      <c r="A208" s="215" t="s">
        <v>225</v>
      </c>
      <c r="B208" s="155">
        <v>0.0</v>
      </c>
      <c r="C208" s="155">
        <v>0.0</v>
      </c>
      <c r="D208" s="155">
        <v>0.0</v>
      </c>
      <c r="E208" s="155">
        <v>0.0</v>
      </c>
      <c r="F208" s="155">
        <v>0.0</v>
      </c>
      <c r="G208" s="155">
        <v>0.0</v>
      </c>
      <c r="H208" s="155">
        <v>0.0</v>
      </c>
      <c r="I208" s="155">
        <v>0.0</v>
      </c>
      <c r="J208" s="155">
        <v>0.0</v>
      </c>
      <c r="K208" s="155">
        <v>0.0</v>
      </c>
      <c r="L208" s="155">
        <v>0.0</v>
      </c>
      <c r="M208" s="155">
        <v>0.0</v>
      </c>
      <c r="N208" s="155">
        <v>0.0</v>
      </c>
      <c r="O208" s="155">
        <v>0.0</v>
      </c>
      <c r="P208" s="155">
        <v>0.0</v>
      </c>
      <c r="Q208" s="155">
        <v>0.0</v>
      </c>
      <c r="R208" s="155">
        <v>0.0</v>
      </c>
      <c r="S208" s="155">
        <v>0.0</v>
      </c>
      <c r="T208" s="155">
        <v>0.0</v>
      </c>
      <c r="U208" s="155">
        <v>0.0</v>
      </c>
      <c r="V208" s="155">
        <v>0.0</v>
      </c>
      <c r="W208" s="155">
        <v>0.0</v>
      </c>
      <c r="X208" s="155">
        <v>0.0</v>
      </c>
      <c r="Y208" s="155">
        <v>0.0</v>
      </c>
      <c r="Z208" s="155">
        <v>0.0</v>
      </c>
      <c r="AA208" s="155">
        <v>0.0</v>
      </c>
      <c r="AB208" s="155">
        <v>0.0</v>
      </c>
      <c r="AC208" s="155">
        <v>0.0</v>
      </c>
      <c r="AD208" s="155">
        <v>0.0</v>
      </c>
      <c r="AE208" s="155">
        <v>0.0</v>
      </c>
      <c r="AF208" s="155">
        <v>0.0</v>
      </c>
      <c r="AG208" s="303">
        <f t="shared" si="52"/>
        <v>0</v>
      </c>
    </row>
    <row r="209" outlineLevel="1">
      <c r="A209" s="215" t="s">
        <v>737</v>
      </c>
      <c r="B209" s="155">
        <v>0.0</v>
      </c>
      <c r="C209" s="155">
        <v>0.0</v>
      </c>
      <c r="D209" s="155">
        <v>0.0</v>
      </c>
      <c r="E209" s="155">
        <v>0.0</v>
      </c>
      <c r="F209" s="155">
        <v>0.0</v>
      </c>
      <c r="G209" s="155">
        <v>0.0</v>
      </c>
      <c r="H209" s="155">
        <v>0.0</v>
      </c>
      <c r="I209" s="155">
        <v>0.0</v>
      </c>
      <c r="J209" s="155">
        <v>0.0</v>
      </c>
      <c r="K209" s="155">
        <v>0.0</v>
      </c>
      <c r="L209" s="155">
        <v>0.0</v>
      </c>
      <c r="M209" s="155">
        <v>0.0</v>
      </c>
      <c r="N209" s="155">
        <v>0.0</v>
      </c>
      <c r="O209" s="155">
        <v>0.0</v>
      </c>
      <c r="P209" s="155">
        <v>0.0</v>
      </c>
      <c r="Q209" s="155">
        <v>0.0</v>
      </c>
      <c r="R209" s="155">
        <v>0.0</v>
      </c>
      <c r="S209" s="155">
        <v>0.0</v>
      </c>
      <c r="T209" s="155">
        <v>0.0</v>
      </c>
      <c r="U209" s="155">
        <v>0.0</v>
      </c>
      <c r="V209" s="155">
        <v>0.0</v>
      </c>
      <c r="W209" s="155">
        <v>0.0</v>
      </c>
      <c r="X209" s="155">
        <v>0.0</v>
      </c>
      <c r="Y209" s="155">
        <v>0.0</v>
      </c>
      <c r="Z209" s="155">
        <v>0.0</v>
      </c>
      <c r="AA209" s="155">
        <v>0.0</v>
      </c>
      <c r="AB209" s="155">
        <v>0.0</v>
      </c>
      <c r="AC209" s="155">
        <v>0.0</v>
      </c>
      <c r="AD209" s="155">
        <v>0.0</v>
      </c>
      <c r="AE209" s="155">
        <v>0.0</v>
      </c>
      <c r="AF209" s="155">
        <v>0.0</v>
      </c>
      <c r="AG209" s="303">
        <f t="shared" si="52"/>
        <v>0</v>
      </c>
    </row>
    <row r="210" outlineLevel="1">
      <c r="A210" s="215" t="s">
        <v>738</v>
      </c>
      <c r="B210" s="155">
        <v>0.0</v>
      </c>
      <c r="C210" s="155">
        <v>0.0</v>
      </c>
      <c r="D210" s="155">
        <v>0.0</v>
      </c>
      <c r="E210" s="155">
        <v>0.0</v>
      </c>
      <c r="F210" s="155">
        <v>0.0</v>
      </c>
      <c r="G210" s="155">
        <v>0.0</v>
      </c>
      <c r="H210" s="155">
        <v>0.0</v>
      </c>
      <c r="I210" s="155">
        <v>0.0</v>
      </c>
      <c r="J210" s="155">
        <v>0.0</v>
      </c>
      <c r="K210" s="155">
        <v>0.0</v>
      </c>
      <c r="L210" s="155">
        <v>0.0</v>
      </c>
      <c r="M210" s="155">
        <v>0.0</v>
      </c>
      <c r="N210" s="155">
        <v>0.0</v>
      </c>
      <c r="O210" s="155">
        <v>0.0</v>
      </c>
      <c r="P210" s="155">
        <v>0.0</v>
      </c>
      <c r="Q210" s="155">
        <v>0.0</v>
      </c>
      <c r="R210" s="155">
        <v>0.0</v>
      </c>
      <c r="S210" s="155">
        <v>0.0</v>
      </c>
      <c r="T210" s="155">
        <v>0.0</v>
      </c>
      <c r="U210" s="155">
        <v>0.0</v>
      </c>
      <c r="V210" s="155">
        <v>0.0</v>
      </c>
      <c r="W210" s="155">
        <v>0.0</v>
      </c>
      <c r="X210" s="155">
        <v>0.0</v>
      </c>
      <c r="Y210" s="155">
        <v>0.0</v>
      </c>
      <c r="Z210" s="155">
        <v>0.0</v>
      </c>
      <c r="AA210" s="155">
        <v>0.0</v>
      </c>
      <c r="AB210" s="155">
        <v>0.0</v>
      </c>
      <c r="AC210" s="155">
        <v>0.0</v>
      </c>
      <c r="AD210" s="155">
        <v>0.0</v>
      </c>
      <c r="AE210" s="155">
        <v>0.0</v>
      </c>
      <c r="AF210" s="155">
        <v>0.0</v>
      </c>
      <c r="AG210" s="303">
        <f t="shared" si="52"/>
        <v>0</v>
      </c>
    </row>
    <row r="211" outlineLevel="1">
      <c r="A211" s="215" t="s">
        <v>739</v>
      </c>
      <c r="B211" s="155">
        <v>0.0</v>
      </c>
      <c r="C211" s="155">
        <v>0.0</v>
      </c>
      <c r="D211" s="155">
        <v>0.0</v>
      </c>
      <c r="E211" s="155">
        <v>0.0</v>
      </c>
      <c r="F211" s="155">
        <v>0.0</v>
      </c>
      <c r="G211" s="155">
        <v>0.0</v>
      </c>
      <c r="H211" s="155">
        <v>0.0</v>
      </c>
      <c r="I211" s="155">
        <v>0.0</v>
      </c>
      <c r="J211" s="155">
        <v>0.0</v>
      </c>
      <c r="K211" s="155">
        <v>0.0</v>
      </c>
      <c r="L211" s="155">
        <v>0.0</v>
      </c>
      <c r="M211" s="155">
        <v>0.0</v>
      </c>
      <c r="N211" s="155">
        <v>0.0</v>
      </c>
      <c r="O211" s="155">
        <v>0.0</v>
      </c>
      <c r="P211" s="155">
        <v>0.0</v>
      </c>
      <c r="Q211" s="155">
        <v>0.0</v>
      </c>
      <c r="R211" s="155">
        <v>0.0</v>
      </c>
      <c r="S211" s="155">
        <v>0.0</v>
      </c>
      <c r="T211" s="155">
        <v>0.0</v>
      </c>
      <c r="U211" s="155">
        <v>0.0</v>
      </c>
      <c r="V211" s="155">
        <v>0.0</v>
      </c>
      <c r="W211" s="155">
        <v>0.0</v>
      </c>
      <c r="X211" s="155">
        <v>0.0</v>
      </c>
      <c r="Y211" s="155">
        <v>0.0</v>
      </c>
      <c r="Z211" s="155">
        <v>0.0</v>
      </c>
      <c r="AA211" s="155">
        <v>0.0</v>
      </c>
      <c r="AB211" s="155">
        <v>0.0</v>
      </c>
      <c r="AC211" s="155">
        <v>0.0</v>
      </c>
      <c r="AD211" s="155">
        <v>0.0</v>
      </c>
      <c r="AE211" s="155">
        <v>0.0</v>
      </c>
      <c r="AF211" s="155">
        <v>0.0</v>
      </c>
      <c r="AG211" s="303">
        <f t="shared" si="52"/>
        <v>0</v>
      </c>
    </row>
    <row r="212" outlineLevel="1">
      <c r="A212" s="215" t="s">
        <v>740</v>
      </c>
      <c r="B212" s="155">
        <v>0.0</v>
      </c>
      <c r="C212" s="155">
        <v>0.0</v>
      </c>
      <c r="D212" s="155">
        <v>0.0</v>
      </c>
      <c r="E212" s="155">
        <v>0.0</v>
      </c>
      <c r="F212" s="155">
        <v>0.0</v>
      </c>
      <c r="G212" s="155">
        <v>0.0</v>
      </c>
      <c r="H212" s="155">
        <v>0.0</v>
      </c>
      <c r="I212" s="155">
        <v>0.0</v>
      </c>
      <c r="J212" s="155">
        <v>0.0</v>
      </c>
      <c r="K212" s="155">
        <v>0.0</v>
      </c>
      <c r="L212" s="155">
        <v>0.0</v>
      </c>
      <c r="M212" s="155">
        <v>0.0</v>
      </c>
      <c r="N212" s="155">
        <v>0.0</v>
      </c>
      <c r="O212" s="155">
        <v>0.0</v>
      </c>
      <c r="P212" s="155">
        <v>0.0</v>
      </c>
      <c r="Q212" s="155">
        <v>0.0</v>
      </c>
      <c r="R212" s="155">
        <v>0.0</v>
      </c>
      <c r="S212" s="155">
        <v>0.0</v>
      </c>
      <c r="T212" s="155">
        <v>0.0</v>
      </c>
      <c r="U212" s="155">
        <v>0.0</v>
      </c>
      <c r="V212" s="155">
        <v>0.0</v>
      </c>
      <c r="W212" s="155">
        <v>0.0</v>
      </c>
      <c r="X212" s="155">
        <v>0.0</v>
      </c>
      <c r="Y212" s="155">
        <v>0.0</v>
      </c>
      <c r="Z212" s="155">
        <v>0.0</v>
      </c>
      <c r="AA212" s="155">
        <v>0.0</v>
      </c>
      <c r="AB212" s="155">
        <v>0.0</v>
      </c>
      <c r="AC212" s="155">
        <v>0.0</v>
      </c>
      <c r="AD212" s="155">
        <v>0.0</v>
      </c>
      <c r="AE212" s="155">
        <v>0.0</v>
      </c>
      <c r="AF212" s="155">
        <v>0.0</v>
      </c>
      <c r="AG212" s="303">
        <f t="shared" si="52"/>
        <v>0</v>
      </c>
    </row>
    <row r="213" outlineLevel="1">
      <c r="A213" s="215" t="s">
        <v>741</v>
      </c>
      <c r="B213" s="155">
        <v>0.0</v>
      </c>
      <c r="C213" s="155">
        <v>0.0</v>
      </c>
      <c r="D213" s="155">
        <v>0.0</v>
      </c>
      <c r="E213" s="155">
        <v>0.0</v>
      </c>
      <c r="F213" s="155">
        <v>0.0</v>
      </c>
      <c r="G213" s="155">
        <v>0.0</v>
      </c>
      <c r="H213" s="155">
        <v>0.0</v>
      </c>
      <c r="I213" s="155">
        <v>0.0</v>
      </c>
      <c r="J213" s="155">
        <v>0.0</v>
      </c>
      <c r="K213" s="155">
        <v>0.0</v>
      </c>
      <c r="L213" s="155">
        <v>0.0</v>
      </c>
      <c r="M213" s="155">
        <v>0.0</v>
      </c>
      <c r="N213" s="155">
        <v>0.0</v>
      </c>
      <c r="O213" s="155">
        <v>0.0</v>
      </c>
      <c r="P213" s="155">
        <v>0.0</v>
      </c>
      <c r="Q213" s="155">
        <v>0.0</v>
      </c>
      <c r="R213" s="155">
        <v>0.0</v>
      </c>
      <c r="S213" s="155">
        <v>0.0</v>
      </c>
      <c r="T213" s="155">
        <v>0.0</v>
      </c>
      <c r="U213" s="155">
        <v>0.0</v>
      </c>
      <c r="V213" s="155">
        <v>0.0</v>
      </c>
      <c r="W213" s="155">
        <v>0.0</v>
      </c>
      <c r="X213" s="155">
        <v>0.0</v>
      </c>
      <c r="Y213" s="155">
        <v>0.0</v>
      </c>
      <c r="Z213" s="155">
        <v>0.0</v>
      </c>
      <c r="AA213" s="155">
        <v>0.0</v>
      </c>
      <c r="AB213" s="155">
        <v>0.0</v>
      </c>
      <c r="AC213" s="155">
        <v>0.0</v>
      </c>
      <c r="AD213" s="155">
        <v>0.0</v>
      </c>
      <c r="AE213" s="155">
        <v>0.0</v>
      </c>
      <c r="AF213" s="155">
        <v>0.0</v>
      </c>
      <c r="AG213" s="303">
        <f t="shared" si="52"/>
        <v>0</v>
      </c>
    </row>
    <row r="214" outlineLevel="1">
      <c r="A214" s="215" t="s">
        <v>742</v>
      </c>
      <c r="B214" s="155">
        <v>0.0</v>
      </c>
      <c r="C214" s="155">
        <v>0.0</v>
      </c>
      <c r="D214" s="155">
        <v>0.0</v>
      </c>
      <c r="E214" s="155">
        <v>0.0</v>
      </c>
      <c r="F214" s="155">
        <v>0.0</v>
      </c>
      <c r="G214" s="155">
        <v>0.0</v>
      </c>
      <c r="H214" s="155">
        <v>0.0</v>
      </c>
      <c r="I214" s="155">
        <v>0.0</v>
      </c>
      <c r="J214" s="155">
        <v>0.0</v>
      </c>
      <c r="K214" s="155">
        <v>0.0</v>
      </c>
      <c r="L214" s="155">
        <v>0.0</v>
      </c>
      <c r="M214" s="155">
        <v>0.0</v>
      </c>
      <c r="N214" s="155">
        <v>0.0</v>
      </c>
      <c r="O214" s="155">
        <v>0.0</v>
      </c>
      <c r="P214" s="155">
        <v>0.0</v>
      </c>
      <c r="Q214" s="155">
        <v>0.0</v>
      </c>
      <c r="R214" s="155">
        <v>0.0</v>
      </c>
      <c r="S214" s="155">
        <v>0.0</v>
      </c>
      <c r="T214" s="155">
        <v>0.0</v>
      </c>
      <c r="U214" s="155">
        <v>0.0</v>
      </c>
      <c r="V214" s="155">
        <v>0.0</v>
      </c>
      <c r="W214" s="155">
        <v>0.0</v>
      </c>
      <c r="X214" s="155">
        <v>0.0</v>
      </c>
      <c r="Y214" s="155">
        <v>0.0</v>
      </c>
      <c r="Z214" s="155">
        <v>0.0</v>
      </c>
      <c r="AA214" s="155">
        <v>0.0</v>
      </c>
      <c r="AB214" s="155">
        <v>0.0</v>
      </c>
      <c r="AC214" s="155">
        <v>0.0</v>
      </c>
      <c r="AD214" s="155">
        <v>0.0</v>
      </c>
      <c r="AE214" s="155">
        <v>0.0</v>
      </c>
      <c r="AF214" s="155">
        <v>0.0</v>
      </c>
      <c r="AG214" s="303">
        <f t="shared" si="52"/>
        <v>0</v>
      </c>
    </row>
    <row r="215" outlineLevel="1">
      <c r="A215" s="225" t="s">
        <v>141</v>
      </c>
      <c r="B215" s="243">
        <f t="shared" ref="B215:AF215" si="55">SUM(B207:B211)</f>
        <v>0</v>
      </c>
      <c r="C215" s="243">
        <f t="shared" si="55"/>
        <v>0</v>
      </c>
      <c r="D215" s="243">
        <f t="shared" si="55"/>
        <v>0</v>
      </c>
      <c r="E215" s="243">
        <f t="shared" si="55"/>
        <v>0</v>
      </c>
      <c r="F215" s="243">
        <f t="shared" si="55"/>
        <v>0</v>
      </c>
      <c r="G215" s="243">
        <f t="shared" si="55"/>
        <v>0</v>
      </c>
      <c r="H215" s="243">
        <f t="shared" si="55"/>
        <v>0</v>
      </c>
      <c r="I215" s="243">
        <f t="shared" si="55"/>
        <v>0</v>
      </c>
      <c r="J215" s="243">
        <f t="shared" si="55"/>
        <v>0</v>
      </c>
      <c r="K215" s="243">
        <f t="shared" si="55"/>
        <v>0</v>
      </c>
      <c r="L215" s="243">
        <f t="shared" si="55"/>
        <v>0</v>
      </c>
      <c r="M215" s="243">
        <f t="shared" si="55"/>
        <v>0</v>
      </c>
      <c r="N215" s="243">
        <f t="shared" si="55"/>
        <v>0</v>
      </c>
      <c r="O215" s="243">
        <f t="shared" si="55"/>
        <v>0</v>
      </c>
      <c r="P215" s="243">
        <f t="shared" si="55"/>
        <v>0</v>
      </c>
      <c r="Q215" s="243">
        <f t="shared" si="55"/>
        <v>0</v>
      </c>
      <c r="R215" s="243">
        <f t="shared" si="55"/>
        <v>0</v>
      </c>
      <c r="S215" s="243">
        <f t="shared" si="55"/>
        <v>0</v>
      </c>
      <c r="T215" s="243">
        <f t="shared" si="55"/>
        <v>0</v>
      </c>
      <c r="U215" s="243">
        <f t="shared" si="55"/>
        <v>0</v>
      </c>
      <c r="V215" s="243">
        <f t="shared" si="55"/>
        <v>0</v>
      </c>
      <c r="W215" s="243">
        <f t="shared" si="55"/>
        <v>0</v>
      </c>
      <c r="X215" s="243">
        <f t="shared" si="55"/>
        <v>0</v>
      </c>
      <c r="Y215" s="243">
        <f t="shared" si="55"/>
        <v>0</v>
      </c>
      <c r="Z215" s="243">
        <f t="shared" si="55"/>
        <v>0</v>
      </c>
      <c r="AA215" s="243">
        <f t="shared" si="55"/>
        <v>0</v>
      </c>
      <c r="AB215" s="243">
        <f t="shared" si="55"/>
        <v>0</v>
      </c>
      <c r="AC215" s="243">
        <f t="shared" si="55"/>
        <v>0</v>
      </c>
      <c r="AD215" s="243">
        <f t="shared" si="55"/>
        <v>0</v>
      </c>
      <c r="AE215" s="243">
        <f t="shared" si="55"/>
        <v>0</v>
      </c>
      <c r="AF215" s="243">
        <f t="shared" si="55"/>
        <v>0</v>
      </c>
      <c r="AG215" s="303">
        <f t="shared" si="52"/>
        <v>0</v>
      </c>
    </row>
    <row r="216" outlineLevel="1">
      <c r="A216" s="363"/>
      <c r="B216" s="160"/>
      <c r="C216" s="160"/>
      <c r="D216" s="160"/>
      <c r="E216" s="160"/>
      <c r="F216" s="160"/>
      <c r="G216" s="160"/>
      <c r="H216" s="160"/>
      <c r="I216" s="160"/>
      <c r="J216" s="160"/>
      <c r="K216" s="160"/>
      <c r="L216" s="160"/>
      <c r="M216" s="160"/>
      <c r="N216" s="160"/>
      <c r="O216" s="160"/>
      <c r="P216" s="160"/>
      <c r="Q216" s="160"/>
      <c r="R216" s="160"/>
      <c r="S216" s="160"/>
      <c r="T216" s="160"/>
      <c r="U216" s="160"/>
      <c r="V216" s="160"/>
      <c r="W216" s="160"/>
      <c r="X216" s="160"/>
      <c r="Y216" s="160"/>
      <c r="Z216" s="160"/>
      <c r="AA216" s="160"/>
      <c r="AB216" s="160"/>
      <c r="AC216" s="160"/>
      <c r="AD216" s="160"/>
      <c r="AE216" s="160"/>
      <c r="AF216" s="160"/>
      <c r="AG216" s="413"/>
    </row>
    <row r="217" outlineLevel="1">
      <c r="A217" s="225" t="s">
        <v>588</v>
      </c>
      <c r="B217" s="243"/>
      <c r="C217" s="243"/>
      <c r="D217" s="243"/>
      <c r="E217" s="243"/>
      <c r="F217" s="243"/>
      <c r="G217" s="243"/>
      <c r="H217" s="243"/>
      <c r="I217" s="243"/>
      <c r="J217" s="243"/>
      <c r="K217" s="243"/>
      <c r="L217" s="243"/>
      <c r="M217" s="243"/>
      <c r="N217" s="243"/>
      <c r="O217" s="243"/>
      <c r="P217" s="243"/>
      <c r="Q217" s="243"/>
      <c r="R217" s="243"/>
      <c r="S217" s="243"/>
      <c r="T217" s="243"/>
      <c r="U217" s="243"/>
      <c r="V217" s="243"/>
      <c r="W217" s="243"/>
      <c r="X217" s="243"/>
      <c r="Y217" s="243"/>
      <c r="Z217" s="243"/>
      <c r="AA217" s="243"/>
      <c r="AB217" s="243"/>
      <c r="AC217" s="243"/>
      <c r="AD217" s="243"/>
      <c r="AE217" s="243"/>
      <c r="AF217" s="243"/>
      <c r="AG217" s="413"/>
    </row>
    <row r="218" outlineLevel="1">
      <c r="A218" s="215" t="s">
        <v>589</v>
      </c>
      <c r="B218" s="155">
        <v>0.0</v>
      </c>
      <c r="C218" s="155">
        <v>0.0</v>
      </c>
      <c r="D218" s="155">
        <v>0.0</v>
      </c>
      <c r="E218" s="155">
        <v>0.0</v>
      </c>
      <c r="F218" s="155">
        <v>0.0</v>
      </c>
      <c r="G218" s="155">
        <v>0.0</v>
      </c>
      <c r="H218" s="155">
        <v>0.0</v>
      </c>
      <c r="I218" s="155">
        <v>0.0</v>
      </c>
      <c r="J218" s="155">
        <v>0.0</v>
      </c>
      <c r="K218" s="155">
        <v>0.0</v>
      </c>
      <c r="L218" s="155">
        <v>0.0</v>
      </c>
      <c r="M218" s="155">
        <v>0.0</v>
      </c>
      <c r="N218" s="155">
        <v>0.0</v>
      </c>
      <c r="O218" s="155">
        <v>0.0</v>
      </c>
      <c r="P218" s="155">
        <v>0.0</v>
      </c>
      <c r="Q218" s="155">
        <v>0.0</v>
      </c>
      <c r="R218" s="155">
        <v>0.0</v>
      </c>
      <c r="S218" s="155">
        <v>0.0</v>
      </c>
      <c r="T218" s="155">
        <v>0.0</v>
      </c>
      <c r="U218" s="155">
        <v>0.0</v>
      </c>
      <c r="V218" s="155">
        <v>0.0</v>
      </c>
      <c r="W218" s="155">
        <v>0.0</v>
      </c>
      <c r="X218" s="155">
        <v>0.0</v>
      </c>
      <c r="Y218" s="155">
        <v>0.0</v>
      </c>
      <c r="Z218" s="155">
        <v>0.0</v>
      </c>
      <c r="AA218" s="155">
        <v>0.0</v>
      </c>
      <c r="AB218" s="155">
        <v>0.0</v>
      </c>
      <c r="AC218" s="155">
        <v>0.0</v>
      </c>
      <c r="AD218" s="155">
        <v>0.0</v>
      </c>
      <c r="AE218" s="155">
        <v>0.0</v>
      </c>
      <c r="AF218" s="155">
        <v>0.0</v>
      </c>
      <c r="AG218" s="303">
        <f t="shared" ref="AG218:AG222" si="56">SUM(B218:AF218)</f>
        <v>0</v>
      </c>
    </row>
    <row r="219" outlineLevel="1">
      <c r="A219" s="215" t="s">
        <v>590</v>
      </c>
      <c r="B219" s="155">
        <v>0.0</v>
      </c>
      <c r="C219" s="155">
        <v>0.0</v>
      </c>
      <c r="D219" s="155">
        <v>0.0</v>
      </c>
      <c r="E219" s="155">
        <v>0.0</v>
      </c>
      <c r="F219" s="155">
        <v>0.0</v>
      </c>
      <c r="G219" s="155">
        <v>0.0</v>
      </c>
      <c r="H219" s="155">
        <v>0.0</v>
      </c>
      <c r="I219" s="155">
        <v>0.0</v>
      </c>
      <c r="J219" s="155">
        <v>0.0</v>
      </c>
      <c r="K219" s="155">
        <v>0.0</v>
      </c>
      <c r="L219" s="155">
        <v>0.0</v>
      </c>
      <c r="M219" s="155">
        <v>0.0</v>
      </c>
      <c r="N219" s="155">
        <v>0.0</v>
      </c>
      <c r="O219" s="155">
        <v>0.0</v>
      </c>
      <c r="P219" s="155">
        <v>0.0</v>
      </c>
      <c r="Q219" s="155">
        <v>0.0</v>
      </c>
      <c r="R219" s="155">
        <v>0.0</v>
      </c>
      <c r="S219" s="155">
        <v>0.0</v>
      </c>
      <c r="T219" s="155">
        <v>0.0</v>
      </c>
      <c r="U219" s="155">
        <v>0.0</v>
      </c>
      <c r="V219" s="155">
        <v>0.0</v>
      </c>
      <c r="W219" s="155">
        <v>0.0</v>
      </c>
      <c r="X219" s="155">
        <v>0.0</v>
      </c>
      <c r="Y219" s="155">
        <v>0.0</v>
      </c>
      <c r="Z219" s="155">
        <v>0.0</v>
      </c>
      <c r="AA219" s="155">
        <v>0.0</v>
      </c>
      <c r="AB219" s="155">
        <v>0.0</v>
      </c>
      <c r="AC219" s="155">
        <v>0.0</v>
      </c>
      <c r="AD219" s="155">
        <v>0.0</v>
      </c>
      <c r="AE219" s="155">
        <v>0.0</v>
      </c>
      <c r="AF219" s="155">
        <v>0.0</v>
      </c>
      <c r="AG219" s="303">
        <f t="shared" si="56"/>
        <v>0</v>
      </c>
    </row>
    <row r="220" outlineLevel="1">
      <c r="A220" s="215" t="s">
        <v>591</v>
      </c>
      <c r="B220" s="155">
        <v>0.0</v>
      </c>
      <c r="C220" s="155">
        <v>0.0</v>
      </c>
      <c r="D220" s="155">
        <v>0.0</v>
      </c>
      <c r="E220" s="155">
        <v>0.0</v>
      </c>
      <c r="F220" s="155">
        <v>0.0</v>
      </c>
      <c r="G220" s="155">
        <v>0.0</v>
      </c>
      <c r="H220" s="155">
        <v>0.0</v>
      </c>
      <c r="I220" s="155">
        <v>0.0</v>
      </c>
      <c r="J220" s="155">
        <v>0.0</v>
      </c>
      <c r="K220" s="155">
        <v>0.0</v>
      </c>
      <c r="L220" s="155">
        <v>0.0</v>
      </c>
      <c r="M220" s="155">
        <v>0.0</v>
      </c>
      <c r="N220" s="155">
        <v>0.0</v>
      </c>
      <c r="O220" s="155">
        <v>0.0</v>
      </c>
      <c r="P220" s="155">
        <v>0.0</v>
      </c>
      <c r="Q220" s="155">
        <v>0.0</v>
      </c>
      <c r="R220" s="155">
        <v>0.0</v>
      </c>
      <c r="S220" s="155">
        <v>0.0</v>
      </c>
      <c r="T220" s="155">
        <v>0.0</v>
      </c>
      <c r="U220" s="155">
        <v>0.0</v>
      </c>
      <c r="V220" s="155">
        <v>0.0</v>
      </c>
      <c r="W220" s="155">
        <v>0.0</v>
      </c>
      <c r="X220" s="155">
        <v>0.0</v>
      </c>
      <c r="Y220" s="155">
        <v>0.0</v>
      </c>
      <c r="Z220" s="155">
        <v>0.0</v>
      </c>
      <c r="AA220" s="155">
        <v>0.0</v>
      </c>
      <c r="AB220" s="155">
        <v>0.0</v>
      </c>
      <c r="AC220" s="155">
        <v>0.0</v>
      </c>
      <c r="AD220" s="155">
        <v>0.0</v>
      </c>
      <c r="AE220" s="155">
        <v>0.0</v>
      </c>
      <c r="AF220" s="155">
        <v>0.0</v>
      </c>
      <c r="AG220" s="303">
        <f t="shared" si="56"/>
        <v>0</v>
      </c>
    </row>
    <row r="221" outlineLevel="1">
      <c r="A221" s="364"/>
      <c r="B221" s="160"/>
      <c r="C221" s="160"/>
      <c r="D221" s="160"/>
      <c r="E221" s="160"/>
      <c r="F221" s="160"/>
      <c r="G221" s="160"/>
      <c r="H221" s="160"/>
      <c r="I221" s="160"/>
      <c r="J221" s="160"/>
      <c r="K221" s="160"/>
      <c r="L221" s="160"/>
      <c r="M221" s="160"/>
      <c r="N221" s="160"/>
      <c r="O221" s="160"/>
      <c r="P221" s="160"/>
      <c r="Q221" s="160"/>
      <c r="R221" s="160"/>
      <c r="S221" s="160"/>
      <c r="T221" s="160"/>
      <c r="U221" s="160"/>
      <c r="V221" s="160"/>
      <c r="W221" s="160"/>
      <c r="X221" s="160"/>
      <c r="Y221" s="160"/>
      <c r="Z221" s="160"/>
      <c r="AA221" s="160"/>
      <c r="AB221" s="160"/>
      <c r="AC221" s="160"/>
      <c r="AD221" s="160"/>
      <c r="AE221" s="160"/>
      <c r="AF221" s="160"/>
      <c r="AG221" s="303">
        <f t="shared" si="56"/>
        <v>0</v>
      </c>
    </row>
    <row r="222" outlineLevel="1">
      <c r="A222" s="365" t="s">
        <v>592</v>
      </c>
      <c r="B222" s="243">
        <v>0.0</v>
      </c>
      <c r="C222" s="243">
        <v>0.0</v>
      </c>
      <c r="D222" s="243">
        <v>0.0</v>
      </c>
      <c r="E222" s="243">
        <v>0.0</v>
      </c>
      <c r="F222" s="243">
        <v>0.0</v>
      </c>
      <c r="G222" s="243">
        <v>0.0</v>
      </c>
      <c r="H222" s="243">
        <v>0.0</v>
      </c>
      <c r="I222" s="243">
        <v>0.0</v>
      </c>
      <c r="J222" s="243">
        <v>0.0</v>
      </c>
      <c r="K222" s="243">
        <v>0.0</v>
      </c>
      <c r="L222" s="243">
        <v>0.0</v>
      </c>
      <c r="M222" s="243">
        <v>0.0</v>
      </c>
      <c r="N222" s="243">
        <v>0.0</v>
      </c>
      <c r="O222" s="243">
        <v>0.0</v>
      </c>
      <c r="P222" s="243">
        <v>0.0</v>
      </c>
      <c r="Q222" s="243">
        <v>0.0</v>
      </c>
      <c r="R222" s="243">
        <v>0.0</v>
      </c>
      <c r="S222" s="243">
        <v>0.0</v>
      </c>
      <c r="T222" s="243">
        <v>0.0</v>
      </c>
      <c r="U222" s="243">
        <v>0.0</v>
      </c>
      <c r="V222" s="243">
        <v>0.0</v>
      </c>
      <c r="W222" s="243">
        <v>0.0</v>
      </c>
      <c r="X222" s="243">
        <v>0.0</v>
      </c>
      <c r="Y222" s="243">
        <v>0.0</v>
      </c>
      <c r="Z222" s="243">
        <v>0.0</v>
      </c>
      <c r="AA222" s="243">
        <v>0.0</v>
      </c>
      <c r="AB222" s="243">
        <v>0.0</v>
      </c>
      <c r="AC222" s="243">
        <v>0.0</v>
      </c>
      <c r="AD222" s="243">
        <v>0.0</v>
      </c>
      <c r="AE222" s="243">
        <v>0.0</v>
      </c>
      <c r="AF222" s="243">
        <v>0.0</v>
      </c>
      <c r="AG222" s="303">
        <f t="shared" si="56"/>
        <v>0</v>
      </c>
    </row>
    <row r="223" outlineLevel="1">
      <c r="A223" s="98"/>
      <c r="B223" s="127"/>
      <c r="C223" s="127"/>
      <c r="D223" s="127"/>
      <c r="E223" s="127"/>
      <c r="F223" s="127"/>
      <c r="G223" s="127"/>
      <c r="H223" s="437"/>
      <c r="I223" s="83"/>
      <c r="J223" s="83"/>
      <c r="K223" s="83"/>
      <c r="L223" s="83"/>
      <c r="M223" s="83"/>
      <c r="N223" s="83"/>
      <c r="O223" s="83"/>
      <c r="P223" s="83"/>
      <c r="Q223" s="83"/>
      <c r="R223" s="83"/>
      <c r="S223" s="83"/>
      <c r="T223" s="83"/>
      <c r="U223" s="83"/>
      <c r="V223" s="83"/>
      <c r="W223" s="83"/>
      <c r="X223" s="83"/>
      <c r="Y223" s="83"/>
      <c r="Z223" s="83"/>
      <c r="AA223" s="83"/>
      <c r="AB223" s="83"/>
      <c r="AC223" s="83"/>
      <c r="AD223" s="83"/>
      <c r="AE223" s="83"/>
      <c r="AF223" s="83"/>
      <c r="AG223" s="413"/>
    </row>
    <row r="224" outlineLevel="1">
      <c r="A224" s="438"/>
      <c r="B224" s="439"/>
      <c r="C224" s="439"/>
      <c r="D224" s="439"/>
      <c r="E224" s="439"/>
      <c r="F224" s="439"/>
      <c r="G224" s="439"/>
      <c r="H224" s="439"/>
      <c r="I224" s="439"/>
      <c r="J224" s="439"/>
      <c r="K224" s="439"/>
      <c r="L224" s="439"/>
      <c r="M224" s="439"/>
      <c r="N224" s="439"/>
      <c r="O224" s="439"/>
      <c r="P224" s="439"/>
      <c r="Q224" s="439"/>
      <c r="R224" s="439"/>
      <c r="S224" s="439"/>
      <c r="T224" s="439"/>
      <c r="U224" s="439"/>
      <c r="V224" s="439"/>
      <c r="W224" s="439"/>
      <c r="X224" s="439"/>
      <c r="Y224" s="439"/>
      <c r="Z224" s="439"/>
      <c r="AA224" s="439"/>
      <c r="AB224" s="439"/>
      <c r="AC224" s="439"/>
      <c r="AD224" s="439"/>
      <c r="AE224" s="439"/>
      <c r="AF224" s="439"/>
      <c r="AG224" s="423"/>
    </row>
    <row r="225">
      <c r="A225" s="166"/>
      <c r="B225" s="236"/>
      <c r="C225" s="236"/>
      <c r="D225" s="236"/>
      <c r="E225" s="236"/>
      <c r="F225" s="236"/>
      <c r="G225" s="236"/>
      <c r="H225" s="236"/>
      <c r="I225" s="236"/>
      <c r="J225" s="236"/>
      <c r="K225" s="236"/>
      <c r="L225" s="236"/>
      <c r="M225" s="236"/>
      <c r="N225" s="236"/>
      <c r="O225" s="236"/>
      <c r="P225" s="236"/>
      <c r="Q225" s="236"/>
      <c r="R225" s="236"/>
      <c r="S225" s="236"/>
      <c r="T225" s="236"/>
      <c r="U225" s="236"/>
      <c r="V225" s="236"/>
      <c r="W225" s="236"/>
      <c r="X225" s="236"/>
      <c r="Y225" s="236"/>
      <c r="Z225" s="236"/>
      <c r="AA225" s="236"/>
      <c r="AB225" s="236"/>
      <c r="AC225" s="236"/>
      <c r="AD225" s="236"/>
      <c r="AE225" s="236"/>
      <c r="AF225" s="236"/>
      <c r="AG225" s="423"/>
    </row>
    <row r="226" ht="22.5" customHeight="1">
      <c r="A226" s="440"/>
      <c r="B226" s="441"/>
      <c r="C226" s="441"/>
      <c r="D226" s="441"/>
      <c r="E226" s="441"/>
      <c r="F226" s="441"/>
      <c r="G226" s="441"/>
      <c r="H226" s="441"/>
      <c r="I226" s="441"/>
      <c r="J226" s="441"/>
      <c r="K226" s="441"/>
      <c r="L226" s="441"/>
      <c r="M226" s="441"/>
      <c r="N226" s="441"/>
      <c r="O226" s="441"/>
      <c r="P226" s="441"/>
      <c r="Q226" s="441"/>
      <c r="R226" s="441"/>
      <c r="S226" s="441"/>
      <c r="T226" s="441"/>
      <c r="U226" s="441"/>
      <c r="V226" s="441"/>
      <c r="W226" s="441"/>
      <c r="X226" s="441"/>
      <c r="Y226" s="441"/>
      <c r="Z226" s="441"/>
      <c r="AA226" s="441"/>
      <c r="AB226" s="441"/>
      <c r="AC226" s="441"/>
      <c r="AD226" s="441"/>
      <c r="AE226" s="442"/>
      <c r="AF226" s="442"/>
      <c r="AG226" s="423"/>
    </row>
    <row r="227">
      <c r="A227" s="166"/>
      <c r="B227" s="236"/>
      <c r="C227" s="236"/>
      <c r="D227" s="236"/>
      <c r="E227" s="236"/>
      <c r="F227" s="236"/>
      <c r="G227" s="236"/>
      <c r="H227" s="236"/>
      <c r="I227" s="236"/>
      <c r="J227" s="236"/>
      <c r="K227" s="236"/>
      <c r="L227" s="236"/>
      <c r="M227" s="236"/>
      <c r="N227" s="236"/>
      <c r="O227" s="236"/>
      <c r="P227" s="236"/>
      <c r="Q227" s="236"/>
      <c r="R227" s="236"/>
      <c r="S227" s="236"/>
      <c r="T227" s="236"/>
      <c r="U227" s="236"/>
      <c r="V227" s="236"/>
      <c r="W227" s="236"/>
      <c r="X227" s="236"/>
      <c r="Y227" s="236"/>
      <c r="Z227" s="236"/>
      <c r="AA227" s="236"/>
      <c r="AB227" s="236"/>
      <c r="AC227" s="236"/>
      <c r="AD227" s="236"/>
      <c r="AE227" s="236"/>
      <c r="AF227" s="236"/>
      <c r="AG227" s="423"/>
    </row>
    <row r="228">
      <c r="A228" s="138" t="s">
        <v>743</v>
      </c>
      <c r="B228" s="155"/>
      <c r="C228" s="83"/>
      <c r="D228" s="83"/>
      <c r="E228" s="83"/>
      <c r="F228" s="83"/>
      <c r="G228" s="83"/>
      <c r="H228" s="83"/>
      <c r="I228" s="83"/>
      <c r="J228" s="83"/>
      <c r="K228" s="83"/>
      <c r="L228" s="83"/>
      <c r="M228" s="83"/>
      <c r="N228" s="83"/>
      <c r="O228" s="83"/>
      <c r="P228" s="83"/>
      <c r="Q228" s="83"/>
      <c r="R228" s="83"/>
      <c r="S228" s="83"/>
      <c r="T228" s="83"/>
      <c r="U228" s="83"/>
      <c r="V228" s="83"/>
      <c r="W228" s="83"/>
      <c r="X228" s="83"/>
      <c r="Y228" s="83"/>
      <c r="Z228" s="83"/>
      <c r="AA228" s="83"/>
      <c r="AB228" s="83"/>
      <c r="AC228" s="83"/>
      <c r="AD228" s="83"/>
      <c r="AE228" s="83"/>
      <c r="AF228" s="83"/>
      <c r="AG228" s="413"/>
    </row>
    <row r="229" outlineLevel="1">
      <c r="A229" s="397" t="s">
        <v>744</v>
      </c>
      <c r="B229" s="84">
        <v>0.0</v>
      </c>
      <c r="C229" s="84">
        <v>0.0</v>
      </c>
      <c r="D229" s="84">
        <v>0.0</v>
      </c>
      <c r="E229" s="84">
        <v>0.0</v>
      </c>
      <c r="F229" s="84">
        <v>0.0</v>
      </c>
      <c r="G229" s="84">
        <v>0.0</v>
      </c>
      <c r="H229" s="84">
        <v>0.0</v>
      </c>
      <c r="I229" s="84">
        <v>0.0</v>
      </c>
      <c r="J229" s="84">
        <v>0.0</v>
      </c>
      <c r="K229" s="84">
        <v>0.0</v>
      </c>
      <c r="L229" s="84">
        <v>0.0</v>
      </c>
      <c r="M229" s="84">
        <v>0.0</v>
      </c>
      <c r="N229" s="84"/>
      <c r="O229" s="84"/>
      <c r="P229" s="84"/>
      <c r="Q229" s="84"/>
      <c r="R229" s="84"/>
      <c r="S229" s="84"/>
      <c r="T229" s="84"/>
      <c r="U229" s="84"/>
      <c r="V229" s="84"/>
      <c r="W229" s="84"/>
      <c r="X229" s="84"/>
      <c r="Y229" s="84"/>
      <c r="Z229" s="156"/>
      <c r="AA229" s="84"/>
      <c r="AB229" s="84"/>
      <c r="AC229" s="156"/>
      <c r="AD229" s="156"/>
      <c r="AE229" s="156"/>
      <c r="AF229" s="156"/>
      <c r="AG229" s="413">
        <f t="shared" ref="AG229:AG233" si="57">sum(B229:AF229)</f>
        <v>0</v>
      </c>
    </row>
    <row r="230" outlineLevel="1">
      <c r="A230" s="397" t="s">
        <v>745</v>
      </c>
      <c r="B230" s="84">
        <v>0.0</v>
      </c>
      <c r="C230" s="84">
        <v>0.0</v>
      </c>
      <c r="D230" s="84">
        <v>0.0</v>
      </c>
      <c r="E230" s="84">
        <v>0.0</v>
      </c>
      <c r="F230" s="84">
        <v>0.0</v>
      </c>
      <c r="G230" s="84">
        <v>0.0</v>
      </c>
      <c r="H230" s="84">
        <v>0.0</v>
      </c>
      <c r="I230" s="84">
        <v>0.0</v>
      </c>
      <c r="J230" s="84">
        <v>0.0</v>
      </c>
      <c r="K230" s="84">
        <v>0.0</v>
      </c>
      <c r="L230" s="84">
        <v>0.0</v>
      </c>
      <c r="M230" s="84">
        <v>0.0</v>
      </c>
      <c r="N230" s="84"/>
      <c r="O230" s="84"/>
      <c r="P230" s="84"/>
      <c r="Q230" s="84"/>
      <c r="R230" s="84"/>
      <c r="S230" s="84"/>
      <c r="T230" s="84"/>
      <c r="U230" s="84"/>
      <c r="V230" s="84"/>
      <c r="W230" s="84"/>
      <c r="X230" s="84"/>
      <c r="Y230" s="84"/>
      <c r="Z230" s="156"/>
      <c r="AA230" s="84"/>
      <c r="AB230" s="84"/>
      <c r="AC230" s="156"/>
      <c r="AD230" s="156"/>
      <c r="AE230" s="156"/>
      <c r="AF230" s="156"/>
      <c r="AG230" s="413">
        <f t="shared" si="57"/>
        <v>0</v>
      </c>
    </row>
    <row r="231" outlineLevel="1">
      <c r="A231" s="397" t="s">
        <v>746</v>
      </c>
      <c r="B231" s="84">
        <v>0.0</v>
      </c>
      <c r="C231" s="84">
        <v>0.0</v>
      </c>
      <c r="D231" s="84">
        <v>0.0</v>
      </c>
      <c r="E231" s="84">
        <v>0.0</v>
      </c>
      <c r="F231" s="84">
        <v>0.0</v>
      </c>
      <c r="G231" s="84">
        <v>0.0</v>
      </c>
      <c r="H231" s="84">
        <v>0.0</v>
      </c>
      <c r="I231" s="84">
        <v>0.0</v>
      </c>
      <c r="J231" s="84">
        <v>0.0</v>
      </c>
      <c r="K231" s="84">
        <v>0.0</v>
      </c>
      <c r="L231" s="84">
        <v>0.0</v>
      </c>
      <c r="M231" s="84">
        <v>0.0</v>
      </c>
      <c r="N231" s="84"/>
      <c r="O231" s="84"/>
      <c r="P231" s="84"/>
      <c r="Q231" s="84"/>
      <c r="R231" s="84"/>
      <c r="S231" s="84"/>
      <c r="T231" s="84"/>
      <c r="U231" s="84"/>
      <c r="V231" s="84"/>
      <c r="W231" s="84"/>
      <c r="X231" s="84"/>
      <c r="Y231" s="84"/>
      <c r="Z231" s="157"/>
      <c r="AA231" s="84"/>
      <c r="AB231" s="84"/>
      <c r="AC231" s="84"/>
      <c r="AD231" s="84"/>
      <c r="AE231" s="84"/>
      <c r="AF231" s="84"/>
      <c r="AG231" s="413">
        <f t="shared" si="57"/>
        <v>0</v>
      </c>
    </row>
    <row r="232" outlineLevel="1">
      <c r="A232" s="397" t="s">
        <v>747</v>
      </c>
      <c r="B232" s="84">
        <v>0.0</v>
      </c>
      <c r="C232" s="84">
        <v>0.0</v>
      </c>
      <c r="D232" s="84">
        <v>0.0</v>
      </c>
      <c r="E232" s="84">
        <v>0.0</v>
      </c>
      <c r="F232" s="84">
        <v>0.0</v>
      </c>
      <c r="G232" s="84">
        <v>0.0</v>
      </c>
      <c r="H232" s="84">
        <v>0.0</v>
      </c>
      <c r="I232" s="84">
        <v>0.0</v>
      </c>
      <c r="J232" s="84">
        <v>0.0</v>
      </c>
      <c r="K232" s="84">
        <v>0.0</v>
      </c>
      <c r="L232" s="84">
        <v>0.0</v>
      </c>
      <c r="M232" s="84">
        <v>0.0</v>
      </c>
      <c r="N232" s="84"/>
      <c r="O232" s="84"/>
      <c r="P232" s="84"/>
      <c r="Q232" s="84"/>
      <c r="R232" s="84"/>
      <c r="S232" s="84"/>
      <c r="T232" s="84"/>
      <c r="U232" s="84"/>
      <c r="V232" s="84"/>
      <c r="W232" s="84"/>
      <c r="X232" s="84"/>
      <c r="Y232" s="84"/>
      <c r="Z232" s="157"/>
      <c r="AA232" s="84"/>
      <c r="AB232" s="84"/>
      <c r="AC232" s="84"/>
      <c r="AD232" s="84"/>
      <c r="AE232" s="84"/>
      <c r="AF232" s="84"/>
      <c r="AG232" s="413">
        <f t="shared" si="57"/>
        <v>0</v>
      </c>
    </row>
    <row r="233" outlineLevel="1">
      <c r="A233" s="443" t="s">
        <v>515</v>
      </c>
      <c r="B233" s="444">
        <f t="shared" ref="B233:AF233" si="58">SUM(B229:B232)</f>
        <v>0</v>
      </c>
      <c r="C233" s="444">
        <f t="shared" si="58"/>
        <v>0</v>
      </c>
      <c r="D233" s="444">
        <f t="shared" si="58"/>
        <v>0</v>
      </c>
      <c r="E233" s="444">
        <f t="shared" si="58"/>
        <v>0</v>
      </c>
      <c r="F233" s="444">
        <f t="shared" si="58"/>
        <v>0</v>
      </c>
      <c r="G233" s="444">
        <f t="shared" si="58"/>
        <v>0</v>
      </c>
      <c r="H233" s="444">
        <f t="shared" si="58"/>
        <v>0</v>
      </c>
      <c r="I233" s="444">
        <f t="shared" si="58"/>
        <v>0</v>
      </c>
      <c r="J233" s="444">
        <f t="shared" si="58"/>
        <v>0</v>
      </c>
      <c r="K233" s="444">
        <f t="shared" si="58"/>
        <v>0</v>
      </c>
      <c r="L233" s="444">
        <f t="shared" si="58"/>
        <v>0</v>
      </c>
      <c r="M233" s="444">
        <f t="shared" si="58"/>
        <v>0</v>
      </c>
      <c r="N233" s="444">
        <f t="shared" si="58"/>
        <v>0</v>
      </c>
      <c r="O233" s="444">
        <f t="shared" si="58"/>
        <v>0</v>
      </c>
      <c r="P233" s="444">
        <f t="shared" si="58"/>
        <v>0</v>
      </c>
      <c r="Q233" s="444">
        <f t="shared" si="58"/>
        <v>0</v>
      </c>
      <c r="R233" s="444">
        <f t="shared" si="58"/>
        <v>0</v>
      </c>
      <c r="S233" s="444">
        <f t="shared" si="58"/>
        <v>0</v>
      </c>
      <c r="T233" s="444">
        <f t="shared" si="58"/>
        <v>0</v>
      </c>
      <c r="U233" s="444">
        <f t="shared" si="58"/>
        <v>0</v>
      </c>
      <c r="V233" s="444">
        <f t="shared" si="58"/>
        <v>0</v>
      </c>
      <c r="W233" s="444">
        <f t="shared" si="58"/>
        <v>0</v>
      </c>
      <c r="X233" s="444">
        <f t="shared" si="58"/>
        <v>0</v>
      </c>
      <c r="Y233" s="444">
        <f t="shared" si="58"/>
        <v>0</v>
      </c>
      <c r="Z233" s="444">
        <f t="shared" si="58"/>
        <v>0</v>
      </c>
      <c r="AA233" s="444">
        <f t="shared" si="58"/>
        <v>0</v>
      </c>
      <c r="AB233" s="444">
        <f t="shared" si="58"/>
        <v>0</v>
      </c>
      <c r="AC233" s="444">
        <f t="shared" si="58"/>
        <v>0</v>
      </c>
      <c r="AD233" s="444">
        <f t="shared" si="58"/>
        <v>0</v>
      </c>
      <c r="AE233" s="444">
        <f t="shared" si="58"/>
        <v>0</v>
      </c>
      <c r="AF233" s="444">
        <f t="shared" si="58"/>
        <v>0</v>
      </c>
      <c r="AG233" s="413">
        <f t="shared" si="57"/>
        <v>0</v>
      </c>
    </row>
    <row r="234" outlineLevel="1">
      <c r="A234" s="98"/>
      <c r="B234" s="162"/>
      <c r="C234" s="162"/>
      <c r="D234" s="162"/>
      <c r="E234" s="162"/>
      <c r="F234" s="162"/>
      <c r="G234" s="162"/>
      <c r="H234" s="162"/>
      <c r="I234" s="162"/>
      <c r="J234" s="83"/>
      <c r="K234" s="83"/>
      <c r="L234" s="83"/>
      <c r="M234" s="83"/>
      <c r="N234" s="83"/>
      <c r="O234" s="83"/>
      <c r="P234" s="83"/>
      <c r="Q234" s="83"/>
      <c r="R234" s="83"/>
      <c r="S234" s="83"/>
      <c r="T234" s="83"/>
      <c r="U234" s="83"/>
      <c r="V234" s="83"/>
      <c r="W234" s="83"/>
      <c r="X234" s="83"/>
      <c r="Y234" s="83"/>
      <c r="Z234" s="83"/>
      <c r="AA234" s="83"/>
      <c r="AB234" s="83"/>
      <c r="AC234" s="83"/>
      <c r="AD234" s="83"/>
      <c r="AE234" s="83"/>
      <c r="AF234" s="83"/>
      <c r="AG234" s="445"/>
    </row>
    <row r="235" outlineLevel="1">
      <c r="A235" s="397" t="s">
        <v>131</v>
      </c>
      <c r="B235" s="155">
        <v>0.0</v>
      </c>
      <c r="C235" s="155">
        <v>0.0</v>
      </c>
      <c r="D235" s="155">
        <v>0.0</v>
      </c>
      <c r="E235" s="155">
        <v>0.0</v>
      </c>
      <c r="F235" s="155">
        <v>0.0</v>
      </c>
      <c r="G235" s="155">
        <v>0.0</v>
      </c>
      <c r="H235" s="155">
        <v>0.0</v>
      </c>
      <c r="I235" s="155">
        <v>0.0</v>
      </c>
      <c r="J235" s="155">
        <v>0.0</v>
      </c>
      <c r="K235" s="155">
        <v>0.0</v>
      </c>
      <c r="L235" s="155">
        <v>0.0</v>
      </c>
      <c r="M235" s="155">
        <v>0.0</v>
      </c>
      <c r="N235" s="155"/>
      <c r="O235" s="155"/>
      <c r="P235" s="155"/>
      <c r="Q235" s="155"/>
      <c r="R235" s="155"/>
      <c r="S235" s="155"/>
      <c r="T235" s="155"/>
      <c r="U235" s="155"/>
      <c r="V235" s="84"/>
      <c r="W235" s="84"/>
      <c r="X235" s="84"/>
      <c r="Y235" s="84"/>
      <c r="Z235" s="164"/>
      <c r="AA235" s="84"/>
      <c r="AB235" s="84"/>
      <c r="AC235" s="164"/>
      <c r="AD235" s="164"/>
      <c r="AE235" s="164"/>
      <c r="AF235" s="164"/>
      <c r="AG235" s="413">
        <f t="shared" ref="AG235:AG243" si="59">sum(B235:AF235)</f>
        <v>0</v>
      </c>
    </row>
    <row r="236" outlineLevel="1">
      <c r="A236" s="397" t="s">
        <v>132</v>
      </c>
      <c r="B236" s="155">
        <v>0.0</v>
      </c>
      <c r="C236" s="155">
        <v>0.0</v>
      </c>
      <c r="D236" s="155">
        <v>0.0</v>
      </c>
      <c r="E236" s="155">
        <v>0.0</v>
      </c>
      <c r="F236" s="155">
        <v>0.0</v>
      </c>
      <c r="G236" s="155">
        <v>0.0</v>
      </c>
      <c r="H236" s="155">
        <v>0.0</v>
      </c>
      <c r="I236" s="155">
        <v>0.0</v>
      </c>
      <c r="J236" s="155">
        <v>0.0</v>
      </c>
      <c r="K236" s="155">
        <v>0.0</v>
      </c>
      <c r="L236" s="155">
        <v>0.0</v>
      </c>
      <c r="M236" s="155">
        <v>0.0</v>
      </c>
      <c r="N236" s="155"/>
      <c r="O236" s="155"/>
      <c r="P236" s="155"/>
      <c r="Q236" s="155"/>
      <c r="R236" s="155"/>
      <c r="S236" s="155"/>
      <c r="T236" s="155"/>
      <c r="U236" s="155"/>
      <c r="V236" s="84"/>
      <c r="W236" s="84"/>
      <c r="X236" s="84"/>
      <c r="Y236" s="84"/>
      <c r="Z236" s="156"/>
      <c r="AA236" s="161"/>
      <c r="AB236" s="84"/>
      <c r="AC236" s="161"/>
      <c r="AD236" s="161"/>
      <c r="AE236" s="161"/>
      <c r="AF236" s="161"/>
      <c r="AG236" s="413">
        <f t="shared" si="59"/>
        <v>0</v>
      </c>
    </row>
    <row r="237" outlineLevel="1">
      <c r="A237" s="397" t="s">
        <v>748</v>
      </c>
      <c r="B237" s="155">
        <v>0.0</v>
      </c>
      <c r="C237" s="155">
        <v>0.0</v>
      </c>
      <c r="D237" s="155">
        <v>0.0</v>
      </c>
      <c r="E237" s="155">
        <v>0.0</v>
      </c>
      <c r="F237" s="155">
        <v>0.0</v>
      </c>
      <c r="G237" s="155">
        <v>0.0</v>
      </c>
      <c r="H237" s="155">
        <v>0.0</v>
      </c>
      <c r="I237" s="155">
        <v>0.0</v>
      </c>
      <c r="J237" s="155">
        <v>0.0</v>
      </c>
      <c r="K237" s="155">
        <v>0.0</v>
      </c>
      <c r="L237" s="155">
        <v>0.0</v>
      </c>
      <c r="M237" s="155">
        <v>0.0</v>
      </c>
      <c r="N237" s="155"/>
      <c r="O237" s="155"/>
      <c r="P237" s="155"/>
      <c r="Q237" s="155"/>
      <c r="R237" s="155"/>
      <c r="S237" s="155"/>
      <c r="T237" s="155"/>
      <c r="U237" s="155"/>
      <c r="V237" s="155"/>
      <c r="W237" s="155"/>
      <c r="X237" s="155"/>
      <c r="Y237" s="155"/>
      <c r="Z237" s="165"/>
      <c r="AA237" s="155"/>
      <c r="AB237" s="155"/>
      <c r="AC237" s="165"/>
      <c r="AD237" s="165"/>
      <c r="AE237" s="165"/>
      <c r="AF237" s="165"/>
      <c r="AG237" s="413">
        <f t="shared" si="59"/>
        <v>0</v>
      </c>
    </row>
    <row r="238" outlineLevel="1">
      <c r="A238" s="397" t="s">
        <v>749</v>
      </c>
      <c r="B238" s="154">
        <v>0.0</v>
      </c>
      <c r="C238" s="154">
        <v>0.0</v>
      </c>
      <c r="D238" s="154">
        <v>0.0</v>
      </c>
      <c r="E238" s="154">
        <v>0.0</v>
      </c>
      <c r="F238" s="154">
        <v>0.0</v>
      </c>
      <c r="G238" s="154">
        <v>0.0</v>
      </c>
      <c r="H238" s="154">
        <v>0.0</v>
      </c>
      <c r="I238" s="154">
        <v>0.0</v>
      </c>
      <c r="J238" s="154">
        <v>0.0</v>
      </c>
      <c r="K238" s="154">
        <v>0.0</v>
      </c>
      <c r="L238" s="154">
        <v>0.0</v>
      </c>
      <c r="M238" s="154">
        <v>0.0</v>
      </c>
      <c r="N238" s="154"/>
      <c r="O238" s="154"/>
      <c r="P238" s="154"/>
      <c r="Q238" s="154"/>
      <c r="R238" s="154"/>
      <c r="S238" s="154"/>
      <c r="T238" s="154"/>
      <c r="U238" s="154"/>
      <c r="V238" s="155"/>
      <c r="W238" s="155"/>
      <c r="X238" s="155"/>
      <c r="Y238" s="155"/>
      <c r="Z238" s="165"/>
      <c r="AA238" s="155"/>
      <c r="AB238" s="155"/>
      <c r="AC238" s="165"/>
      <c r="AD238" s="165"/>
      <c r="AE238" s="165"/>
      <c r="AF238" s="165"/>
      <c r="AG238" s="413">
        <f t="shared" si="59"/>
        <v>0</v>
      </c>
    </row>
    <row r="239" outlineLevel="1">
      <c r="A239" s="397" t="s">
        <v>750</v>
      </c>
      <c r="B239" s="155">
        <v>0.0</v>
      </c>
      <c r="C239" s="155">
        <v>0.0</v>
      </c>
      <c r="D239" s="155">
        <v>0.0</v>
      </c>
      <c r="E239" s="155">
        <v>0.0</v>
      </c>
      <c r="F239" s="155">
        <v>0.0</v>
      </c>
      <c r="G239" s="155">
        <v>0.0</v>
      </c>
      <c r="H239" s="155">
        <v>0.0</v>
      </c>
      <c r="I239" s="155">
        <v>0.0</v>
      </c>
      <c r="J239" s="155">
        <v>0.0</v>
      </c>
      <c r="K239" s="155">
        <v>0.0</v>
      </c>
      <c r="L239" s="155">
        <v>0.0</v>
      </c>
      <c r="M239" s="155">
        <v>0.0</v>
      </c>
      <c r="N239" s="155"/>
      <c r="O239" s="155"/>
      <c r="P239" s="155"/>
      <c r="Q239" s="155"/>
      <c r="R239" s="155"/>
      <c r="S239" s="155"/>
      <c r="T239" s="155"/>
      <c r="U239" s="155"/>
      <c r="V239" s="155"/>
      <c r="W239" s="155"/>
      <c r="X239" s="155"/>
      <c r="Y239" s="155"/>
      <c r="Z239" s="155"/>
      <c r="AA239" s="84"/>
      <c r="AB239" s="155"/>
      <c r="AC239" s="165"/>
      <c r="AD239" s="165"/>
      <c r="AE239" s="165"/>
      <c r="AF239" s="165"/>
      <c r="AG239" s="413">
        <f t="shared" si="59"/>
        <v>0</v>
      </c>
    </row>
    <row r="240" outlineLevel="1">
      <c r="A240" s="397" t="s">
        <v>751</v>
      </c>
      <c r="B240" s="154">
        <v>0.0</v>
      </c>
      <c r="C240" s="154">
        <v>0.0</v>
      </c>
      <c r="D240" s="154">
        <v>0.0</v>
      </c>
      <c r="E240" s="154">
        <v>0.0</v>
      </c>
      <c r="F240" s="154">
        <v>0.0</v>
      </c>
      <c r="G240" s="154">
        <v>0.0</v>
      </c>
      <c r="H240" s="154">
        <v>0.0</v>
      </c>
      <c r="I240" s="154">
        <v>0.0</v>
      </c>
      <c r="J240" s="154">
        <v>0.0</v>
      </c>
      <c r="K240" s="154">
        <v>0.0</v>
      </c>
      <c r="L240" s="154">
        <v>0.0</v>
      </c>
      <c r="M240" s="154">
        <v>0.0</v>
      </c>
      <c r="N240" s="154"/>
      <c r="O240" s="154"/>
      <c r="P240" s="154"/>
      <c r="Q240" s="154"/>
      <c r="R240" s="154"/>
      <c r="S240" s="154"/>
      <c r="T240" s="154"/>
      <c r="U240" s="154"/>
      <c r="V240" s="155"/>
      <c r="W240" s="155"/>
      <c r="X240" s="155"/>
      <c r="Y240" s="155"/>
      <c r="Z240" s="155"/>
      <c r="AA240" s="84"/>
      <c r="AB240" s="155"/>
      <c r="AC240" s="165"/>
      <c r="AD240" s="165"/>
      <c r="AE240" s="165"/>
      <c r="AF240" s="165"/>
      <c r="AG240" s="413">
        <f t="shared" si="59"/>
        <v>0</v>
      </c>
    </row>
    <row r="241" outlineLevel="1">
      <c r="A241" s="397" t="s">
        <v>752</v>
      </c>
      <c r="B241" s="155">
        <v>0.0</v>
      </c>
      <c r="C241" s="155">
        <v>0.0</v>
      </c>
      <c r="D241" s="155">
        <v>0.0</v>
      </c>
      <c r="E241" s="155">
        <v>0.0</v>
      </c>
      <c r="F241" s="155">
        <v>0.0</v>
      </c>
      <c r="G241" s="155">
        <v>0.0</v>
      </c>
      <c r="H241" s="155">
        <v>0.0</v>
      </c>
      <c r="I241" s="155">
        <v>0.0</v>
      </c>
      <c r="J241" s="155">
        <v>0.0</v>
      </c>
      <c r="K241" s="155">
        <v>0.0</v>
      </c>
      <c r="L241" s="155">
        <v>0.0</v>
      </c>
      <c r="M241" s="155">
        <v>0.0</v>
      </c>
      <c r="N241" s="155"/>
      <c r="O241" s="155"/>
      <c r="P241" s="155"/>
      <c r="Q241" s="155"/>
      <c r="R241" s="155"/>
      <c r="S241" s="155"/>
      <c r="T241" s="155"/>
      <c r="U241" s="155"/>
      <c r="V241" s="155"/>
      <c r="W241" s="155"/>
      <c r="X241" s="155"/>
      <c r="Y241" s="155"/>
      <c r="Z241" s="155"/>
      <c r="AA241" s="84"/>
      <c r="AB241" s="155"/>
      <c r="AC241" s="165"/>
      <c r="AD241" s="165"/>
      <c r="AE241" s="165"/>
      <c r="AF241" s="165"/>
      <c r="AG241" s="413">
        <f t="shared" si="59"/>
        <v>0</v>
      </c>
    </row>
    <row r="242" outlineLevel="1">
      <c r="A242" s="397" t="s">
        <v>753</v>
      </c>
      <c r="B242" s="155">
        <v>0.0</v>
      </c>
      <c r="C242" s="155">
        <v>0.0</v>
      </c>
      <c r="D242" s="155">
        <v>0.0</v>
      </c>
      <c r="E242" s="155">
        <v>0.0</v>
      </c>
      <c r="F242" s="155">
        <v>0.0</v>
      </c>
      <c r="G242" s="155">
        <v>0.0</v>
      </c>
      <c r="H242" s="155">
        <v>0.0</v>
      </c>
      <c r="I242" s="155">
        <v>0.0</v>
      </c>
      <c r="J242" s="155">
        <v>0.0</v>
      </c>
      <c r="K242" s="155">
        <v>0.0</v>
      </c>
      <c r="L242" s="155">
        <v>0.0</v>
      </c>
      <c r="M242" s="155">
        <v>0.0</v>
      </c>
      <c r="N242" s="155"/>
      <c r="O242" s="155"/>
      <c r="P242" s="155"/>
      <c r="Q242" s="155"/>
      <c r="R242" s="155"/>
      <c r="S242" s="155"/>
      <c r="T242" s="155"/>
      <c r="U242" s="155"/>
      <c r="V242" s="155"/>
      <c r="W242" s="155"/>
      <c r="X242" s="155"/>
      <c r="Y242" s="155"/>
      <c r="Z242" s="155"/>
      <c r="AA242" s="84"/>
      <c r="AB242" s="155"/>
      <c r="AC242" s="165"/>
      <c r="AD242" s="165"/>
      <c r="AE242" s="165"/>
      <c r="AF242" s="165"/>
      <c r="AG242" s="413">
        <f t="shared" si="59"/>
        <v>0</v>
      </c>
    </row>
    <row r="243" outlineLevel="1">
      <c r="A243" s="443" t="s">
        <v>115</v>
      </c>
      <c r="B243" s="444">
        <f t="shared" ref="B243:AF243" si="60">SUM(B235:B242)</f>
        <v>0</v>
      </c>
      <c r="C243" s="444">
        <f t="shared" si="60"/>
        <v>0</v>
      </c>
      <c r="D243" s="444">
        <f t="shared" si="60"/>
        <v>0</v>
      </c>
      <c r="E243" s="444">
        <f t="shared" si="60"/>
        <v>0</v>
      </c>
      <c r="F243" s="444">
        <f t="shared" si="60"/>
        <v>0</v>
      </c>
      <c r="G243" s="444">
        <f t="shared" si="60"/>
        <v>0</v>
      </c>
      <c r="H243" s="444">
        <f t="shared" si="60"/>
        <v>0</v>
      </c>
      <c r="I243" s="444">
        <f t="shared" si="60"/>
        <v>0</v>
      </c>
      <c r="J243" s="444">
        <f t="shared" si="60"/>
        <v>0</v>
      </c>
      <c r="K243" s="444">
        <f t="shared" si="60"/>
        <v>0</v>
      </c>
      <c r="L243" s="444">
        <f t="shared" si="60"/>
        <v>0</v>
      </c>
      <c r="M243" s="444">
        <f t="shared" si="60"/>
        <v>0</v>
      </c>
      <c r="N243" s="444">
        <f t="shared" si="60"/>
        <v>0</v>
      </c>
      <c r="O243" s="444">
        <f t="shared" si="60"/>
        <v>0</v>
      </c>
      <c r="P243" s="444">
        <f t="shared" si="60"/>
        <v>0</v>
      </c>
      <c r="Q243" s="444">
        <f t="shared" si="60"/>
        <v>0</v>
      </c>
      <c r="R243" s="444">
        <f t="shared" si="60"/>
        <v>0</v>
      </c>
      <c r="S243" s="444">
        <f t="shared" si="60"/>
        <v>0</v>
      </c>
      <c r="T243" s="444">
        <f t="shared" si="60"/>
        <v>0</v>
      </c>
      <c r="U243" s="444">
        <f t="shared" si="60"/>
        <v>0</v>
      </c>
      <c r="V243" s="444">
        <f t="shared" si="60"/>
        <v>0</v>
      </c>
      <c r="W243" s="444">
        <f t="shared" si="60"/>
        <v>0</v>
      </c>
      <c r="X243" s="444">
        <f t="shared" si="60"/>
        <v>0</v>
      </c>
      <c r="Y243" s="444">
        <f t="shared" si="60"/>
        <v>0</v>
      </c>
      <c r="Z243" s="444">
        <f t="shared" si="60"/>
        <v>0</v>
      </c>
      <c r="AA243" s="444">
        <f t="shared" si="60"/>
        <v>0</v>
      </c>
      <c r="AB243" s="444">
        <f t="shared" si="60"/>
        <v>0</v>
      </c>
      <c r="AC243" s="444">
        <f t="shared" si="60"/>
        <v>0</v>
      </c>
      <c r="AD243" s="444">
        <f t="shared" si="60"/>
        <v>0</v>
      </c>
      <c r="AE243" s="444">
        <f t="shared" si="60"/>
        <v>0</v>
      </c>
      <c r="AF243" s="444">
        <f t="shared" si="60"/>
        <v>0</v>
      </c>
      <c r="AG243" s="413">
        <f t="shared" si="59"/>
        <v>0</v>
      </c>
    </row>
    <row r="244">
      <c r="A244" s="166"/>
      <c r="AG244" s="421"/>
    </row>
    <row r="245">
      <c r="A245" s="446" t="s">
        <v>388</v>
      </c>
      <c r="B245" s="447"/>
      <c r="C245" s="447"/>
      <c r="D245" s="447"/>
      <c r="E245" s="447"/>
      <c r="F245" s="447"/>
      <c r="G245" s="447"/>
      <c r="H245" s="447"/>
      <c r="I245" s="447"/>
      <c r="J245" s="447"/>
      <c r="K245" s="447"/>
      <c r="L245" s="447"/>
      <c r="M245" s="447"/>
      <c r="N245" s="447"/>
      <c r="O245" s="447"/>
      <c r="P245" s="447"/>
      <c r="Q245" s="447"/>
      <c r="R245" s="447"/>
      <c r="S245" s="447"/>
      <c r="T245" s="447"/>
      <c r="U245" s="447"/>
      <c r="V245" s="447"/>
      <c r="W245" s="447"/>
      <c r="X245" s="447"/>
      <c r="Y245" s="447"/>
      <c r="Z245" s="447"/>
      <c r="AA245" s="447"/>
      <c r="AB245" s="447"/>
      <c r="AC245" s="447"/>
      <c r="AD245" s="447"/>
      <c r="AE245" s="447"/>
      <c r="AF245" s="447"/>
      <c r="AG245" s="423"/>
    </row>
    <row r="246">
      <c r="A246" s="448" t="s">
        <v>389</v>
      </c>
      <c r="B246" s="449">
        <v>0.0</v>
      </c>
      <c r="C246" s="449">
        <v>0.0</v>
      </c>
      <c r="D246" s="449">
        <v>0.0</v>
      </c>
      <c r="E246" s="449">
        <v>0.0</v>
      </c>
      <c r="F246" s="449">
        <v>0.0</v>
      </c>
      <c r="G246" s="449">
        <v>0.0</v>
      </c>
      <c r="H246" s="449">
        <v>0.0</v>
      </c>
      <c r="I246" s="449">
        <v>0.0</v>
      </c>
      <c r="J246" s="449">
        <v>0.0</v>
      </c>
      <c r="K246" s="449">
        <v>0.0</v>
      </c>
      <c r="L246" s="449">
        <v>0.0</v>
      </c>
      <c r="M246" s="449">
        <v>0.0</v>
      </c>
      <c r="N246" s="449">
        <v>0.0</v>
      </c>
      <c r="O246" s="449">
        <v>0.0</v>
      </c>
      <c r="P246" s="449">
        <v>0.0</v>
      </c>
      <c r="Q246" s="449">
        <v>0.0</v>
      </c>
      <c r="R246" s="449">
        <v>0.0</v>
      </c>
      <c r="S246" s="449">
        <v>0.0</v>
      </c>
      <c r="T246" s="449">
        <v>0.0</v>
      </c>
      <c r="U246" s="449">
        <v>0.0</v>
      </c>
      <c r="V246" s="449">
        <v>0.0</v>
      </c>
      <c r="W246" s="449">
        <v>0.0</v>
      </c>
      <c r="X246" s="449">
        <v>0.0</v>
      </c>
      <c r="Y246" s="449">
        <v>0.0</v>
      </c>
      <c r="Z246" s="449">
        <v>0.0</v>
      </c>
      <c r="AA246" s="449">
        <v>0.0</v>
      </c>
      <c r="AB246" s="449">
        <v>0.0</v>
      </c>
      <c r="AC246" s="449">
        <v>0.0</v>
      </c>
      <c r="AD246" s="449">
        <v>0.0</v>
      </c>
      <c r="AE246" s="449">
        <v>0.0</v>
      </c>
      <c r="AF246" s="449">
        <v>0.0</v>
      </c>
      <c r="AG246" s="303">
        <f t="shared" ref="AG246:AG260" si="62">SUM(B246:AF246)</f>
        <v>0</v>
      </c>
    </row>
    <row r="247">
      <c r="A247" s="448" t="s">
        <v>754</v>
      </c>
      <c r="B247" s="134">
        <f t="shared" ref="B247:AF247" si="61">B122+B10</f>
        <v>127.3637544</v>
      </c>
      <c r="C247" s="134">
        <f t="shared" si="61"/>
        <v>111.2856672</v>
      </c>
      <c r="D247" s="134">
        <f t="shared" si="61"/>
        <v>191.0456316</v>
      </c>
      <c r="E247" s="134">
        <f t="shared" si="61"/>
        <v>63.6818772</v>
      </c>
      <c r="F247" s="134">
        <f t="shared" si="61"/>
        <v>0</v>
      </c>
      <c r="G247" s="134">
        <f t="shared" si="61"/>
        <v>0</v>
      </c>
      <c r="H247" s="134">
        <f t="shared" si="61"/>
        <v>191.0456316</v>
      </c>
      <c r="I247" s="134">
        <f t="shared" si="61"/>
        <v>191.0456316</v>
      </c>
      <c r="J247" s="134">
        <f t="shared" si="61"/>
        <v>127.3637544</v>
      </c>
      <c r="K247" s="134">
        <f t="shared" si="61"/>
        <v>63.6818772</v>
      </c>
      <c r="L247" s="134">
        <f t="shared" si="61"/>
        <v>63.6818772</v>
      </c>
      <c r="M247" s="134">
        <f t="shared" si="61"/>
        <v>63.6818772</v>
      </c>
      <c r="N247" s="134">
        <f t="shared" si="61"/>
        <v>0</v>
      </c>
      <c r="O247" s="134">
        <f t="shared" si="61"/>
        <v>0</v>
      </c>
      <c r="P247" s="134">
        <f t="shared" si="61"/>
        <v>0</v>
      </c>
      <c r="Q247" s="134">
        <f t="shared" si="61"/>
        <v>63.6818772</v>
      </c>
      <c r="R247" s="134">
        <f t="shared" si="61"/>
        <v>0</v>
      </c>
      <c r="S247" s="134">
        <f t="shared" si="61"/>
        <v>0</v>
      </c>
      <c r="T247" s="134">
        <f t="shared" si="61"/>
        <v>127.3637544</v>
      </c>
      <c r="U247" s="134">
        <f t="shared" si="61"/>
        <v>0</v>
      </c>
      <c r="V247" s="134">
        <f t="shared" si="61"/>
        <v>0</v>
      </c>
      <c r="W247" s="134">
        <f t="shared" si="61"/>
        <v>0</v>
      </c>
      <c r="X247" s="134">
        <f t="shared" si="61"/>
        <v>63.6818772</v>
      </c>
      <c r="Y247" s="134">
        <f t="shared" si="61"/>
        <v>0</v>
      </c>
      <c r="Z247" s="134">
        <f t="shared" si="61"/>
        <v>0</v>
      </c>
      <c r="AA247" s="134">
        <f t="shared" si="61"/>
        <v>0</v>
      </c>
      <c r="AB247" s="134">
        <f t="shared" si="61"/>
        <v>191.0456316</v>
      </c>
      <c r="AC247" s="134">
        <f t="shared" si="61"/>
        <v>63.6818772</v>
      </c>
      <c r="AD247" s="134">
        <f t="shared" si="61"/>
        <v>0</v>
      </c>
      <c r="AE247" s="134">
        <f t="shared" si="61"/>
        <v>0</v>
      </c>
      <c r="AF247" s="134">
        <f t="shared" si="61"/>
        <v>63.6818772</v>
      </c>
      <c r="AG247" s="303">
        <f t="shared" si="62"/>
        <v>1767.014474</v>
      </c>
    </row>
    <row r="248">
      <c r="A248" s="248" t="s">
        <v>755</v>
      </c>
      <c r="B248" s="251">
        <f>(B13+B14+B125+B126)*'Data - P&amp;L'!$C$3</f>
        <v>0</v>
      </c>
      <c r="C248" s="251">
        <f>(C13+C14+C125+C126)*'Data - P&amp;L'!$C$3</f>
        <v>0</v>
      </c>
      <c r="D248" s="251">
        <f>(D13+D14+D125+D126)*'Data - P&amp;L'!$C$3</f>
        <v>0</v>
      </c>
      <c r="E248" s="251">
        <f>(E13+E14+E125+E126)*'Data - P&amp;L'!$C$3</f>
        <v>0</v>
      </c>
      <c r="F248" s="251">
        <f>(F13+F14+F125+F126)*'Data - P&amp;L'!$C$3</f>
        <v>0</v>
      </c>
      <c r="G248" s="251">
        <f>(G13+G14+G125+G126)*'Data - P&amp;L'!$C$3</f>
        <v>0</v>
      </c>
      <c r="H248" s="251">
        <f>(H13+H14+H125+H126)*'Data - P&amp;L'!$C$3</f>
        <v>0</v>
      </c>
      <c r="I248" s="251">
        <f>(I13+I14+I125+I126)*'Data - P&amp;L'!$C$3</f>
        <v>0</v>
      </c>
      <c r="J248" s="251">
        <f>(J13+J14+J125+J126)*'Data - P&amp;L'!$C$3</f>
        <v>0</v>
      </c>
      <c r="K248" s="251">
        <f>(K13+K14+K125+K126)*'Data - P&amp;L'!$C$3</f>
        <v>0</v>
      </c>
      <c r="L248" s="251">
        <f>(L13+L14+L125+L126)*'Data - P&amp;L'!$C$3</f>
        <v>0</v>
      </c>
      <c r="M248" s="251">
        <f>(M13+M14+M125+M126)*'Data - P&amp;L'!$C$3</f>
        <v>0</v>
      </c>
      <c r="N248" s="251">
        <f>(N13+N14+N125+N126)*'Data - P&amp;L'!$C$3</f>
        <v>0</v>
      </c>
      <c r="O248" s="251">
        <f>(O13+O14+O125+O126)*'Data - P&amp;L'!$C$3</f>
        <v>0</v>
      </c>
      <c r="P248" s="251">
        <f>(P13+P14+P125+P126)*'Data - P&amp;L'!$C$3</f>
        <v>0</v>
      </c>
      <c r="Q248" s="251">
        <f>(Q13+Q14+Q125+Q126)*'Data - P&amp;L'!$C$3</f>
        <v>0</v>
      </c>
      <c r="R248" s="251">
        <f>(R13+R14+R125+R126)*'Data - P&amp;L'!$C$3</f>
        <v>0</v>
      </c>
      <c r="S248" s="251">
        <f>(S13+S14+S125+S126)*'Data - P&amp;L'!$C$3</f>
        <v>0</v>
      </c>
      <c r="T248" s="251">
        <f>(T13+T14+T125+T126)*'Data - P&amp;L'!$C$3</f>
        <v>0</v>
      </c>
      <c r="U248" s="251">
        <f>(U13+U14+U125+U126)*'Data - P&amp;L'!$C$3</f>
        <v>0</v>
      </c>
      <c r="V248" s="251">
        <f>(V13+V14+V125+V126)*'Data - P&amp;L'!$C$3</f>
        <v>0</v>
      </c>
      <c r="W248" s="251">
        <f>(W13+W14+W125+W126)*'Data - P&amp;L'!$C$3</f>
        <v>0</v>
      </c>
      <c r="X248" s="251">
        <f>(X13+X14+X125+X126)*'Data - P&amp;L'!$C$3</f>
        <v>0</v>
      </c>
      <c r="Y248" s="251">
        <f>(Y13+Y14+Y125+Y126)*'Data - P&amp;L'!$C$3</f>
        <v>0</v>
      </c>
      <c r="Z248" s="251">
        <f>(Z13+Z14+Z125+Z126)*'Data - P&amp;L'!$C$3</f>
        <v>0</v>
      </c>
      <c r="AA248" s="251">
        <f>(AA13+AA14+AA125+AA126)*'Data - P&amp;L'!$C$3</f>
        <v>0</v>
      </c>
      <c r="AB248" s="251">
        <f>(AB13+AB14+AB125+AB126)*'Data - P&amp;L'!$C$3</f>
        <v>0</v>
      </c>
      <c r="AC248" s="251">
        <f>(AC13+AC14+AC125+AC126)*'Data - P&amp;L'!$C$3</f>
        <v>0</v>
      </c>
      <c r="AD248" s="251">
        <f>(AD13+AD14+AD125+AD126)*'Data - P&amp;L'!$C$3</f>
        <v>0</v>
      </c>
      <c r="AE248" s="251">
        <f>(AE13+AE14+AE125+AE126)*'Data - P&amp;L'!$C$3</f>
        <v>0</v>
      </c>
      <c r="AF248" s="251">
        <f>(AF13+AF14+AF125+AF126)*'Data - P&amp;L'!$C$3</f>
        <v>0</v>
      </c>
      <c r="AG248" s="303">
        <f t="shared" si="62"/>
        <v>0</v>
      </c>
    </row>
    <row r="249" ht="19.5" customHeight="1">
      <c r="A249" s="250" t="s">
        <v>756</v>
      </c>
      <c r="B249" s="134">
        <f>(B15+B16+B127+B128)*'Data - P&amp;L'!$C$4</f>
        <v>195.22</v>
      </c>
      <c r="C249" s="134">
        <f>(C15+C16+C127+C128)*'Data - P&amp;L'!$C$4</f>
        <v>195.22</v>
      </c>
      <c r="D249" s="134">
        <f>(D15+D16+D127+D128)*'Data - P&amp;L'!$C$4</f>
        <v>292.83</v>
      </c>
      <c r="E249" s="134">
        <f>(E15+E16+E127+E128)*'Data - P&amp;L'!$C$4</f>
        <v>97.61</v>
      </c>
      <c r="F249" s="134">
        <f>(F15+F16+F127+F128)*'Data - P&amp;L'!$C$4</f>
        <v>0</v>
      </c>
      <c r="G249" s="134">
        <f>(G15+G16+G127+G128)*'Data - P&amp;L'!$C$4</f>
        <v>0</v>
      </c>
      <c r="H249" s="134">
        <f>(H15+H16+H127+H128)*'Data - P&amp;L'!$C$4</f>
        <v>390.44</v>
      </c>
      <c r="I249" s="134">
        <f>(I15+I16+I127+I128)*'Data - P&amp;L'!$C$4</f>
        <v>292.83</v>
      </c>
      <c r="J249" s="134">
        <f>(J15+J16+J127+J128)*'Data - P&amp;L'!$C$4</f>
        <v>195.22</v>
      </c>
      <c r="K249" s="134">
        <f>(K15+K16+K127+K128)*'Data - P&amp;L'!$C$4</f>
        <v>97.61</v>
      </c>
      <c r="L249" s="134">
        <f>(L15+L16+L127+L128)*'Data - P&amp;L'!$C$4</f>
        <v>195.22</v>
      </c>
      <c r="M249" s="134">
        <f>(M15+M16+M127+M128)*'Data - P&amp;L'!$C$4</f>
        <v>97.61</v>
      </c>
      <c r="N249" s="134">
        <f>(N15+N16+N127+N128)*'Data - P&amp;L'!$C$4</f>
        <v>0</v>
      </c>
      <c r="O249" s="134">
        <f>(O15+O16+O127+O128)*'Data - P&amp;L'!$C$4</f>
        <v>0</v>
      </c>
      <c r="P249" s="134">
        <f>(P15+P16+P127+P128)*'Data - P&amp;L'!$C$4</f>
        <v>0</v>
      </c>
      <c r="Q249" s="134">
        <f>(Q15+Q16+Q127+Q128)*'Data - P&amp;L'!$C$4</f>
        <v>97.61</v>
      </c>
      <c r="R249" s="134">
        <f>(R15+R16+R127+R128)*'Data - P&amp;L'!$C$4</f>
        <v>0</v>
      </c>
      <c r="S249" s="134">
        <f>(S15+S16+S127+S128)*'Data - P&amp;L'!$C$4</f>
        <v>0</v>
      </c>
      <c r="T249" s="134">
        <f>(T15+T16+T127+T128)*'Data - P&amp;L'!$C$4</f>
        <v>195.22</v>
      </c>
      <c r="U249" s="134">
        <f>(U15+U16+U127+U128)*'Data - P&amp;L'!$C$4</f>
        <v>0</v>
      </c>
      <c r="V249" s="134">
        <f>(V15+V16+V127+V128)*'Data - P&amp;L'!$C$4</f>
        <v>0</v>
      </c>
      <c r="W249" s="134">
        <f>(W15+W16+W127+W128)*'Data - P&amp;L'!$C$4</f>
        <v>0</v>
      </c>
      <c r="X249" s="134">
        <f>(X15+X16+X127+X128)*'Data - P&amp;L'!$C$4</f>
        <v>97.61</v>
      </c>
      <c r="Y249" s="134">
        <f>(Y15+Y16+Y127+Y128)*'Data - P&amp;L'!$C$4</f>
        <v>0</v>
      </c>
      <c r="Z249" s="134">
        <f>(Z15+Z16+Z127+Z128)*'Data - P&amp;L'!$C$4</f>
        <v>0</v>
      </c>
      <c r="AA249" s="134">
        <f>(AA15+AA16+AA127+AA128)*'Data - P&amp;L'!$C$4</f>
        <v>0</v>
      </c>
      <c r="AB249" s="134">
        <f>(AB15+AB16+AB127+AB128)*'Data - P&amp;L'!$C$4</f>
        <v>292.83</v>
      </c>
      <c r="AC249" s="134">
        <f>(AC15+AC16+AC127+AC128)*'Data - P&amp;L'!$C$4</f>
        <v>97.61</v>
      </c>
      <c r="AD249" s="134">
        <f>(AD15+AD16+AD127+AD128)*'Data - P&amp;L'!$C$4</f>
        <v>0</v>
      </c>
      <c r="AE249" s="134">
        <f>(AE15+AE16+AE127+AE128)*'Data - P&amp;L'!$C$4</f>
        <v>0</v>
      </c>
      <c r="AF249" s="134">
        <f>(AF15+AF16+AF127+AF128)*'Data - P&amp;L'!$C$4</f>
        <v>97.61</v>
      </c>
      <c r="AG249" s="303">
        <f t="shared" si="62"/>
        <v>2928.3</v>
      </c>
    </row>
    <row r="250" ht="17.25" customHeight="1">
      <c r="A250" s="250" t="s">
        <v>757</v>
      </c>
      <c r="B250" s="134">
        <f>(B19+B131)*'Data - P&amp;L'!$C$6</f>
        <v>0</v>
      </c>
      <c r="C250" s="134">
        <f>(C19+C131)*'Data - P&amp;L'!$C$6</f>
        <v>0</v>
      </c>
      <c r="D250" s="134">
        <f>(D19+D131)*'Data - P&amp;L'!$C$6</f>
        <v>0</v>
      </c>
      <c r="E250" s="134">
        <f>(E19+E131)*'Data - P&amp;L'!$C$6</f>
        <v>0</v>
      </c>
      <c r="F250" s="134">
        <f>(F19+F131)*'Data - P&amp;L'!$C$6</f>
        <v>0</v>
      </c>
      <c r="G250" s="134">
        <f>(G19+G131)*'Data - P&amp;L'!$C$6</f>
        <v>0</v>
      </c>
      <c r="H250" s="134">
        <f>(H19+H131)*'Data - P&amp;L'!$C$6</f>
        <v>0</v>
      </c>
      <c r="I250" s="134">
        <f>(I19+I131)*'Data - P&amp;L'!$C$6</f>
        <v>0</v>
      </c>
      <c r="J250" s="134">
        <f>(J19+J131)*'Data - P&amp;L'!$C$6</f>
        <v>0</v>
      </c>
      <c r="K250" s="134">
        <f>(K19+K131)*'Data - P&amp;L'!$C$6</f>
        <v>0</v>
      </c>
      <c r="L250" s="134">
        <f>(L19+L131)*'Data - P&amp;L'!$C$6</f>
        <v>0</v>
      </c>
      <c r="M250" s="134">
        <f>(M19+M131)*'Data - P&amp;L'!$C$6</f>
        <v>0</v>
      </c>
      <c r="N250" s="134">
        <f>(N19+N131)*'Data - P&amp;L'!$C$6</f>
        <v>0</v>
      </c>
      <c r="O250" s="134">
        <f>(O19+O131)*'Data - P&amp;L'!$C$6</f>
        <v>0</v>
      </c>
      <c r="P250" s="134">
        <f>(P19+P131)*'Data - P&amp;L'!$C$6</f>
        <v>0</v>
      </c>
      <c r="Q250" s="134">
        <f>(Q19+Q131)*'Data - P&amp;L'!$C$6</f>
        <v>0</v>
      </c>
      <c r="R250" s="134">
        <f>(R19+R131)*'Data - P&amp;L'!$C$6</f>
        <v>0</v>
      </c>
      <c r="S250" s="134">
        <f>(S19+S131)*'Data - P&amp;L'!$C$6</f>
        <v>0</v>
      </c>
      <c r="T250" s="134">
        <f>(T19+T131)*'Data - P&amp;L'!$C$6</f>
        <v>0</v>
      </c>
      <c r="U250" s="134">
        <f>(U19+U131)*'Data - P&amp;L'!$C$6</f>
        <v>0</v>
      </c>
      <c r="V250" s="134">
        <f>(V19+V131)*'Data - P&amp;L'!$C$6</f>
        <v>0</v>
      </c>
      <c r="W250" s="134">
        <f>(W19+W131)*'Data - P&amp;L'!$C$6</f>
        <v>0</v>
      </c>
      <c r="X250" s="134">
        <f>(X19+X131)*'Data - P&amp;L'!$C$6</f>
        <v>0</v>
      </c>
      <c r="Y250" s="134">
        <f>(Y19+Y131)*'Data - P&amp;L'!$C$6</f>
        <v>0</v>
      </c>
      <c r="Z250" s="134">
        <f>(Z19+Z131)*'Data - P&amp;L'!$C$6</f>
        <v>0</v>
      </c>
      <c r="AA250" s="134">
        <f>(AA19+AA131)*'Data - P&amp;L'!$C$6</f>
        <v>0</v>
      </c>
      <c r="AB250" s="134">
        <f>(AB19+AB131)*'Data - P&amp;L'!$C$6</f>
        <v>0</v>
      </c>
      <c r="AC250" s="134">
        <f>(AC19+AC131)*'Data - P&amp;L'!$C$6</f>
        <v>0</v>
      </c>
      <c r="AD250" s="134">
        <f>(AD19+AD131)*'Data - P&amp;L'!$C$6</f>
        <v>0</v>
      </c>
      <c r="AE250" s="134">
        <f>(AE19+AE131)*'Data - P&amp;L'!$C$6</f>
        <v>0</v>
      </c>
      <c r="AF250" s="134">
        <f>(AF19+AF131)*'Data - P&amp;L'!$C$6</f>
        <v>0</v>
      </c>
      <c r="AG250" s="303">
        <f t="shared" si="62"/>
        <v>0</v>
      </c>
    </row>
    <row r="251">
      <c r="A251" s="250" t="s">
        <v>758</v>
      </c>
      <c r="B251" s="134">
        <f>(B20+B132)*'Data - P&amp;L'!$C$8</f>
        <v>0</v>
      </c>
      <c r="C251" s="134">
        <f>(C20+C132)*'Data - P&amp;L'!$C$8</f>
        <v>0</v>
      </c>
      <c r="D251" s="134">
        <f>(D20+D132)*'Data - P&amp;L'!$C$8</f>
        <v>0</v>
      </c>
      <c r="E251" s="134">
        <f>(E20+E132)*'Data - P&amp;L'!$C$8</f>
        <v>0</v>
      </c>
      <c r="F251" s="134">
        <f>(F20+F132)*'Data - P&amp;L'!$C$8</f>
        <v>0</v>
      </c>
      <c r="G251" s="134">
        <f>(G20+G132)*'Data - P&amp;L'!$C$8</f>
        <v>0</v>
      </c>
      <c r="H251" s="134">
        <f>(H20+H132)*'Data - P&amp;L'!$C$8</f>
        <v>0</v>
      </c>
      <c r="I251" s="134">
        <f>(I20+I132)*'Data - P&amp;L'!$C$8</f>
        <v>0</v>
      </c>
      <c r="J251" s="134">
        <f>(J20+J132)*'Data - P&amp;L'!$C$8</f>
        <v>0</v>
      </c>
      <c r="K251" s="134">
        <f>(K20+K132)*'Data - P&amp;L'!$C$8</f>
        <v>0</v>
      </c>
      <c r="L251" s="134">
        <f>(L20+L132)*'Data - P&amp;L'!$C$8</f>
        <v>0</v>
      </c>
      <c r="M251" s="134">
        <f>(M20+M132)*'Data - P&amp;L'!$C$8</f>
        <v>0</v>
      </c>
      <c r="N251" s="134">
        <f>(N20+N132)*'Data - P&amp;L'!$C$8</f>
        <v>0</v>
      </c>
      <c r="O251" s="134">
        <f>(O20+O132)*'Data - P&amp;L'!$C$8</f>
        <v>0</v>
      </c>
      <c r="P251" s="134">
        <f>(P20+P132)*'Data - P&amp;L'!$C$8</f>
        <v>0</v>
      </c>
      <c r="Q251" s="134">
        <f>(Q20+Q132)*'Data - P&amp;L'!$C$8</f>
        <v>0</v>
      </c>
      <c r="R251" s="134">
        <f>(R20+R132)*'Data - P&amp;L'!$C$8</f>
        <v>0</v>
      </c>
      <c r="S251" s="134">
        <f>(S20+S132)*'Data - P&amp;L'!$C$8</f>
        <v>0</v>
      </c>
      <c r="T251" s="134">
        <f>(T20+T132)*'Data - P&amp;L'!$C$8</f>
        <v>0</v>
      </c>
      <c r="U251" s="134">
        <f>(U20+U132)*'Data - P&amp;L'!$C$8</f>
        <v>0</v>
      </c>
      <c r="V251" s="134">
        <f>(V20+V132)*'Data - P&amp;L'!$C$8</f>
        <v>0</v>
      </c>
      <c r="W251" s="134">
        <f>(W20+W132)*'Data - P&amp;L'!$C$8</f>
        <v>0</v>
      </c>
      <c r="X251" s="134">
        <f>(X20+X132)*'Data - P&amp;L'!$C$8</f>
        <v>0</v>
      </c>
      <c r="Y251" s="134">
        <f>(Y20+Y132)*'Data - P&amp;L'!$C$8</f>
        <v>0</v>
      </c>
      <c r="Z251" s="134">
        <f>(Z20+Z132)*'Data - P&amp;L'!$C$8</f>
        <v>0</v>
      </c>
      <c r="AA251" s="134">
        <f>(AA20+AA132)*'Data - P&amp;L'!$C$8</f>
        <v>0</v>
      </c>
      <c r="AB251" s="134">
        <f>(AB20+AB132)*'Data - P&amp;L'!$C$8</f>
        <v>0</v>
      </c>
      <c r="AC251" s="134">
        <f>(AC20+AC132)*'Data - P&amp;L'!$C$8</f>
        <v>0</v>
      </c>
      <c r="AD251" s="134">
        <f>(AD20+AD132)*'Data - P&amp;L'!$C$8</f>
        <v>0</v>
      </c>
      <c r="AE251" s="134">
        <f>(AE20+AE132)*'Data - P&amp;L'!$C$8</f>
        <v>0</v>
      </c>
      <c r="AF251" s="134">
        <f>(AF20+AF132)*'Data - P&amp;L'!$C$8</f>
        <v>0</v>
      </c>
      <c r="AG251" s="303">
        <f t="shared" si="62"/>
        <v>0</v>
      </c>
    </row>
    <row r="252" ht="15.75" customHeight="1">
      <c r="A252" s="250" t="s">
        <v>759</v>
      </c>
      <c r="B252" s="134">
        <f>(B21+B22+B133+B134)*'Data - P&amp;L'!$C$9</f>
        <v>0</v>
      </c>
      <c r="C252" s="134">
        <f>(C21+C22+C133+C134)*'Data - P&amp;L'!$C$9</f>
        <v>0</v>
      </c>
      <c r="D252" s="134">
        <f>(D21+D22+D133+D134)*'Data - P&amp;L'!$C$9</f>
        <v>0</v>
      </c>
      <c r="E252" s="134">
        <f>(E21+E22+E133+E134)*'Data - P&amp;L'!$C$9</f>
        <v>0</v>
      </c>
      <c r="F252" s="134">
        <f>(F21+F22+F133+F134)*'Data - P&amp;L'!$C$9</f>
        <v>0</v>
      </c>
      <c r="G252" s="134">
        <f>(G21+G22+G133+G134)*'Data - P&amp;L'!$C$9</f>
        <v>0</v>
      </c>
      <c r="H252" s="134">
        <f>(H21+H22+H133+H134)*'Data - P&amp;L'!$C$9</f>
        <v>0</v>
      </c>
      <c r="I252" s="134">
        <f>(I21+I22+I133+I134)*'Data - P&amp;L'!$C$9</f>
        <v>0</v>
      </c>
      <c r="J252" s="134">
        <f>(J21+J22+J133+J134)*'Data - P&amp;L'!$C$9</f>
        <v>0</v>
      </c>
      <c r="K252" s="134">
        <f>(K21+K22+K133+K134)*'Data - P&amp;L'!$C$9</f>
        <v>0</v>
      </c>
      <c r="L252" s="134">
        <f>(L21+L22+L133+L134)*'Data - P&amp;L'!$C$9</f>
        <v>0</v>
      </c>
      <c r="M252" s="134">
        <f>(M21+M22+M133+M134)*'Data - P&amp;L'!$C$9</f>
        <v>0</v>
      </c>
      <c r="N252" s="134">
        <f>(N21+N22+N133+N134)*'Data - P&amp;L'!$C$9</f>
        <v>0</v>
      </c>
      <c r="O252" s="134">
        <f>(O21+O22+O133+O134)*'Data - P&amp;L'!$C$9</f>
        <v>0</v>
      </c>
      <c r="P252" s="134">
        <f>(P21+P22+P133+P134)*'Data - P&amp;L'!$C$9</f>
        <v>0</v>
      </c>
      <c r="Q252" s="134">
        <f>(Q21+Q22+Q133+Q134)*'Data - P&amp;L'!$C$9</f>
        <v>0</v>
      </c>
      <c r="R252" s="134">
        <f>(R21+R22+R133+R134)*'Data - P&amp;L'!$C$9</f>
        <v>0</v>
      </c>
      <c r="S252" s="134">
        <f>(S21+S22+S133+S134)*'Data - P&amp;L'!$C$9</f>
        <v>0</v>
      </c>
      <c r="T252" s="134">
        <f>(T21+T22+T133+T134)*'Data - P&amp;L'!$C$9</f>
        <v>0</v>
      </c>
      <c r="U252" s="134">
        <f>(U21+U22+U133+U134)*'Data - P&amp;L'!$C$9</f>
        <v>0</v>
      </c>
      <c r="V252" s="134">
        <f>(V21+V22+V133+V134)*'Data - P&amp;L'!$C$9</f>
        <v>0</v>
      </c>
      <c r="W252" s="134">
        <f>(W21+W22+W133+W134)*'Data - P&amp;L'!$C$9</f>
        <v>0</v>
      </c>
      <c r="X252" s="134">
        <f>(X21+X22+X133+X134)*'Data - P&amp;L'!$C$9</f>
        <v>0</v>
      </c>
      <c r="Y252" s="134">
        <f>(Y21+Y22+Y133+Y134)*'Data - P&amp;L'!$C$9</f>
        <v>0</v>
      </c>
      <c r="Z252" s="134">
        <f>(Z21+Z22+Z133+Z134)*'Data - P&amp;L'!$C$9</f>
        <v>0</v>
      </c>
      <c r="AA252" s="134">
        <f>(AA21+AA22+AA133+AA134)*'Data - P&amp;L'!$C$9</f>
        <v>0</v>
      </c>
      <c r="AB252" s="134">
        <f>(AB21+AB22+AB133+AB134)*'Data - P&amp;L'!$C$9</f>
        <v>0</v>
      </c>
      <c r="AC252" s="134">
        <f>(AC21+AC22+AC133+AC134)*'Data - P&amp;L'!$C$9</f>
        <v>0</v>
      </c>
      <c r="AD252" s="134">
        <f>(AD21+AD22+AD133+AD134)*'Data - P&amp;L'!$C$9</f>
        <v>0</v>
      </c>
      <c r="AE252" s="134">
        <f>(AE21+AE22+AE133+AE134)*'Data - P&amp;L'!$C$9</f>
        <v>0</v>
      </c>
      <c r="AF252" s="134">
        <f>(AF21+AF22+AF133+AF134)*'Data - P&amp;L'!$C$9</f>
        <v>0</v>
      </c>
      <c r="AG252" s="303">
        <f t="shared" si="62"/>
        <v>0</v>
      </c>
    </row>
    <row r="253" ht="18.0" customHeight="1">
      <c r="A253" s="250" t="s">
        <v>760</v>
      </c>
      <c r="B253" s="134">
        <f>(B23+B24+B135+B136)*'Data - P&amp;L'!$C$5</f>
        <v>0</v>
      </c>
      <c r="C253" s="134">
        <f>(C23+C24+C135+C136)*'Data - P&amp;L'!$C$5</f>
        <v>0</v>
      </c>
      <c r="D253" s="134">
        <f>(D23+D24+D135+D136)*'Data - P&amp;L'!$C$5</f>
        <v>0</v>
      </c>
      <c r="E253" s="134">
        <f>(E23+E24+E135+E136)*'Data - P&amp;L'!$C$5</f>
        <v>0</v>
      </c>
      <c r="F253" s="134">
        <f>(F23+F24+F135+F136)*'Data - P&amp;L'!$C$5</f>
        <v>0</v>
      </c>
      <c r="G253" s="134">
        <f>(G23+G24+G135+G136)*'Data - P&amp;L'!$C$5</f>
        <v>0</v>
      </c>
      <c r="H253" s="134">
        <f>(H23+H24+H135+H136)*'Data - P&amp;L'!$C$5</f>
        <v>0</v>
      </c>
      <c r="I253" s="134">
        <f>(I23+I24+I135+I136)*'Data - P&amp;L'!$C$5</f>
        <v>0</v>
      </c>
      <c r="J253" s="134">
        <f>(J23+J24+J135+J136)*'Data - P&amp;L'!$C$5</f>
        <v>0</v>
      </c>
      <c r="K253" s="134">
        <f>(K23+K24+K135+K136)*'Data - P&amp;L'!$C$5</f>
        <v>0</v>
      </c>
      <c r="L253" s="134">
        <f>(L23+L24+L135+L136)*'Data - P&amp;L'!$C$5</f>
        <v>0</v>
      </c>
      <c r="M253" s="134">
        <f>(M23+M24+M135+M136)*'Data - P&amp;L'!$C$5</f>
        <v>0</v>
      </c>
      <c r="N253" s="134">
        <f>(N23+N24+N135+N136)*'Data - P&amp;L'!$C$5</f>
        <v>0</v>
      </c>
      <c r="O253" s="134">
        <f>(O23+O24+O135+O136)*'Data - P&amp;L'!$C$5</f>
        <v>0</v>
      </c>
      <c r="P253" s="134">
        <f>(P23+P24+P135+P136)*'Data - P&amp;L'!$C$5</f>
        <v>0</v>
      </c>
      <c r="Q253" s="134">
        <f>(Q23+Q24+Q135+Q136)*'Data - P&amp;L'!$C$5</f>
        <v>0</v>
      </c>
      <c r="R253" s="134">
        <f>(R23+R24+R135+R136)*'Data - P&amp;L'!$C$5</f>
        <v>0</v>
      </c>
      <c r="S253" s="134">
        <f>(S23+S24+S135+S136)*'Data - P&amp;L'!$C$5</f>
        <v>0</v>
      </c>
      <c r="T253" s="134">
        <f>(T23+T24+T135+T136)*'Data - P&amp;L'!$C$5</f>
        <v>0</v>
      </c>
      <c r="U253" s="134">
        <f>(U23+U24+U135+U136)*'Data - P&amp;L'!$C$5</f>
        <v>0</v>
      </c>
      <c r="V253" s="134">
        <f>(V23+V24+V135+V136)*'Data - P&amp;L'!$C$5</f>
        <v>0</v>
      </c>
      <c r="W253" s="134">
        <f>(W23+W24+W135+W136)*'Data - P&amp;L'!$C$5</f>
        <v>0</v>
      </c>
      <c r="X253" s="134">
        <f>(X23+X24+X135+X136)*'Data - P&amp;L'!$C$5</f>
        <v>0</v>
      </c>
      <c r="Y253" s="134">
        <f>(Y23+Y24+Y135+Y136)*'Data - P&amp;L'!$C$5</f>
        <v>0</v>
      </c>
      <c r="Z253" s="134">
        <f>(Z23+Z24+Z135+Z136)*'Data - P&amp;L'!$C$5</f>
        <v>0</v>
      </c>
      <c r="AA253" s="134">
        <f>(AA23+AA24+AA135+AA136)*'Data - P&amp;L'!$C$5</f>
        <v>0</v>
      </c>
      <c r="AB253" s="134">
        <f>(AB23+AB24+AB135+AB136)*'Data - P&amp;L'!$C$5</f>
        <v>0</v>
      </c>
      <c r="AC253" s="134">
        <f>(AC23+AC24+AC135+AC136)*'Data - P&amp;L'!$C$5</f>
        <v>0</v>
      </c>
      <c r="AD253" s="134">
        <f>(AD23+AD24+AD135+AD136)*'Data - P&amp;L'!$C$5</f>
        <v>0</v>
      </c>
      <c r="AE253" s="134">
        <f>(AE23+AE24+AE135+AE136)*'Data - P&amp;L'!$C$5</f>
        <v>0</v>
      </c>
      <c r="AF253" s="134">
        <f>(AF23+AF24+AF135+AF136)*'Data - P&amp;L'!$C$5</f>
        <v>0</v>
      </c>
      <c r="AG253" s="303">
        <f t="shared" si="62"/>
        <v>0</v>
      </c>
    </row>
    <row r="254">
      <c r="A254" s="256" t="s">
        <v>761</v>
      </c>
      <c r="B254" s="257">
        <f>(B25+B26+B137+B138)*'Data - P&amp;L'!$C$10</f>
        <v>0</v>
      </c>
      <c r="C254" s="257">
        <f>(C25+C26+C137+C138)*'Data - P&amp;L'!$C$10</f>
        <v>0</v>
      </c>
      <c r="D254" s="257">
        <f>(D25+D26+D137+D138)*'Data - P&amp;L'!$C$10</f>
        <v>0</v>
      </c>
      <c r="E254" s="257">
        <f>(E25+E26+E137+E138)*'Data - P&amp;L'!$C$10</f>
        <v>0</v>
      </c>
      <c r="F254" s="257">
        <f>(F25+F26+F137+F138)*'Data - P&amp;L'!$C$10</f>
        <v>0</v>
      </c>
      <c r="G254" s="257">
        <f>(G25+G26+G137+G138)*'Data - P&amp;L'!$C$10</f>
        <v>0</v>
      </c>
      <c r="H254" s="257">
        <f>(H25+H26+H137+H138)*'Data - P&amp;L'!$C$10</f>
        <v>0</v>
      </c>
      <c r="I254" s="257">
        <f>(I25+I26+I137+I138)*'Data - P&amp;L'!$C$10</f>
        <v>0</v>
      </c>
      <c r="J254" s="257">
        <f>(J25+J26+J137+J138)*'Data - P&amp;L'!$C$10</f>
        <v>0</v>
      </c>
      <c r="K254" s="257">
        <f>(K25+K26+K137+K138)*'Data - P&amp;L'!$C$10</f>
        <v>0</v>
      </c>
      <c r="L254" s="257">
        <f>(L25+L26+L137+L138)*'Data - P&amp;L'!$C$10</f>
        <v>0</v>
      </c>
      <c r="M254" s="257">
        <f>(M25+M26+M137+M138)*'Data - P&amp;L'!$C$10</f>
        <v>0</v>
      </c>
      <c r="N254" s="257">
        <f>(N25+N26+N137+N138)*'Data - P&amp;L'!$C$10</f>
        <v>0</v>
      </c>
      <c r="O254" s="257">
        <f>(O25+O26+O137+O138)*'Data - P&amp;L'!$C$10</f>
        <v>0</v>
      </c>
      <c r="P254" s="257">
        <f>(P25+P26+P137+P138)*'Data - P&amp;L'!$C$10</f>
        <v>0</v>
      </c>
      <c r="Q254" s="257">
        <f>(Q25+Q26+Q137+Q138)*'Data - P&amp;L'!$C$10</f>
        <v>0</v>
      </c>
      <c r="R254" s="257">
        <f>(R25+R26+R137+R138)*'Data - P&amp;L'!$C$10</f>
        <v>0</v>
      </c>
      <c r="S254" s="257">
        <f>(S25+S26+S137+S138)*'Data - P&amp;L'!$C$10</f>
        <v>0</v>
      </c>
      <c r="T254" s="257">
        <f>(T25+T26+T137+T138)*'Data - P&amp;L'!$C$10</f>
        <v>0</v>
      </c>
      <c r="U254" s="257">
        <f>(U25+U26+U137+U138)*'Data - P&amp;L'!$C$10</f>
        <v>0</v>
      </c>
      <c r="V254" s="257">
        <f>(V25+V26+V137+V138)*'Data - P&amp;L'!$C$10</f>
        <v>0</v>
      </c>
      <c r="W254" s="257">
        <f>(W25+W26+W137+W138)*'Data - P&amp;L'!$C$10</f>
        <v>0</v>
      </c>
      <c r="X254" s="257">
        <f>(X25+X26+X137+X138)*'Data - P&amp;L'!$C$10</f>
        <v>0</v>
      </c>
      <c r="Y254" s="257">
        <f>(Y25+Y26+Y137+Y138)*'Data - P&amp;L'!$C$10</f>
        <v>0</v>
      </c>
      <c r="Z254" s="257">
        <f>(Z25+Z26+Z137+Z138)*'Data - P&amp;L'!$C$10</f>
        <v>0</v>
      </c>
      <c r="AA254" s="257">
        <f>(AA25+AA26+AA137+AA138)*'Data - P&amp;L'!$C$10</f>
        <v>0</v>
      </c>
      <c r="AB254" s="257">
        <f>(AB25+AB26+AB137+AB138)*'Data - P&amp;L'!$C$10</f>
        <v>0</v>
      </c>
      <c r="AC254" s="257">
        <f>(AC25+AC26+AC137+AC138)*'Data - P&amp;L'!$C$10</f>
        <v>0</v>
      </c>
      <c r="AD254" s="257">
        <f>(AD25+AD26+AD137+AD138)*'Data - P&amp;L'!$C$10</f>
        <v>0</v>
      </c>
      <c r="AE254" s="257">
        <f>(AE25+AE26+AE137+AE138)*'Data - P&amp;L'!$C$10</f>
        <v>0</v>
      </c>
      <c r="AF254" s="257">
        <f>(AF25+AF26+AF137+AF138)*'Data - P&amp;L'!$C$10</f>
        <v>0</v>
      </c>
      <c r="AG254" s="303">
        <f t="shared" si="62"/>
        <v>0</v>
      </c>
    </row>
    <row r="255" ht="16.5" customHeight="1">
      <c r="A255" s="450" t="s">
        <v>762</v>
      </c>
      <c r="B255" s="134">
        <f>(B17*'Data - P&amp;L'!$C$38)+(B129*'Data - P&amp;L'!$C$39)</f>
        <v>23.88</v>
      </c>
      <c r="C255" s="134">
        <f>(C17*'Data - P&amp;L'!$C$38)+(C129*'Data - P&amp;L'!$C$39)</f>
        <v>23.88</v>
      </c>
      <c r="D255" s="134">
        <f>(D17*'Data - P&amp;L'!$C$38)+(D129*'Data - P&amp;L'!$C$39)</f>
        <v>35.82</v>
      </c>
      <c r="E255" s="134">
        <f>(E17*'Data - P&amp;L'!$C$38)+(E129*'Data - P&amp;L'!$C$39)</f>
        <v>11.94</v>
      </c>
      <c r="F255" s="134">
        <f>(F17*'Data - P&amp;L'!$C$38)+(F129*'Data - P&amp;L'!$C$39)</f>
        <v>0</v>
      </c>
      <c r="G255" s="134">
        <f>(G17*'Data - P&amp;L'!$C$38)+(G129*'Data - P&amp;L'!$C$39)</f>
        <v>0</v>
      </c>
      <c r="H255" s="134">
        <f>(H17*'Data - P&amp;L'!$C$38)+(H129*'Data - P&amp;L'!$C$39)</f>
        <v>47.76</v>
      </c>
      <c r="I255" s="134">
        <f>(I17*'Data - P&amp;L'!$C$38)+(I129*'Data - P&amp;L'!$C$39)</f>
        <v>35.82</v>
      </c>
      <c r="J255" s="134">
        <f>(J17*'Data - P&amp;L'!$C$38)+(J129*'Data - P&amp;L'!$C$39)</f>
        <v>23.88</v>
      </c>
      <c r="K255" s="134">
        <f>(K17*'Data - P&amp;L'!$C$38)+(K129*'Data - P&amp;L'!$C$39)</f>
        <v>11.94</v>
      </c>
      <c r="L255" s="134">
        <f>(L17*'Data - P&amp;L'!$C$38)+(L129*'Data - P&amp;L'!$C$39)</f>
        <v>23.88</v>
      </c>
      <c r="M255" s="134">
        <f>(M17*'Data - P&amp;L'!$C$38)+(M129*'Data - P&amp;L'!$C$39)</f>
        <v>11.94</v>
      </c>
      <c r="N255" s="134">
        <f>(N17*'Data - P&amp;L'!$C$38)+(N129*'Data - P&amp;L'!$C$39)</f>
        <v>0</v>
      </c>
      <c r="O255" s="134">
        <f>(O17*'Data - P&amp;L'!$C$38)+(O129*'Data - P&amp;L'!$C$39)</f>
        <v>0</v>
      </c>
      <c r="P255" s="134">
        <f>(P17*'Data - P&amp;L'!$C$38)+(P129*'Data - P&amp;L'!$C$39)</f>
        <v>0</v>
      </c>
      <c r="Q255" s="134">
        <f>(Q17*'Data - P&amp;L'!$C$38)+(Q129*'Data - P&amp;L'!$C$39)</f>
        <v>11.94</v>
      </c>
      <c r="R255" s="134">
        <f>(R17*'Data - P&amp;L'!$C$38)+(R129*'Data - P&amp;L'!$C$39)</f>
        <v>0</v>
      </c>
      <c r="S255" s="134">
        <f>(S17*'Data - P&amp;L'!$C$38)+(S129*'Data - P&amp;L'!$C$39)</f>
        <v>0</v>
      </c>
      <c r="T255" s="134">
        <f>(T17*'Data - P&amp;L'!$C$38)+(T129*'Data - P&amp;L'!$C$39)</f>
        <v>23.88</v>
      </c>
      <c r="U255" s="134">
        <f>(U17*'Data - P&amp;L'!$C$38)+(U129*'Data - P&amp;L'!$C$39)</f>
        <v>0</v>
      </c>
      <c r="V255" s="134">
        <f>(V17*'Data - P&amp;L'!$C$38)+(V129*'Data - P&amp;L'!$C$39)</f>
        <v>0</v>
      </c>
      <c r="W255" s="134">
        <f>(W17*'Data - P&amp;L'!$C$38)+(W129*'Data - P&amp;L'!$C$39)</f>
        <v>0</v>
      </c>
      <c r="X255" s="134">
        <f>(X17*'Data - P&amp;L'!$C$38)+(X129*'Data - P&amp;L'!$C$39)</f>
        <v>11.94</v>
      </c>
      <c r="Y255" s="134">
        <f>(Y17*'Data - P&amp;L'!$C$38)+(Y129*'Data - P&amp;L'!$C$39)</f>
        <v>0</v>
      </c>
      <c r="Z255" s="134">
        <f>(Z17*'Data - P&amp;L'!$C$38)+(Z129*'Data - P&amp;L'!$C$39)</f>
        <v>0</v>
      </c>
      <c r="AA255" s="134">
        <f>(AA17*'Data - P&amp;L'!$C$38)+(AA129*'Data - P&amp;L'!$C$39)</f>
        <v>0</v>
      </c>
      <c r="AB255" s="134">
        <f>(AB17*'Data - P&amp;L'!$C$38)+(AB129*'Data - P&amp;L'!$C$39)</f>
        <v>35.82</v>
      </c>
      <c r="AC255" s="134">
        <f>(AC17*'Data - P&amp;L'!$C$38)+(AC129*'Data - P&amp;L'!$C$39)</f>
        <v>11.94</v>
      </c>
      <c r="AD255" s="134">
        <f>(AD17*'Data - P&amp;L'!$C$38)+(AD129*'Data - P&amp;L'!$C$39)</f>
        <v>0</v>
      </c>
      <c r="AE255" s="134">
        <f>(AE17*'Data - P&amp;L'!$C$38)+(AE129*'Data - P&amp;L'!$C$39)</f>
        <v>0</v>
      </c>
      <c r="AF255" s="134">
        <f>(AF17*'Data - P&amp;L'!$C$38)+(AF129*'Data - P&amp;L'!$C$39)</f>
        <v>11.94</v>
      </c>
      <c r="AG255" s="303">
        <f t="shared" si="62"/>
        <v>358.2</v>
      </c>
    </row>
    <row r="256" ht="20.25" customHeight="1">
      <c r="A256" s="250" t="s">
        <v>763</v>
      </c>
      <c r="B256" s="134">
        <f>(B17*'Data - P&amp;L'!$C$34)+(B129*'Data - P&amp;L'!$C$35)</f>
        <v>68.98</v>
      </c>
      <c r="C256" s="134">
        <f>(C17*'Data - P&amp;L'!$C$34)+(C129*'Data - P&amp;L'!$C$35)</f>
        <v>49.55</v>
      </c>
      <c r="D256" s="134">
        <f>(D17*'Data - P&amp;L'!$C$34)+(D129*'Data - P&amp;L'!$C$35)</f>
        <v>103.47</v>
      </c>
      <c r="E256" s="134">
        <f>(E17*'Data - P&amp;L'!$C$34)+(E129*'Data - P&amp;L'!$C$35)</f>
        <v>34.49</v>
      </c>
      <c r="F256" s="134">
        <f>(F17*'Data - P&amp;L'!$C$34)+(F129*'Data - P&amp;L'!$C$35)</f>
        <v>0</v>
      </c>
      <c r="G256" s="134">
        <f>(G17*'Data - P&amp;L'!$C$34)+(G129*'Data - P&amp;L'!$C$35)</f>
        <v>0</v>
      </c>
      <c r="H256" s="134">
        <f>(H17*'Data - P&amp;L'!$C$34)+(H129*'Data - P&amp;L'!$C$35)</f>
        <v>137.96</v>
      </c>
      <c r="I256" s="134">
        <f>(I17*'Data - P&amp;L'!$C$34)+(I129*'Data - P&amp;L'!$C$35)</f>
        <v>103.47</v>
      </c>
      <c r="J256" s="134">
        <f>(J17*'Data - P&amp;L'!$C$34)+(J129*'Data - P&amp;L'!$C$35)</f>
        <v>68.98</v>
      </c>
      <c r="K256" s="134">
        <f>(K17*'Data - P&amp;L'!$C$34)+(K129*'Data - P&amp;L'!$C$35)</f>
        <v>34.49</v>
      </c>
      <c r="L256" s="134">
        <f>(L17*'Data - P&amp;L'!$C$34)+(L129*'Data - P&amp;L'!$C$35)</f>
        <v>49.55</v>
      </c>
      <c r="M256" s="134">
        <f>(M17*'Data - P&amp;L'!$C$34)+(M129*'Data - P&amp;L'!$C$35)</f>
        <v>34.49</v>
      </c>
      <c r="N256" s="134">
        <f>(N17*'Data - P&amp;L'!$C$34)+(N129*'Data - P&amp;L'!$C$35)</f>
        <v>0</v>
      </c>
      <c r="O256" s="134">
        <f>(O17*'Data - P&amp;L'!$C$34)+(O129*'Data - P&amp;L'!$C$35)</f>
        <v>0</v>
      </c>
      <c r="P256" s="134">
        <f>(P17*'Data - P&amp;L'!$C$34)+(P129*'Data - P&amp;L'!$C$35)</f>
        <v>0</v>
      </c>
      <c r="Q256" s="134">
        <f>(Q17*'Data - P&amp;L'!$C$34)+(Q129*'Data - P&amp;L'!$C$35)</f>
        <v>34.49</v>
      </c>
      <c r="R256" s="134">
        <f>(R17*'Data - P&amp;L'!$C$34)+(R129*'Data - P&amp;L'!$C$35)</f>
        <v>0</v>
      </c>
      <c r="S256" s="134">
        <f>(S17*'Data - P&amp;L'!$C$34)+(S129*'Data - P&amp;L'!$C$35)</f>
        <v>0</v>
      </c>
      <c r="T256" s="134">
        <f>(T17*'Data - P&amp;L'!$C$34)+(T129*'Data - P&amp;L'!$C$35)</f>
        <v>68.98</v>
      </c>
      <c r="U256" s="134">
        <f>(U17*'Data - P&amp;L'!$C$34)+(U129*'Data - P&amp;L'!$C$35)</f>
        <v>0</v>
      </c>
      <c r="V256" s="134">
        <f>(V17*'Data - P&amp;L'!$C$34)+(V129*'Data - P&amp;L'!$C$35)</f>
        <v>0</v>
      </c>
      <c r="W256" s="134">
        <f>(W17*'Data - P&amp;L'!$C$34)+(W129*'Data - P&amp;L'!$C$35)</f>
        <v>0</v>
      </c>
      <c r="X256" s="134">
        <f>(X17*'Data - P&amp;L'!$C$34)+(X129*'Data - P&amp;L'!$C$35)</f>
        <v>34.49</v>
      </c>
      <c r="Y256" s="134">
        <f>(Y17*'Data - P&amp;L'!$C$34)+(Y129*'Data - P&amp;L'!$C$35)</f>
        <v>0</v>
      </c>
      <c r="Z256" s="134">
        <f>(Z17*'Data - P&amp;L'!$C$34)+(Z129*'Data - P&amp;L'!$C$35)</f>
        <v>0</v>
      </c>
      <c r="AA256" s="134">
        <f>(AA17*'Data - P&amp;L'!$C$34)+(AA129*'Data - P&amp;L'!$C$35)</f>
        <v>0</v>
      </c>
      <c r="AB256" s="134">
        <f>(AB17*'Data - P&amp;L'!$C$34)+(AB129*'Data - P&amp;L'!$C$35)</f>
        <v>103.47</v>
      </c>
      <c r="AC256" s="134">
        <f>(AC17*'Data - P&amp;L'!$C$34)+(AC129*'Data - P&amp;L'!$C$35)</f>
        <v>34.49</v>
      </c>
      <c r="AD256" s="134">
        <f>(AD17*'Data - P&amp;L'!$C$34)+(AD129*'Data - P&amp;L'!$C$35)</f>
        <v>0</v>
      </c>
      <c r="AE256" s="134">
        <f>(AE17*'Data - P&amp;L'!$C$34)+(AE129*'Data - P&amp;L'!$C$35)</f>
        <v>0</v>
      </c>
      <c r="AF256" s="134">
        <f>(AF17*'Data - P&amp;L'!$C$34)+(AF129*'Data - P&amp;L'!$C$35)</f>
        <v>34.49</v>
      </c>
      <c r="AG256" s="303">
        <f t="shared" si="62"/>
        <v>995.84</v>
      </c>
    </row>
    <row r="257" ht="20.25" customHeight="1">
      <c r="A257" s="250" t="s">
        <v>764</v>
      </c>
      <c r="B257" s="134">
        <f>(B27*'Data - P&amp;L'!$D$38)+(B139*'Data - P&amp;L'!$D$39)</f>
        <v>0</v>
      </c>
      <c r="C257" s="134">
        <f>(C27*'Data - P&amp;L'!$D$38)+(C139*'Data - P&amp;L'!$D$39)</f>
        <v>0</v>
      </c>
      <c r="D257" s="134">
        <f>(D27*'Data - P&amp;L'!$D$38)+(D139*'Data - P&amp;L'!$D$39)</f>
        <v>0</v>
      </c>
      <c r="E257" s="134">
        <f>(E27*'Data - P&amp;L'!$D$38)+(E139*'Data - P&amp;L'!$D$39)</f>
        <v>0</v>
      </c>
      <c r="F257" s="134">
        <f>(F27*'Data - P&amp;L'!$D$38)+(F139*'Data - P&amp;L'!$D$39)</f>
        <v>0</v>
      </c>
      <c r="G257" s="134">
        <f>(G27*'Data - P&amp;L'!$D$38)+(G139*'Data - P&amp;L'!$D$39)</f>
        <v>0</v>
      </c>
      <c r="H257" s="134">
        <f>(H27*'Data - P&amp;L'!$D$38)+(H139*'Data - P&amp;L'!$D$39)</f>
        <v>0</v>
      </c>
      <c r="I257" s="134">
        <f>(I27*'Data - P&amp;L'!$D$38)+(I139*'Data - P&amp;L'!$D$39)</f>
        <v>0</v>
      </c>
      <c r="J257" s="134">
        <f>(J27*'Data - P&amp;L'!$D$38)+(J139*'Data - P&amp;L'!$D$39)</f>
        <v>0</v>
      </c>
      <c r="K257" s="134">
        <f>(K27*'Data - P&amp;L'!$D$38)+(K139*'Data - P&amp;L'!$D$39)</f>
        <v>0</v>
      </c>
      <c r="L257" s="134">
        <f>(L27*'Data - P&amp;L'!$D$38)+(L139*'Data - P&amp;L'!$D$39)</f>
        <v>0</v>
      </c>
      <c r="M257" s="134">
        <f>(M27*'Data - P&amp;L'!$D$38)+(M139*'Data - P&amp;L'!$D$39)</f>
        <v>0</v>
      </c>
      <c r="N257" s="134">
        <f>(N27*'Data - P&amp;L'!$D$38)+(N139*'Data - P&amp;L'!$D$39)</f>
        <v>0</v>
      </c>
      <c r="O257" s="134">
        <f>(O27*'Data - P&amp;L'!$D$38)+(O139*'Data - P&amp;L'!$D$39)</f>
        <v>0</v>
      </c>
      <c r="P257" s="134">
        <f>(P27*'Data - P&amp;L'!$D$38)+(P139*'Data - P&amp;L'!$D$39)</f>
        <v>0</v>
      </c>
      <c r="Q257" s="134">
        <f>(Q27*'Data - P&amp;L'!$D$38)+(Q139*'Data - P&amp;L'!$D$39)</f>
        <v>0</v>
      </c>
      <c r="R257" s="134">
        <f>(R27*'Data - P&amp;L'!$D$38)+(R139*'Data - P&amp;L'!$D$39)</f>
        <v>0</v>
      </c>
      <c r="S257" s="134">
        <f>(S27*'Data - P&amp;L'!$D$38)+(S139*'Data - P&amp;L'!$D$39)</f>
        <v>0</v>
      </c>
      <c r="T257" s="134">
        <f>(T27*'Data - P&amp;L'!$D$38)+(T139*'Data - P&amp;L'!$D$39)</f>
        <v>0</v>
      </c>
      <c r="U257" s="134">
        <f>(U27*'Data - P&amp;L'!$D$38)+(U139*'Data - P&amp;L'!$D$39)</f>
        <v>0</v>
      </c>
      <c r="V257" s="134">
        <f>(V27*'Data - P&amp;L'!$D$38)+(V139*'Data - P&amp;L'!$D$39)</f>
        <v>0</v>
      </c>
      <c r="W257" s="134">
        <f>(W27*'Data - P&amp;L'!$D$38)+(W139*'Data - P&amp;L'!$D$39)</f>
        <v>0</v>
      </c>
      <c r="X257" s="134">
        <f>(X27*'Data - P&amp;L'!$D$38)+(X139*'Data - P&amp;L'!$D$39)</f>
        <v>0</v>
      </c>
      <c r="Y257" s="134">
        <f>(Y27*'Data - P&amp;L'!$D$38)+(Y139*'Data - P&amp;L'!$D$39)</f>
        <v>0</v>
      </c>
      <c r="Z257" s="134">
        <f>(Z27*'Data - P&amp;L'!$D$38)+(Z139*'Data - P&amp;L'!$D$39)</f>
        <v>0</v>
      </c>
      <c r="AA257" s="134">
        <f>(AA27*'Data - P&amp;L'!$D$38)+(AA139*'Data - P&amp;L'!$D$39)</f>
        <v>0</v>
      </c>
      <c r="AB257" s="134">
        <f>(AB27*'Data - P&amp;L'!$D$38)+(AB139*'Data - P&amp;L'!$D$39)</f>
        <v>0</v>
      </c>
      <c r="AC257" s="134">
        <f>(AC27*'Data - P&amp;L'!$D$38)+(AC139*'Data - P&amp;L'!$D$39)</f>
        <v>0</v>
      </c>
      <c r="AD257" s="134">
        <f>(AD27*'Data - P&amp;L'!$D$38)+(AD139*'Data - P&amp;L'!$D$39)</f>
        <v>0</v>
      </c>
      <c r="AE257" s="134">
        <f>(AE27*'Data - P&amp;L'!$D$38)+(AE139*'Data - P&amp;L'!$D$39)</f>
        <v>0</v>
      </c>
      <c r="AF257" s="134">
        <f>(AF27*'Data - P&amp;L'!$D$38)+(AF139*'Data - P&amp;L'!$D$39)</f>
        <v>0</v>
      </c>
      <c r="AG257" s="303">
        <f t="shared" si="62"/>
        <v>0</v>
      </c>
    </row>
    <row r="258" ht="20.25" customHeight="1">
      <c r="A258" s="256" t="s">
        <v>765</v>
      </c>
      <c r="B258" s="257">
        <f>(B27*'Data - P&amp;L'!$D$34)+(B139*'Data - P&amp;L'!$D$35)</f>
        <v>0</v>
      </c>
      <c r="C258" s="257">
        <f>(C27*'Data - P&amp;L'!$D$34)+(C139*'Data - P&amp;L'!$D$35)</f>
        <v>0</v>
      </c>
      <c r="D258" s="257">
        <f>(D27*'Data - P&amp;L'!$D$34)+(D139*'Data - P&amp;L'!$D$35)</f>
        <v>0</v>
      </c>
      <c r="E258" s="257">
        <f>(E27*'Data - P&amp;L'!$D$34)+(E139*'Data - P&amp;L'!$D$35)</f>
        <v>0</v>
      </c>
      <c r="F258" s="257">
        <f>(F27*'Data - P&amp;L'!$D$34)+(F139*'Data - P&amp;L'!$D$35)</f>
        <v>0</v>
      </c>
      <c r="G258" s="257">
        <f>(G27*'Data - P&amp;L'!$D$34)+(G139*'Data - P&amp;L'!$D$35)</f>
        <v>0</v>
      </c>
      <c r="H258" s="257">
        <f>(H27*'Data - P&amp;L'!$D$34)+(H139*'Data - P&amp;L'!$D$35)</f>
        <v>0</v>
      </c>
      <c r="I258" s="257">
        <f>(I27*'Data - P&amp;L'!$D$34)+(I139*'Data - P&amp;L'!$D$35)</f>
        <v>0</v>
      </c>
      <c r="J258" s="257">
        <f>(J27*'Data - P&amp;L'!$D$34)+(J139*'Data - P&amp;L'!$D$35)</f>
        <v>0</v>
      </c>
      <c r="K258" s="257">
        <f>(K27*'Data - P&amp;L'!$D$34)+(K139*'Data - P&amp;L'!$D$35)</f>
        <v>0</v>
      </c>
      <c r="L258" s="257">
        <f>(L27*'Data - P&amp;L'!$D$34)+(L139*'Data - P&amp;L'!$D$35)</f>
        <v>0</v>
      </c>
      <c r="M258" s="257">
        <f>(M27*'Data - P&amp;L'!$D$34)+(M139*'Data - P&amp;L'!$D$35)</f>
        <v>0</v>
      </c>
      <c r="N258" s="257">
        <f>(N27*'Data - P&amp;L'!$D$34)+(N139*'Data - P&amp;L'!$D$35)</f>
        <v>0</v>
      </c>
      <c r="O258" s="257">
        <f>(O27*'Data - P&amp;L'!$D$34)+(O139*'Data - P&amp;L'!$D$35)</f>
        <v>0</v>
      </c>
      <c r="P258" s="257">
        <f>(P27*'Data - P&amp;L'!$D$34)+(P139*'Data - P&amp;L'!$D$35)</f>
        <v>0</v>
      </c>
      <c r="Q258" s="257">
        <f>(Q27*'Data - P&amp;L'!$D$34)+(Q139*'Data - P&amp;L'!$D$35)</f>
        <v>0</v>
      </c>
      <c r="R258" s="257">
        <f>(R27*'Data - P&amp;L'!$D$34)+(R139*'Data - P&amp;L'!$D$35)</f>
        <v>0</v>
      </c>
      <c r="S258" s="257">
        <f>(S27*'Data - P&amp;L'!$D$34)+(S139*'Data - P&amp;L'!$D$35)</f>
        <v>0</v>
      </c>
      <c r="T258" s="257">
        <f>(T27*'Data - P&amp;L'!$D$34)+(T139*'Data - P&amp;L'!$D$35)</f>
        <v>0</v>
      </c>
      <c r="U258" s="257">
        <f>(U27*'Data - P&amp;L'!$D$34)+(U139*'Data - P&amp;L'!$D$35)</f>
        <v>0</v>
      </c>
      <c r="V258" s="257">
        <f>(V27*'Data - P&amp;L'!$D$34)+(V139*'Data - P&amp;L'!$D$35)</f>
        <v>0</v>
      </c>
      <c r="W258" s="257">
        <f>(W27*'Data - P&amp;L'!$D$34)+(W139*'Data - P&amp;L'!$D$35)</f>
        <v>0</v>
      </c>
      <c r="X258" s="257">
        <f>(X27*'Data - P&amp;L'!$D$34)+(X139*'Data - P&amp;L'!$D$35)</f>
        <v>0</v>
      </c>
      <c r="Y258" s="257">
        <f>(Y27*'Data - P&amp;L'!$D$34)+(Y139*'Data - P&amp;L'!$D$35)</f>
        <v>0</v>
      </c>
      <c r="Z258" s="257">
        <f>(Z27*'Data - P&amp;L'!$D$34)+(Z139*'Data - P&amp;L'!$D$35)</f>
        <v>0</v>
      </c>
      <c r="AA258" s="257">
        <f>(AA27*'Data - P&amp;L'!$D$34)+(AA139*'Data - P&amp;L'!$D$35)</f>
        <v>0</v>
      </c>
      <c r="AB258" s="257">
        <f>(AB27*'Data - P&amp;L'!$D$34)+(AB139*'Data - P&amp;L'!$D$35)</f>
        <v>0</v>
      </c>
      <c r="AC258" s="257">
        <f>(AC27*'Data - P&amp;L'!$D$34)+(AC139*'Data - P&amp;L'!$D$35)</f>
        <v>0</v>
      </c>
      <c r="AD258" s="257">
        <f>(AD27*'Data - P&amp;L'!$D$34)+(AD139*'Data - P&amp;L'!$D$35)</f>
        <v>0</v>
      </c>
      <c r="AE258" s="257">
        <f>(AE27*'Data - P&amp;L'!$D$34)+(AE139*'Data - P&amp;L'!$D$35)</f>
        <v>0</v>
      </c>
      <c r="AF258" s="257">
        <f>(AF27*'Data - P&amp;L'!$D$34)+(AF139*'Data - P&amp;L'!$D$35)</f>
        <v>0</v>
      </c>
      <c r="AG258" s="303">
        <f t="shared" si="62"/>
        <v>0</v>
      </c>
    </row>
    <row r="259">
      <c r="A259" s="250" t="s">
        <v>766</v>
      </c>
      <c r="B259" s="451">
        <f t="shared" ref="B259:AF259" si="63">B6</f>
        <v>36.838772</v>
      </c>
      <c r="C259" s="451">
        <f t="shared" si="63"/>
        <v>18.419386</v>
      </c>
      <c r="D259" s="451">
        <f t="shared" si="63"/>
        <v>55.258158</v>
      </c>
      <c r="E259" s="451">
        <f t="shared" si="63"/>
        <v>18.419386</v>
      </c>
      <c r="F259" s="451">
        <f t="shared" si="63"/>
        <v>0</v>
      </c>
      <c r="G259" s="451">
        <f t="shared" si="63"/>
        <v>0</v>
      </c>
      <c r="H259" s="451">
        <f t="shared" si="63"/>
        <v>55.258158</v>
      </c>
      <c r="I259" s="451">
        <f t="shared" si="63"/>
        <v>55.258158</v>
      </c>
      <c r="J259" s="451">
        <f t="shared" si="63"/>
        <v>36.838772</v>
      </c>
      <c r="K259" s="451">
        <f t="shared" si="63"/>
        <v>18.419386</v>
      </c>
      <c r="L259" s="451">
        <f t="shared" si="63"/>
        <v>18.419386</v>
      </c>
      <c r="M259" s="451">
        <f t="shared" si="63"/>
        <v>18.419386</v>
      </c>
      <c r="N259" s="451">
        <f t="shared" si="63"/>
        <v>0</v>
      </c>
      <c r="O259" s="451">
        <f t="shared" si="63"/>
        <v>0</v>
      </c>
      <c r="P259" s="451">
        <f t="shared" si="63"/>
        <v>0</v>
      </c>
      <c r="Q259" s="451">
        <f t="shared" si="63"/>
        <v>18.419386</v>
      </c>
      <c r="R259" s="451">
        <f t="shared" si="63"/>
        <v>0</v>
      </c>
      <c r="S259" s="451">
        <f t="shared" si="63"/>
        <v>0</v>
      </c>
      <c r="T259" s="451">
        <f t="shared" si="63"/>
        <v>36.838772</v>
      </c>
      <c r="U259" s="451">
        <f t="shared" si="63"/>
        <v>0</v>
      </c>
      <c r="V259" s="451">
        <f t="shared" si="63"/>
        <v>0</v>
      </c>
      <c r="W259" s="451">
        <f t="shared" si="63"/>
        <v>0</v>
      </c>
      <c r="X259" s="451">
        <f t="shared" si="63"/>
        <v>18.419386</v>
      </c>
      <c r="Y259" s="451">
        <f t="shared" si="63"/>
        <v>0</v>
      </c>
      <c r="Z259" s="451">
        <f t="shared" si="63"/>
        <v>0</v>
      </c>
      <c r="AA259" s="451">
        <f t="shared" si="63"/>
        <v>0</v>
      </c>
      <c r="AB259" s="451">
        <f t="shared" si="63"/>
        <v>55.258158</v>
      </c>
      <c r="AC259" s="451">
        <f t="shared" si="63"/>
        <v>18.419386</v>
      </c>
      <c r="AD259" s="451">
        <f t="shared" si="63"/>
        <v>0</v>
      </c>
      <c r="AE259" s="451">
        <f t="shared" si="63"/>
        <v>0</v>
      </c>
      <c r="AF259" s="451">
        <f t="shared" si="63"/>
        <v>18.419386</v>
      </c>
      <c r="AG259" s="303">
        <f t="shared" si="62"/>
        <v>497.323422</v>
      </c>
    </row>
    <row r="260">
      <c r="A260" s="256" t="s">
        <v>767</v>
      </c>
      <c r="B260" s="452">
        <f t="shared" ref="B260:AF260" si="64">B118</f>
        <v>0</v>
      </c>
      <c r="C260" s="452">
        <f t="shared" si="64"/>
        <v>18.3586</v>
      </c>
      <c r="D260" s="452">
        <f t="shared" si="64"/>
        <v>0</v>
      </c>
      <c r="E260" s="452">
        <f t="shared" si="64"/>
        <v>0</v>
      </c>
      <c r="F260" s="452">
        <f t="shared" si="64"/>
        <v>0</v>
      </c>
      <c r="G260" s="452">
        <f t="shared" si="64"/>
        <v>0</v>
      </c>
      <c r="H260" s="452">
        <f t="shared" si="64"/>
        <v>0</v>
      </c>
      <c r="I260" s="452">
        <f t="shared" si="64"/>
        <v>0</v>
      </c>
      <c r="J260" s="452">
        <f t="shared" si="64"/>
        <v>0</v>
      </c>
      <c r="K260" s="452">
        <f t="shared" si="64"/>
        <v>0</v>
      </c>
      <c r="L260" s="452">
        <f t="shared" si="64"/>
        <v>0</v>
      </c>
      <c r="M260" s="452">
        <f t="shared" si="64"/>
        <v>0</v>
      </c>
      <c r="N260" s="452">
        <f t="shared" si="64"/>
        <v>0</v>
      </c>
      <c r="O260" s="452">
        <f t="shared" si="64"/>
        <v>0</v>
      </c>
      <c r="P260" s="452">
        <f t="shared" si="64"/>
        <v>0</v>
      </c>
      <c r="Q260" s="452">
        <f t="shared" si="64"/>
        <v>0</v>
      </c>
      <c r="R260" s="452">
        <f t="shared" si="64"/>
        <v>0</v>
      </c>
      <c r="S260" s="452">
        <f t="shared" si="64"/>
        <v>0</v>
      </c>
      <c r="T260" s="452">
        <f t="shared" si="64"/>
        <v>0</v>
      </c>
      <c r="U260" s="452">
        <f t="shared" si="64"/>
        <v>0</v>
      </c>
      <c r="V260" s="452">
        <f t="shared" si="64"/>
        <v>0</v>
      </c>
      <c r="W260" s="452">
        <f t="shared" si="64"/>
        <v>0</v>
      </c>
      <c r="X260" s="452">
        <f t="shared" si="64"/>
        <v>0</v>
      </c>
      <c r="Y260" s="452">
        <f t="shared" si="64"/>
        <v>0</v>
      </c>
      <c r="Z260" s="452">
        <f t="shared" si="64"/>
        <v>0</v>
      </c>
      <c r="AA260" s="452">
        <f t="shared" si="64"/>
        <v>0</v>
      </c>
      <c r="AB260" s="452">
        <f t="shared" si="64"/>
        <v>0</v>
      </c>
      <c r="AC260" s="452">
        <f t="shared" si="64"/>
        <v>0</v>
      </c>
      <c r="AD260" s="452">
        <f t="shared" si="64"/>
        <v>0</v>
      </c>
      <c r="AE260" s="452">
        <f t="shared" si="64"/>
        <v>0</v>
      </c>
      <c r="AF260" s="452">
        <f t="shared" si="64"/>
        <v>0</v>
      </c>
      <c r="AG260" s="303">
        <f t="shared" si="62"/>
        <v>18.3586</v>
      </c>
    </row>
    <row r="261">
      <c r="A261" s="166"/>
      <c r="AG261" s="453"/>
    </row>
    <row r="262">
      <c r="A262" s="223" t="s">
        <v>414</v>
      </c>
      <c r="B262" s="264">
        <f t="shared" ref="B262:AF262" si="65">SUM(B246:B260)</f>
        <v>452.2825264</v>
      </c>
      <c r="C262" s="264">
        <f t="shared" si="65"/>
        <v>416.7136532</v>
      </c>
      <c r="D262" s="264">
        <f t="shared" si="65"/>
        <v>678.4237896</v>
      </c>
      <c r="E262" s="264">
        <f t="shared" si="65"/>
        <v>226.1412632</v>
      </c>
      <c r="F262" s="264">
        <f t="shared" si="65"/>
        <v>0</v>
      </c>
      <c r="G262" s="264">
        <f t="shared" si="65"/>
        <v>0</v>
      </c>
      <c r="H262" s="264">
        <f t="shared" si="65"/>
        <v>822.4637896</v>
      </c>
      <c r="I262" s="264">
        <f t="shared" si="65"/>
        <v>678.4237896</v>
      </c>
      <c r="J262" s="264">
        <f t="shared" si="65"/>
        <v>452.2825264</v>
      </c>
      <c r="K262" s="264">
        <f t="shared" si="65"/>
        <v>226.1412632</v>
      </c>
      <c r="L262" s="264">
        <f t="shared" si="65"/>
        <v>350.7512632</v>
      </c>
      <c r="M262" s="264">
        <f t="shared" si="65"/>
        <v>226.1412632</v>
      </c>
      <c r="N262" s="264">
        <f t="shared" si="65"/>
        <v>0</v>
      </c>
      <c r="O262" s="264">
        <f t="shared" si="65"/>
        <v>0</v>
      </c>
      <c r="P262" s="264">
        <f t="shared" si="65"/>
        <v>0</v>
      </c>
      <c r="Q262" s="264">
        <f t="shared" si="65"/>
        <v>226.1412632</v>
      </c>
      <c r="R262" s="264">
        <f t="shared" si="65"/>
        <v>0</v>
      </c>
      <c r="S262" s="264">
        <f t="shared" si="65"/>
        <v>0</v>
      </c>
      <c r="T262" s="264">
        <f t="shared" si="65"/>
        <v>452.2825264</v>
      </c>
      <c r="U262" s="264">
        <f t="shared" si="65"/>
        <v>0</v>
      </c>
      <c r="V262" s="264">
        <f t="shared" si="65"/>
        <v>0</v>
      </c>
      <c r="W262" s="264">
        <f t="shared" si="65"/>
        <v>0</v>
      </c>
      <c r="X262" s="264">
        <f t="shared" si="65"/>
        <v>226.1412632</v>
      </c>
      <c r="Y262" s="264">
        <f t="shared" si="65"/>
        <v>0</v>
      </c>
      <c r="Z262" s="264">
        <f t="shared" si="65"/>
        <v>0</v>
      </c>
      <c r="AA262" s="264">
        <f t="shared" si="65"/>
        <v>0</v>
      </c>
      <c r="AB262" s="264">
        <f t="shared" si="65"/>
        <v>678.4237896</v>
      </c>
      <c r="AC262" s="264">
        <f t="shared" si="65"/>
        <v>226.1412632</v>
      </c>
      <c r="AD262" s="264">
        <f t="shared" si="65"/>
        <v>0</v>
      </c>
      <c r="AE262" s="264">
        <f t="shared" si="65"/>
        <v>0</v>
      </c>
      <c r="AF262" s="264">
        <f t="shared" si="65"/>
        <v>226.1412632</v>
      </c>
      <c r="AG262" s="303">
        <f>SUM(B262:AF262)</f>
        <v>6565.036496</v>
      </c>
    </row>
    <row r="263">
      <c r="A263" s="166"/>
      <c r="AG263" s="421"/>
    </row>
    <row r="264">
      <c r="A264" s="446" t="s">
        <v>419</v>
      </c>
      <c r="B264" s="454"/>
      <c r="C264" s="454"/>
      <c r="D264" s="454"/>
      <c r="E264" s="454"/>
      <c r="F264" s="454"/>
      <c r="G264" s="454"/>
      <c r="H264" s="454"/>
      <c r="I264" s="454"/>
      <c r="J264" s="454"/>
      <c r="K264" s="454"/>
      <c r="L264" s="454"/>
      <c r="M264" s="454"/>
      <c r="N264" s="454"/>
      <c r="O264" s="454"/>
      <c r="P264" s="454"/>
      <c r="Q264" s="454"/>
      <c r="R264" s="454"/>
      <c r="S264" s="454"/>
      <c r="T264" s="454"/>
      <c r="U264" s="454"/>
      <c r="V264" s="454"/>
      <c r="W264" s="454"/>
      <c r="X264" s="454"/>
      <c r="Y264" s="454"/>
      <c r="Z264" s="454"/>
      <c r="AA264" s="454"/>
      <c r="AB264" s="454"/>
      <c r="AC264" s="454"/>
      <c r="AD264" s="454"/>
      <c r="AE264" s="454"/>
      <c r="AF264" s="454"/>
      <c r="AG264" s="453"/>
    </row>
    <row r="265">
      <c r="A265" s="250" t="s">
        <v>768</v>
      </c>
      <c r="B265" s="277">
        <f t="shared" ref="B265:AF265" si="66">SUM(B266:B272)-B275</f>
        <v>0</v>
      </c>
      <c r="C265" s="277">
        <f t="shared" si="66"/>
        <v>0</v>
      </c>
      <c r="D265" s="277">
        <f t="shared" si="66"/>
        <v>0</v>
      </c>
      <c r="E265" s="277">
        <f t="shared" si="66"/>
        <v>0</v>
      </c>
      <c r="F265" s="277">
        <f t="shared" si="66"/>
        <v>0</v>
      </c>
      <c r="G265" s="277">
        <f t="shared" si="66"/>
        <v>0</v>
      </c>
      <c r="H265" s="277">
        <f t="shared" si="66"/>
        <v>0</v>
      </c>
      <c r="I265" s="277">
        <f t="shared" si="66"/>
        <v>6</v>
      </c>
      <c r="J265" s="277">
        <f t="shared" si="66"/>
        <v>0</v>
      </c>
      <c r="K265" s="277">
        <f t="shared" si="66"/>
        <v>0</v>
      </c>
      <c r="L265" s="277">
        <f t="shared" si="66"/>
        <v>0</v>
      </c>
      <c r="M265" s="277">
        <f t="shared" si="66"/>
        <v>0</v>
      </c>
      <c r="N265" s="277">
        <f t="shared" si="66"/>
        <v>0</v>
      </c>
      <c r="O265" s="277">
        <f t="shared" si="66"/>
        <v>0</v>
      </c>
      <c r="P265" s="277">
        <f t="shared" si="66"/>
        <v>0</v>
      </c>
      <c r="Q265" s="277">
        <f t="shared" si="66"/>
        <v>0</v>
      </c>
      <c r="R265" s="277">
        <f t="shared" si="66"/>
        <v>0</v>
      </c>
      <c r="S265" s="277">
        <f t="shared" si="66"/>
        <v>0</v>
      </c>
      <c r="T265" s="277">
        <f t="shared" si="66"/>
        <v>0</v>
      </c>
      <c r="U265" s="277">
        <f t="shared" si="66"/>
        <v>0</v>
      </c>
      <c r="V265" s="277">
        <f t="shared" si="66"/>
        <v>0</v>
      </c>
      <c r="W265" s="277">
        <f t="shared" si="66"/>
        <v>0</v>
      </c>
      <c r="X265" s="277">
        <f t="shared" si="66"/>
        <v>0</v>
      </c>
      <c r="Y265" s="277">
        <f t="shared" si="66"/>
        <v>-202.38</v>
      </c>
      <c r="Z265" s="277">
        <f t="shared" si="66"/>
        <v>0</v>
      </c>
      <c r="AA265" s="277">
        <f t="shared" si="66"/>
        <v>0</v>
      </c>
      <c r="AB265" s="277">
        <f t="shared" si="66"/>
        <v>0</v>
      </c>
      <c r="AC265" s="277">
        <f t="shared" si="66"/>
        <v>0</v>
      </c>
      <c r="AD265" s="277">
        <f t="shared" si="66"/>
        <v>0</v>
      </c>
      <c r="AE265" s="277">
        <f t="shared" si="66"/>
        <v>0</v>
      </c>
      <c r="AF265" s="277">
        <f t="shared" si="66"/>
        <v>0</v>
      </c>
      <c r="AG265" s="303">
        <f t="shared" ref="AG265:AG299" si="67">SUM(B265:AF265)</f>
        <v>-196.38</v>
      </c>
    </row>
    <row r="266" outlineLevel="1">
      <c r="A266" s="147" t="s">
        <v>769</v>
      </c>
      <c r="B266" s="263">
        <f>(B32+B33+B144+B145)*'Data - P&amp;L'!$C$3</f>
        <v>0</v>
      </c>
      <c r="C266" s="263">
        <f>(C32+C33+C144+C145)*'Data - P&amp;L'!$C$3</f>
        <v>0</v>
      </c>
      <c r="D266" s="263">
        <f>(D32+D33+D144+D145)*'Data - P&amp;L'!$C$3</f>
        <v>0</v>
      </c>
      <c r="E266" s="263">
        <f>(E32+E33+E144+E145)*'Data - P&amp;L'!$C$3</f>
        <v>0</v>
      </c>
      <c r="F266" s="263">
        <f>(F32+F33+F144+F145)*'Data - P&amp;L'!$C$3</f>
        <v>0</v>
      </c>
      <c r="G266" s="263">
        <f>(G32+G33+G144+G145)*'Data - P&amp;L'!$C$3</f>
        <v>0</v>
      </c>
      <c r="H266" s="263">
        <f>(H32+H33+H144+H145)*'Data - P&amp;L'!$C$3</f>
        <v>0</v>
      </c>
      <c r="I266" s="263">
        <f>(I32+I33+I144+I145)*'Data - P&amp;L'!$C$3</f>
        <v>0</v>
      </c>
      <c r="J266" s="263">
        <f>(J32+J33+J144+J145)*'Data - P&amp;L'!$C$3</f>
        <v>0</v>
      </c>
      <c r="K266" s="263">
        <f>(K32+K33+K144+K145)*'Data - P&amp;L'!$C$3</f>
        <v>0</v>
      </c>
      <c r="L266" s="263">
        <f>(L32+L33+L144+L145)*'Data - P&amp;L'!$C$3</f>
        <v>0</v>
      </c>
      <c r="M266" s="263">
        <f>(M32+M33+M144+M145)*'Data - P&amp;L'!$C$3</f>
        <v>0</v>
      </c>
      <c r="N266" s="263">
        <f>(N32+N33+N144+N145)*'Data - P&amp;L'!$C$3</f>
        <v>0</v>
      </c>
      <c r="O266" s="263">
        <f>(O32+O33+O144+O145)*'Data - P&amp;L'!$C$3</f>
        <v>0</v>
      </c>
      <c r="P266" s="263">
        <f>(P32+P33+P144+P145)*'Data - P&amp;L'!$C$3</f>
        <v>0</v>
      </c>
      <c r="Q266" s="263">
        <f>(Q32+Q33+Q144+Q145)*'Data - P&amp;L'!$C$3</f>
        <v>0</v>
      </c>
      <c r="R266" s="263">
        <f>(R32+R33+R144+R145)*'Data - P&amp;L'!$C$3</f>
        <v>0</v>
      </c>
      <c r="S266" s="263">
        <f>(S32+S33+S144+S145)*'Data - P&amp;L'!$C$3</f>
        <v>0</v>
      </c>
      <c r="T266" s="263">
        <f>(T32+T33+T144+T145)*'Data - P&amp;L'!$C$3</f>
        <v>0</v>
      </c>
      <c r="U266" s="263">
        <f>(U32+U33+U144+U145)*'Data - P&amp;L'!$C$3</f>
        <v>0</v>
      </c>
      <c r="V266" s="263">
        <f>(V32+V33+V144+V145)*'Data - P&amp;L'!$C$3</f>
        <v>0</v>
      </c>
      <c r="W266" s="263">
        <f>(W32+W33+W144+W145)*'Data - P&amp;L'!$C$3</f>
        <v>0</v>
      </c>
      <c r="X266" s="263">
        <f>(X32+X33+X144+X145)*'Data - P&amp;L'!$C$3</f>
        <v>0</v>
      </c>
      <c r="Y266" s="263">
        <f>(Y32+Y33+Y144+Y145)*'Data - P&amp;L'!$C$3</f>
        <v>0</v>
      </c>
      <c r="Z266" s="263">
        <f>(Z32+Z33+Z144+Z145)*'Data - P&amp;L'!$C$3</f>
        <v>0</v>
      </c>
      <c r="AA266" s="263">
        <f>(AA32+AA33+AA144+AA145)*'Data - P&amp;L'!$C$3</f>
        <v>0</v>
      </c>
      <c r="AB266" s="263">
        <f>(AB32+AB33+AB144+AB145)*'Data - P&amp;L'!$C$3</f>
        <v>0</v>
      </c>
      <c r="AC266" s="263">
        <f>(AC32+AC33+AC144+AC145)*'Data - P&amp;L'!$C$3</f>
        <v>0</v>
      </c>
      <c r="AD266" s="263">
        <f>(AD32+AD33+AD144+AD145)*'Data - P&amp;L'!$C$3</f>
        <v>0</v>
      </c>
      <c r="AE266" s="263">
        <f>(AE32+AE33+AE144+AE145)*'Data - P&amp;L'!$C$3</f>
        <v>0</v>
      </c>
      <c r="AF266" s="263">
        <f>(AF32+AF33+AF144+AF145)*'Data - P&amp;L'!$C$3</f>
        <v>0</v>
      </c>
      <c r="AG266" s="453">
        <f t="shared" si="67"/>
        <v>0</v>
      </c>
    </row>
    <row r="267" outlineLevel="1">
      <c r="A267" s="147" t="s">
        <v>770</v>
      </c>
      <c r="B267" s="263">
        <f>(B34+B35+B146+B147)*'Data - P&amp;L'!$C$4</f>
        <v>0</v>
      </c>
      <c r="C267" s="263">
        <f>(C34+C35+C146+C147)*'Data - P&amp;L'!$C$4</f>
        <v>0</v>
      </c>
      <c r="D267" s="263">
        <f>(D34+D35+D146+D147)*'Data - P&amp;L'!$C$4</f>
        <v>0</v>
      </c>
      <c r="E267" s="263">
        <f>(E34+E35+E146+E147)*'Data - P&amp;L'!$C$4</f>
        <v>0</v>
      </c>
      <c r="F267" s="263">
        <f>(F34+F35+F146+F147)*'Data - P&amp;L'!$C$4</f>
        <v>0</v>
      </c>
      <c r="G267" s="263">
        <f>(G34+G35+G146+G147)*'Data - P&amp;L'!$C$4</f>
        <v>0</v>
      </c>
      <c r="H267" s="263">
        <f>(H34+H35+H146+H147)*'Data - P&amp;L'!$C$4</f>
        <v>0</v>
      </c>
      <c r="I267" s="263">
        <f>(I34+I35+I146+I147)*'Data - P&amp;L'!$C$4</f>
        <v>0</v>
      </c>
      <c r="J267" s="263">
        <f>(J34+J35+J146+J147)*'Data - P&amp;L'!$C$4</f>
        <v>0</v>
      </c>
      <c r="K267" s="263">
        <f>(K34+K35+K146+K147)*'Data - P&amp;L'!$C$4</f>
        <v>0</v>
      </c>
      <c r="L267" s="263">
        <f>(L34+L35+L146+L147)*'Data - P&amp;L'!$C$4</f>
        <v>0</v>
      </c>
      <c r="M267" s="263">
        <f>(M34+M35+M146+M147)*'Data - P&amp;L'!$C$4</f>
        <v>0</v>
      </c>
      <c r="N267" s="263">
        <f>(N34+N35+N146+N147)*'Data - P&amp;L'!$C$4</f>
        <v>0</v>
      </c>
      <c r="O267" s="263">
        <f>(O34+O35+O146+O147)*'Data - P&amp;L'!$C$4</f>
        <v>0</v>
      </c>
      <c r="P267" s="263">
        <f>(P34+P35+P146+P147)*'Data - P&amp;L'!$C$4</f>
        <v>0</v>
      </c>
      <c r="Q267" s="263">
        <f>(Q34+Q35+Q146+Q147)*'Data - P&amp;L'!$C$4</f>
        <v>0</v>
      </c>
      <c r="R267" s="263">
        <f>(R34+R35+R146+R147)*'Data - P&amp;L'!$C$4</f>
        <v>0</v>
      </c>
      <c r="S267" s="263">
        <f>(S34+S35+S146+S147)*'Data - P&amp;L'!$C$4</f>
        <v>0</v>
      </c>
      <c r="T267" s="263">
        <f>(T34+T35+T146+T147)*'Data - P&amp;L'!$C$4</f>
        <v>0</v>
      </c>
      <c r="U267" s="263">
        <f>(U34+U35+U146+U147)*'Data - P&amp;L'!$C$4</f>
        <v>0</v>
      </c>
      <c r="V267" s="263">
        <f>(V34+V35+V146+V147)*'Data - P&amp;L'!$C$4</f>
        <v>0</v>
      </c>
      <c r="W267" s="263">
        <f>(W34+W35+W146+W147)*'Data - P&amp;L'!$C$4</f>
        <v>0</v>
      </c>
      <c r="X267" s="263">
        <f>(X34+X35+X146+X147)*'Data - P&amp;L'!$C$4</f>
        <v>0</v>
      </c>
      <c r="Y267" s="263">
        <f>(Y34+Y35+Y146+Y147)*'Data - P&amp;L'!$C$4</f>
        <v>97.61</v>
      </c>
      <c r="Z267" s="263">
        <f>(Z34+Z35+Z146+Z147)*'Data - P&amp;L'!$C$4</f>
        <v>0</v>
      </c>
      <c r="AA267" s="263">
        <f>(AA34+AA35+AA146+AA147)*'Data - P&amp;L'!$C$4</f>
        <v>0</v>
      </c>
      <c r="AB267" s="263">
        <f>(AB34+AB35+AB146+AB147)*'Data - P&amp;L'!$C$4</f>
        <v>0</v>
      </c>
      <c r="AC267" s="263">
        <f>(AC34+AC35+AC146+AC147)*'Data - P&amp;L'!$C$4</f>
        <v>0</v>
      </c>
      <c r="AD267" s="263">
        <f>(AD34+AD35+AD146+AD147)*'Data - P&amp;L'!$C$4</f>
        <v>0</v>
      </c>
      <c r="AE267" s="263">
        <f>(AE34+AE35+AE146+AE147)*'Data - P&amp;L'!$C$4</f>
        <v>0</v>
      </c>
      <c r="AF267" s="263">
        <f>(AF34+AF35+AF146+AF147)*'Data - P&amp;L'!$C$4</f>
        <v>0</v>
      </c>
      <c r="AG267" s="453">
        <f t="shared" si="67"/>
        <v>97.61</v>
      </c>
    </row>
    <row r="268" outlineLevel="1">
      <c r="A268" s="147" t="s">
        <v>771</v>
      </c>
      <c r="B268" s="263">
        <f>(B39+B151)*'Data - P&amp;L'!$C$6</f>
        <v>0</v>
      </c>
      <c r="C268" s="263">
        <f>(C93+C104)*'Data - P&amp;L'!$C$6</f>
        <v>0</v>
      </c>
      <c r="D268" s="263">
        <f>(D93+D104)*'Data - P&amp;L'!$C$6</f>
        <v>0</v>
      </c>
      <c r="E268" s="263">
        <f>(E93+E104)*'Data - P&amp;L'!$C$6</f>
        <v>0</v>
      </c>
      <c r="F268" s="263">
        <f>(F93+F104)*'Data - P&amp;L'!$C$6</f>
        <v>0</v>
      </c>
      <c r="G268" s="263">
        <f>(G93+G104)*'Data - P&amp;L'!$C$6</f>
        <v>0</v>
      </c>
      <c r="H268" s="263">
        <f>(H93+H104)*'Data - P&amp;L'!$C$6</f>
        <v>0</v>
      </c>
      <c r="I268" s="263">
        <f>(I93+I104)*'Data - P&amp;L'!$C$6</f>
        <v>0</v>
      </c>
      <c r="J268" s="263">
        <f>(J93+J104)*'Data - P&amp;L'!$C$6</f>
        <v>0</v>
      </c>
      <c r="K268" s="263">
        <f>(K93+K104)*'Data - P&amp;L'!$C$6</f>
        <v>0</v>
      </c>
      <c r="L268" s="263">
        <f>(L93+L104)*'Data - P&amp;L'!$C$6</f>
        <v>0</v>
      </c>
      <c r="M268" s="263">
        <f>(M93+M104)*'Data - P&amp;L'!$C$6</f>
        <v>0</v>
      </c>
      <c r="N268" s="263">
        <f>(N93+N104)*'Data - P&amp;L'!$C$6</f>
        <v>0</v>
      </c>
      <c r="O268" s="263">
        <f>(O93+O104)*'Data - P&amp;L'!$C$6</f>
        <v>0</v>
      </c>
      <c r="P268" s="263">
        <f>(P93+P104)*'Data - P&amp;L'!$C$6</f>
        <v>0</v>
      </c>
      <c r="Q268" s="263">
        <f>(Q93+Q104)*'Data - P&amp;L'!$C$6</f>
        <v>0</v>
      </c>
      <c r="R268" s="263">
        <f>(R93+R104)*'Data - P&amp;L'!$C$6</f>
        <v>0</v>
      </c>
      <c r="S268" s="263">
        <f>(S93+S104)*'Data - P&amp;L'!$C$6</f>
        <v>0</v>
      </c>
      <c r="T268" s="263">
        <f>(T93+T104)*'Data - P&amp;L'!$C$6</f>
        <v>0</v>
      </c>
      <c r="U268" s="263">
        <f>(U93+U104)*'Data - P&amp;L'!$C$6</f>
        <v>0</v>
      </c>
      <c r="V268" s="263">
        <f>(V93+V104)*'Data - P&amp;L'!$C$6</f>
        <v>0</v>
      </c>
      <c r="W268" s="263">
        <f>(W93+W104)*'Data - P&amp;L'!$C$6</f>
        <v>0</v>
      </c>
      <c r="X268" s="263">
        <f>(X93+X104)*'Data - P&amp;L'!$C$6</f>
        <v>0</v>
      </c>
      <c r="Y268" s="263">
        <f>(Y93+Y104)*'Data - P&amp;L'!$C$6</f>
        <v>0</v>
      </c>
      <c r="Z268" s="263">
        <f>(Z93+Z104)*'Data - P&amp;L'!$C$6</f>
        <v>0</v>
      </c>
      <c r="AA268" s="263">
        <f>(AA93+AA104)*'Data - P&amp;L'!$C$6</f>
        <v>0</v>
      </c>
      <c r="AB268" s="263">
        <f>(AB93+AB104)*'Data - P&amp;L'!$C$6</f>
        <v>0</v>
      </c>
      <c r="AC268" s="263">
        <f>(AC93+AC104)*'Data - P&amp;L'!$C$6</f>
        <v>0</v>
      </c>
      <c r="AD268" s="263">
        <f>(AD93+AD104)*'Data - P&amp;L'!$C$6</f>
        <v>0</v>
      </c>
      <c r="AE268" s="263">
        <f>(AE93+AE104)*'Data - P&amp;L'!$C$6</f>
        <v>0</v>
      </c>
      <c r="AF268" s="263">
        <f>(AF93+AF104)*'Data - P&amp;L'!$C$6</f>
        <v>0</v>
      </c>
      <c r="AG268" s="453">
        <f t="shared" si="67"/>
        <v>0</v>
      </c>
    </row>
    <row r="269" outlineLevel="1">
      <c r="A269" s="147" t="s">
        <v>772</v>
      </c>
      <c r="B269" s="263">
        <f>(B40+B152)*'Data - P&amp;L'!$C$8</f>
        <v>0</v>
      </c>
      <c r="C269" s="263">
        <f>(C94+C105)*'Data - P&amp;L'!$C$8</f>
        <v>0</v>
      </c>
      <c r="D269" s="263">
        <f>(D94+D105)*'Data - P&amp;L'!$C$8</f>
        <v>0</v>
      </c>
      <c r="E269" s="263">
        <f>(E94+E105)*'Data - P&amp;L'!$C$8</f>
        <v>0</v>
      </c>
      <c r="F269" s="263">
        <f>(F94+F105)*'Data - P&amp;L'!$C$8</f>
        <v>0</v>
      </c>
      <c r="G269" s="263">
        <f>(G94+G105)*'Data - P&amp;L'!$C$8</f>
        <v>0</v>
      </c>
      <c r="H269" s="263">
        <f>(H94+H105)*'Data - P&amp;L'!$C$8</f>
        <v>0</v>
      </c>
      <c r="I269" s="263">
        <f>(I94+I105)*'Data - P&amp;L'!$C$8</f>
        <v>0</v>
      </c>
      <c r="J269" s="263">
        <f>(J94+J105)*'Data - P&amp;L'!$C$8</f>
        <v>0</v>
      </c>
      <c r="K269" s="263">
        <f>(K94+K105)*'Data - P&amp;L'!$C$8</f>
        <v>0</v>
      </c>
      <c r="L269" s="263">
        <f>(L94+L105)*'Data - P&amp;L'!$C$8</f>
        <v>0</v>
      </c>
      <c r="M269" s="263">
        <f>(M94+M105)*'Data - P&amp;L'!$C$8</f>
        <v>0</v>
      </c>
      <c r="N269" s="263">
        <f>(N94+N105)*'Data - P&amp;L'!$C$8</f>
        <v>0</v>
      </c>
      <c r="O269" s="263">
        <f>(O94+O105)*'Data - P&amp;L'!$C$8</f>
        <v>0</v>
      </c>
      <c r="P269" s="263">
        <f>(P94+P105)*'Data - P&amp;L'!$C$8</f>
        <v>0</v>
      </c>
      <c r="Q269" s="263">
        <f>(Q94+Q105)*'Data - P&amp;L'!$C$8</f>
        <v>0</v>
      </c>
      <c r="R269" s="263">
        <f>(R94+R105)*'Data - P&amp;L'!$C$8</f>
        <v>0</v>
      </c>
      <c r="S269" s="263">
        <f>(S94+S105)*'Data - P&amp;L'!$C$8</f>
        <v>0</v>
      </c>
      <c r="T269" s="263">
        <f>(T94+T105)*'Data - P&amp;L'!$C$8</f>
        <v>0</v>
      </c>
      <c r="U269" s="263">
        <f>(U94+U105)*'Data - P&amp;L'!$C$8</f>
        <v>0</v>
      </c>
      <c r="V269" s="263">
        <f>(V94+V105)*'Data - P&amp;L'!$C$8</f>
        <v>0</v>
      </c>
      <c r="W269" s="263">
        <f>(W94+W105)*'Data - P&amp;L'!$C$8</f>
        <v>0</v>
      </c>
      <c r="X269" s="263">
        <f>(X94+X105)*'Data - P&amp;L'!$C$8</f>
        <v>0</v>
      </c>
      <c r="Y269" s="263">
        <f>(Y94+Y105)*'Data - P&amp;L'!$C$8</f>
        <v>0</v>
      </c>
      <c r="Z269" s="263">
        <f>(Z94+Z105)*'Data - P&amp;L'!$C$8</f>
        <v>0</v>
      </c>
      <c r="AA269" s="263">
        <f>(AA94+AA105)*'Data - P&amp;L'!$C$8</f>
        <v>0</v>
      </c>
      <c r="AB269" s="263">
        <f>(AB94+AB105)*'Data - P&amp;L'!$C$8</f>
        <v>0</v>
      </c>
      <c r="AC269" s="263">
        <f>(AC94+AC105)*'Data - P&amp;L'!$C$8</f>
        <v>0</v>
      </c>
      <c r="AD269" s="263">
        <f>(AD94+AD105)*'Data - P&amp;L'!$C$8</f>
        <v>0</v>
      </c>
      <c r="AE269" s="263">
        <f>(AE94+AE105)*'Data - P&amp;L'!$C$8</f>
        <v>0</v>
      </c>
      <c r="AF269" s="263">
        <f>(AF94+AF105)*'Data - P&amp;L'!$C$8</f>
        <v>0</v>
      </c>
      <c r="AG269" s="453">
        <f t="shared" si="67"/>
        <v>0</v>
      </c>
    </row>
    <row r="270" outlineLevel="1">
      <c r="A270" s="147" t="s">
        <v>773</v>
      </c>
      <c r="B270" s="263">
        <f>(B41+B42+B153+B154)*'Data - P&amp;L'!$C$9</f>
        <v>0</v>
      </c>
      <c r="C270" s="263">
        <f>(C95+C96+C106+C107)*'Data - P&amp;L'!$C$9</f>
        <v>0</v>
      </c>
      <c r="D270" s="263">
        <f>(D95+D96+D106+D107)*'Data - P&amp;L'!$C$9</f>
        <v>0</v>
      </c>
      <c r="E270" s="263">
        <f>(E95+E96+E106+E107)*'Data - P&amp;L'!$C$9</f>
        <v>0</v>
      </c>
      <c r="F270" s="263">
        <f>(F95+F96+F106+F107)*'Data - P&amp;L'!$C$9</f>
        <v>0</v>
      </c>
      <c r="G270" s="263">
        <f>(G95+G96+G106+G107)*'Data - P&amp;L'!$C$9</f>
        <v>0</v>
      </c>
      <c r="H270" s="263">
        <f>(H95+H96+H106+H107)*'Data - P&amp;L'!$C$9</f>
        <v>0</v>
      </c>
      <c r="I270" s="263">
        <f>(I95+I96+I106+I107)*'Data - P&amp;L'!$C$9</f>
        <v>0</v>
      </c>
      <c r="J270" s="263">
        <f>(J95+J96+J106+J107)*'Data - P&amp;L'!$C$9</f>
        <v>0</v>
      </c>
      <c r="K270" s="263">
        <f>(K95+K96+K106+K107)*'Data - P&amp;L'!$C$9</f>
        <v>0</v>
      </c>
      <c r="L270" s="263">
        <f>(L95+L96+L106+L107)*'Data - P&amp;L'!$C$9</f>
        <v>0</v>
      </c>
      <c r="M270" s="263">
        <f>(M95+M96+M106+M107)*'Data - P&amp;L'!$C$9</f>
        <v>0</v>
      </c>
      <c r="N270" s="263">
        <f>(N95+N96+N106+N107)*'Data - P&amp;L'!$C$9</f>
        <v>0</v>
      </c>
      <c r="O270" s="263">
        <f>(O95+O96+O106+O107)*'Data - P&amp;L'!$C$9</f>
        <v>0</v>
      </c>
      <c r="P270" s="263">
        <f>(P95+P96+P106+P107)*'Data - P&amp;L'!$C$9</f>
        <v>0</v>
      </c>
      <c r="Q270" s="263">
        <f>(Q95+Q96+Q106+Q107)*'Data - P&amp;L'!$C$9</f>
        <v>0</v>
      </c>
      <c r="R270" s="263">
        <f>(R95+R96+R106+R107)*'Data - P&amp;L'!$C$9</f>
        <v>0</v>
      </c>
      <c r="S270" s="263">
        <f>(S95+S96+S106+S107)*'Data - P&amp;L'!$C$9</f>
        <v>0</v>
      </c>
      <c r="T270" s="263">
        <f>(T95+T96+T106+T107)*'Data - P&amp;L'!$C$9</f>
        <v>0</v>
      </c>
      <c r="U270" s="263">
        <f>(U95+U96+U106+U107)*'Data - P&amp;L'!$C$9</f>
        <v>0</v>
      </c>
      <c r="V270" s="263">
        <f>(V95+V96+V106+V107)*'Data - P&amp;L'!$C$9</f>
        <v>0</v>
      </c>
      <c r="W270" s="263">
        <f>(W95+W96+W106+W107)*'Data - P&amp;L'!$C$9</f>
        <v>0</v>
      </c>
      <c r="X270" s="263">
        <f>(X95+X96+X106+X107)*'Data - P&amp;L'!$C$9</f>
        <v>0</v>
      </c>
      <c r="Y270" s="263">
        <f>(Y95+Y96+Y106+Y107)*'Data - P&amp;L'!$C$9</f>
        <v>0</v>
      </c>
      <c r="Z270" s="263">
        <f>(Z95+Z96+Z106+Z107)*'Data - P&amp;L'!$C$9</f>
        <v>0</v>
      </c>
      <c r="AA270" s="263">
        <f>(AA95+AA96+AA106+AA107)*'Data - P&amp;L'!$C$9</f>
        <v>0</v>
      </c>
      <c r="AB270" s="263">
        <f>(AB95+AB96+AB106+AB107)*'Data - P&amp;L'!$C$9</f>
        <v>0</v>
      </c>
      <c r="AC270" s="263">
        <f>(AC95+AC96+AC106+AC107)*'Data - P&amp;L'!$C$9</f>
        <v>0</v>
      </c>
      <c r="AD270" s="263">
        <f>(AD95+AD96+AD106+AD107)*'Data - P&amp;L'!$C$9</f>
        <v>0</v>
      </c>
      <c r="AE270" s="263">
        <f>(AE95+AE96+AE106+AE107)*'Data - P&amp;L'!$C$9</f>
        <v>0</v>
      </c>
      <c r="AF270" s="263">
        <f>(AF95+AF96+AF106+AF107)*'Data - P&amp;L'!$C$9</f>
        <v>0</v>
      </c>
      <c r="AG270" s="453">
        <f t="shared" si="67"/>
        <v>0</v>
      </c>
    </row>
    <row r="271" outlineLevel="1">
      <c r="A271" s="147" t="s">
        <v>774</v>
      </c>
      <c r="B271" s="263">
        <f>(B43+B44+B155+B156)*'Data - P&amp;L'!$C$5</f>
        <v>0</v>
      </c>
      <c r="C271" s="263">
        <f>(C97+C98+C108+C109)*'Data - P&amp;L'!$C$5</f>
        <v>0</v>
      </c>
      <c r="D271" s="263">
        <f>(D97+D98+D108+D109)*'Data - P&amp;L'!$C$5</f>
        <v>0</v>
      </c>
      <c r="E271" s="263">
        <f>(E97+E98+E108+E109)*'Data - P&amp;L'!$C$5</f>
        <v>0</v>
      </c>
      <c r="F271" s="263">
        <f>(F97+F98+F108+F109)*'Data - P&amp;L'!$C$5</f>
        <v>0</v>
      </c>
      <c r="G271" s="263">
        <f>(G97+G98+G108+G109)*'Data - P&amp;L'!$C$5</f>
        <v>0</v>
      </c>
      <c r="H271" s="263">
        <f>(H97+H98+H108+H109)*'Data - P&amp;L'!$C$5</f>
        <v>0</v>
      </c>
      <c r="I271" s="263">
        <f>(I97+I98+I108+I109)*'Data - P&amp;L'!$C$5</f>
        <v>0</v>
      </c>
      <c r="J271" s="263">
        <f>(J97+J98+J108+J109)*'Data - P&amp;L'!$C$5</f>
        <v>0</v>
      </c>
      <c r="K271" s="263">
        <f>(K97+K98+K108+K109)*'Data - P&amp;L'!$C$5</f>
        <v>0</v>
      </c>
      <c r="L271" s="263">
        <f>(L97+L98+L108+L109)*'Data - P&amp;L'!$C$5</f>
        <v>0</v>
      </c>
      <c r="M271" s="263">
        <f>(M97+M98+M108+M109)*'Data - P&amp;L'!$C$5</f>
        <v>0</v>
      </c>
      <c r="N271" s="263">
        <f>(N97+N98+N108+N109)*'Data - P&amp;L'!$C$5</f>
        <v>0</v>
      </c>
      <c r="O271" s="263">
        <f>(O97+O98+O108+O109)*'Data - P&amp;L'!$C$5</f>
        <v>0</v>
      </c>
      <c r="P271" s="263">
        <f>(P97+P98+P108+P109)*'Data - P&amp;L'!$C$5</f>
        <v>0</v>
      </c>
      <c r="Q271" s="263">
        <f>(Q97+Q98+Q108+Q109)*'Data - P&amp;L'!$C$5</f>
        <v>0</v>
      </c>
      <c r="R271" s="263">
        <f>(R97+R98+R108+R109)*'Data - P&amp;L'!$C$5</f>
        <v>0</v>
      </c>
      <c r="S271" s="263">
        <f>(S97+S98+S108+S109)*'Data - P&amp;L'!$C$5</f>
        <v>0</v>
      </c>
      <c r="T271" s="263">
        <f>(T97+T98+T108+T109)*'Data - P&amp;L'!$C$5</f>
        <v>0</v>
      </c>
      <c r="U271" s="263">
        <f>(U97+U98+U108+U109)*'Data - P&amp;L'!$C$5</f>
        <v>0</v>
      </c>
      <c r="V271" s="263">
        <f>(V97+V98+V108+V109)*'Data - P&amp;L'!$C$5</f>
        <v>0</v>
      </c>
      <c r="W271" s="263">
        <f>(W97+W98+W108+W109)*'Data - P&amp;L'!$C$5</f>
        <v>0</v>
      </c>
      <c r="X271" s="263">
        <f>(X97+X98+X108+X109)*'Data - P&amp;L'!$C$5</f>
        <v>0</v>
      </c>
      <c r="Y271" s="263">
        <f>(Y97+Y98+Y108+Y109)*'Data - P&amp;L'!$C$5</f>
        <v>0</v>
      </c>
      <c r="Z271" s="263">
        <f>(Z97+Z98+Z108+Z109)*'Data - P&amp;L'!$C$5</f>
        <v>0</v>
      </c>
      <c r="AA271" s="263">
        <f>(AA97+AA98+AA108+AA109)*'Data - P&amp;L'!$C$5</f>
        <v>0</v>
      </c>
      <c r="AB271" s="263">
        <f>(AB97+AB98+AB108+AB109)*'Data - P&amp;L'!$C$5</f>
        <v>0</v>
      </c>
      <c r="AC271" s="263">
        <f>(AC97+AC98+AC108+AC109)*'Data - P&amp;L'!$C$5</f>
        <v>0</v>
      </c>
      <c r="AD271" s="263">
        <f>(AD97+AD98+AD108+AD109)*'Data - P&amp;L'!$C$5</f>
        <v>0</v>
      </c>
      <c r="AE271" s="263">
        <f>(AE97+AE98+AE108+AE109)*'Data - P&amp;L'!$C$5</f>
        <v>0</v>
      </c>
      <c r="AF271" s="263">
        <f>(AF97+AF98+AF108+AF109)*'Data - P&amp;L'!$C$5</f>
        <v>0</v>
      </c>
      <c r="AG271" s="453">
        <f t="shared" si="67"/>
        <v>0</v>
      </c>
    </row>
    <row r="272" outlineLevel="1">
      <c r="A272" s="147" t="s">
        <v>775</v>
      </c>
      <c r="B272" s="263">
        <f>(B45+B46+B157+B158)*'Data - P&amp;L'!$C$10</f>
        <v>0</v>
      </c>
      <c r="C272" s="263">
        <f>(C99+C100+C110+C111)*'Data - P&amp;L'!$C$10</f>
        <v>0</v>
      </c>
      <c r="D272" s="263">
        <f>(D99+D100+D110+D111)*'Data - P&amp;L'!$C$10</f>
        <v>0</v>
      </c>
      <c r="E272" s="263">
        <f>(E99+E100+E110+E111)*'Data - P&amp;L'!$C$10</f>
        <v>0</v>
      </c>
      <c r="F272" s="263">
        <f>(F99+F100+F110+F111)*'Data - P&amp;L'!$C$10</f>
        <v>0</v>
      </c>
      <c r="G272" s="263">
        <f>(G99+G100+G110+G111)*'Data - P&amp;L'!$C$10</f>
        <v>0</v>
      </c>
      <c r="H272" s="263">
        <f>(H99+H100+H110+H111)*'Data - P&amp;L'!$C$10</f>
        <v>0</v>
      </c>
      <c r="I272" s="263">
        <f>(I99+I100+I110+I111)*'Data - P&amp;L'!$C$10</f>
        <v>6</v>
      </c>
      <c r="J272" s="263">
        <f>(J99+J100+J110+J111)*'Data - P&amp;L'!$C$10</f>
        <v>0</v>
      </c>
      <c r="K272" s="263">
        <f>(K99+K100+K110+K111)*'Data - P&amp;L'!$C$10</f>
        <v>0</v>
      </c>
      <c r="L272" s="263">
        <f>(L99+L100+L110+L111)*'Data - P&amp;L'!$C$10</f>
        <v>0</v>
      </c>
      <c r="M272" s="263">
        <f>(M99+M100+M110+M111)*'Data - P&amp;L'!$C$10</f>
        <v>0</v>
      </c>
      <c r="N272" s="263">
        <f>(N99+N100+N110+N111)*'Data - P&amp;L'!$C$10</f>
        <v>0</v>
      </c>
      <c r="O272" s="263">
        <f>(O99+O100+O110+O111)*'Data - P&amp;L'!$C$10</f>
        <v>0</v>
      </c>
      <c r="P272" s="263">
        <f>(P99+P100+P110+P111)*'Data - P&amp;L'!$C$10</f>
        <v>0</v>
      </c>
      <c r="Q272" s="263">
        <f>(Q99+Q100+Q110+Q111)*'Data - P&amp;L'!$C$10</f>
        <v>0</v>
      </c>
      <c r="R272" s="263">
        <f>(R99+R100+R110+R111)*'Data - P&amp;L'!$C$10</f>
        <v>0</v>
      </c>
      <c r="S272" s="263">
        <f>(S99+S100+S110+S111)*'Data - P&amp;L'!$C$10</f>
        <v>0</v>
      </c>
      <c r="T272" s="263">
        <f>(T99+T100+T110+T111)*'Data - P&amp;L'!$C$10</f>
        <v>0</v>
      </c>
      <c r="U272" s="263">
        <f>(U99+U100+U110+U111)*'Data - P&amp;L'!$C$10</f>
        <v>0</v>
      </c>
      <c r="V272" s="263">
        <f>(V99+V100+V110+V111)*'Data - P&amp;L'!$C$10</f>
        <v>0</v>
      </c>
      <c r="W272" s="263">
        <f>(W99+W100+W110+W111)*'Data - P&amp;L'!$C$10</f>
        <v>0</v>
      </c>
      <c r="X272" s="263">
        <f>(X99+X100+X110+X111)*'Data - P&amp;L'!$C$10</f>
        <v>0</v>
      </c>
      <c r="Y272" s="263">
        <f>(Y99+Y100+Y110+Y111)*'Data - P&amp;L'!$C$10</f>
        <v>0</v>
      </c>
      <c r="Z272" s="263">
        <f>(Z99+Z100+Z110+Z111)*'Data - P&amp;L'!$C$10</f>
        <v>0</v>
      </c>
      <c r="AA272" s="263">
        <f>(AA99+AA100+AA110+AA111)*'Data - P&amp;L'!$C$10</f>
        <v>0</v>
      </c>
      <c r="AB272" s="263">
        <f>(AB99+AB100+AB110+AB111)*'Data - P&amp;L'!$C$10</f>
        <v>0</v>
      </c>
      <c r="AC272" s="263">
        <f>(AC99+AC100+AC110+AC111)*'Data - P&amp;L'!$C$10</f>
        <v>0</v>
      </c>
      <c r="AD272" s="263">
        <f>(AD99+AD100+AD110+AD111)*'Data - P&amp;L'!$C$10</f>
        <v>0</v>
      </c>
      <c r="AE272" s="263">
        <f>(AE99+AE100+AE110+AE111)*'Data - P&amp;L'!$C$10</f>
        <v>0</v>
      </c>
      <c r="AF272" s="263">
        <f>(AF99+AF100+AF110+AF111)*'Data - P&amp;L'!$C$10</f>
        <v>0</v>
      </c>
      <c r="AG272" s="453">
        <f t="shared" si="67"/>
        <v>6</v>
      </c>
    </row>
    <row r="273" outlineLevel="1">
      <c r="A273" s="147" t="s">
        <v>776</v>
      </c>
      <c r="B273" s="263">
        <f>((B64+B65+B148+B149*'Data - P&amp;L'!$C$38))*'Data - P&amp;L'!$C$54</f>
        <v>0</v>
      </c>
      <c r="C273" s="263">
        <f>((SUM(C36:C37))*'Data - P&amp;L'!$C$38)</f>
        <v>0</v>
      </c>
      <c r="D273" s="263">
        <f>((SUM(D36:D37))*'Data - P&amp;L'!$C$38)</f>
        <v>0</v>
      </c>
      <c r="E273" s="263">
        <f>((SUM(E36:E37))*'Data - P&amp;L'!$C$38)</f>
        <v>0</v>
      </c>
      <c r="F273" s="263">
        <f>((SUM(F36:F37))*'Data - P&amp;L'!$C$38)</f>
        <v>0</v>
      </c>
      <c r="G273" s="263">
        <f>((SUM(G36:G37))*'Data - P&amp;L'!$C$38)</f>
        <v>0</v>
      </c>
      <c r="H273" s="263">
        <f>((SUM(H36:H37))*'Data - P&amp;L'!$C$38)</f>
        <v>0</v>
      </c>
      <c r="I273" s="263">
        <f>((SUM(I36:I37))*'Data - P&amp;L'!$C$38)</f>
        <v>0</v>
      </c>
      <c r="J273" s="263">
        <f>((SUM(J36:J37))*'Data - P&amp;L'!$C$38)</f>
        <v>0</v>
      </c>
      <c r="K273" s="263">
        <f>((SUM(K36:K37))*'Data - P&amp;L'!$C$38)</f>
        <v>0</v>
      </c>
      <c r="L273" s="263">
        <f>((SUM(L36:L37))*'Data - P&amp;L'!$C$38)</f>
        <v>0</v>
      </c>
      <c r="M273" s="263">
        <f>((SUM(M36:M37))*'Data - P&amp;L'!$C$38)</f>
        <v>0</v>
      </c>
      <c r="N273" s="263">
        <f>((SUM(N36:N37))*'Data - P&amp;L'!$C$38)</f>
        <v>0</v>
      </c>
      <c r="O273" s="263">
        <f>((SUM(O36:O37))*'Data - P&amp;L'!$C$38)</f>
        <v>0</v>
      </c>
      <c r="P273" s="263">
        <f>((SUM(P36:P37))*'Data - P&amp;L'!$C$38)</f>
        <v>0</v>
      </c>
      <c r="Q273" s="263">
        <f>((SUM(Q36:Q37))*'Data - P&amp;L'!$C$38)</f>
        <v>0</v>
      </c>
      <c r="R273" s="263">
        <f>((SUM(R36:R37))*'Data - P&amp;L'!$C$38)</f>
        <v>0</v>
      </c>
      <c r="S273" s="263">
        <f>((SUM(S36:S37))*'Data - P&amp;L'!$C$38)</f>
        <v>0</v>
      </c>
      <c r="T273" s="263">
        <f>((SUM(T36:T37))*'Data - P&amp;L'!$C$38)</f>
        <v>0</v>
      </c>
      <c r="U273" s="263">
        <f>((SUM(U36:U37))*'Data - P&amp;L'!$C$38)</f>
        <v>0</v>
      </c>
      <c r="V273" s="263">
        <f>((SUM(V36:V37))*'Data - P&amp;L'!$C$38)</f>
        <v>0</v>
      </c>
      <c r="W273" s="263">
        <f>((SUM(W36:W37))*'Data - P&amp;L'!$C$38)</f>
        <v>0</v>
      </c>
      <c r="X273" s="263">
        <f>((SUM(X36:X37))*'Data - P&amp;L'!$C$38)</f>
        <v>0</v>
      </c>
      <c r="Y273" s="263">
        <f>((SUM(Y36:Y37))*'Data - P&amp;L'!$C$38)</f>
        <v>11.94</v>
      </c>
      <c r="Z273" s="263">
        <f>((SUM(Z36:Z37))*'Data - P&amp;L'!$C$38)</f>
        <v>0</v>
      </c>
      <c r="AA273" s="263">
        <f>((SUM(AA36:AA37))*'Data - P&amp;L'!$C$38)</f>
        <v>0</v>
      </c>
      <c r="AB273" s="263">
        <f>((SUM(AB36:AB37))*'Data - P&amp;L'!$C$38)</f>
        <v>0</v>
      </c>
      <c r="AC273" s="263">
        <f>((SUM(AC36:AC37))*'Data - P&amp;L'!$C$38)</f>
        <v>0</v>
      </c>
      <c r="AD273" s="263">
        <f>((SUM(AD36:AD37))*'Data - P&amp;L'!$C$38)</f>
        <v>0</v>
      </c>
      <c r="AE273" s="263">
        <f>((SUM(AE36:AE37))*'Data - P&amp;L'!$C$38)</f>
        <v>0</v>
      </c>
      <c r="AF273" s="263">
        <f>((SUM(AF36:AF37))*'Data - P&amp;L'!$C$38)</f>
        <v>0</v>
      </c>
      <c r="AG273" s="453">
        <f t="shared" si="67"/>
        <v>11.94</v>
      </c>
    </row>
    <row r="274" outlineLevel="1">
      <c r="A274" s="147" t="s">
        <v>777</v>
      </c>
      <c r="B274" s="263">
        <f>((SUM(B64+B65+B148+B149))*'Data - P&amp;L'!$C$34)</f>
        <v>0</v>
      </c>
      <c r="C274" s="263">
        <f>((SUM(C36:C37))*'Data - P&amp;L'!$C$34)</f>
        <v>0</v>
      </c>
      <c r="D274" s="263">
        <f>((SUM(D36:D37))*'Data - P&amp;L'!$C$34)</f>
        <v>0</v>
      </c>
      <c r="E274" s="263">
        <f>((SUM(E36:E37))*'Data - P&amp;L'!$C$34)</f>
        <v>0</v>
      </c>
      <c r="F274" s="263">
        <f>((SUM(F36:F37))*'Data - P&amp;L'!$C$34)</f>
        <v>0</v>
      </c>
      <c r="G274" s="263">
        <f>((SUM(G36:G37))*'Data - P&amp;L'!$C$34)</f>
        <v>0</v>
      </c>
      <c r="H274" s="263">
        <f>((SUM(H36:H37))*'Data - P&amp;L'!$C$34)</f>
        <v>0</v>
      </c>
      <c r="I274" s="263">
        <f>((SUM(I36:I37))*'Data - P&amp;L'!$C$34)</f>
        <v>0</v>
      </c>
      <c r="J274" s="263">
        <f>((SUM(J36:J37))*'Data - P&amp;L'!$C$34)</f>
        <v>0</v>
      </c>
      <c r="K274" s="263">
        <f>((SUM(K36:K37))*'Data - P&amp;L'!$C$34)</f>
        <v>0</v>
      </c>
      <c r="L274" s="263">
        <f>((SUM(L36:L37))*'Data - P&amp;L'!$C$34)</f>
        <v>0</v>
      </c>
      <c r="M274" s="263">
        <f>((SUM(M36:M37))*'Data - P&amp;L'!$C$34)</f>
        <v>0</v>
      </c>
      <c r="N274" s="263">
        <f>((SUM(N36:N37))*'Data - P&amp;L'!$C$34)</f>
        <v>0</v>
      </c>
      <c r="O274" s="263">
        <f>((SUM(O36:O37))*'Data - P&amp;L'!$C$34)</f>
        <v>0</v>
      </c>
      <c r="P274" s="263">
        <f>((SUM(P36:P37))*'Data - P&amp;L'!$C$34)</f>
        <v>0</v>
      </c>
      <c r="Q274" s="263">
        <f>((SUM(Q36:Q37))*'Data - P&amp;L'!$C$34)</f>
        <v>0</v>
      </c>
      <c r="R274" s="263">
        <f>((SUM(R36:R37))*'Data - P&amp;L'!$C$34)</f>
        <v>0</v>
      </c>
      <c r="S274" s="263">
        <f>((SUM(S36:S37))*'Data - P&amp;L'!$C$34)</f>
        <v>0</v>
      </c>
      <c r="T274" s="263">
        <f>((SUM(T36:T37))*'Data - P&amp;L'!$C$34)</f>
        <v>0</v>
      </c>
      <c r="U274" s="263">
        <f>((SUM(U36:U37))*'Data - P&amp;L'!$C$34)</f>
        <v>0</v>
      </c>
      <c r="V274" s="263">
        <f>((SUM(V36:V37))*'Data - P&amp;L'!$C$34)</f>
        <v>0</v>
      </c>
      <c r="W274" s="263">
        <f>((SUM(W36:W37))*'Data - P&amp;L'!$C$34)</f>
        <v>0</v>
      </c>
      <c r="X274" s="263">
        <f>((SUM(X36:X37))*'Data - P&amp;L'!$C$34)</f>
        <v>0</v>
      </c>
      <c r="Y274" s="263">
        <f>((SUM(Y36:Y37))*'Data - P&amp;L'!$C$34)</f>
        <v>34.49</v>
      </c>
      <c r="Z274" s="263">
        <f>((SUM(Z36:Z37))*'Data - P&amp;L'!$C$34)</f>
        <v>0</v>
      </c>
      <c r="AA274" s="263">
        <f>((SUM(AA36:AA37))*'Data - P&amp;L'!$C$34)</f>
        <v>0</v>
      </c>
      <c r="AB274" s="263">
        <f>((SUM(AB36:AB37))*'Data - P&amp;L'!$C$34)</f>
        <v>0</v>
      </c>
      <c r="AC274" s="263">
        <f>((SUM(AC36:AC37))*'Data - P&amp;L'!$C$34)</f>
        <v>0</v>
      </c>
      <c r="AD274" s="263">
        <f>((SUM(AD36:AD37))*'Data - P&amp;L'!$C$34)</f>
        <v>0</v>
      </c>
      <c r="AE274" s="263">
        <f>((SUM(AE36:AE37))*'Data - P&amp;L'!$C$34)</f>
        <v>0</v>
      </c>
      <c r="AF274" s="263">
        <f>((SUM(AF36:AF37))*'Data - P&amp;L'!$C$34)</f>
        <v>0</v>
      </c>
      <c r="AG274" s="453">
        <f t="shared" si="67"/>
        <v>34.49</v>
      </c>
    </row>
    <row r="275" outlineLevel="1">
      <c r="A275" s="455" t="s">
        <v>778</v>
      </c>
      <c r="B275" s="262">
        <f>B53+B57+B165+B169</f>
        <v>0</v>
      </c>
      <c r="C275" s="262">
        <f t="shared" ref="C275:AF275" si="68">C53+C57</f>
        <v>0</v>
      </c>
      <c r="D275" s="262">
        <f t="shared" si="68"/>
        <v>0</v>
      </c>
      <c r="E275" s="262">
        <f t="shared" si="68"/>
        <v>0</v>
      </c>
      <c r="F275" s="262">
        <f t="shared" si="68"/>
        <v>0</v>
      </c>
      <c r="G275" s="262">
        <f t="shared" si="68"/>
        <v>0</v>
      </c>
      <c r="H275" s="262">
        <f t="shared" si="68"/>
        <v>0</v>
      </c>
      <c r="I275" s="262">
        <f t="shared" si="68"/>
        <v>0</v>
      </c>
      <c r="J275" s="262">
        <f t="shared" si="68"/>
        <v>0</v>
      </c>
      <c r="K275" s="262">
        <f t="shared" si="68"/>
        <v>0</v>
      </c>
      <c r="L275" s="262">
        <f t="shared" si="68"/>
        <v>0</v>
      </c>
      <c r="M275" s="262">
        <f t="shared" si="68"/>
        <v>0</v>
      </c>
      <c r="N275" s="262">
        <f t="shared" si="68"/>
        <v>0</v>
      </c>
      <c r="O275" s="262">
        <f t="shared" si="68"/>
        <v>0</v>
      </c>
      <c r="P275" s="262">
        <f t="shared" si="68"/>
        <v>0</v>
      </c>
      <c r="Q275" s="262">
        <f t="shared" si="68"/>
        <v>0</v>
      </c>
      <c r="R275" s="262">
        <f t="shared" si="68"/>
        <v>0</v>
      </c>
      <c r="S275" s="262">
        <f t="shared" si="68"/>
        <v>0</v>
      </c>
      <c r="T275" s="262">
        <f t="shared" si="68"/>
        <v>0</v>
      </c>
      <c r="U275" s="262">
        <f t="shared" si="68"/>
        <v>0</v>
      </c>
      <c r="V275" s="262">
        <f t="shared" si="68"/>
        <v>0</v>
      </c>
      <c r="W275" s="262">
        <f t="shared" si="68"/>
        <v>0</v>
      </c>
      <c r="X275" s="262">
        <f t="shared" si="68"/>
        <v>0</v>
      </c>
      <c r="Y275" s="262">
        <f t="shared" si="68"/>
        <v>299.99</v>
      </c>
      <c r="Z275" s="262">
        <f t="shared" si="68"/>
        <v>0</v>
      </c>
      <c r="AA275" s="262">
        <f t="shared" si="68"/>
        <v>0</v>
      </c>
      <c r="AB275" s="262">
        <f t="shared" si="68"/>
        <v>0</v>
      </c>
      <c r="AC275" s="262">
        <f t="shared" si="68"/>
        <v>0</v>
      </c>
      <c r="AD275" s="262">
        <f t="shared" si="68"/>
        <v>0</v>
      </c>
      <c r="AE275" s="262">
        <f t="shared" si="68"/>
        <v>0</v>
      </c>
      <c r="AF275" s="262">
        <f t="shared" si="68"/>
        <v>0</v>
      </c>
      <c r="AG275" s="453">
        <f t="shared" si="67"/>
        <v>299.99</v>
      </c>
    </row>
    <row r="276">
      <c r="A276" s="250" t="s">
        <v>779</v>
      </c>
      <c r="B276" s="277">
        <f t="shared" ref="B276:AF276" si="69">SUM(B277:B285)-B286-B287</f>
        <v>0</v>
      </c>
      <c r="C276" s="277">
        <f t="shared" si="69"/>
        <v>0</v>
      </c>
      <c r="D276" s="277">
        <f t="shared" si="69"/>
        <v>0</v>
      </c>
      <c r="E276" s="277">
        <f t="shared" si="69"/>
        <v>0</v>
      </c>
      <c r="F276" s="277">
        <f t="shared" si="69"/>
        <v>0</v>
      </c>
      <c r="G276" s="277">
        <f t="shared" si="69"/>
        <v>0</v>
      </c>
      <c r="H276" s="277">
        <f t="shared" si="69"/>
        <v>0</v>
      </c>
      <c r="I276" s="277">
        <f t="shared" si="69"/>
        <v>0</v>
      </c>
      <c r="J276" s="277">
        <f t="shared" si="69"/>
        <v>0</v>
      </c>
      <c r="K276" s="277">
        <f t="shared" si="69"/>
        <v>0</v>
      </c>
      <c r="L276" s="277">
        <f t="shared" si="69"/>
        <v>0</v>
      </c>
      <c r="M276" s="277">
        <f t="shared" si="69"/>
        <v>0</v>
      </c>
      <c r="N276" s="277">
        <f t="shared" si="69"/>
        <v>0</v>
      </c>
      <c r="O276" s="277">
        <f t="shared" si="69"/>
        <v>0</v>
      </c>
      <c r="P276" s="277">
        <f t="shared" si="69"/>
        <v>0</v>
      </c>
      <c r="Q276" s="277">
        <f t="shared" si="69"/>
        <v>0</v>
      </c>
      <c r="R276" s="277">
        <f t="shared" si="69"/>
        <v>0</v>
      </c>
      <c r="S276" s="277">
        <f t="shared" si="69"/>
        <v>0</v>
      </c>
      <c r="T276" s="277">
        <f t="shared" si="69"/>
        <v>0</v>
      </c>
      <c r="U276" s="277">
        <f t="shared" si="69"/>
        <v>0</v>
      </c>
      <c r="V276" s="277">
        <f t="shared" si="69"/>
        <v>0</v>
      </c>
      <c r="W276" s="277">
        <f t="shared" si="69"/>
        <v>0</v>
      </c>
      <c r="X276" s="277">
        <f t="shared" si="69"/>
        <v>0</v>
      </c>
      <c r="Y276" s="277">
        <f t="shared" si="69"/>
        <v>0</v>
      </c>
      <c r="Z276" s="277">
        <f t="shared" si="69"/>
        <v>0</v>
      </c>
      <c r="AA276" s="277">
        <f t="shared" si="69"/>
        <v>0</v>
      </c>
      <c r="AB276" s="277">
        <f t="shared" si="69"/>
        <v>0</v>
      </c>
      <c r="AC276" s="277">
        <f t="shared" si="69"/>
        <v>0</v>
      </c>
      <c r="AD276" s="277">
        <f t="shared" si="69"/>
        <v>0</v>
      </c>
      <c r="AE276" s="277">
        <f t="shared" si="69"/>
        <v>0</v>
      </c>
      <c r="AF276" s="277">
        <f t="shared" si="69"/>
        <v>0</v>
      </c>
      <c r="AG276" s="303">
        <f t="shared" si="67"/>
        <v>0</v>
      </c>
    </row>
    <row r="277" outlineLevel="1">
      <c r="A277" s="147" t="s">
        <v>434</v>
      </c>
      <c r="B277" s="263">
        <f>((B60+B61+B172+B173)*'Data - P&amp;L'!$C$3)*'Data - P&amp;L'!$C$54</f>
        <v>0</v>
      </c>
      <c r="C277" s="263">
        <f>((C60+C61+C172+C173)*'Data - P&amp;L'!$C$3)*'Data - P&amp;L'!$C$54</f>
        <v>0</v>
      </c>
      <c r="D277" s="263">
        <f>((D60+D61+D172+D173)*'Data - P&amp;L'!$C$3)*'Data - P&amp;L'!$C$54</f>
        <v>0</v>
      </c>
      <c r="E277" s="263">
        <f>((E60+E61+E172+E173)*'Data - P&amp;L'!$C$3)*'Data - P&amp;L'!$C$54</f>
        <v>0</v>
      </c>
      <c r="F277" s="263">
        <f>((F60+F61+F172+F173)*'Data - P&amp;L'!$C$3)*'Data - P&amp;L'!$C$54</f>
        <v>0</v>
      </c>
      <c r="G277" s="263">
        <f>((G60+G61+G172+G173)*'Data - P&amp;L'!$C$3)*'Data - P&amp;L'!$C$54</f>
        <v>0</v>
      </c>
      <c r="H277" s="263">
        <f>((H60+H61+H172+H173)*'Data - P&amp;L'!$C$3)*'Data - P&amp;L'!$C$54</f>
        <v>0</v>
      </c>
      <c r="I277" s="263">
        <f>((I60+I61+I172+I173)*'Data - P&amp;L'!$C$3)*'Data - P&amp;L'!$C$54</f>
        <v>0</v>
      </c>
      <c r="J277" s="263">
        <f>((J60+J61+J172+J173)*'Data - P&amp;L'!$C$3)*'Data - P&amp;L'!$C$54</f>
        <v>0</v>
      </c>
      <c r="K277" s="263">
        <f>((K60+K61+K172+K173)*'Data - P&amp;L'!$C$3)*'Data - P&amp;L'!$C$54</f>
        <v>0</v>
      </c>
      <c r="L277" s="263">
        <f>((L60+L61+L172+L173)*'Data - P&amp;L'!$C$3)*'Data - P&amp;L'!$C$54</f>
        <v>0</v>
      </c>
      <c r="M277" s="263">
        <f>((M60+M61+M172+M173)*'Data - P&amp;L'!$C$3)*'Data - P&amp;L'!$C$54</f>
        <v>0</v>
      </c>
      <c r="N277" s="263">
        <f>((N60+N61+N172+N173)*'Data - P&amp;L'!$C$3)*'Data - P&amp;L'!$C$54</f>
        <v>0</v>
      </c>
      <c r="O277" s="263">
        <f>((O60+O61+O172+O173)*'Data - P&amp;L'!$C$3)*'Data - P&amp;L'!$C$54</f>
        <v>0</v>
      </c>
      <c r="P277" s="263">
        <f>((P60+P61+P172+P173)*'Data - P&amp;L'!$C$3)*'Data - P&amp;L'!$C$54</f>
        <v>0</v>
      </c>
      <c r="Q277" s="263">
        <f>((Q60+Q61+Q172+Q173)*'Data - P&amp;L'!$C$3)*'Data - P&amp;L'!$C$54</f>
        <v>0</v>
      </c>
      <c r="R277" s="263">
        <f>((R60+R61+R172+R173)*'Data - P&amp;L'!$C$3)*'Data - P&amp;L'!$C$54</f>
        <v>0</v>
      </c>
      <c r="S277" s="263">
        <f>((S60+S61+S172+S173)*'Data - P&amp;L'!$C$3)*'Data - P&amp;L'!$C$54</f>
        <v>0</v>
      </c>
      <c r="T277" s="263">
        <f>((T60+T61+T172+T173)*'Data - P&amp;L'!$C$3)*'Data - P&amp;L'!$C$54</f>
        <v>0</v>
      </c>
      <c r="U277" s="263">
        <f>((U60+U61+U172+U173)*'Data - P&amp;L'!$C$3)*'Data - P&amp;L'!$C$54</f>
        <v>0</v>
      </c>
      <c r="V277" s="263">
        <f>((V60+V61+V172+V173)*'Data - P&amp;L'!$C$3)*'Data - P&amp;L'!$C$54</f>
        <v>0</v>
      </c>
      <c r="W277" s="263">
        <f>((W60+W61+W172+W173)*'Data - P&amp;L'!$C$3)*'Data - P&amp;L'!$C$54</f>
        <v>0</v>
      </c>
      <c r="X277" s="263">
        <f>((X60+X61+X172+X173)*'Data - P&amp;L'!$C$3)*'Data - P&amp;L'!$C$54</f>
        <v>0</v>
      </c>
      <c r="Y277" s="263">
        <f>((Y60+Y61+Y172+Y173)*'Data - P&amp;L'!$C$3)*'Data - P&amp;L'!$C$54</f>
        <v>0</v>
      </c>
      <c r="Z277" s="263">
        <f>((Z60+Z61+Z172+Z173)*'Data - P&amp;L'!$C$3)*'Data - P&amp;L'!$C$54</f>
        <v>0</v>
      </c>
      <c r="AA277" s="263">
        <f>((AA60+AA61+AA172+AA173)*'Data - P&amp;L'!$C$3)*'Data - P&amp;L'!$C$54</f>
        <v>0</v>
      </c>
      <c r="AB277" s="263">
        <f>((AB60+AB61+AB172+AB173)*'Data - P&amp;L'!$C$3)*'Data - P&amp;L'!$C$54</f>
        <v>0</v>
      </c>
      <c r="AC277" s="263">
        <f>((AC60+AC61+AC172+AC173)*'Data - P&amp;L'!$C$3)*'Data - P&amp;L'!$C$54</f>
        <v>0</v>
      </c>
      <c r="AD277" s="263">
        <f>((AD60+AD61+AD172+AD173)*'Data - P&amp;L'!$C$3)*'Data - P&amp;L'!$C$54</f>
        <v>0</v>
      </c>
      <c r="AE277" s="263">
        <f>((AE60+AE61+AE172+AE173)*'Data - P&amp;L'!$C$3)*'Data - P&amp;L'!$C$54</f>
        <v>0</v>
      </c>
      <c r="AF277" s="263">
        <f>((AF60+AF61+AF172+AF173)*'Data - P&amp;L'!$C$3)*'Data - P&amp;L'!$C$54</f>
        <v>0</v>
      </c>
      <c r="AG277" s="453">
        <f t="shared" si="67"/>
        <v>0</v>
      </c>
    </row>
    <row r="278" outlineLevel="1">
      <c r="A278" s="147" t="s">
        <v>435</v>
      </c>
      <c r="B278" s="263">
        <f>(B62+B63+B174+B175)*'Data - P&amp;L'!$C$4*'Data - P&amp;L'!$C$54</f>
        <v>0</v>
      </c>
      <c r="C278" s="263">
        <f>(C62+C63+C174+C175)*'Data - P&amp;L'!$C$4*'Data - P&amp;L'!$C$54</f>
        <v>0</v>
      </c>
      <c r="D278" s="263">
        <f>(D62+D63+D174+D175)*'Data - P&amp;L'!$C$4*'Data - P&amp;L'!$C$54</f>
        <v>0</v>
      </c>
      <c r="E278" s="263">
        <f>(E62+E63+E174+E175)*'Data - P&amp;L'!$C$4*'Data - P&amp;L'!$C$54</f>
        <v>0</v>
      </c>
      <c r="F278" s="263">
        <f>(F62+F63+F174+F175)*'Data - P&amp;L'!$C$4*'Data - P&amp;L'!$C$54</f>
        <v>0</v>
      </c>
      <c r="G278" s="263">
        <f>(G62+G63+G174+G175)*'Data - P&amp;L'!$C$4*'Data - P&amp;L'!$C$54</f>
        <v>0</v>
      </c>
      <c r="H278" s="263">
        <f>(H62+H63+H174+H175)*'Data - P&amp;L'!$C$4*'Data - P&amp;L'!$C$54</f>
        <v>0</v>
      </c>
      <c r="I278" s="263">
        <f>(I62+I63+I174+I175)*'Data - P&amp;L'!$C$4*'Data - P&amp;L'!$C$54</f>
        <v>0</v>
      </c>
      <c r="J278" s="263">
        <f>(J62+J63+J174+J175)*'Data - P&amp;L'!$C$4*'Data - P&amp;L'!$C$54</f>
        <v>0</v>
      </c>
      <c r="K278" s="263">
        <f>(K62+K63+K174+K175)*'Data - P&amp;L'!$C$4*'Data - P&amp;L'!$C$54</f>
        <v>0</v>
      </c>
      <c r="L278" s="263">
        <f>(L62+L63+L174+L175)*'Data - P&amp;L'!$C$4*'Data - P&amp;L'!$C$54</f>
        <v>0</v>
      </c>
      <c r="M278" s="263">
        <f>(M62+M63+M174+M175)*'Data - P&amp;L'!$C$4*'Data - P&amp;L'!$C$54</f>
        <v>0</v>
      </c>
      <c r="N278" s="263">
        <f>(N62+N63+N174+N175)*'Data - P&amp;L'!$C$4*'Data - P&amp;L'!$C$54</f>
        <v>0</v>
      </c>
      <c r="O278" s="263">
        <f>(O62+O63+O174+O175)*'Data - P&amp;L'!$C$4*'Data - P&amp;L'!$C$54</f>
        <v>0</v>
      </c>
      <c r="P278" s="263">
        <f>(P62+P63+P174+P175)*'Data - P&amp;L'!$C$4*'Data - P&amp;L'!$C$54</f>
        <v>0</v>
      </c>
      <c r="Q278" s="263">
        <f>(Q62+Q63+Q174+Q175)*'Data - P&amp;L'!$C$4*'Data - P&amp;L'!$C$54</f>
        <v>0</v>
      </c>
      <c r="R278" s="263">
        <f>(R62+R63+R174+R175)*'Data - P&amp;L'!$C$4*'Data - P&amp;L'!$C$54</f>
        <v>0</v>
      </c>
      <c r="S278" s="263">
        <f>(S62+S63+S174+S175)*'Data - P&amp;L'!$C$4*'Data - P&amp;L'!$C$54</f>
        <v>0</v>
      </c>
      <c r="T278" s="263">
        <f>(T62+T63+T174+T175)*'Data - P&amp;L'!$C$4*'Data - P&amp;L'!$C$54</f>
        <v>0</v>
      </c>
      <c r="U278" s="263">
        <f>(U62+U63+U174+U175)*'Data - P&amp;L'!$C$4*'Data - P&amp;L'!$C$54</f>
        <v>0</v>
      </c>
      <c r="V278" s="263">
        <f>(V62+V63+V174+V175)*'Data - P&amp;L'!$C$4*'Data - P&amp;L'!$C$54</f>
        <v>0</v>
      </c>
      <c r="W278" s="263">
        <f>(W62+W63+W174+W175)*'Data - P&amp;L'!$C$4*'Data - P&amp;L'!$C$54</f>
        <v>0</v>
      </c>
      <c r="X278" s="263">
        <f>(X62+X63+X174+X175)*'Data - P&amp;L'!$C$4*'Data - P&amp;L'!$C$54</f>
        <v>0</v>
      </c>
      <c r="Y278" s="263">
        <f>(Y62+Y63+Y174+Y175)*'Data - P&amp;L'!$C$4*'Data - P&amp;L'!$C$54</f>
        <v>0</v>
      </c>
      <c r="Z278" s="263">
        <f>(Z62+Z63+Z174+Z175)*'Data - P&amp;L'!$C$4*'Data - P&amp;L'!$C$54</f>
        <v>0</v>
      </c>
      <c r="AA278" s="263">
        <f>(AA62+AA63+AA174+AA175)*'Data - P&amp;L'!$C$4*'Data - P&amp;L'!$C$54</f>
        <v>0</v>
      </c>
      <c r="AB278" s="263">
        <f>(AB62+AB63+AB174+AB175)*'Data - P&amp;L'!$C$4*'Data - P&amp;L'!$C$54</f>
        <v>0</v>
      </c>
      <c r="AC278" s="263">
        <f>(AC62+AC63+AC174+AC175)*'Data - P&amp;L'!$C$4*'Data - P&amp;L'!$C$54</f>
        <v>0</v>
      </c>
      <c r="AD278" s="263">
        <f>(AD62+AD63+AD174+AD175)*'Data - P&amp;L'!$C$4*'Data - P&amp;L'!$C$54</f>
        <v>0</v>
      </c>
      <c r="AE278" s="263">
        <f>(AE62+AE63+AE174+AE175)*'Data - P&amp;L'!$C$4*'Data - P&amp;L'!$C$54</f>
        <v>0</v>
      </c>
      <c r="AF278" s="263">
        <f>(AF62+AF63+AF174+AF175)*'Data - P&amp;L'!$C$4*'Data - P&amp;L'!$C$54</f>
        <v>0</v>
      </c>
      <c r="AG278" s="453">
        <f t="shared" si="67"/>
        <v>0</v>
      </c>
    </row>
    <row r="279" outlineLevel="1">
      <c r="A279" s="147" t="s">
        <v>436</v>
      </c>
      <c r="B279" s="263">
        <f>(B67+B179)*'Data - P&amp;L'!$C$6*'Data - P&amp;L'!$C$54</f>
        <v>0</v>
      </c>
      <c r="C279" s="263">
        <f>(C67+C179)*'Data - P&amp;L'!$C$6*'Data - P&amp;L'!$C$54</f>
        <v>0</v>
      </c>
      <c r="D279" s="263">
        <f>(D67+D179)*'Data - P&amp;L'!$C$6*'Data - P&amp;L'!$C$54</f>
        <v>0</v>
      </c>
      <c r="E279" s="263">
        <f>(E67+E179)*'Data - P&amp;L'!$C$6*'Data - P&amp;L'!$C$54</f>
        <v>0</v>
      </c>
      <c r="F279" s="263">
        <f>(F67+F179)*'Data - P&amp;L'!$C$6*'Data - P&amp;L'!$C$54</f>
        <v>0</v>
      </c>
      <c r="G279" s="263">
        <f>(G67+G179)*'Data - P&amp;L'!$C$6*'Data - P&amp;L'!$C$54</f>
        <v>0</v>
      </c>
      <c r="H279" s="263">
        <f>(H67+H179)*'Data - P&amp;L'!$C$6*'Data - P&amp;L'!$C$54</f>
        <v>0</v>
      </c>
      <c r="I279" s="263">
        <f>(I67+I179)*'Data - P&amp;L'!$C$6*'Data - P&amp;L'!$C$54</f>
        <v>0</v>
      </c>
      <c r="J279" s="263">
        <f>(J67+J179)*'Data - P&amp;L'!$C$6*'Data - P&amp;L'!$C$54</f>
        <v>0</v>
      </c>
      <c r="K279" s="263">
        <f>(K67+K179)*'Data - P&amp;L'!$C$6*'Data - P&amp;L'!$C$54</f>
        <v>0</v>
      </c>
      <c r="L279" s="263">
        <f>(L67+L179)*'Data - P&amp;L'!$C$6*'Data - P&amp;L'!$C$54</f>
        <v>0</v>
      </c>
      <c r="M279" s="263">
        <f>(M67+M179)*'Data - P&amp;L'!$C$6*'Data - P&amp;L'!$C$54</f>
        <v>0</v>
      </c>
      <c r="N279" s="263">
        <f>(N67+N179)*'Data - P&amp;L'!$C$6*'Data - P&amp;L'!$C$54</f>
        <v>0</v>
      </c>
      <c r="O279" s="263">
        <f>(O67+O179)*'Data - P&amp;L'!$C$6*'Data - P&amp;L'!$C$54</f>
        <v>0</v>
      </c>
      <c r="P279" s="263">
        <f>(P67+P179)*'Data - P&amp;L'!$C$6*'Data - P&amp;L'!$C$54</f>
        <v>0</v>
      </c>
      <c r="Q279" s="263">
        <f>(Q67+Q179)*'Data - P&amp;L'!$C$6*'Data - P&amp;L'!$C$54</f>
        <v>0</v>
      </c>
      <c r="R279" s="263">
        <f>(R67+R179)*'Data - P&amp;L'!$C$6*'Data - P&amp;L'!$C$54</f>
        <v>0</v>
      </c>
      <c r="S279" s="263">
        <f>(S67+S179)*'Data - P&amp;L'!$C$6*'Data - P&amp;L'!$C$54</f>
        <v>0</v>
      </c>
      <c r="T279" s="263">
        <f>(T67+T179)*'Data - P&amp;L'!$C$6*'Data - P&amp;L'!$C$54</f>
        <v>0</v>
      </c>
      <c r="U279" s="263">
        <f>(U67+U179)*'Data - P&amp;L'!$C$6*'Data - P&amp;L'!$C$54</f>
        <v>0</v>
      </c>
      <c r="V279" s="263">
        <f>(V67+V179)*'Data - P&amp;L'!$C$6*'Data - P&amp;L'!$C$54</f>
        <v>0</v>
      </c>
      <c r="W279" s="263">
        <f>(W67+W179)*'Data - P&amp;L'!$C$6*'Data - P&amp;L'!$C$54</f>
        <v>0</v>
      </c>
      <c r="X279" s="263">
        <f>(X67+X179)*'Data - P&amp;L'!$C$6*'Data - P&amp;L'!$C$54</f>
        <v>0</v>
      </c>
      <c r="Y279" s="263">
        <f>(Y67+Y179)*'Data - P&amp;L'!$C$6*'Data - P&amp;L'!$C$54</f>
        <v>0</v>
      </c>
      <c r="Z279" s="263">
        <f>(Z67+Z179)*'Data - P&amp;L'!$C$6*'Data - P&amp;L'!$C$54</f>
        <v>0</v>
      </c>
      <c r="AA279" s="263">
        <f>(AA67+AA179)*'Data - P&amp;L'!$C$6*'Data - P&amp;L'!$C$54</f>
        <v>0</v>
      </c>
      <c r="AB279" s="263">
        <f>(AB67+AB179)*'Data - P&amp;L'!$C$6*'Data - P&amp;L'!$C$54</f>
        <v>0</v>
      </c>
      <c r="AC279" s="263">
        <f>(AC67+AC179)*'Data - P&amp;L'!$C$6*'Data - P&amp;L'!$C$54</f>
        <v>0</v>
      </c>
      <c r="AD279" s="263">
        <f>(AD67+AD179)*'Data - P&amp;L'!$C$6*'Data - P&amp;L'!$C$54</f>
        <v>0</v>
      </c>
      <c r="AE279" s="263">
        <f>(AE67+AE179)*'Data - P&amp;L'!$C$6*'Data - P&amp;L'!$C$54</f>
        <v>0</v>
      </c>
      <c r="AF279" s="263">
        <f>(AF67+AF179)*'Data - P&amp;L'!$C$6*'Data - P&amp;L'!$C$54</f>
        <v>0</v>
      </c>
      <c r="AG279" s="453">
        <f t="shared" si="67"/>
        <v>0</v>
      </c>
    </row>
    <row r="280" outlineLevel="1">
      <c r="A280" s="147" t="s">
        <v>437</v>
      </c>
      <c r="B280" s="263">
        <f>(B68+B180)*'Data - P&amp;L'!$C$8*'Data - P&amp;L'!$C$54</f>
        <v>0</v>
      </c>
      <c r="C280" s="263">
        <f>(C68+C180)*'Data - P&amp;L'!$C$8*'Data - P&amp;L'!$C$54</f>
        <v>0</v>
      </c>
      <c r="D280" s="263">
        <f>(D68+D180)*'Data - P&amp;L'!$C$8*'Data - P&amp;L'!$C$54</f>
        <v>0</v>
      </c>
      <c r="E280" s="263">
        <f>(E68+E180)*'Data - P&amp;L'!$C$8*'Data - P&amp;L'!$C$54</f>
        <v>0</v>
      </c>
      <c r="F280" s="263">
        <f>(F68+F180)*'Data - P&amp;L'!$C$8*'Data - P&amp;L'!$C$54</f>
        <v>0</v>
      </c>
      <c r="G280" s="263">
        <f>(G68+G180)*'Data - P&amp;L'!$C$8*'Data - P&amp;L'!$C$54</f>
        <v>0</v>
      </c>
      <c r="H280" s="263">
        <f>(H68+H180)*'Data - P&amp;L'!$C$8*'Data - P&amp;L'!$C$54</f>
        <v>0</v>
      </c>
      <c r="I280" s="263">
        <f>(I68+I180)*'Data - P&amp;L'!$C$8*'Data - P&amp;L'!$C$54</f>
        <v>0</v>
      </c>
      <c r="J280" s="263">
        <f>(J68+J180)*'Data - P&amp;L'!$C$8*'Data - P&amp;L'!$C$54</f>
        <v>0</v>
      </c>
      <c r="K280" s="263">
        <f>(K68+K180)*'Data - P&amp;L'!$C$8*'Data - P&amp;L'!$C$54</f>
        <v>0</v>
      </c>
      <c r="L280" s="263">
        <f>(L68+L180)*'Data - P&amp;L'!$C$8*'Data - P&amp;L'!$C$54</f>
        <v>0</v>
      </c>
      <c r="M280" s="263">
        <f>(M68+M180)*'Data - P&amp;L'!$C$8*'Data - P&amp;L'!$C$54</f>
        <v>0</v>
      </c>
      <c r="N280" s="263">
        <f>(N68+N180)*'Data - P&amp;L'!$C$8*'Data - P&amp;L'!$C$54</f>
        <v>0</v>
      </c>
      <c r="O280" s="263">
        <f>(O68+O180)*'Data - P&amp;L'!$C$8*'Data - P&amp;L'!$C$54</f>
        <v>0</v>
      </c>
      <c r="P280" s="263">
        <f>(P68+P180)*'Data - P&amp;L'!$C$8*'Data - P&amp;L'!$C$54</f>
        <v>0</v>
      </c>
      <c r="Q280" s="263">
        <f>(Q68+Q180)*'Data - P&amp;L'!$C$8*'Data - P&amp;L'!$C$54</f>
        <v>0</v>
      </c>
      <c r="R280" s="263">
        <f>(R68+R180)*'Data - P&amp;L'!$C$8*'Data - P&amp;L'!$C$54</f>
        <v>0</v>
      </c>
      <c r="S280" s="263">
        <f>(S68+S180)*'Data - P&amp;L'!$C$8*'Data - P&amp;L'!$C$54</f>
        <v>0</v>
      </c>
      <c r="T280" s="263">
        <f>(T68+T180)*'Data - P&amp;L'!$C$8*'Data - P&amp;L'!$C$54</f>
        <v>0</v>
      </c>
      <c r="U280" s="263">
        <f>(U68+U180)*'Data - P&amp;L'!$C$8*'Data - P&amp;L'!$C$54</f>
        <v>0</v>
      </c>
      <c r="V280" s="263">
        <f>(V68+V180)*'Data - P&amp;L'!$C$8*'Data - P&amp;L'!$C$54</f>
        <v>0</v>
      </c>
      <c r="W280" s="263">
        <f>(W68+W180)*'Data - P&amp;L'!$C$8*'Data - P&amp;L'!$C$54</f>
        <v>0</v>
      </c>
      <c r="X280" s="263">
        <f>(X68+X180)*'Data - P&amp;L'!$C$8*'Data - P&amp;L'!$C$54</f>
        <v>0</v>
      </c>
      <c r="Y280" s="263">
        <f>(Y68+Y180)*'Data - P&amp;L'!$C$8*'Data - P&amp;L'!$C$54</f>
        <v>0</v>
      </c>
      <c r="Z280" s="263">
        <f>(Z68+Z180)*'Data - P&amp;L'!$C$8*'Data - P&amp;L'!$C$54</f>
        <v>0</v>
      </c>
      <c r="AA280" s="263">
        <f>(AA68+AA180)*'Data - P&amp;L'!$C$8*'Data - P&amp;L'!$C$54</f>
        <v>0</v>
      </c>
      <c r="AB280" s="263">
        <f>(AB68+AB180)*'Data - P&amp;L'!$C$8*'Data - P&amp;L'!$C$54</f>
        <v>0</v>
      </c>
      <c r="AC280" s="263">
        <f>(AC68+AC180)*'Data - P&amp;L'!$C$8*'Data - P&amp;L'!$C$54</f>
        <v>0</v>
      </c>
      <c r="AD280" s="263">
        <f>(AD68+AD180)*'Data - P&amp;L'!$C$8*'Data - P&amp;L'!$C$54</f>
        <v>0</v>
      </c>
      <c r="AE280" s="263">
        <f>(AE68+AE180)*'Data - P&amp;L'!$C$8*'Data - P&amp;L'!$C$54</f>
        <v>0</v>
      </c>
      <c r="AF280" s="263">
        <f>(AF68+AF180)*'Data - P&amp;L'!$C$8*'Data - P&amp;L'!$C$54</f>
        <v>0</v>
      </c>
      <c r="AG280" s="453">
        <f t="shared" si="67"/>
        <v>0</v>
      </c>
    </row>
    <row r="281" outlineLevel="1">
      <c r="A281" s="147" t="s">
        <v>425</v>
      </c>
      <c r="B281" s="263">
        <f>(B69+B70+B181+B182)*'Data - P&amp;L'!$C$9*'Data - P&amp;L'!$C$54</f>
        <v>0</v>
      </c>
      <c r="C281" s="263">
        <f>(C69+C70+C181+C182)*'Data - P&amp;L'!$C$9*'Data - P&amp;L'!$C$54</f>
        <v>0</v>
      </c>
      <c r="D281" s="263">
        <f>(D69+D70+D181+D182)*'Data - P&amp;L'!$C$9*'Data - P&amp;L'!$C$54</f>
        <v>0</v>
      </c>
      <c r="E281" s="263">
        <f>(E69+E70+E181+E182)*'Data - P&amp;L'!$C$9*'Data - P&amp;L'!$C$54</f>
        <v>0</v>
      </c>
      <c r="F281" s="263">
        <f>(F69+F70+F181+F182)*'Data - P&amp;L'!$C$9*'Data - P&amp;L'!$C$54</f>
        <v>0</v>
      </c>
      <c r="G281" s="263">
        <f>(G69+G70+G181+G182)*'Data - P&amp;L'!$C$9*'Data - P&amp;L'!$C$54</f>
        <v>0</v>
      </c>
      <c r="H281" s="263">
        <f>(H69+H70+H181+H182)*'Data - P&amp;L'!$C$9*'Data - P&amp;L'!$C$54</f>
        <v>0</v>
      </c>
      <c r="I281" s="263">
        <f>(I69+I70+I181+I182)*'Data - P&amp;L'!$C$9*'Data - P&amp;L'!$C$54</f>
        <v>0</v>
      </c>
      <c r="J281" s="263">
        <f>(J69+J70+J181+J182)*'Data - P&amp;L'!$C$9*'Data - P&amp;L'!$C$54</f>
        <v>0</v>
      </c>
      <c r="K281" s="263">
        <f>(K69+K70+K181+K182)*'Data - P&amp;L'!$C$9*'Data - P&amp;L'!$C$54</f>
        <v>0</v>
      </c>
      <c r="L281" s="263">
        <f>(L69+L70+L181+L182)*'Data - P&amp;L'!$C$9*'Data - P&amp;L'!$C$54</f>
        <v>0</v>
      </c>
      <c r="M281" s="263">
        <f>(M69+M70+M181+M182)*'Data - P&amp;L'!$C$9*'Data - P&amp;L'!$C$54</f>
        <v>0</v>
      </c>
      <c r="N281" s="263">
        <f>(N69+N70+N181+N182)*'Data - P&amp;L'!$C$9*'Data - P&amp;L'!$C$54</f>
        <v>0</v>
      </c>
      <c r="O281" s="263">
        <f>(O69+O70+O181+O182)*'Data - P&amp;L'!$C$9*'Data - P&amp;L'!$C$54</f>
        <v>0</v>
      </c>
      <c r="P281" s="263">
        <f>(P69+P70+P181+P182)*'Data - P&amp;L'!$C$9*'Data - P&amp;L'!$C$54</f>
        <v>0</v>
      </c>
      <c r="Q281" s="263">
        <f>(Q69+Q70+Q181+Q182)*'Data - P&amp;L'!$C$9*'Data - P&amp;L'!$C$54</f>
        <v>0</v>
      </c>
      <c r="R281" s="263">
        <f>(R69+R70+R181+R182)*'Data - P&amp;L'!$C$9*'Data - P&amp;L'!$C$54</f>
        <v>0</v>
      </c>
      <c r="S281" s="263">
        <f>(S69+S70+S181+S182)*'Data - P&amp;L'!$C$9*'Data - P&amp;L'!$C$54</f>
        <v>0</v>
      </c>
      <c r="T281" s="263">
        <f>(T69+T70+T181+T182)*'Data - P&amp;L'!$C$9*'Data - P&amp;L'!$C$54</f>
        <v>0</v>
      </c>
      <c r="U281" s="263">
        <f>(U69+U70+U181+U182)*'Data - P&amp;L'!$C$9*'Data - P&amp;L'!$C$54</f>
        <v>0</v>
      </c>
      <c r="V281" s="263">
        <f>(V69+V70+V181+V182)*'Data - P&amp;L'!$C$9*'Data - P&amp;L'!$C$54</f>
        <v>0</v>
      </c>
      <c r="W281" s="263">
        <f>(W69+W70+W181+W182)*'Data - P&amp;L'!$C$9*'Data - P&amp;L'!$C$54</f>
        <v>0</v>
      </c>
      <c r="X281" s="263">
        <f>(X69+X70+X181+X182)*'Data - P&amp;L'!$C$9*'Data - P&amp;L'!$C$54</f>
        <v>0</v>
      </c>
      <c r="Y281" s="263">
        <f>(Y69+Y70+Y181+Y182)*'Data - P&amp;L'!$C$9*'Data - P&amp;L'!$C$54</f>
        <v>0</v>
      </c>
      <c r="Z281" s="263">
        <f>(Z69+Z70+Z181+Z182)*'Data - P&amp;L'!$C$9*'Data - P&amp;L'!$C$54</f>
        <v>0</v>
      </c>
      <c r="AA281" s="263">
        <f>(AA69+AA70+AA181+AA182)*'Data - P&amp;L'!$C$9*'Data - P&amp;L'!$C$54</f>
        <v>0</v>
      </c>
      <c r="AB281" s="263">
        <f>(AB69+AB70+AB181+AB182)*'Data - P&amp;L'!$C$9*'Data - P&amp;L'!$C$54</f>
        <v>0</v>
      </c>
      <c r="AC281" s="263">
        <f>(AC69+AC70+AC181+AC182)*'Data - P&amp;L'!$C$9*'Data - P&amp;L'!$C$54</f>
        <v>0</v>
      </c>
      <c r="AD281" s="263">
        <f>(AD69+AD70+AD181+AD182)*'Data - P&amp;L'!$C$9*'Data - P&amp;L'!$C$54</f>
        <v>0</v>
      </c>
      <c r="AE281" s="263">
        <f>(AE69+AE70+AE181+AE182)*'Data - P&amp;L'!$C$9*'Data - P&amp;L'!$C$54</f>
        <v>0</v>
      </c>
      <c r="AF281" s="263">
        <f>(AF69+AF70+AF181+AF182)*'Data - P&amp;L'!$C$9*'Data - P&amp;L'!$C$54</f>
        <v>0</v>
      </c>
      <c r="AG281" s="453">
        <f t="shared" si="67"/>
        <v>0</v>
      </c>
    </row>
    <row r="282" outlineLevel="1">
      <c r="A282" s="147" t="s">
        <v>426</v>
      </c>
      <c r="B282" s="263">
        <f>(B71+B72+B183+B184)*'Data - P&amp;L'!$C$5*'Data - P&amp;L'!$C$54</f>
        <v>0</v>
      </c>
      <c r="C282" s="263">
        <f>(C71+C72+C183+C184)*'Data - P&amp;L'!$C$5*'Data - P&amp;L'!$C$54</f>
        <v>0</v>
      </c>
      <c r="D282" s="263">
        <f>(D71+D72+D183+D184)*'Data - P&amp;L'!$C$5*'Data - P&amp;L'!$C$54</f>
        <v>0</v>
      </c>
      <c r="E282" s="263">
        <f>(E71+E72+E183+E184)*'Data - P&amp;L'!$C$5*'Data - P&amp;L'!$C$54</f>
        <v>0</v>
      </c>
      <c r="F282" s="263">
        <f>(F71+F72+F183+F184)*'Data - P&amp;L'!$C$5*'Data - P&amp;L'!$C$54</f>
        <v>0</v>
      </c>
      <c r="G282" s="263">
        <f>(G71+G72+G183+G184)*'Data - P&amp;L'!$C$5*'Data - P&amp;L'!$C$54</f>
        <v>0</v>
      </c>
      <c r="H282" s="263">
        <f>(H71+H72+H183+H184)*'Data - P&amp;L'!$C$5*'Data - P&amp;L'!$C$54</f>
        <v>0</v>
      </c>
      <c r="I282" s="263">
        <f>(I71+I72+I183+I184)*'Data - P&amp;L'!$C$5*'Data - P&amp;L'!$C$54</f>
        <v>0</v>
      </c>
      <c r="J282" s="263">
        <f>(J71+J72+J183+J184)*'Data - P&amp;L'!$C$5*'Data - P&amp;L'!$C$54</f>
        <v>0</v>
      </c>
      <c r="K282" s="263">
        <f>(K71+K72+K183+K184)*'Data - P&amp;L'!$C$5*'Data - P&amp;L'!$C$54</f>
        <v>0</v>
      </c>
      <c r="L282" s="263">
        <f>(L71+L72+L183+L184)*'Data - P&amp;L'!$C$5*'Data - P&amp;L'!$C$54</f>
        <v>0</v>
      </c>
      <c r="M282" s="263">
        <f>(M71+M72+M183+M184)*'Data - P&amp;L'!$C$5*'Data - P&amp;L'!$C$54</f>
        <v>0</v>
      </c>
      <c r="N282" s="263">
        <f>(N71+N72+N183+N184)*'Data - P&amp;L'!$C$5*'Data - P&amp;L'!$C$54</f>
        <v>0</v>
      </c>
      <c r="O282" s="263">
        <f>(O71+O72+O183+O184)*'Data - P&amp;L'!$C$5*'Data - P&amp;L'!$C$54</f>
        <v>0</v>
      </c>
      <c r="P282" s="263">
        <f>(P71+P72+P183+P184)*'Data - P&amp;L'!$C$5*'Data - P&amp;L'!$C$54</f>
        <v>0</v>
      </c>
      <c r="Q282" s="263">
        <f>(Q71+Q72+Q183+Q184)*'Data - P&amp;L'!$C$5*'Data - P&amp;L'!$C$54</f>
        <v>0</v>
      </c>
      <c r="R282" s="263">
        <f>(R71+R72+R183+R184)*'Data - P&amp;L'!$C$5*'Data - P&amp;L'!$C$54</f>
        <v>0</v>
      </c>
      <c r="S282" s="263">
        <f>(S71+S72+S183+S184)*'Data - P&amp;L'!$C$5*'Data - P&amp;L'!$C$54</f>
        <v>0</v>
      </c>
      <c r="T282" s="263">
        <f>(T71+T72+T183+T184)*'Data - P&amp;L'!$C$5*'Data - P&amp;L'!$C$54</f>
        <v>0</v>
      </c>
      <c r="U282" s="263">
        <f>(U71+U72+U183+U184)*'Data - P&amp;L'!$C$5*'Data - P&amp;L'!$C$54</f>
        <v>0</v>
      </c>
      <c r="V282" s="263">
        <f>(V71+V72+V183+V184)*'Data - P&amp;L'!$C$5*'Data - P&amp;L'!$C$54</f>
        <v>0</v>
      </c>
      <c r="W282" s="263">
        <f>(W71+W72+W183+W184)*'Data - P&amp;L'!$C$5*'Data - P&amp;L'!$C$54</f>
        <v>0</v>
      </c>
      <c r="X282" s="263">
        <f>(X71+X72+X183+X184)*'Data - P&amp;L'!$C$5*'Data - P&amp;L'!$C$54</f>
        <v>0</v>
      </c>
      <c r="Y282" s="263">
        <f>(Y71+Y72+Y183+Y184)*'Data - P&amp;L'!$C$5*'Data - P&amp;L'!$C$54</f>
        <v>0</v>
      </c>
      <c r="Z282" s="263">
        <f>(Z71+Z72+Z183+Z184)*'Data - P&amp;L'!$C$5*'Data - P&amp;L'!$C$54</f>
        <v>0</v>
      </c>
      <c r="AA282" s="263">
        <f>(AA71+AA72+AA183+AA184)*'Data - P&amp;L'!$C$5*'Data - P&amp;L'!$C$54</f>
        <v>0</v>
      </c>
      <c r="AB282" s="263">
        <f>(AB71+AB72+AB183+AB184)*'Data - P&amp;L'!$C$5*'Data - P&amp;L'!$C$54</f>
        <v>0</v>
      </c>
      <c r="AC282" s="263">
        <f>(AC71+AC72+AC183+AC184)*'Data - P&amp;L'!$C$5*'Data - P&amp;L'!$C$54</f>
        <v>0</v>
      </c>
      <c r="AD282" s="263">
        <f>(AD71+AD72+AD183+AD184)*'Data - P&amp;L'!$C$5*'Data - P&amp;L'!$C$54</f>
        <v>0</v>
      </c>
      <c r="AE282" s="263">
        <f>(AE71+AE72+AE183+AE184)*'Data - P&amp;L'!$C$5*'Data - P&amp;L'!$C$54</f>
        <v>0</v>
      </c>
      <c r="AF282" s="263">
        <f>(AF71+AF72+AF183+AF184)*'Data - P&amp;L'!$C$5*'Data - P&amp;L'!$C$54</f>
        <v>0</v>
      </c>
      <c r="AG282" s="453">
        <f t="shared" si="67"/>
        <v>0</v>
      </c>
    </row>
    <row r="283" outlineLevel="1">
      <c r="A283" s="147" t="s">
        <v>427</v>
      </c>
      <c r="B283" s="263">
        <f>(B73+B74+B185+B186)*'Data - P&amp;L'!$C$10*'Data - P&amp;L'!$C$54</f>
        <v>0</v>
      </c>
      <c r="C283" s="263">
        <f>(C73+C74+C185+C186)*'Data - P&amp;L'!$C$10*'Data - P&amp;L'!$C$54</f>
        <v>0</v>
      </c>
      <c r="D283" s="263">
        <f>(D73+D74+D185+D186)*'Data - P&amp;L'!$C$10*'Data - P&amp;L'!$C$54</f>
        <v>0</v>
      </c>
      <c r="E283" s="263">
        <f>(E73+E74+E185+E186)*'Data - P&amp;L'!$C$10*'Data - P&amp;L'!$C$54</f>
        <v>0</v>
      </c>
      <c r="F283" s="263">
        <f>(F73+F74+F185+F186)*'Data - P&amp;L'!$C$10*'Data - P&amp;L'!$C$54</f>
        <v>0</v>
      </c>
      <c r="G283" s="263">
        <f>(G73+G74+G185+G186)*'Data - P&amp;L'!$C$10*'Data - P&amp;L'!$C$54</f>
        <v>0</v>
      </c>
      <c r="H283" s="263">
        <f>(H73+H74+H185+H186)*'Data - P&amp;L'!$C$10*'Data - P&amp;L'!$C$54</f>
        <v>0</v>
      </c>
      <c r="I283" s="263">
        <f>(I73+I74+I185+I186)*'Data - P&amp;L'!$C$10*'Data - P&amp;L'!$C$54</f>
        <v>0</v>
      </c>
      <c r="J283" s="263">
        <f>(J73+J74+J185+J186)*'Data - P&amp;L'!$C$10*'Data - P&amp;L'!$C$54</f>
        <v>0</v>
      </c>
      <c r="K283" s="263">
        <f>(K73+K74+K185+K186)*'Data - P&amp;L'!$C$10*'Data - P&amp;L'!$C$54</f>
        <v>0</v>
      </c>
      <c r="L283" s="263">
        <f>(L73+L74+L185+L186)*'Data - P&amp;L'!$C$10*'Data - P&amp;L'!$C$54</f>
        <v>0</v>
      </c>
      <c r="M283" s="263">
        <f>(M73+M74+M185+M186)*'Data - P&amp;L'!$C$10*'Data - P&amp;L'!$C$54</f>
        <v>0</v>
      </c>
      <c r="N283" s="263">
        <f>(N73+N74+N185+N186)*'Data - P&amp;L'!$C$10*'Data - P&amp;L'!$C$54</f>
        <v>0</v>
      </c>
      <c r="O283" s="263">
        <f>(O73+O74+O185+O186)*'Data - P&amp;L'!$C$10*'Data - P&amp;L'!$C$54</f>
        <v>0</v>
      </c>
      <c r="P283" s="263">
        <f>(P73+P74+P185+P186)*'Data - P&amp;L'!$C$10*'Data - P&amp;L'!$C$54</f>
        <v>0</v>
      </c>
      <c r="Q283" s="263">
        <f>(Q73+Q74+Q185+Q186)*'Data - P&amp;L'!$C$10*'Data - P&amp;L'!$C$54</f>
        <v>0</v>
      </c>
      <c r="R283" s="263">
        <f>(R73+R74+R185+R186)*'Data - P&amp;L'!$C$10*'Data - P&amp;L'!$C$54</f>
        <v>0</v>
      </c>
      <c r="S283" s="263">
        <f>(S73+S74+S185+S186)*'Data - P&amp;L'!$C$10*'Data - P&amp;L'!$C$54</f>
        <v>0</v>
      </c>
      <c r="T283" s="263">
        <f>(T73+T74+T185+T186)*'Data - P&amp;L'!$C$10*'Data - P&amp;L'!$C$54</f>
        <v>0</v>
      </c>
      <c r="U283" s="263">
        <f>(U73+U74+U185+U186)*'Data - P&amp;L'!$C$10*'Data - P&amp;L'!$C$54</f>
        <v>0</v>
      </c>
      <c r="V283" s="263">
        <f>(V73+V74+V185+V186)*'Data - P&amp;L'!$C$10*'Data - P&amp;L'!$C$54</f>
        <v>0</v>
      </c>
      <c r="W283" s="263">
        <f>(W73+W74+W185+W186)*'Data - P&amp;L'!$C$10*'Data - P&amp;L'!$C$54</f>
        <v>0</v>
      </c>
      <c r="X283" s="263">
        <f>(X73+X74+X185+X186)*'Data - P&amp;L'!$C$10*'Data - P&amp;L'!$C$54</f>
        <v>0</v>
      </c>
      <c r="Y283" s="263">
        <f>(Y73+Y74+Y185+Y186)*'Data - P&amp;L'!$C$10*'Data - P&amp;L'!$C$54</f>
        <v>0</v>
      </c>
      <c r="Z283" s="263">
        <f>(Z73+Z74+Z185+Z186)*'Data - P&amp;L'!$C$10*'Data - P&amp;L'!$C$54</f>
        <v>0</v>
      </c>
      <c r="AA283" s="263">
        <f>(AA73+AA74+AA185+AA186)*'Data - P&amp;L'!$C$10*'Data - P&amp;L'!$C$54</f>
        <v>0</v>
      </c>
      <c r="AB283" s="263">
        <f>(AB73+AB74+AB185+AB186)*'Data - P&amp;L'!$C$10*'Data - P&amp;L'!$C$54</f>
        <v>0</v>
      </c>
      <c r="AC283" s="263">
        <f>(AC73+AC74+AC185+AC186)*'Data - P&amp;L'!$C$10*'Data - P&amp;L'!$C$54</f>
        <v>0</v>
      </c>
      <c r="AD283" s="263">
        <f>(AD73+AD74+AD185+AD186)*'Data - P&amp;L'!$C$10*'Data - P&amp;L'!$C$54</f>
        <v>0</v>
      </c>
      <c r="AE283" s="263">
        <f>(AE73+AE74+AE185+AE186)*'Data - P&amp;L'!$C$10*'Data - P&amp;L'!$C$54</f>
        <v>0</v>
      </c>
      <c r="AF283" s="263">
        <f>(AF73+AF74+AF185+AF186)*'Data - P&amp;L'!$C$10*'Data - P&amp;L'!$C$54</f>
        <v>0</v>
      </c>
      <c r="AG283" s="453">
        <f t="shared" si="67"/>
        <v>0</v>
      </c>
    </row>
    <row r="284" outlineLevel="1">
      <c r="A284" s="279" t="s">
        <v>428</v>
      </c>
      <c r="B284" s="263">
        <f>((B64*'Data - P&amp;L'!$C$38)+(B176*'Data - P&amp;L'!$C$38))*'Data - P&amp;L'!$C$54</f>
        <v>0</v>
      </c>
      <c r="C284" s="263">
        <f>((C64*'Data - P&amp;L'!$C$38)+(C176*'Data - P&amp;L'!$C$39))*'Data - P&amp;L'!$C$54</f>
        <v>0</v>
      </c>
      <c r="D284" s="263">
        <f>((D64*'Data - P&amp;L'!$C$38)+(D176*'Data - P&amp;L'!$C$39))*'Data - P&amp;L'!$C$54</f>
        <v>0</v>
      </c>
      <c r="E284" s="263">
        <f>((E64*'Data - P&amp;L'!$C$38)+(E176*'Data - P&amp;L'!$C$39))*'Data - P&amp;L'!$C$54</f>
        <v>0</v>
      </c>
      <c r="F284" s="263">
        <f>((F64*'Data - P&amp;L'!$C$38)+(F176*'Data - P&amp;L'!$C$39))*'Data - P&amp;L'!$C$54</f>
        <v>0</v>
      </c>
      <c r="G284" s="263">
        <f>((G64*'Data - P&amp;L'!$C$38)+(G176*'Data - P&amp;L'!$C$39))*'Data - P&amp;L'!$C$54</f>
        <v>0</v>
      </c>
      <c r="H284" s="263">
        <f>((H64*'Data - P&amp;L'!$C$38)+(H176*'Data - P&amp;L'!$C$39))*'Data - P&amp;L'!$C$54</f>
        <v>0</v>
      </c>
      <c r="I284" s="263">
        <f>((I64*'Data - P&amp;L'!$C$38)+(I176*'Data - P&amp;L'!$C$39))*'Data - P&amp;L'!$C$54</f>
        <v>0</v>
      </c>
      <c r="J284" s="263">
        <f>((J64*'Data - P&amp;L'!$C$38)+(J176*'Data - P&amp;L'!$C$39))*'Data - P&amp;L'!$C$54</f>
        <v>0</v>
      </c>
      <c r="K284" s="263">
        <f>((K64*'Data - P&amp;L'!$C$38)+(K176*'Data - P&amp;L'!$C$39))*'Data - P&amp;L'!$C$54</f>
        <v>0</v>
      </c>
      <c r="L284" s="263">
        <f>((L64*'Data - P&amp;L'!$C$38)+(L176*'Data - P&amp;L'!$C$39))*'Data - P&amp;L'!$C$54</f>
        <v>0</v>
      </c>
      <c r="M284" s="263">
        <f>((M64*'Data - P&amp;L'!$C$38)+(M176*'Data - P&amp;L'!$C$39))*'Data - P&amp;L'!$C$54</f>
        <v>0</v>
      </c>
      <c r="N284" s="263">
        <f>((N64*'Data - P&amp;L'!$C$38)+(N176*'Data - P&amp;L'!$C$39))*'Data - P&amp;L'!$C$54</f>
        <v>0</v>
      </c>
      <c r="O284" s="263">
        <f>((O64*'Data - P&amp;L'!$C$38)+(O176*'Data - P&amp;L'!$C$39))*'Data - P&amp;L'!$C$54</f>
        <v>0</v>
      </c>
      <c r="P284" s="263">
        <f>((P64*'Data - P&amp;L'!$C$38)+(P176*'Data - P&amp;L'!$C$39))*'Data - P&amp;L'!$C$54</f>
        <v>0</v>
      </c>
      <c r="Q284" s="263">
        <f>((Q64*'Data - P&amp;L'!$C$38)+(Q176*'Data - P&amp;L'!$C$39))*'Data - P&amp;L'!$C$54</f>
        <v>0</v>
      </c>
      <c r="R284" s="263">
        <f>((R64*'Data - P&amp;L'!$C$38)+(R176*'Data - P&amp;L'!$C$39))*'Data - P&amp;L'!$C$54</f>
        <v>0</v>
      </c>
      <c r="S284" s="263">
        <f>((S64*'Data - P&amp;L'!$C$38)+(S176*'Data - P&amp;L'!$C$39))*'Data - P&amp;L'!$C$54</f>
        <v>0</v>
      </c>
      <c r="T284" s="263">
        <f>((T64*'Data - P&amp;L'!$C$38)+(T176*'Data - P&amp;L'!$C$39))*'Data - P&amp;L'!$C$54</f>
        <v>0</v>
      </c>
      <c r="U284" s="263">
        <f>((U64*'Data - P&amp;L'!$C$38)+(U176*'Data - P&amp;L'!$C$39))*'Data - P&amp;L'!$C$54</f>
        <v>0</v>
      </c>
      <c r="V284" s="263">
        <f>((V64*'Data - P&amp;L'!$C$38)+(V176*'Data - P&amp;L'!$C$39))*'Data - P&amp;L'!$C$54</f>
        <v>0</v>
      </c>
      <c r="W284" s="263">
        <f>((W64*'Data - P&amp;L'!$C$38)+(W176*'Data - P&amp;L'!$C$39))*'Data - P&amp;L'!$C$54</f>
        <v>0</v>
      </c>
      <c r="X284" s="263">
        <f>((X64*'Data - P&amp;L'!$C$38)+(X176*'Data - P&amp;L'!$C$39))*'Data - P&amp;L'!$C$54</f>
        <v>0</v>
      </c>
      <c r="Y284" s="263">
        <f>((Y64*'Data - P&amp;L'!$C$38)+(Y176*'Data - P&amp;L'!$C$39))*'Data - P&amp;L'!$C$54</f>
        <v>0</v>
      </c>
      <c r="Z284" s="263">
        <f>((Z64*'Data - P&amp;L'!$C$38)+(Z176*'Data - P&amp;L'!$C$39))*'Data - P&amp;L'!$C$54</f>
        <v>0</v>
      </c>
      <c r="AA284" s="263">
        <f>((AA64*'Data - P&amp;L'!$C$38)+(AA176*'Data - P&amp;L'!$C$39))*'Data - P&amp;L'!$C$54</f>
        <v>0</v>
      </c>
      <c r="AB284" s="263">
        <f>((AB64*'Data - P&amp;L'!$C$38)+(AB176*'Data - P&amp;L'!$C$39))*'Data - P&amp;L'!$C$54</f>
        <v>0</v>
      </c>
      <c r="AC284" s="263">
        <f>((AC64*'Data - P&amp;L'!$C$38)+(AC176*'Data - P&amp;L'!$C$39))*'Data - P&amp;L'!$C$54</f>
        <v>0</v>
      </c>
      <c r="AD284" s="263">
        <f>((AD64*'Data - P&amp;L'!$C$38)+(AD176*'Data - P&amp;L'!$C$39))*'Data - P&amp;L'!$C$54</f>
        <v>0</v>
      </c>
      <c r="AE284" s="263">
        <f>((AE64*'Data - P&amp;L'!$C$38)+(AE176*'Data - P&amp;L'!$C$39))*'Data - P&amp;L'!$C$54</f>
        <v>0</v>
      </c>
      <c r="AF284" s="263">
        <f>((AF64*'Data - P&amp;L'!$C$38)+(AF176*'Data - P&amp;L'!$C$39))*'Data - P&amp;L'!$C$54</f>
        <v>0</v>
      </c>
      <c r="AG284" s="453">
        <f t="shared" si="67"/>
        <v>0</v>
      </c>
    </row>
    <row r="285" outlineLevel="1">
      <c r="A285" s="279" t="s">
        <v>430</v>
      </c>
      <c r="B285" s="263">
        <f>((B75*'Data - P&amp;L'!$D$38)+(B187*'Data - P&amp;L'!$D$38))*'Data - P&amp;L'!$C$54</f>
        <v>0</v>
      </c>
      <c r="C285" s="263">
        <f>((C75*'Data - P&amp;L'!$D$38)+(C187*'Data - P&amp;L'!$D$39))*'Data - P&amp;L'!$C$54</f>
        <v>0</v>
      </c>
      <c r="D285" s="263">
        <f>((D75*'Data - P&amp;L'!$D$38)+(D187*'Data - P&amp;L'!$D$39))*'Data - P&amp;L'!$C$54</f>
        <v>0</v>
      </c>
      <c r="E285" s="263">
        <f>((E75*'Data - P&amp;L'!$D$38)+(E187*'Data - P&amp;L'!$D$39))*'Data - P&amp;L'!$C$54</f>
        <v>0</v>
      </c>
      <c r="F285" s="263">
        <f>((F75*'Data - P&amp;L'!$D$38)+(F187*'Data - P&amp;L'!$D$39))*'Data - P&amp;L'!$C$54</f>
        <v>0</v>
      </c>
      <c r="G285" s="263">
        <f>((G75*'Data - P&amp;L'!$D$38)+(G187*'Data - P&amp;L'!$D$39))*'Data - P&amp;L'!$C$54</f>
        <v>0</v>
      </c>
      <c r="H285" s="263">
        <f>((H75*'Data - P&amp;L'!$D$38)+(H187*'Data - P&amp;L'!$D$39))*'Data - P&amp;L'!$C$54</f>
        <v>0</v>
      </c>
      <c r="I285" s="263">
        <f>((I75*'Data - P&amp;L'!$D$38)+(I187*'Data - P&amp;L'!$D$39))*'Data - P&amp;L'!$C$54</f>
        <v>0</v>
      </c>
      <c r="J285" s="263">
        <f>((J75*'Data - P&amp;L'!$D$38)+(J187*'Data - P&amp;L'!$D$39))*'Data - P&amp;L'!$C$54</f>
        <v>0</v>
      </c>
      <c r="K285" s="263">
        <f>((K75*'Data - P&amp;L'!$D$38)+(K187*'Data - P&amp;L'!$D$39))*'Data - P&amp;L'!$C$54</f>
        <v>0</v>
      </c>
      <c r="L285" s="263">
        <f>((L75*'Data - P&amp;L'!$D$38)+(L187*'Data - P&amp;L'!$D$39))*'Data - P&amp;L'!$C$54</f>
        <v>0</v>
      </c>
      <c r="M285" s="263">
        <f>((M75*'Data - P&amp;L'!$D$38)+(M187*'Data - P&amp;L'!$D$39))*'Data - P&amp;L'!$C$54</f>
        <v>0</v>
      </c>
      <c r="N285" s="263">
        <f>((N75*'Data - P&amp;L'!$D$38)+(N187*'Data - P&amp;L'!$D$39))*'Data - P&amp;L'!$C$54</f>
        <v>0</v>
      </c>
      <c r="O285" s="263">
        <f>((O75*'Data - P&amp;L'!$D$38)+(O187*'Data - P&amp;L'!$D$39))*'Data - P&amp;L'!$C$54</f>
        <v>0</v>
      </c>
      <c r="P285" s="263">
        <f>((P75*'Data - P&amp;L'!$D$38)+(P187*'Data - P&amp;L'!$D$39))*'Data - P&amp;L'!$C$54</f>
        <v>0</v>
      </c>
      <c r="Q285" s="263">
        <f>((Q75*'Data - P&amp;L'!$D$38)+(Q187*'Data - P&amp;L'!$D$39))*'Data - P&amp;L'!$C$54</f>
        <v>0</v>
      </c>
      <c r="R285" s="263">
        <f>((R75*'Data - P&amp;L'!$D$38)+(R187*'Data - P&amp;L'!$D$39))*'Data - P&amp;L'!$C$54</f>
        <v>0</v>
      </c>
      <c r="S285" s="263">
        <f>((S75*'Data - P&amp;L'!$D$38)+(S187*'Data - P&amp;L'!$D$39))*'Data - P&amp;L'!$C$54</f>
        <v>0</v>
      </c>
      <c r="T285" s="263">
        <f>((T75*'Data - P&amp;L'!$D$38)+(T187*'Data - P&amp;L'!$D$39))*'Data - P&amp;L'!$C$54</f>
        <v>0</v>
      </c>
      <c r="U285" s="263">
        <f>((U75*'Data - P&amp;L'!$D$38)+(U187*'Data - P&amp;L'!$D$39))*'Data - P&amp;L'!$C$54</f>
        <v>0</v>
      </c>
      <c r="V285" s="263">
        <f>((V75*'Data - P&amp;L'!$D$38)+(V187*'Data - P&amp;L'!$D$39))*'Data - P&amp;L'!$C$54</f>
        <v>0</v>
      </c>
      <c r="W285" s="263">
        <f>((W75*'Data - P&amp;L'!$D$38)+(W187*'Data - P&amp;L'!$D$39))*'Data - P&amp;L'!$C$54</f>
        <v>0</v>
      </c>
      <c r="X285" s="263">
        <f>((X75*'Data - P&amp;L'!$D$38)+(X187*'Data - P&amp;L'!$D$39))*'Data - P&amp;L'!$C$54</f>
        <v>0</v>
      </c>
      <c r="Y285" s="263">
        <f>((Y75*'Data - P&amp;L'!$D$38)+(Y187*'Data - P&amp;L'!$D$39))*'Data - P&amp;L'!$C$54</f>
        <v>0</v>
      </c>
      <c r="Z285" s="263">
        <f>((Z75*'Data - P&amp;L'!$D$38)+(Z187*'Data - P&amp;L'!$D$39))*'Data - P&amp;L'!$C$54</f>
        <v>0</v>
      </c>
      <c r="AA285" s="263">
        <f>((AA75*'Data - P&amp;L'!$D$38)+(AA187*'Data - P&amp;L'!$D$39))*'Data - P&amp;L'!$C$54</f>
        <v>0</v>
      </c>
      <c r="AB285" s="263">
        <f>((AB75*'Data - P&amp;L'!$D$38)+(AB187*'Data - P&amp;L'!$D$39))*'Data - P&amp;L'!$C$54</f>
        <v>0</v>
      </c>
      <c r="AC285" s="263">
        <f>((AC75*'Data - P&amp;L'!$D$38)+(AC187*'Data - P&amp;L'!$D$39))*'Data - P&amp;L'!$C$54</f>
        <v>0</v>
      </c>
      <c r="AD285" s="263">
        <f>((AD75*'Data - P&amp;L'!$D$38)+(AD187*'Data - P&amp;L'!$D$39))*'Data - P&amp;L'!$C$54</f>
        <v>0</v>
      </c>
      <c r="AE285" s="263">
        <f>((AE75*'Data - P&amp;L'!$D$38)+(AE187*'Data - P&amp;L'!$D$39))*'Data - P&amp;L'!$C$54</f>
        <v>0</v>
      </c>
      <c r="AF285" s="263">
        <f>((AF75*'Data - P&amp;L'!$D$38)+(AF187*'Data - P&amp;L'!$D$39))*'Data - P&amp;L'!$C$54</f>
        <v>0</v>
      </c>
      <c r="AG285" s="453">
        <f t="shared" si="67"/>
        <v>0</v>
      </c>
    </row>
    <row r="286" outlineLevel="1">
      <c r="A286" s="280" t="s">
        <v>438</v>
      </c>
      <c r="B286" s="386">
        <f>B77*'Data - P&amp;L'!$R$3</f>
        <v>0</v>
      </c>
      <c r="C286" s="386">
        <f>C77*'Data - P&amp;L'!$R$3</f>
        <v>0</v>
      </c>
      <c r="D286" s="386">
        <f>D77*'Data - P&amp;L'!$R$3</f>
        <v>0</v>
      </c>
      <c r="E286" s="386">
        <f>E77*'Data - P&amp;L'!$R$3</f>
        <v>0</v>
      </c>
      <c r="F286" s="386">
        <f>F77*'Data - P&amp;L'!$R$3</f>
        <v>0</v>
      </c>
      <c r="G286" s="386">
        <f>G77*'Data - P&amp;L'!$R$3</f>
        <v>0</v>
      </c>
      <c r="H286" s="386">
        <f>H77*'Data - P&amp;L'!$R$3</f>
        <v>0</v>
      </c>
      <c r="I286" s="386">
        <f>I77*'Data - P&amp;L'!$R$3</f>
        <v>0</v>
      </c>
      <c r="J286" s="386">
        <f>J77*'Data - P&amp;L'!$R$3</f>
        <v>0</v>
      </c>
      <c r="K286" s="386">
        <f>K77*'Data - P&amp;L'!$R$3</f>
        <v>0</v>
      </c>
      <c r="L286" s="386">
        <f>L77*'Data - P&amp;L'!$R$3</f>
        <v>0</v>
      </c>
      <c r="M286" s="386">
        <f>M77*'Data - P&amp;L'!$R$3</f>
        <v>0</v>
      </c>
      <c r="N286" s="386">
        <f>N77*'Data - P&amp;L'!$R$3</f>
        <v>0</v>
      </c>
      <c r="O286" s="386">
        <f>O77*'Data - P&amp;L'!$R$3</f>
        <v>0</v>
      </c>
      <c r="P286" s="386">
        <f>P77*'Data - P&amp;L'!$R$3</f>
        <v>0</v>
      </c>
      <c r="Q286" s="386">
        <f>Q77*'Data - P&amp;L'!$R$3</f>
        <v>0</v>
      </c>
      <c r="R286" s="386">
        <f>R77*'Data - P&amp;L'!$R$3</f>
        <v>0</v>
      </c>
      <c r="S286" s="386">
        <f>S77*'Data - P&amp;L'!$R$3</f>
        <v>0</v>
      </c>
      <c r="T286" s="386">
        <f>T77*'Data - P&amp;L'!$R$3</f>
        <v>0</v>
      </c>
      <c r="U286" s="386">
        <f>U77*'Data - P&amp;L'!$R$3</f>
        <v>0</v>
      </c>
      <c r="V286" s="386">
        <f>V77*'Data - P&amp;L'!$R$3</f>
        <v>0</v>
      </c>
      <c r="W286" s="386">
        <f>W77*'Data - P&amp;L'!$R$3</f>
        <v>0</v>
      </c>
      <c r="X286" s="386">
        <f>X77*'Data - P&amp;L'!$R$3</f>
        <v>0</v>
      </c>
      <c r="Y286" s="386">
        <f>Y77*'Data - P&amp;L'!$R$3</f>
        <v>0</v>
      </c>
      <c r="Z286" s="386">
        <f>Z77*'Data - P&amp;L'!$R$3</f>
        <v>0</v>
      </c>
      <c r="AA286" s="386">
        <f>AA77*'Data - P&amp;L'!$R$3</f>
        <v>0</v>
      </c>
      <c r="AB286" s="386">
        <f>AB77*'Data - P&amp;L'!$R$3</f>
        <v>0</v>
      </c>
      <c r="AC286" s="386">
        <f>AC77*'Data - P&amp;L'!$R$3</f>
        <v>0</v>
      </c>
      <c r="AD286" s="386">
        <f>AD77*'Data - P&amp;L'!$R$3</f>
        <v>0</v>
      </c>
      <c r="AE286" s="386">
        <f>AE77*'Data - P&amp;L'!$R$3</f>
        <v>0</v>
      </c>
      <c r="AF286" s="386">
        <f>AF77*'Data - P&amp;L'!$R$3</f>
        <v>0</v>
      </c>
      <c r="AG286" s="453">
        <f t="shared" si="67"/>
        <v>0</v>
      </c>
    </row>
    <row r="287" outlineLevel="1">
      <c r="A287" s="456" t="s">
        <v>439</v>
      </c>
      <c r="B287" s="262">
        <f t="shared" ref="B287:AF287" si="70">B83+B193</f>
        <v>0</v>
      </c>
      <c r="C287" s="262">
        <f t="shared" si="70"/>
        <v>0</v>
      </c>
      <c r="D287" s="262">
        <f t="shared" si="70"/>
        <v>0</v>
      </c>
      <c r="E287" s="262">
        <f t="shared" si="70"/>
        <v>0</v>
      </c>
      <c r="F287" s="262">
        <f t="shared" si="70"/>
        <v>0</v>
      </c>
      <c r="G287" s="262">
        <f t="shared" si="70"/>
        <v>0</v>
      </c>
      <c r="H287" s="262">
        <f t="shared" si="70"/>
        <v>0</v>
      </c>
      <c r="I287" s="262">
        <f t="shared" si="70"/>
        <v>0</v>
      </c>
      <c r="J287" s="262">
        <f t="shared" si="70"/>
        <v>0</v>
      </c>
      <c r="K287" s="262">
        <f t="shared" si="70"/>
        <v>0</v>
      </c>
      <c r="L287" s="262">
        <f t="shared" si="70"/>
        <v>0</v>
      </c>
      <c r="M287" s="262">
        <f t="shared" si="70"/>
        <v>0</v>
      </c>
      <c r="N287" s="262">
        <f t="shared" si="70"/>
        <v>0</v>
      </c>
      <c r="O287" s="262">
        <f t="shared" si="70"/>
        <v>0</v>
      </c>
      <c r="P287" s="262">
        <f t="shared" si="70"/>
        <v>0</v>
      </c>
      <c r="Q287" s="262">
        <f t="shared" si="70"/>
        <v>0</v>
      </c>
      <c r="R287" s="262">
        <f t="shared" si="70"/>
        <v>0</v>
      </c>
      <c r="S287" s="262">
        <f t="shared" si="70"/>
        <v>0</v>
      </c>
      <c r="T287" s="262">
        <f t="shared" si="70"/>
        <v>0</v>
      </c>
      <c r="U287" s="262">
        <f t="shared" si="70"/>
        <v>0</v>
      </c>
      <c r="V287" s="262">
        <f t="shared" si="70"/>
        <v>0</v>
      </c>
      <c r="W287" s="262">
        <f t="shared" si="70"/>
        <v>0</v>
      </c>
      <c r="X287" s="262">
        <f t="shared" si="70"/>
        <v>0</v>
      </c>
      <c r="Y287" s="262">
        <f t="shared" si="70"/>
        <v>0</v>
      </c>
      <c r="Z287" s="262">
        <f t="shared" si="70"/>
        <v>0</v>
      </c>
      <c r="AA287" s="262">
        <f t="shared" si="70"/>
        <v>0</v>
      </c>
      <c r="AB287" s="262">
        <f t="shared" si="70"/>
        <v>0</v>
      </c>
      <c r="AC287" s="262">
        <f t="shared" si="70"/>
        <v>0</v>
      </c>
      <c r="AD287" s="262">
        <f t="shared" si="70"/>
        <v>0</v>
      </c>
      <c r="AE287" s="262">
        <f t="shared" si="70"/>
        <v>0</v>
      </c>
      <c r="AF287" s="262">
        <f t="shared" si="70"/>
        <v>0</v>
      </c>
      <c r="AG287" s="453">
        <f t="shared" si="67"/>
        <v>0</v>
      </c>
    </row>
    <row r="288">
      <c r="A288" s="250" t="s">
        <v>780</v>
      </c>
      <c r="B288" s="277">
        <f t="shared" ref="B288:AF288" si="71">sum(B289:B299)-B302</f>
        <v>0</v>
      </c>
      <c r="C288" s="277">
        <f t="shared" si="71"/>
        <v>0</v>
      </c>
      <c r="D288" s="277">
        <f t="shared" si="71"/>
        <v>0</v>
      </c>
      <c r="E288" s="277">
        <f t="shared" si="71"/>
        <v>0</v>
      </c>
      <c r="F288" s="277">
        <f t="shared" si="71"/>
        <v>0</v>
      </c>
      <c r="G288" s="277">
        <f t="shared" si="71"/>
        <v>0</v>
      </c>
      <c r="H288" s="277">
        <f t="shared" si="71"/>
        <v>0</v>
      </c>
      <c r="I288" s="277">
        <f t="shared" si="71"/>
        <v>0</v>
      </c>
      <c r="J288" s="277">
        <f t="shared" si="71"/>
        <v>0</v>
      </c>
      <c r="K288" s="277">
        <f t="shared" si="71"/>
        <v>0</v>
      </c>
      <c r="L288" s="277">
        <f t="shared" si="71"/>
        <v>0</v>
      </c>
      <c r="M288" s="277">
        <f t="shared" si="71"/>
        <v>0</v>
      </c>
      <c r="N288" s="277">
        <f t="shared" si="71"/>
        <v>0</v>
      </c>
      <c r="O288" s="277">
        <f t="shared" si="71"/>
        <v>0</v>
      </c>
      <c r="P288" s="277">
        <f t="shared" si="71"/>
        <v>0</v>
      </c>
      <c r="Q288" s="277">
        <f t="shared" si="71"/>
        <v>0</v>
      </c>
      <c r="R288" s="277">
        <f t="shared" si="71"/>
        <v>0</v>
      </c>
      <c r="S288" s="277">
        <f t="shared" si="71"/>
        <v>0</v>
      </c>
      <c r="T288" s="277">
        <f t="shared" si="71"/>
        <v>0</v>
      </c>
      <c r="U288" s="277">
        <f t="shared" si="71"/>
        <v>0</v>
      </c>
      <c r="V288" s="277">
        <f t="shared" si="71"/>
        <v>0</v>
      </c>
      <c r="W288" s="277">
        <f t="shared" si="71"/>
        <v>0</v>
      </c>
      <c r="X288" s="277">
        <f t="shared" si="71"/>
        <v>0</v>
      </c>
      <c r="Y288" s="277">
        <f t="shared" si="71"/>
        <v>0</v>
      </c>
      <c r="Z288" s="277">
        <f t="shared" si="71"/>
        <v>0</v>
      </c>
      <c r="AA288" s="277">
        <f t="shared" si="71"/>
        <v>0</v>
      </c>
      <c r="AB288" s="277">
        <f t="shared" si="71"/>
        <v>0</v>
      </c>
      <c r="AC288" s="277">
        <f t="shared" si="71"/>
        <v>0</v>
      </c>
      <c r="AD288" s="277">
        <f t="shared" si="71"/>
        <v>0</v>
      </c>
      <c r="AE288" s="277">
        <f t="shared" si="71"/>
        <v>0</v>
      </c>
      <c r="AF288" s="277">
        <f t="shared" si="71"/>
        <v>0</v>
      </c>
      <c r="AG288" s="303">
        <f t="shared" si="67"/>
        <v>0</v>
      </c>
    </row>
    <row r="289" outlineLevel="1">
      <c r="A289" s="147" t="s">
        <v>421</v>
      </c>
      <c r="B289" s="263">
        <f>(B94+B204)*'Data - P&amp;L'!$C$3*'Data - P&amp;L'!$C$55</f>
        <v>0</v>
      </c>
      <c r="C289" s="263">
        <f>C179*'Data - P&amp;L'!$C$3*'Data - P&amp;L'!$C$55</f>
        <v>0</v>
      </c>
      <c r="D289" s="263">
        <f>D179*'Data - P&amp;L'!$C$3*'Data - P&amp;L'!$C$55</f>
        <v>0</v>
      </c>
      <c r="E289" s="263">
        <f>E179*'Data - P&amp;L'!$C$3*'Data - P&amp;L'!$C$55</f>
        <v>0</v>
      </c>
      <c r="F289" s="263">
        <f>F179*'Data - P&amp;L'!$C$3*'Data - P&amp;L'!$C$55</f>
        <v>0</v>
      </c>
      <c r="G289" s="263">
        <f>G179*'Data - P&amp;L'!$C$3*'Data - P&amp;L'!$C$55</f>
        <v>0</v>
      </c>
      <c r="H289" s="263">
        <f>H179*'Data - P&amp;L'!$C$3*'Data - P&amp;L'!$C$55</f>
        <v>0</v>
      </c>
      <c r="I289" s="263">
        <f>I179*'Data - P&amp;L'!$C$3*'Data - P&amp;L'!$C$55</f>
        <v>0</v>
      </c>
      <c r="J289" s="263">
        <f>J179*'Data - P&amp;L'!$C$3*'Data - P&amp;L'!$C$55</f>
        <v>0</v>
      </c>
      <c r="K289" s="263">
        <f>K179*'Data - P&amp;L'!$C$3*'Data - P&amp;L'!$C$55</f>
        <v>0</v>
      </c>
      <c r="L289" s="263">
        <f>L179*'Data - P&amp;L'!$C$3*'Data - P&amp;L'!$C$55</f>
        <v>0</v>
      </c>
      <c r="M289" s="263">
        <f>M179*'Data - P&amp;L'!$C$3*'Data - P&amp;L'!$C$55</f>
        <v>0</v>
      </c>
      <c r="N289" s="263">
        <f>N179*'Data - P&amp;L'!$C$3*'Data - P&amp;L'!$C$55</f>
        <v>0</v>
      </c>
      <c r="O289" s="263">
        <f>O179*'Data - P&amp;L'!$C$3*'Data - P&amp;L'!$C$55</f>
        <v>0</v>
      </c>
      <c r="P289" s="263">
        <f>P179*'Data - P&amp;L'!$C$3*'Data - P&amp;L'!$C$55</f>
        <v>0</v>
      </c>
      <c r="Q289" s="263">
        <f>Q179*'Data - P&amp;L'!$C$3*'Data - P&amp;L'!$C$55</f>
        <v>0</v>
      </c>
      <c r="R289" s="263">
        <f>R179*'Data - P&amp;L'!$C$3*'Data - P&amp;L'!$C$55</f>
        <v>0</v>
      </c>
      <c r="S289" s="263">
        <f>S179*'Data - P&amp;L'!$C$3*'Data - P&amp;L'!$C$55</f>
        <v>0</v>
      </c>
      <c r="T289" s="263">
        <f>T179*'Data - P&amp;L'!$C$3*'Data - P&amp;L'!$C$55</f>
        <v>0</v>
      </c>
      <c r="U289" s="263">
        <f>U179*'Data - P&amp;L'!$C$3*'Data - P&amp;L'!$C$55</f>
        <v>0</v>
      </c>
      <c r="V289" s="263">
        <f>V179*'Data - P&amp;L'!$C$3*'Data - P&amp;L'!$C$55</f>
        <v>0</v>
      </c>
      <c r="W289" s="263">
        <f>W179*'Data - P&amp;L'!$C$3*'Data - P&amp;L'!$C$55</f>
        <v>0</v>
      </c>
      <c r="X289" s="263">
        <f>X179*'Data - P&amp;L'!$C$3*'Data - P&amp;L'!$C$55</f>
        <v>0</v>
      </c>
      <c r="Y289" s="263">
        <f>Y179*'Data - P&amp;L'!$C$3*'Data - P&amp;L'!$C$55</f>
        <v>0</v>
      </c>
      <c r="Z289" s="263">
        <f>Z179*'Data - P&amp;L'!$C$3*'Data - P&amp;L'!$C$55</f>
        <v>0</v>
      </c>
      <c r="AA289" s="263">
        <f>AA179*'Data - P&amp;L'!$C$3*'Data - P&amp;L'!$C$55</f>
        <v>0</v>
      </c>
      <c r="AB289" s="263">
        <f>AB179*'Data - P&amp;L'!$C$3*'Data - P&amp;L'!$C$55</f>
        <v>0</v>
      </c>
      <c r="AC289" s="263">
        <f>AC179*'Data - P&amp;L'!$C$3*'Data - P&amp;L'!$C$55</f>
        <v>0</v>
      </c>
      <c r="AD289" s="263">
        <f>AD179*'Data - P&amp;L'!$C$3*'Data - P&amp;L'!$C$55</f>
        <v>0</v>
      </c>
      <c r="AE289" s="263">
        <f>AE179*'Data - P&amp;L'!$C$3*'Data - P&amp;L'!$C$55</f>
        <v>0</v>
      </c>
      <c r="AF289" s="263">
        <f>AF179*'Data - P&amp;L'!$C$3*'Data - P&amp;L'!$C$55</f>
        <v>0</v>
      </c>
      <c r="AG289" s="453">
        <f t="shared" si="67"/>
        <v>0</v>
      </c>
    </row>
    <row r="290" outlineLevel="1">
      <c r="A290" s="147" t="s">
        <v>422</v>
      </c>
      <c r="B290" s="263">
        <f>(B95+B205)*'Data - P&amp;L'!$C$4*'Data - P&amp;L'!$C$55</f>
        <v>0</v>
      </c>
      <c r="C290" s="263">
        <f>C180*'Data - P&amp;L'!$C$4*'Data - P&amp;L'!$C$55</f>
        <v>0</v>
      </c>
      <c r="D290" s="263">
        <f>D180*'Data - P&amp;L'!$C$4*'Data - P&amp;L'!$C$55</f>
        <v>0</v>
      </c>
      <c r="E290" s="263">
        <f>E180*'Data - P&amp;L'!$C$4*'Data - P&amp;L'!$C$55</f>
        <v>0</v>
      </c>
      <c r="F290" s="263">
        <f>F180*'Data - P&amp;L'!$C$4*'Data - P&amp;L'!$C$55</f>
        <v>0</v>
      </c>
      <c r="G290" s="263">
        <f>G180*'Data - P&amp;L'!$C$4*'Data - P&amp;L'!$C$55</f>
        <v>0</v>
      </c>
      <c r="H290" s="263">
        <f>H180*'Data - P&amp;L'!$C$4*'Data - P&amp;L'!$C$55</f>
        <v>0</v>
      </c>
      <c r="I290" s="263">
        <f>I180*'Data - P&amp;L'!$C$4*'Data - P&amp;L'!$C$55</f>
        <v>0</v>
      </c>
      <c r="J290" s="263">
        <f>J180*'Data - P&amp;L'!$C$4*'Data - P&amp;L'!$C$55</f>
        <v>0</v>
      </c>
      <c r="K290" s="263">
        <f>K180*'Data - P&amp;L'!$C$4*'Data - P&amp;L'!$C$55</f>
        <v>0</v>
      </c>
      <c r="L290" s="263">
        <f>L180*'Data - P&amp;L'!$C$4*'Data - P&amp;L'!$C$55</f>
        <v>0</v>
      </c>
      <c r="M290" s="263">
        <f>M180*'Data - P&amp;L'!$C$4*'Data - P&amp;L'!$C$55</f>
        <v>0</v>
      </c>
      <c r="N290" s="263">
        <f>N180*'Data - P&amp;L'!$C$4*'Data - P&amp;L'!$C$55</f>
        <v>0</v>
      </c>
      <c r="O290" s="263">
        <f>O180*'Data - P&amp;L'!$C$4*'Data - P&amp;L'!$C$55</f>
        <v>0</v>
      </c>
      <c r="P290" s="263">
        <f>P180*'Data - P&amp;L'!$C$4*'Data - P&amp;L'!$C$55</f>
        <v>0</v>
      </c>
      <c r="Q290" s="263">
        <f>Q180*'Data - P&amp;L'!$C$4*'Data - P&amp;L'!$C$55</f>
        <v>0</v>
      </c>
      <c r="R290" s="263">
        <f>R180*'Data - P&amp;L'!$C$4*'Data - P&amp;L'!$C$55</f>
        <v>0</v>
      </c>
      <c r="S290" s="263">
        <f>S180*'Data - P&amp;L'!$C$4*'Data - P&amp;L'!$C$55</f>
        <v>0</v>
      </c>
      <c r="T290" s="263">
        <f>T180*'Data - P&amp;L'!$C$4*'Data - P&amp;L'!$C$55</f>
        <v>0</v>
      </c>
      <c r="U290" s="263">
        <f>U180*'Data - P&amp;L'!$C$4*'Data - P&amp;L'!$C$55</f>
        <v>0</v>
      </c>
      <c r="V290" s="263">
        <f>V180*'Data - P&amp;L'!$C$4*'Data - P&amp;L'!$C$55</f>
        <v>0</v>
      </c>
      <c r="W290" s="263">
        <f>W180*'Data - P&amp;L'!$C$4*'Data - P&amp;L'!$C$55</f>
        <v>0</v>
      </c>
      <c r="X290" s="263">
        <f>X180*'Data - P&amp;L'!$C$4*'Data - P&amp;L'!$C$55</f>
        <v>0</v>
      </c>
      <c r="Y290" s="263">
        <f>Y180*'Data - P&amp;L'!$C$4*'Data - P&amp;L'!$C$55</f>
        <v>0</v>
      </c>
      <c r="Z290" s="263">
        <f>Z180*'Data - P&amp;L'!$C$4*'Data - P&amp;L'!$C$55</f>
        <v>0</v>
      </c>
      <c r="AA290" s="263">
        <f>AA180*'Data - P&amp;L'!$C$4*'Data - P&amp;L'!$C$55</f>
        <v>0</v>
      </c>
      <c r="AB290" s="263">
        <f>AB180*'Data - P&amp;L'!$C$4*'Data - P&amp;L'!$C$55</f>
        <v>0</v>
      </c>
      <c r="AC290" s="263">
        <f>AC180*'Data - P&amp;L'!$C$4*'Data - P&amp;L'!$C$55</f>
        <v>0</v>
      </c>
      <c r="AD290" s="263">
        <f>AD180*'Data - P&amp;L'!$C$4*'Data - P&amp;L'!$C$55</f>
        <v>0</v>
      </c>
      <c r="AE290" s="263">
        <f>AE180*'Data - P&amp;L'!$C$4*'Data - P&amp;L'!$C$55</f>
        <v>0</v>
      </c>
      <c r="AF290" s="263">
        <f>AF180*'Data - P&amp;L'!$C$4*'Data - P&amp;L'!$C$55</f>
        <v>0</v>
      </c>
      <c r="AG290" s="453">
        <f t="shared" si="67"/>
        <v>0</v>
      </c>
    </row>
    <row r="291" outlineLevel="1">
      <c r="A291" s="147" t="s">
        <v>423</v>
      </c>
      <c r="B291" s="263">
        <f>(B97+B207)*'Data - P&amp;L'!$C$6*'Data - P&amp;L'!$C$55</f>
        <v>0</v>
      </c>
      <c r="C291" s="263">
        <f>(C183+C194)*'Data - P&amp;L'!$C$6*'Data - P&amp;L'!$C$55</f>
        <v>0</v>
      </c>
      <c r="D291" s="263">
        <f>(D183+D194)*'Data - P&amp;L'!$C$6*'Data - P&amp;L'!$C$55</f>
        <v>0</v>
      </c>
      <c r="E291" s="263">
        <f>(E183+E194)*'Data - P&amp;L'!$C$6*'Data - P&amp;L'!$C$55</f>
        <v>0</v>
      </c>
      <c r="F291" s="263">
        <f>(F183+F194)*'Data - P&amp;L'!$C$6*'Data - P&amp;L'!$C$55</f>
        <v>0</v>
      </c>
      <c r="G291" s="263">
        <f>(G183+G194)*'Data - P&amp;L'!$C$6*'Data - P&amp;L'!$C$55</f>
        <v>0</v>
      </c>
      <c r="H291" s="263">
        <f>(H183+H194)*'Data - P&amp;L'!$C$6*'Data - P&amp;L'!$C$55</f>
        <v>0</v>
      </c>
      <c r="I291" s="263">
        <f>(I183+I194)*'Data - P&amp;L'!$C$6*'Data - P&amp;L'!$C$55</f>
        <v>0</v>
      </c>
      <c r="J291" s="263">
        <f>(J183+J194)*'Data - P&amp;L'!$C$6*'Data - P&amp;L'!$C$55</f>
        <v>0</v>
      </c>
      <c r="K291" s="263">
        <f>(K183+K194)*'Data - P&amp;L'!$C$6*'Data - P&amp;L'!$C$55</f>
        <v>0</v>
      </c>
      <c r="L291" s="263">
        <f>(L183+L194)*'Data - P&amp;L'!$C$6*'Data - P&amp;L'!$C$55</f>
        <v>0</v>
      </c>
      <c r="M291" s="263">
        <f>(M183+M194)*'Data - P&amp;L'!$C$6*'Data - P&amp;L'!$C$55</f>
        <v>0</v>
      </c>
      <c r="N291" s="263">
        <f>(N183+N194)*'Data - P&amp;L'!$C$6*'Data - P&amp;L'!$C$55</f>
        <v>0</v>
      </c>
      <c r="O291" s="263">
        <f>(O183+O194)*'Data - P&amp;L'!$C$6*'Data - P&amp;L'!$C$55</f>
        <v>0</v>
      </c>
      <c r="P291" s="263">
        <f>(P183+P194)*'Data - P&amp;L'!$C$6*'Data - P&amp;L'!$C$55</f>
        <v>0</v>
      </c>
      <c r="Q291" s="263">
        <f>(Q183+Q194)*'Data - P&amp;L'!$C$6*'Data - P&amp;L'!$C$55</f>
        <v>0</v>
      </c>
      <c r="R291" s="263">
        <f>(R183+R194)*'Data - P&amp;L'!$C$6*'Data - P&amp;L'!$C$55</f>
        <v>0</v>
      </c>
      <c r="S291" s="263">
        <f>(S183+S194)*'Data - P&amp;L'!$C$6*'Data - P&amp;L'!$C$55</f>
        <v>0</v>
      </c>
      <c r="T291" s="263">
        <f>(T183+T194)*'Data - P&amp;L'!$C$6*'Data - P&amp;L'!$C$55</f>
        <v>0</v>
      </c>
      <c r="U291" s="263">
        <f>(U183+U194)*'Data - P&amp;L'!$C$6*'Data - P&amp;L'!$C$55</f>
        <v>0</v>
      </c>
      <c r="V291" s="263">
        <f>(V183+V194)*'Data - P&amp;L'!$C$6*'Data - P&amp;L'!$C$55</f>
        <v>0</v>
      </c>
      <c r="W291" s="263">
        <f>(W183+W194)*'Data - P&amp;L'!$C$6*'Data - P&amp;L'!$C$55</f>
        <v>0</v>
      </c>
      <c r="X291" s="263">
        <f>(X183+X194)*'Data - P&amp;L'!$C$6*'Data - P&amp;L'!$C$55</f>
        <v>0</v>
      </c>
      <c r="Y291" s="263">
        <f>(Y183+Y194)*'Data - P&amp;L'!$C$6*'Data - P&amp;L'!$C$55</f>
        <v>0</v>
      </c>
      <c r="Z291" s="263">
        <f>(Z183+Z194)*'Data - P&amp;L'!$C$6*'Data - P&amp;L'!$C$55</f>
        <v>0</v>
      </c>
      <c r="AA291" s="263">
        <f>(AA183+AA194)*'Data - P&amp;L'!$C$6*'Data - P&amp;L'!$C$55</f>
        <v>0</v>
      </c>
      <c r="AB291" s="263">
        <f>(AB183+AB194)*'Data - P&amp;L'!$C$6*'Data - P&amp;L'!$C$55</f>
        <v>0</v>
      </c>
      <c r="AC291" s="263">
        <f>(AC183+AC194)*'Data - P&amp;L'!$C$6*'Data - P&amp;L'!$C$55</f>
        <v>0</v>
      </c>
      <c r="AD291" s="263">
        <f>(AD183+AD194)*'Data - P&amp;L'!$C$6*'Data - P&amp;L'!$C$55</f>
        <v>0</v>
      </c>
      <c r="AE291" s="263">
        <f>(AE183+AE194)*'Data - P&amp;L'!$C$6*'Data - P&amp;L'!$C$55</f>
        <v>0</v>
      </c>
      <c r="AF291" s="263">
        <f>(AF183+AF194)*'Data - P&amp;L'!$C$6*'Data - P&amp;L'!$C$55</f>
        <v>0</v>
      </c>
      <c r="AG291" s="453">
        <f t="shared" si="67"/>
        <v>0</v>
      </c>
    </row>
    <row r="292" outlineLevel="1">
      <c r="A292" s="147" t="s">
        <v>424</v>
      </c>
      <c r="B292" s="263">
        <f>(B98+B208)*'Data - P&amp;L'!$C$8*'Data - P&amp;L'!$C$55</f>
        <v>0</v>
      </c>
      <c r="C292" s="263">
        <f>(C184+C199)*'Data - P&amp;L'!$C$8*'Data - P&amp;L'!$C$55</f>
        <v>0</v>
      </c>
      <c r="D292" s="263">
        <f>(D184+D199)*'Data - P&amp;L'!$C$8*'Data - P&amp;L'!$C$55</f>
        <v>0</v>
      </c>
      <c r="E292" s="263">
        <f>(E184+E199)*'Data - P&amp;L'!$C$8*'Data - P&amp;L'!$C$55</f>
        <v>0</v>
      </c>
      <c r="F292" s="263">
        <f>(F184+F199)*'Data - P&amp;L'!$C$8*'Data - P&amp;L'!$C$55</f>
        <v>0</v>
      </c>
      <c r="G292" s="263">
        <f>(G184+G199)*'Data - P&amp;L'!$C$8*'Data - P&amp;L'!$C$55</f>
        <v>0</v>
      </c>
      <c r="H292" s="263">
        <f>(H184+H199)*'Data - P&amp;L'!$C$8*'Data - P&amp;L'!$C$55</f>
        <v>0</v>
      </c>
      <c r="I292" s="263">
        <f>(I184+I199)*'Data - P&amp;L'!$C$8*'Data - P&amp;L'!$C$55</f>
        <v>0</v>
      </c>
      <c r="J292" s="263">
        <f>(J184+J199)*'Data - P&amp;L'!$C$8*'Data - P&amp;L'!$C$55</f>
        <v>0</v>
      </c>
      <c r="K292" s="263">
        <f>(K184+K199)*'Data - P&amp;L'!$C$8*'Data - P&amp;L'!$C$55</f>
        <v>0</v>
      </c>
      <c r="L292" s="263">
        <f>(L184+L199)*'Data - P&amp;L'!$C$8*'Data - P&amp;L'!$C$55</f>
        <v>0</v>
      </c>
      <c r="M292" s="263">
        <f>(M184+M199)*'Data - P&amp;L'!$C$8*'Data - P&amp;L'!$C$55</f>
        <v>0</v>
      </c>
      <c r="N292" s="263">
        <f>(N184+N199)*'Data - P&amp;L'!$C$8*'Data - P&amp;L'!$C$55</f>
        <v>0</v>
      </c>
      <c r="O292" s="263">
        <f>(O184+O199)*'Data - P&amp;L'!$C$8*'Data - P&amp;L'!$C$55</f>
        <v>0</v>
      </c>
      <c r="P292" s="263">
        <f>(P184+P199)*'Data - P&amp;L'!$C$8*'Data - P&amp;L'!$C$55</f>
        <v>0</v>
      </c>
      <c r="Q292" s="263">
        <f>(Q184+Q199)*'Data - P&amp;L'!$C$8*'Data - P&amp;L'!$C$55</f>
        <v>0</v>
      </c>
      <c r="R292" s="263">
        <f>(R184+R199)*'Data - P&amp;L'!$C$8*'Data - P&amp;L'!$C$55</f>
        <v>0</v>
      </c>
      <c r="S292" s="263">
        <f>(S184+S199)*'Data - P&amp;L'!$C$8*'Data - P&amp;L'!$C$55</f>
        <v>0</v>
      </c>
      <c r="T292" s="263">
        <f>(T184+T199)*'Data - P&amp;L'!$C$8*'Data - P&amp;L'!$C$55</f>
        <v>0</v>
      </c>
      <c r="U292" s="263">
        <f>(U184+U199)*'Data - P&amp;L'!$C$8*'Data - P&amp;L'!$C$55</f>
        <v>0</v>
      </c>
      <c r="V292" s="263">
        <f>(V184+V199)*'Data - P&amp;L'!$C$8*'Data - P&amp;L'!$C$55</f>
        <v>0</v>
      </c>
      <c r="W292" s="263">
        <f>(W184+W199)*'Data - P&amp;L'!$C$8*'Data - P&amp;L'!$C$55</f>
        <v>0</v>
      </c>
      <c r="X292" s="263">
        <f>(X184+X199)*'Data - P&amp;L'!$C$8*'Data - P&amp;L'!$C$55</f>
        <v>0</v>
      </c>
      <c r="Y292" s="263">
        <f>(Y184+Y199)*'Data - P&amp;L'!$C$8*'Data - P&amp;L'!$C$55</f>
        <v>0</v>
      </c>
      <c r="Z292" s="263">
        <f>(Z184+Z199)*'Data - P&amp;L'!$C$8*'Data - P&amp;L'!$C$55</f>
        <v>0</v>
      </c>
      <c r="AA292" s="263">
        <f>(AA184+AA199)*'Data - P&amp;L'!$C$8*'Data - P&amp;L'!$C$55</f>
        <v>0</v>
      </c>
      <c r="AB292" s="263">
        <f>(AB184+AB199)*'Data - P&amp;L'!$C$8*'Data - P&amp;L'!$C$55</f>
        <v>0</v>
      </c>
      <c r="AC292" s="263">
        <f>(AC184+AC199)*'Data - P&amp;L'!$C$8*'Data - P&amp;L'!$C$55</f>
        <v>0</v>
      </c>
      <c r="AD292" s="263">
        <f>(AD184+AD199)*'Data - P&amp;L'!$C$8*'Data - P&amp;L'!$C$55</f>
        <v>0</v>
      </c>
      <c r="AE292" s="263">
        <f>(AE184+AE199)*'Data - P&amp;L'!$C$8*'Data - P&amp;L'!$C$55</f>
        <v>0</v>
      </c>
      <c r="AF292" s="263">
        <f>(AF184+AF199)*'Data - P&amp;L'!$C$8*'Data - P&amp;L'!$C$55</f>
        <v>0</v>
      </c>
      <c r="AG292" s="453">
        <f t="shared" si="67"/>
        <v>0</v>
      </c>
    </row>
    <row r="293" outlineLevel="1">
      <c r="A293" s="147" t="s">
        <v>425</v>
      </c>
      <c r="B293" s="263">
        <f>(B99+B100+B209+B210)*'Data - P&amp;L'!$C$9*'Data - P&amp;L'!$C$55</f>
        <v>0</v>
      </c>
      <c r="C293" s="263">
        <f>(C185+C186+C200+C201)*'Data - P&amp;L'!$C$9*'Data - P&amp;L'!$C$55</f>
        <v>0</v>
      </c>
      <c r="D293" s="263">
        <f>(D185+D186+D200+D201)*'Data - P&amp;L'!$C$9*'Data - P&amp;L'!$C$55</f>
        <v>0</v>
      </c>
      <c r="E293" s="263">
        <f>(E185+E186+E200+E201)*'Data - P&amp;L'!$C$9*'Data - P&amp;L'!$C$55</f>
        <v>0</v>
      </c>
      <c r="F293" s="263">
        <f>(F185+F186+F200+F201)*'Data - P&amp;L'!$C$9*'Data - P&amp;L'!$C$55</f>
        <v>0</v>
      </c>
      <c r="G293" s="263">
        <f>(G185+G186+G200+G201)*'Data - P&amp;L'!$C$9*'Data - P&amp;L'!$C$55</f>
        <v>0</v>
      </c>
      <c r="H293" s="263">
        <f>(H185+H186+H200+H201)*'Data - P&amp;L'!$C$9*'Data - P&amp;L'!$C$55</f>
        <v>0</v>
      </c>
      <c r="I293" s="263">
        <f>(I185+I186+I200+I201)*'Data - P&amp;L'!$C$9*'Data - P&amp;L'!$C$55</f>
        <v>0</v>
      </c>
      <c r="J293" s="263">
        <f>(J185+J186+J200+J201)*'Data - P&amp;L'!$C$9*'Data - P&amp;L'!$C$55</f>
        <v>0</v>
      </c>
      <c r="K293" s="263">
        <f>(K185+K186+K200+K201)*'Data - P&amp;L'!$C$9*'Data - P&amp;L'!$C$55</f>
        <v>0</v>
      </c>
      <c r="L293" s="263">
        <f>(L185+L186+L200+L201)*'Data - P&amp;L'!$C$9*'Data - P&amp;L'!$C$55</f>
        <v>0</v>
      </c>
      <c r="M293" s="263">
        <f>(M185+M186+M200+M201)*'Data - P&amp;L'!$C$9*'Data - P&amp;L'!$C$55</f>
        <v>0</v>
      </c>
      <c r="N293" s="263">
        <f>(N185+N186+N200+N201)*'Data - P&amp;L'!$C$9*'Data - P&amp;L'!$C$55</f>
        <v>0</v>
      </c>
      <c r="O293" s="263">
        <f>(O185+O186+O200+O201)*'Data - P&amp;L'!$C$9*'Data - P&amp;L'!$C$55</f>
        <v>0</v>
      </c>
      <c r="P293" s="263">
        <f>(P185+P186+P200+P201)*'Data - P&amp;L'!$C$9*'Data - P&amp;L'!$C$55</f>
        <v>0</v>
      </c>
      <c r="Q293" s="263">
        <f>(Q185+Q186+Q200+Q201)*'Data - P&amp;L'!$C$9*'Data - P&amp;L'!$C$55</f>
        <v>0</v>
      </c>
      <c r="R293" s="263">
        <f>(R185+R186+R200+R201)*'Data - P&amp;L'!$C$9*'Data - P&amp;L'!$C$55</f>
        <v>0</v>
      </c>
      <c r="S293" s="263">
        <f>(S185+S186+S200+S201)*'Data - P&amp;L'!$C$9*'Data - P&amp;L'!$C$55</f>
        <v>0</v>
      </c>
      <c r="T293" s="263">
        <f>(T185+T186+T200+T201)*'Data - P&amp;L'!$C$9*'Data - P&amp;L'!$C$55</f>
        <v>0</v>
      </c>
      <c r="U293" s="263">
        <f>(U185+U186+U200+U201)*'Data - P&amp;L'!$C$9*'Data - P&amp;L'!$C$55</f>
        <v>0</v>
      </c>
      <c r="V293" s="263">
        <f>(V185+V186+V200+V201)*'Data - P&amp;L'!$C$9*'Data - P&amp;L'!$C$55</f>
        <v>0</v>
      </c>
      <c r="W293" s="263">
        <f>(W185+W186+W200+W201)*'Data - P&amp;L'!$C$9*'Data - P&amp;L'!$C$55</f>
        <v>0</v>
      </c>
      <c r="X293" s="263">
        <f>(X185+X186+X200+X201)*'Data - P&amp;L'!$C$9*'Data - P&amp;L'!$C$55</f>
        <v>0</v>
      </c>
      <c r="Y293" s="263">
        <f>(Y185+Y186+Y200+Y201)*'Data - P&amp;L'!$C$9*'Data - P&amp;L'!$C$55</f>
        <v>0</v>
      </c>
      <c r="Z293" s="263">
        <f>(Z185+Z186+Z200+Z201)*'Data - P&amp;L'!$C$9*'Data - P&amp;L'!$C$55</f>
        <v>0</v>
      </c>
      <c r="AA293" s="263">
        <f>(AA185+AA186+AA200+AA201)*'Data - P&amp;L'!$C$9*'Data - P&amp;L'!$C$55</f>
        <v>0</v>
      </c>
      <c r="AB293" s="263">
        <f>(AB185+AB186+AB200+AB201)*'Data - P&amp;L'!$C$9*'Data - P&amp;L'!$C$55</f>
        <v>0</v>
      </c>
      <c r="AC293" s="263">
        <f>(AC185+AC186+AC200+AC201)*'Data - P&amp;L'!$C$9*'Data - P&amp;L'!$C$55</f>
        <v>0</v>
      </c>
      <c r="AD293" s="263">
        <f>(AD185+AD186+AD200+AD201)*'Data - P&amp;L'!$C$9*'Data - P&amp;L'!$C$55</f>
        <v>0</v>
      </c>
      <c r="AE293" s="263">
        <f>(AE185+AE186+AE200+AE201)*'Data - P&amp;L'!$C$9*'Data - P&amp;L'!$C$55</f>
        <v>0</v>
      </c>
      <c r="AF293" s="263">
        <f>(AF185+AF186+AF200+AF201)*'Data - P&amp;L'!$C$9*'Data - P&amp;L'!$C$55</f>
        <v>0</v>
      </c>
      <c r="AG293" s="453">
        <f t="shared" si="67"/>
        <v>0</v>
      </c>
    </row>
    <row r="294" outlineLevel="1">
      <c r="A294" s="147" t="s">
        <v>426</v>
      </c>
      <c r="B294" s="263">
        <f>(B101+B102+B211+B212)*'Data - P&amp;L'!$C$5*'Data - P&amp;L'!$C$55</f>
        <v>0</v>
      </c>
      <c r="C294" s="263">
        <f>(C187+C188+C202+C203)*'Data - P&amp;L'!$C$5*'Data - P&amp;L'!$C$55</f>
        <v>0</v>
      </c>
      <c r="D294" s="263">
        <f>(D187+D188+D202+D203)*'Data - P&amp;L'!$C$5*'Data - P&amp;L'!$C$55</f>
        <v>0</v>
      </c>
      <c r="E294" s="263">
        <f>(E187+E188+E202+E203)*'Data - P&amp;L'!$C$5*'Data - P&amp;L'!$C$55</f>
        <v>0</v>
      </c>
      <c r="F294" s="263">
        <f>(F187+F188+F202+F203)*'Data - P&amp;L'!$C$5*'Data - P&amp;L'!$C$55</f>
        <v>0</v>
      </c>
      <c r="G294" s="263">
        <f>(G187+G188+G202+G203)*'Data - P&amp;L'!$C$5*'Data - P&amp;L'!$C$55</f>
        <v>0</v>
      </c>
      <c r="H294" s="263">
        <f>(H187+H188+H202+H203)*'Data - P&amp;L'!$C$5*'Data - P&amp;L'!$C$55</f>
        <v>0</v>
      </c>
      <c r="I294" s="263">
        <f>(I187+I188+I202+I203)*'Data - P&amp;L'!$C$5*'Data - P&amp;L'!$C$55</f>
        <v>0</v>
      </c>
      <c r="J294" s="263">
        <f>(J187+J188+J202+J203)*'Data - P&amp;L'!$C$5*'Data - P&amp;L'!$C$55</f>
        <v>0</v>
      </c>
      <c r="K294" s="263">
        <f>(K187+K188+K202+K203)*'Data - P&amp;L'!$C$5*'Data - P&amp;L'!$C$55</f>
        <v>0</v>
      </c>
      <c r="L294" s="263">
        <f>(L187+L188+L202+L203)*'Data - P&amp;L'!$C$5*'Data - P&amp;L'!$C$55</f>
        <v>0</v>
      </c>
      <c r="M294" s="263">
        <f>(M187+M188+M202+M203)*'Data - P&amp;L'!$C$5*'Data - P&amp;L'!$C$55</f>
        <v>0</v>
      </c>
      <c r="N294" s="263">
        <f>(N187+N188+N202+N203)*'Data - P&amp;L'!$C$5*'Data - P&amp;L'!$C$55</f>
        <v>0</v>
      </c>
      <c r="O294" s="263">
        <f>(O187+O188+O202+O203)*'Data - P&amp;L'!$C$5*'Data - P&amp;L'!$C$55</f>
        <v>0</v>
      </c>
      <c r="P294" s="263">
        <f>(P187+P188+P202+P203)*'Data - P&amp;L'!$C$5*'Data - P&amp;L'!$C$55</f>
        <v>0</v>
      </c>
      <c r="Q294" s="263">
        <f>(Q187+Q188+Q202+Q203)*'Data - P&amp;L'!$C$5*'Data - P&amp;L'!$C$55</f>
        <v>0</v>
      </c>
      <c r="R294" s="263">
        <f>(R187+R188+R202+R203)*'Data - P&amp;L'!$C$5*'Data - P&amp;L'!$C$55</f>
        <v>0</v>
      </c>
      <c r="S294" s="263">
        <f>(S187+S188+S202+S203)*'Data - P&amp;L'!$C$5*'Data - P&amp;L'!$C$55</f>
        <v>0</v>
      </c>
      <c r="T294" s="263">
        <f>(T187+T188+T202+T203)*'Data - P&amp;L'!$C$5*'Data - P&amp;L'!$C$55</f>
        <v>0</v>
      </c>
      <c r="U294" s="263">
        <f>(U187+U188+U202+U203)*'Data - P&amp;L'!$C$5*'Data - P&amp;L'!$C$55</f>
        <v>0</v>
      </c>
      <c r="V294" s="263">
        <f>(V187+V188+V202+V203)*'Data - P&amp;L'!$C$5*'Data - P&amp;L'!$C$55</f>
        <v>0</v>
      </c>
      <c r="W294" s="263">
        <f>(W187+W188+W202+W203)*'Data - P&amp;L'!$C$5*'Data - P&amp;L'!$C$55</f>
        <v>0</v>
      </c>
      <c r="X294" s="263">
        <f>(X187+X188+X202+X203)*'Data - P&amp;L'!$C$5*'Data - P&amp;L'!$C$55</f>
        <v>0</v>
      </c>
      <c r="Y294" s="263">
        <f>(Y187+Y188+Y202+Y203)*'Data - P&amp;L'!$C$5*'Data - P&amp;L'!$C$55</f>
        <v>0</v>
      </c>
      <c r="Z294" s="263">
        <f>(Z187+Z188+Z202+Z203)*'Data - P&amp;L'!$C$5*'Data - P&amp;L'!$C$55</f>
        <v>0</v>
      </c>
      <c r="AA294" s="263">
        <f>(AA187+AA188+AA202+AA203)*'Data - P&amp;L'!$C$5*'Data - P&amp;L'!$C$55</f>
        <v>0</v>
      </c>
      <c r="AB294" s="263">
        <f>(AB187+AB188+AB202+AB203)*'Data - P&amp;L'!$C$5*'Data - P&amp;L'!$C$55</f>
        <v>0</v>
      </c>
      <c r="AC294" s="263">
        <f>(AC187+AC188+AC202+AC203)*'Data - P&amp;L'!$C$5*'Data - P&amp;L'!$C$55</f>
        <v>0</v>
      </c>
      <c r="AD294" s="263">
        <f>(AD187+AD188+AD202+AD203)*'Data - P&amp;L'!$C$5*'Data - P&amp;L'!$C$55</f>
        <v>0</v>
      </c>
      <c r="AE294" s="263">
        <f>(AE187+AE188+AE202+AE203)*'Data - P&amp;L'!$C$5*'Data - P&amp;L'!$C$55</f>
        <v>0</v>
      </c>
      <c r="AF294" s="263">
        <f>(AF187+AF188+AF202+AF203)*'Data - P&amp;L'!$C$5*'Data - P&amp;L'!$C$55</f>
        <v>0</v>
      </c>
      <c r="AG294" s="453">
        <f t="shared" si="67"/>
        <v>0</v>
      </c>
    </row>
    <row r="295" outlineLevel="1">
      <c r="A295" s="147" t="s">
        <v>427</v>
      </c>
      <c r="B295" s="263">
        <f>(B103+B104+B213+B214)*'Data - P&amp;L'!$C$10*'Data - P&amp;L'!$C$55</f>
        <v>0</v>
      </c>
      <c r="C295" s="263">
        <f>(C189+C190+C204+C205)*'Data - P&amp;L'!$C$10*'Data - P&amp;L'!$C$55</f>
        <v>0</v>
      </c>
      <c r="D295" s="263">
        <f>(D189+D190+D204+D205)*'Data - P&amp;L'!$C$10*'Data - P&amp;L'!$C$55</f>
        <v>0</v>
      </c>
      <c r="E295" s="263">
        <f>(E189+E190+E204+E205)*'Data - P&amp;L'!$C$10*'Data - P&amp;L'!$C$55</f>
        <v>0</v>
      </c>
      <c r="F295" s="263">
        <f>(F189+F190+F204+F205)*'Data - P&amp;L'!$C$10*'Data - P&amp;L'!$C$55</f>
        <v>0</v>
      </c>
      <c r="G295" s="263">
        <f>(G189+G190+G204+G205)*'Data - P&amp;L'!$C$10*'Data - P&amp;L'!$C$55</f>
        <v>0</v>
      </c>
      <c r="H295" s="263">
        <f>(H189+H190+H204+H205)*'Data - P&amp;L'!$C$10*'Data - P&amp;L'!$C$55</f>
        <v>0</v>
      </c>
      <c r="I295" s="263">
        <f>(I189+I190+I204+I205)*'Data - P&amp;L'!$C$10*'Data - P&amp;L'!$C$55</f>
        <v>0</v>
      </c>
      <c r="J295" s="263">
        <f>(J189+J190+J204+J205)*'Data - P&amp;L'!$C$10*'Data - P&amp;L'!$C$55</f>
        <v>0</v>
      </c>
      <c r="K295" s="263">
        <f>(K189+K190+K204+K205)*'Data - P&amp;L'!$C$10*'Data - P&amp;L'!$C$55</f>
        <v>0</v>
      </c>
      <c r="L295" s="263">
        <f>(L189+L190+L204+L205)*'Data - P&amp;L'!$C$10*'Data - P&amp;L'!$C$55</f>
        <v>0</v>
      </c>
      <c r="M295" s="263">
        <f>(M189+M190+M204+M205)*'Data - P&amp;L'!$C$10*'Data - P&amp;L'!$C$55</f>
        <v>0</v>
      </c>
      <c r="N295" s="263">
        <f>(N189+N190+N204+N205)*'Data - P&amp;L'!$C$10*'Data - P&amp;L'!$C$55</f>
        <v>0</v>
      </c>
      <c r="O295" s="263">
        <f>(O189+O190+O204+O205)*'Data - P&amp;L'!$C$10*'Data - P&amp;L'!$C$55</f>
        <v>0</v>
      </c>
      <c r="P295" s="263">
        <f>(P189+P190+P204+P205)*'Data - P&amp;L'!$C$10*'Data - P&amp;L'!$C$55</f>
        <v>0</v>
      </c>
      <c r="Q295" s="263">
        <f>(Q189+Q190+Q204+Q205)*'Data - P&amp;L'!$C$10*'Data - P&amp;L'!$C$55</f>
        <v>0</v>
      </c>
      <c r="R295" s="263">
        <f>(R189+R190+R204+R205)*'Data - P&amp;L'!$C$10*'Data - P&amp;L'!$C$55</f>
        <v>0</v>
      </c>
      <c r="S295" s="263">
        <f>(S189+S190+S204+S205)*'Data - P&amp;L'!$C$10*'Data - P&amp;L'!$C$55</f>
        <v>0</v>
      </c>
      <c r="T295" s="263">
        <f>(T189+T190+T204+T205)*'Data - P&amp;L'!$C$10*'Data - P&amp;L'!$C$55</f>
        <v>0</v>
      </c>
      <c r="U295" s="263">
        <f>(U189+U190+U204+U205)*'Data - P&amp;L'!$C$10*'Data - P&amp;L'!$C$55</f>
        <v>0</v>
      </c>
      <c r="V295" s="263">
        <f>(V189+V190+V204+V205)*'Data - P&amp;L'!$C$10*'Data - P&amp;L'!$C$55</f>
        <v>0</v>
      </c>
      <c r="W295" s="263">
        <f>(W189+W190+W204+W205)*'Data - P&amp;L'!$C$10*'Data - P&amp;L'!$C$55</f>
        <v>0</v>
      </c>
      <c r="X295" s="263">
        <f>(X189+X190+X204+X205)*'Data - P&amp;L'!$C$10*'Data - P&amp;L'!$C$55</f>
        <v>0</v>
      </c>
      <c r="Y295" s="263">
        <f>(Y189+Y190+Y204+Y205)*'Data - P&amp;L'!$C$10*'Data - P&amp;L'!$C$55</f>
        <v>0</v>
      </c>
      <c r="Z295" s="263">
        <f>(Z189+Z190+Z204+Z205)*'Data - P&amp;L'!$C$10*'Data - P&amp;L'!$C$55</f>
        <v>0</v>
      </c>
      <c r="AA295" s="263">
        <f>(AA189+AA190+AA204+AA205)*'Data - P&amp;L'!$C$10*'Data - P&amp;L'!$C$55</f>
        <v>0</v>
      </c>
      <c r="AB295" s="263">
        <f>(AB189+AB190+AB204+AB205)*'Data - P&amp;L'!$C$10*'Data - P&amp;L'!$C$55</f>
        <v>0</v>
      </c>
      <c r="AC295" s="263">
        <f>(AC189+AC190+AC204+AC205)*'Data - P&amp;L'!$C$10*'Data - P&amp;L'!$C$55</f>
        <v>0</v>
      </c>
      <c r="AD295" s="263">
        <f>(AD189+AD190+AD204+AD205)*'Data - P&amp;L'!$C$10*'Data - P&amp;L'!$C$55</f>
        <v>0</v>
      </c>
      <c r="AE295" s="263">
        <f>(AE189+AE190+AE204+AE205)*'Data - P&amp;L'!$C$10*'Data - P&amp;L'!$C$55</f>
        <v>0</v>
      </c>
      <c r="AF295" s="263">
        <f>(AF189+AF190+AF204+AF205)*'Data - P&amp;L'!$C$10*'Data - P&amp;L'!$C$55</f>
        <v>0</v>
      </c>
      <c r="AG295" s="453">
        <f t="shared" si="67"/>
        <v>0</v>
      </c>
    </row>
    <row r="296" outlineLevel="1">
      <c r="A296" s="147" t="s">
        <v>441</v>
      </c>
      <c r="B296" s="263">
        <f>((B108+B109+B218+B219)*'Data - P&amp;L'!$C$13)*'Data - P&amp;L'!$C$55</f>
        <v>0</v>
      </c>
      <c r="C296" s="263">
        <f>((C163+C164+C176+C177)*'Data - P&amp;L'!$C$13)*'Data - P&amp;L'!$C$55</f>
        <v>0</v>
      </c>
      <c r="D296" s="263">
        <f>((D163+D164+D176+D177)*'Data - P&amp;L'!$C$13)*'Data - P&amp;L'!$C$55</f>
        <v>0</v>
      </c>
      <c r="E296" s="263">
        <f>((E163+E164+E176+E177)*'Data - P&amp;L'!$C$13)*'Data - P&amp;L'!$C$55</f>
        <v>0</v>
      </c>
      <c r="F296" s="263">
        <f>((F163+F164+F176+F177)*'Data - P&amp;L'!$C$13)*'Data - P&amp;L'!$C$55</f>
        <v>0</v>
      </c>
      <c r="G296" s="263">
        <f>((G163+G164+G176+G177)*'Data - P&amp;L'!$C$13)*'Data - P&amp;L'!$C$55</f>
        <v>0</v>
      </c>
      <c r="H296" s="263">
        <f>((H163+H164+H176+H177)*'Data - P&amp;L'!$C$13)*'Data - P&amp;L'!$C$55</f>
        <v>0</v>
      </c>
      <c r="I296" s="263">
        <f>((I163+I164+I176+I177)*'Data - P&amp;L'!$C$13)*'Data - P&amp;L'!$C$55</f>
        <v>0</v>
      </c>
      <c r="J296" s="263">
        <f>((J163+J164+J176+J177)*'Data - P&amp;L'!$C$13)*'Data - P&amp;L'!$C$55</f>
        <v>0</v>
      </c>
      <c r="K296" s="263">
        <f>((K163+K164+K176+K177)*'Data - P&amp;L'!$C$13)*'Data - P&amp;L'!$C$55</f>
        <v>0</v>
      </c>
      <c r="L296" s="263">
        <f>((L163+L164+L176+L177)*'Data - P&amp;L'!$C$13)*'Data - P&amp;L'!$C$55</f>
        <v>0</v>
      </c>
      <c r="M296" s="263">
        <f>((M163+M164+M176+M177)*'Data - P&amp;L'!$C$13)*'Data - P&amp;L'!$C$55</f>
        <v>0</v>
      </c>
      <c r="N296" s="263">
        <f>((N163+N164+N176+N177)*'Data - P&amp;L'!$C$13)*'Data - P&amp;L'!$C$55</f>
        <v>0</v>
      </c>
      <c r="O296" s="263">
        <f>((O163+O164+O176+O177)*'Data - P&amp;L'!$C$13)*'Data - P&amp;L'!$C$55</f>
        <v>0</v>
      </c>
      <c r="P296" s="263">
        <f>((P163+P164+P176+P177)*'Data - P&amp;L'!$C$13)*'Data - P&amp;L'!$C$55</f>
        <v>0</v>
      </c>
      <c r="Q296" s="263">
        <f>((Q163+Q164+Q176+Q177)*'Data - P&amp;L'!$C$13)*'Data - P&amp;L'!$C$55</f>
        <v>0</v>
      </c>
      <c r="R296" s="263">
        <f>((R163+R164+R176+R177)*'Data - P&amp;L'!$C$13)*'Data - P&amp;L'!$C$55</f>
        <v>0</v>
      </c>
      <c r="S296" s="263">
        <f>((S163+S164+S176+S177)*'Data - P&amp;L'!$C$13)*'Data - P&amp;L'!$C$55</f>
        <v>0</v>
      </c>
      <c r="T296" s="263">
        <f>((T163+T164+T176+T177)*'Data - P&amp;L'!$C$13)*'Data - P&amp;L'!$C$55</f>
        <v>0</v>
      </c>
      <c r="U296" s="263">
        <f>((U163+U164+U176+U177)*'Data - P&amp;L'!$C$13)*'Data - P&amp;L'!$C$55</f>
        <v>0</v>
      </c>
      <c r="V296" s="263">
        <f>((V163+V164+V176+V177)*'Data - P&amp;L'!$C$13)*'Data - P&amp;L'!$C$55</f>
        <v>0</v>
      </c>
      <c r="W296" s="263">
        <f>((W163+W164+W176+W177)*'Data - P&amp;L'!$C$13)*'Data - P&amp;L'!$C$55</f>
        <v>0</v>
      </c>
      <c r="X296" s="263">
        <f>((X163+X164+X176+X177)*'Data - P&amp;L'!$C$13)*'Data - P&amp;L'!$C$55</f>
        <v>0</v>
      </c>
      <c r="Y296" s="263">
        <f>((Y163+Y164+Y176+Y177)*'Data - P&amp;L'!$C$13)*'Data - P&amp;L'!$C$55</f>
        <v>0</v>
      </c>
      <c r="Z296" s="263">
        <f>((Z163+Z164+Z176+Z177)*'Data - P&amp;L'!$C$13)*'Data - P&amp;L'!$C$55</f>
        <v>0</v>
      </c>
      <c r="AA296" s="263">
        <f>((AA163+AA164+AA176+AA177)*'Data - P&amp;L'!$C$13)*'Data - P&amp;L'!$C$55</f>
        <v>0</v>
      </c>
      <c r="AB296" s="263">
        <f>((AB163+AB164+AB176+AB177)*'Data - P&amp;L'!$C$13)*'Data - P&amp;L'!$C$55</f>
        <v>0</v>
      </c>
      <c r="AC296" s="263">
        <f>((AC163+AC164+AC176+AC177)*'Data - P&amp;L'!$C$13)*'Data - P&amp;L'!$C$55</f>
        <v>0</v>
      </c>
      <c r="AD296" s="263">
        <f>((AD163+AD164+AD176+AD177)*'Data - P&amp;L'!$C$13)*'Data - P&amp;L'!$C$55</f>
        <v>0</v>
      </c>
      <c r="AE296" s="263">
        <f>((AE163+AE164+AE176+AE177)*'Data - P&amp;L'!$C$13)*'Data - P&amp;L'!$C$55</f>
        <v>0</v>
      </c>
      <c r="AF296" s="263">
        <f>((AF163+AF164+AF176+AF177)*'Data - P&amp;L'!$C$13)*'Data - P&amp;L'!$C$55</f>
        <v>0</v>
      </c>
      <c r="AG296" s="453">
        <f t="shared" si="67"/>
        <v>0</v>
      </c>
    </row>
    <row r="297" outlineLevel="1">
      <c r="A297" s="147" t="s">
        <v>442</v>
      </c>
      <c r="B297" s="263">
        <f>((B110+B220)*'Data - P&amp;L'!$C$14)*'Data - P&amp;L'!$C$55</f>
        <v>0</v>
      </c>
      <c r="C297" s="263">
        <f>((C110+C220)*'Data - P&amp;L'!$C$14)*'Data - P&amp;L'!$C$55</f>
        <v>0</v>
      </c>
      <c r="D297" s="263">
        <f>((D110+D220)*'Data - P&amp;L'!$C$14)*'Data - P&amp;L'!$C$55</f>
        <v>0</v>
      </c>
      <c r="E297" s="263">
        <f>((E110+E220)*'Data - P&amp;L'!$C$14)*'Data - P&amp;L'!$C$55</f>
        <v>0</v>
      </c>
      <c r="F297" s="263">
        <f>((F110+F220)*'Data - P&amp;L'!$C$14)*'Data - P&amp;L'!$C$55</f>
        <v>0</v>
      </c>
      <c r="G297" s="263">
        <f>((G110+G220)*'Data - P&amp;L'!$C$14)*'Data - P&amp;L'!$C$55</f>
        <v>0</v>
      </c>
      <c r="H297" s="263">
        <f>((H110+H220)*'Data - P&amp;L'!$C$14)*'Data - P&amp;L'!$C$55</f>
        <v>0</v>
      </c>
      <c r="I297" s="263">
        <f>((I110+I220)*'Data - P&amp;L'!$C$14)*'Data - P&amp;L'!$C$55</f>
        <v>0</v>
      </c>
      <c r="J297" s="263">
        <f>((J110+J220)*'Data - P&amp;L'!$C$14)*'Data - P&amp;L'!$C$55</f>
        <v>0</v>
      </c>
      <c r="K297" s="263">
        <f>((K110+K220)*'Data - P&amp;L'!$C$14)*'Data - P&amp;L'!$C$55</f>
        <v>0</v>
      </c>
      <c r="L297" s="263">
        <f>((L110+L220)*'Data - P&amp;L'!$C$14)*'Data - P&amp;L'!$C$55</f>
        <v>0</v>
      </c>
      <c r="M297" s="263">
        <f>((M110+M220)*'Data - P&amp;L'!$C$14)*'Data - P&amp;L'!$C$55</f>
        <v>0</v>
      </c>
      <c r="N297" s="263">
        <f>((N110+N220)*'Data - P&amp;L'!$C$14)*'Data - P&amp;L'!$C$55</f>
        <v>0</v>
      </c>
      <c r="O297" s="263">
        <f>((O110+O220)*'Data - P&amp;L'!$C$14)*'Data - P&amp;L'!$C$55</f>
        <v>0</v>
      </c>
      <c r="P297" s="263">
        <f>((P110+P220)*'Data - P&amp;L'!$C$14)*'Data - P&amp;L'!$C$55</f>
        <v>0</v>
      </c>
      <c r="Q297" s="263">
        <f>((Q110+Q220)*'Data - P&amp;L'!$C$14)*'Data - P&amp;L'!$C$55</f>
        <v>0</v>
      </c>
      <c r="R297" s="263">
        <f>((R110+R220)*'Data - P&amp;L'!$C$14)*'Data - P&amp;L'!$C$55</f>
        <v>0</v>
      </c>
      <c r="S297" s="263">
        <f>((S110+S220)*'Data - P&amp;L'!$C$14)*'Data - P&amp;L'!$C$55</f>
        <v>0</v>
      </c>
      <c r="T297" s="263">
        <f>((T110+T220)*'Data - P&amp;L'!$C$14)*'Data - P&amp;L'!$C$55</f>
        <v>0</v>
      </c>
      <c r="U297" s="263">
        <f>((U110+U220)*'Data - P&amp;L'!$C$14)*'Data - P&amp;L'!$C$55</f>
        <v>0</v>
      </c>
      <c r="V297" s="263">
        <f>((V110+V220)*'Data - P&amp;L'!$C$14)*'Data - P&amp;L'!$C$55</f>
        <v>0</v>
      </c>
      <c r="W297" s="263">
        <f>((W110+W220)*'Data - P&amp;L'!$C$14)*'Data - P&amp;L'!$C$55</f>
        <v>0</v>
      </c>
      <c r="X297" s="263">
        <f>((X110+X220)*'Data - P&amp;L'!$C$14)*'Data - P&amp;L'!$C$55</f>
        <v>0</v>
      </c>
      <c r="Y297" s="263">
        <f>((Y110+Y220)*'Data - P&amp;L'!$C$14)*'Data - P&amp;L'!$C$55</f>
        <v>0</v>
      </c>
      <c r="Z297" s="263">
        <f>((Z110+Z220)*'Data - P&amp;L'!$C$14)*'Data - P&amp;L'!$C$55</f>
        <v>0</v>
      </c>
      <c r="AA297" s="263">
        <f>((AA110+AA220)*'Data - P&amp;L'!$C$14)*'Data - P&amp;L'!$C$55</f>
        <v>0</v>
      </c>
      <c r="AB297" s="263">
        <f>((AB110+AB220)*'Data - P&amp;L'!$C$14)*'Data - P&amp;L'!$C$55</f>
        <v>0</v>
      </c>
      <c r="AC297" s="263">
        <f>((AC110+AC220)*'Data - P&amp;L'!$C$14)*'Data - P&amp;L'!$C$55</f>
        <v>0</v>
      </c>
      <c r="AD297" s="263">
        <f>((AD110+AD220)*'Data - P&amp;L'!$C$14)*'Data - P&amp;L'!$C$55</f>
        <v>0</v>
      </c>
      <c r="AE297" s="263">
        <f>((AE110+AE220)*'Data - P&amp;L'!$C$14)*'Data - P&amp;L'!$C$55</f>
        <v>0</v>
      </c>
      <c r="AF297" s="263">
        <f>((AF110+AF220)*'Data - P&amp;L'!$C$14)*'Data - P&amp;L'!$C$55</f>
        <v>0</v>
      </c>
      <c r="AG297" s="453">
        <f t="shared" si="67"/>
        <v>0</v>
      </c>
    </row>
    <row r="298" outlineLevel="1">
      <c r="A298" s="279" t="s">
        <v>428</v>
      </c>
      <c r="B298" s="263">
        <f>(((B94+B204)*'Data - P&amp;L'!$C$38)+((B95+B205)*'Data - P&amp;L'!$C$38))*'Data - P&amp;L'!$C$55</f>
        <v>0</v>
      </c>
      <c r="C298" s="263">
        <f>(((C94+C204)*'Data - P&amp;L'!$C$38)+((C95+C205)*'Data - P&amp;L'!$C$39))*'Data - P&amp;L'!$C$55</f>
        <v>0</v>
      </c>
      <c r="D298" s="263">
        <f>(((D94+D204)*'Data - P&amp;L'!$C$38)+((D95+D205)*'Data - P&amp;L'!$C$39))*'Data - P&amp;L'!$C$55</f>
        <v>0</v>
      </c>
      <c r="E298" s="263">
        <f>(((E94+E204)*'Data - P&amp;L'!$C$38)+((E95+E205)*'Data - P&amp;L'!$C$39))*'Data - P&amp;L'!$C$55</f>
        <v>0</v>
      </c>
      <c r="F298" s="263">
        <f>(((F94+F204)*'Data - P&amp;L'!$C$38)+((F95+F205)*'Data - P&amp;L'!$C$39))*'Data - P&amp;L'!$C$55</f>
        <v>0</v>
      </c>
      <c r="G298" s="263">
        <f>(((G94+G204)*'Data - P&amp;L'!$C$38)+((G95+G205)*'Data - P&amp;L'!$C$39))*'Data - P&amp;L'!$C$55</f>
        <v>0</v>
      </c>
      <c r="H298" s="263">
        <f>(((H94+H204)*'Data - P&amp;L'!$C$38)+((H95+H205)*'Data - P&amp;L'!$C$39))*'Data - P&amp;L'!$C$55</f>
        <v>0</v>
      </c>
      <c r="I298" s="263">
        <f>(((I94+I204)*'Data - P&amp;L'!$C$38)+((I95+I205)*'Data - P&amp;L'!$C$39))*'Data - P&amp;L'!$C$55</f>
        <v>0</v>
      </c>
      <c r="J298" s="263">
        <f>(((J94+J204)*'Data - P&amp;L'!$C$38)+((J95+J205)*'Data - P&amp;L'!$C$39))*'Data - P&amp;L'!$C$55</f>
        <v>0</v>
      </c>
      <c r="K298" s="263">
        <f>(((K94+K204)*'Data - P&amp;L'!$C$38)+((K95+K205)*'Data - P&amp;L'!$C$39))*'Data - P&amp;L'!$C$55</f>
        <v>0</v>
      </c>
      <c r="L298" s="263">
        <f>(((L94+L204)*'Data - P&amp;L'!$C$38)+((L95+L205)*'Data - P&amp;L'!$C$39))*'Data - P&amp;L'!$C$55</f>
        <v>0</v>
      </c>
      <c r="M298" s="263">
        <f>(((M94+M204)*'Data - P&amp;L'!$C$38)+((M95+M205)*'Data - P&amp;L'!$C$39))*'Data - P&amp;L'!$C$55</f>
        <v>0</v>
      </c>
      <c r="N298" s="263">
        <f>(((N94+N204)*'Data - P&amp;L'!$C$38)+((N95+N205)*'Data - P&amp;L'!$C$39))*'Data - P&amp;L'!$C$55</f>
        <v>0</v>
      </c>
      <c r="O298" s="263">
        <f>(((O94+O204)*'Data - P&amp;L'!$C$38)+((O95+O205)*'Data - P&amp;L'!$C$39))*'Data - P&amp;L'!$C$55</f>
        <v>0</v>
      </c>
      <c r="P298" s="263">
        <f>(((P94+P204)*'Data - P&amp;L'!$C$38)+((P95+P205)*'Data - P&amp;L'!$C$39))*'Data - P&amp;L'!$C$55</f>
        <v>0</v>
      </c>
      <c r="Q298" s="263">
        <f>(((Q94+Q204)*'Data - P&amp;L'!$C$38)+((Q95+Q205)*'Data - P&amp;L'!$C$39))*'Data - P&amp;L'!$C$55</f>
        <v>0</v>
      </c>
      <c r="R298" s="263">
        <f>(((R94+R204)*'Data - P&amp;L'!$C$38)+((R95+R205)*'Data - P&amp;L'!$C$39))*'Data - P&amp;L'!$C$55</f>
        <v>0</v>
      </c>
      <c r="S298" s="263">
        <f>(((S94+S204)*'Data - P&amp;L'!$C$38)+((S95+S205)*'Data - P&amp;L'!$C$39))*'Data - P&amp;L'!$C$55</f>
        <v>0</v>
      </c>
      <c r="T298" s="263">
        <f>(((T94+T204)*'Data - P&amp;L'!$C$38)+((T95+T205)*'Data - P&amp;L'!$C$39))*'Data - P&amp;L'!$C$55</f>
        <v>0</v>
      </c>
      <c r="U298" s="263">
        <f>(((U94+U204)*'Data - P&amp;L'!$C$38)+((U95+U205)*'Data - P&amp;L'!$C$39))*'Data - P&amp;L'!$C$55</f>
        <v>0</v>
      </c>
      <c r="V298" s="263">
        <f>(((V94+V204)*'Data - P&amp;L'!$C$38)+((V95+V205)*'Data - P&amp;L'!$C$39))*'Data - P&amp;L'!$C$55</f>
        <v>0</v>
      </c>
      <c r="W298" s="263">
        <f>(((W94+W204)*'Data - P&amp;L'!$C$38)+((W95+W205)*'Data - P&amp;L'!$C$39))*'Data - P&amp;L'!$C$55</f>
        <v>0</v>
      </c>
      <c r="X298" s="263">
        <f>(((X94+X204)*'Data - P&amp;L'!$C$38)+((X95+X205)*'Data - P&amp;L'!$C$39))*'Data - P&amp;L'!$C$55</f>
        <v>0</v>
      </c>
      <c r="Y298" s="263">
        <f>(((Y94+Y204)*'Data - P&amp;L'!$C$38)+((Y95+Y205)*'Data - P&amp;L'!$C$39))*'Data - P&amp;L'!$C$55</f>
        <v>0</v>
      </c>
      <c r="Z298" s="263">
        <f>(((Z94+Z204)*'Data - P&amp;L'!$C$38)+((Z95+Z205)*'Data - P&amp;L'!$C$39))*'Data - P&amp;L'!$C$55</f>
        <v>0</v>
      </c>
      <c r="AA298" s="263">
        <f>(((AA94+AA204)*'Data - P&amp;L'!$C$38)+((AA95+AA205)*'Data - P&amp;L'!$C$39))*'Data - P&amp;L'!$C$55</f>
        <v>0</v>
      </c>
      <c r="AB298" s="263">
        <f>(((AB94+AB204)*'Data - P&amp;L'!$C$38)+((AB95+AB205)*'Data - P&amp;L'!$C$39))*'Data - P&amp;L'!$C$55</f>
        <v>0</v>
      </c>
      <c r="AC298" s="263">
        <f>(((AC94+AC204)*'Data - P&amp;L'!$C$38)+((AC95+AC205)*'Data - P&amp;L'!$C$39))*'Data - P&amp;L'!$C$55</f>
        <v>0</v>
      </c>
      <c r="AD298" s="263">
        <f>(((AD94+AD204)*'Data - P&amp;L'!$C$38)+((AD95+AD205)*'Data - P&amp;L'!$C$39))*'Data - P&amp;L'!$C$55</f>
        <v>0</v>
      </c>
      <c r="AE298" s="263">
        <f>(((AE94+AE204)*'Data - P&amp;L'!$C$38)+((AE95+AE205)*'Data - P&amp;L'!$C$39))*'Data - P&amp;L'!$C$55</f>
        <v>0</v>
      </c>
      <c r="AF298" s="263">
        <f>(((AF94+AF204)*'Data - P&amp;L'!$C$38)+((AF95+AF205)*'Data - P&amp;L'!$C$39))*'Data - P&amp;L'!$C$55</f>
        <v>0</v>
      </c>
      <c r="AG298" s="453">
        <f t="shared" si="67"/>
        <v>0</v>
      </c>
    </row>
    <row r="299" outlineLevel="1">
      <c r="A299" s="279" t="s">
        <v>430</v>
      </c>
      <c r="B299" s="263">
        <f>((B191*'Data - P&amp;L'!$D$38)+(B206*'Data - P&amp;L'!$D$39))*'Data - P&amp;L'!$C$55</f>
        <v>0</v>
      </c>
      <c r="C299" s="263">
        <f>((C191*'Data - P&amp;L'!$D$38)+(C206*'Data - P&amp;L'!$D$39))*'Data - P&amp;L'!$C$55</f>
        <v>0</v>
      </c>
      <c r="D299" s="263">
        <f>((D191*'Data - P&amp;L'!$D$38)+(D206*'Data - P&amp;L'!$D$39))*'Data - P&amp;L'!$C$55</f>
        <v>0</v>
      </c>
      <c r="E299" s="263">
        <f>((E191*'Data - P&amp;L'!$D$38)+(E206*'Data - P&amp;L'!$D$39))*'Data - P&amp;L'!$C$55</f>
        <v>0</v>
      </c>
      <c r="F299" s="263">
        <f>((F191*'Data - P&amp;L'!$D$38)+(F206*'Data - P&amp;L'!$D$39))*'Data - P&amp;L'!$C$55</f>
        <v>0</v>
      </c>
      <c r="G299" s="263">
        <f>((G191*'Data - P&amp;L'!$D$38)+(G206*'Data - P&amp;L'!$D$39))*'Data - P&amp;L'!$C$55</f>
        <v>0</v>
      </c>
      <c r="H299" s="263">
        <f>((H191*'Data - P&amp;L'!$D$38)+(H206*'Data - P&amp;L'!$D$39))*'Data - P&amp;L'!$C$55</f>
        <v>0</v>
      </c>
      <c r="I299" s="263">
        <f>((I191*'Data - P&amp;L'!$D$38)+(I206*'Data - P&amp;L'!$D$39))*'Data - P&amp;L'!$C$55</f>
        <v>0</v>
      </c>
      <c r="J299" s="263">
        <f>((J191*'Data - P&amp;L'!$D$38)+(J206*'Data - P&amp;L'!$D$39))*'Data - P&amp;L'!$C$55</f>
        <v>0</v>
      </c>
      <c r="K299" s="263">
        <f>((K191*'Data - P&amp;L'!$D$38)+(K206*'Data - P&amp;L'!$D$39))*'Data - P&amp;L'!$C$55</f>
        <v>0</v>
      </c>
      <c r="L299" s="263">
        <f>((L191*'Data - P&amp;L'!$D$38)+(L206*'Data - P&amp;L'!$D$39))*'Data - P&amp;L'!$C$55</f>
        <v>0</v>
      </c>
      <c r="M299" s="263">
        <f>((M191*'Data - P&amp;L'!$D$38)+(M206*'Data - P&amp;L'!$D$39))*'Data - P&amp;L'!$C$55</f>
        <v>0</v>
      </c>
      <c r="N299" s="263">
        <f>((N191*'Data - P&amp;L'!$D$38)+(N206*'Data - P&amp;L'!$D$39))*'Data - P&amp;L'!$C$55</f>
        <v>0</v>
      </c>
      <c r="O299" s="263">
        <f>((O191*'Data - P&amp;L'!$D$38)+(O206*'Data - P&amp;L'!$D$39))*'Data - P&amp;L'!$C$55</f>
        <v>0</v>
      </c>
      <c r="P299" s="263">
        <f>((P191*'Data - P&amp;L'!$D$38)+(P206*'Data - P&amp;L'!$D$39))*'Data - P&amp;L'!$C$55</f>
        <v>0</v>
      </c>
      <c r="Q299" s="263">
        <f>((Q191*'Data - P&amp;L'!$D$38)+(Q206*'Data - P&amp;L'!$D$39))*'Data - P&amp;L'!$C$55</f>
        <v>0</v>
      </c>
      <c r="R299" s="263">
        <f>((R191*'Data - P&amp;L'!$D$38)+(R206*'Data - P&amp;L'!$D$39))*'Data - P&amp;L'!$C$55</f>
        <v>0</v>
      </c>
      <c r="S299" s="263">
        <f>((S191*'Data - P&amp;L'!$D$38)+(S206*'Data - P&amp;L'!$D$39))*'Data - P&amp;L'!$C$55</f>
        <v>0</v>
      </c>
      <c r="T299" s="263">
        <f>((T191*'Data - P&amp;L'!$D$38)+(T206*'Data - P&amp;L'!$D$39))*'Data - P&amp;L'!$C$55</f>
        <v>0</v>
      </c>
      <c r="U299" s="263">
        <f>((U191*'Data - P&amp;L'!$D$38)+(U206*'Data - P&amp;L'!$D$39))*'Data - P&amp;L'!$C$55</f>
        <v>0</v>
      </c>
      <c r="V299" s="263">
        <f>((V191*'Data - P&amp;L'!$D$38)+(V206*'Data - P&amp;L'!$D$39))*'Data - P&amp;L'!$C$55</f>
        <v>0</v>
      </c>
      <c r="W299" s="263">
        <f>((W191*'Data - P&amp;L'!$D$38)+(W206*'Data - P&amp;L'!$D$39))*'Data - P&amp;L'!$C$55</f>
        <v>0</v>
      </c>
      <c r="X299" s="263">
        <f>((X191*'Data - P&amp;L'!$D$38)+(X206*'Data - P&amp;L'!$D$39))*'Data - P&amp;L'!$C$55</f>
        <v>0</v>
      </c>
      <c r="Y299" s="263">
        <f>((Y191*'Data - P&amp;L'!$D$38)+(Y206*'Data - P&amp;L'!$D$39))*'Data - P&amp;L'!$C$55</f>
        <v>0</v>
      </c>
      <c r="Z299" s="263">
        <f>((Z191*'Data - P&amp;L'!$D$38)+(Z206*'Data - P&amp;L'!$D$39))*'Data - P&amp;L'!$C$55</f>
        <v>0</v>
      </c>
      <c r="AA299" s="263">
        <f>((AA191*'Data - P&amp;L'!$D$38)+(AA206*'Data - P&amp;L'!$D$39))*'Data - P&amp;L'!$C$55</f>
        <v>0</v>
      </c>
      <c r="AB299" s="263">
        <f>((AB191*'Data - P&amp;L'!$D$38)+(AB206*'Data - P&amp;L'!$D$39))*'Data - P&amp;L'!$C$55</f>
        <v>0</v>
      </c>
      <c r="AC299" s="263">
        <f>((AC191*'Data - P&amp;L'!$D$38)+(AC206*'Data - P&amp;L'!$D$39))*'Data - P&amp;L'!$C$55</f>
        <v>0</v>
      </c>
      <c r="AD299" s="263">
        <f>((AD191*'Data - P&amp;L'!$D$38)+(AD206*'Data - P&amp;L'!$D$39))*'Data - P&amp;L'!$C$55</f>
        <v>0</v>
      </c>
      <c r="AE299" s="263">
        <f>((AE191*'Data - P&amp;L'!$D$38)+(AE206*'Data - P&amp;L'!$D$39))*'Data - P&amp;L'!$C$55</f>
        <v>0</v>
      </c>
      <c r="AF299" s="263">
        <f>((AF191*'Data - P&amp;L'!$D$38)+(AF206*'Data - P&amp;L'!$D$39))*'Data - P&amp;L'!$C$55</f>
        <v>0</v>
      </c>
      <c r="AG299" s="453">
        <f t="shared" si="67"/>
        <v>0</v>
      </c>
    </row>
    <row r="300" outlineLevel="1">
      <c r="A300" s="147" t="s">
        <v>443</v>
      </c>
      <c r="B300" s="457"/>
      <c r="C300" s="457"/>
      <c r="D300" s="457"/>
      <c r="E300" s="457"/>
      <c r="F300" s="457"/>
      <c r="G300" s="457"/>
      <c r="H300" s="457"/>
      <c r="I300" s="457"/>
      <c r="J300" s="457"/>
      <c r="K300" s="457"/>
      <c r="L300" s="457"/>
      <c r="M300" s="457"/>
      <c r="N300" s="457"/>
      <c r="O300" s="457"/>
      <c r="P300" s="457"/>
      <c r="Q300" s="457"/>
      <c r="R300" s="457"/>
      <c r="S300" s="457"/>
      <c r="T300" s="457"/>
      <c r="U300" s="457"/>
      <c r="V300" s="457"/>
      <c r="W300" s="457"/>
      <c r="X300" s="457"/>
      <c r="Y300" s="457"/>
      <c r="Z300" s="457"/>
      <c r="AA300" s="457"/>
      <c r="AB300" s="457"/>
      <c r="AC300" s="457"/>
      <c r="AD300" s="457"/>
      <c r="AE300" s="457"/>
      <c r="AF300" s="457"/>
      <c r="AG300" s="453"/>
    </row>
    <row r="301" outlineLevel="1">
      <c r="A301" s="147" t="s">
        <v>444</v>
      </c>
      <c r="B301" s="457"/>
      <c r="C301" s="457"/>
      <c r="D301" s="457"/>
      <c r="E301" s="457"/>
      <c r="F301" s="457"/>
      <c r="G301" s="457"/>
      <c r="H301" s="457"/>
      <c r="I301" s="457"/>
      <c r="J301" s="457"/>
      <c r="K301" s="457"/>
      <c r="L301" s="457"/>
      <c r="M301" s="457"/>
      <c r="N301" s="457"/>
      <c r="O301" s="457"/>
      <c r="P301" s="457"/>
      <c r="Q301" s="457"/>
      <c r="R301" s="457"/>
      <c r="S301" s="457"/>
      <c r="T301" s="457"/>
      <c r="U301" s="457"/>
      <c r="V301" s="457"/>
      <c r="W301" s="457"/>
      <c r="X301" s="457"/>
      <c r="Y301" s="457"/>
      <c r="Z301" s="457"/>
      <c r="AA301" s="457"/>
      <c r="AB301" s="457"/>
      <c r="AC301" s="457"/>
      <c r="AD301" s="457"/>
      <c r="AE301" s="457"/>
      <c r="AF301" s="457"/>
      <c r="AG301" s="453"/>
    </row>
    <row r="302" outlineLevel="1">
      <c r="A302" s="147" t="s">
        <v>445</v>
      </c>
      <c r="B302" s="263">
        <f>(B208*'Data - P&amp;L'!$R$3)+('Data - P&amp;L'!$R$4*B209)</f>
        <v>0</v>
      </c>
      <c r="C302" s="263">
        <f>(C208*'Data - P&amp;L'!$R$3)+('Data - P&amp;L'!$R$4*C209)</f>
        <v>0</v>
      </c>
      <c r="D302" s="263">
        <f>(D208*'Data - P&amp;L'!$R$3)+('Data - P&amp;L'!$R$4*D209)</f>
        <v>0</v>
      </c>
      <c r="E302" s="263">
        <f>(E208*'Data - P&amp;L'!$R$3)+('Data - P&amp;L'!$R$4*E209)</f>
        <v>0</v>
      </c>
      <c r="F302" s="263">
        <f>(F208*'Data - P&amp;L'!$R$3)+('Data - P&amp;L'!$R$4*F209)</f>
        <v>0</v>
      </c>
      <c r="G302" s="263">
        <f>(G208*'Data - P&amp;L'!$R$3)+('Data - P&amp;L'!$R$4*G209)</f>
        <v>0</v>
      </c>
      <c r="H302" s="263">
        <f>(H208*'Data - P&amp;L'!$R$3)+('Data - P&amp;L'!$R$4*H209)</f>
        <v>0</v>
      </c>
      <c r="I302" s="263">
        <f>(I208*'Data - P&amp;L'!$R$3)+('Data - P&amp;L'!$R$4*I209)</f>
        <v>0</v>
      </c>
      <c r="J302" s="263">
        <f>(J208*'Data - P&amp;L'!$R$3)+('Data - P&amp;L'!$R$4*J209)</f>
        <v>0</v>
      </c>
      <c r="K302" s="263">
        <f>(K208*'Data - P&amp;L'!$R$3)+('Data - P&amp;L'!$R$4*K209)</f>
        <v>0</v>
      </c>
      <c r="L302" s="263">
        <f>(L208*'Data - P&amp;L'!$R$3)+('Data - P&amp;L'!$R$4*L209)</f>
        <v>0</v>
      </c>
      <c r="M302" s="263">
        <f>(M208*'Data - P&amp;L'!$R$3)+('Data - P&amp;L'!$R$4*M209)</f>
        <v>0</v>
      </c>
      <c r="N302" s="263">
        <f>(N208*'Data - P&amp;L'!$R$3)+('Data - P&amp;L'!$R$4*N209)</f>
        <v>0</v>
      </c>
      <c r="O302" s="263">
        <f>(O208*'Data - P&amp;L'!$R$3)+('Data - P&amp;L'!$R$4*O209)</f>
        <v>0</v>
      </c>
      <c r="P302" s="263">
        <f>(P208*'Data - P&amp;L'!$R$3)+('Data - P&amp;L'!$R$4*P209)</f>
        <v>0</v>
      </c>
      <c r="Q302" s="263">
        <f>(Q208*'Data - P&amp;L'!$R$3)+('Data - P&amp;L'!$R$4*Q209)</f>
        <v>0</v>
      </c>
      <c r="R302" s="263">
        <f>(R208*'Data - P&amp;L'!$R$3)+('Data - P&amp;L'!$R$4*R209)</f>
        <v>0</v>
      </c>
      <c r="S302" s="263">
        <f>(S208*'Data - P&amp;L'!$R$3)+('Data - P&amp;L'!$R$4*S209)</f>
        <v>0</v>
      </c>
      <c r="T302" s="263">
        <f>(T208*'Data - P&amp;L'!$R$3)+('Data - P&amp;L'!$R$4*T209)</f>
        <v>0</v>
      </c>
      <c r="U302" s="263">
        <f>(U208*'Data - P&amp;L'!$R$3)+('Data - P&amp;L'!$R$4*U209)</f>
        <v>0</v>
      </c>
      <c r="V302" s="263">
        <f>(V208*'Data - P&amp;L'!$R$3)+('Data - P&amp;L'!$R$4*V209)</f>
        <v>0</v>
      </c>
      <c r="W302" s="263">
        <f>(W208*'Data - P&amp;L'!$R$3)+('Data - P&amp;L'!$R$4*W209)</f>
        <v>0</v>
      </c>
      <c r="X302" s="263">
        <f>(X208*'Data - P&amp;L'!$R$3)+('Data - P&amp;L'!$R$4*X209)</f>
        <v>0</v>
      </c>
      <c r="Y302" s="263">
        <f>(Y208*'Data - P&amp;L'!$R$3)+('Data - P&amp;L'!$R$4*Y209)</f>
        <v>0</v>
      </c>
      <c r="Z302" s="263">
        <f>(Z208*'Data - P&amp;L'!$R$3)+('Data - P&amp;L'!$R$4*Z209)</f>
        <v>0</v>
      </c>
      <c r="AA302" s="263">
        <f>(AA208*'Data - P&amp;L'!$R$3)+('Data - P&amp;L'!$R$4*AA209)</f>
        <v>0</v>
      </c>
      <c r="AB302" s="263">
        <f>(AB208*'Data - P&amp;L'!$R$3)+('Data - P&amp;L'!$R$4*AB209)</f>
        <v>0</v>
      </c>
      <c r="AC302" s="263">
        <f>(AC208*'Data - P&amp;L'!$R$3)+('Data - P&amp;L'!$R$4*AC209)</f>
        <v>0</v>
      </c>
      <c r="AD302" s="263">
        <f>(AD208*'Data - P&amp;L'!$R$3)+('Data - P&amp;L'!$R$4*AD209)</f>
        <v>0</v>
      </c>
      <c r="AE302" s="263">
        <f>(AE208*'Data - P&amp;L'!$R$3)+('Data - P&amp;L'!$R$4*AE209)</f>
        <v>0</v>
      </c>
      <c r="AF302" s="263">
        <f>(AF208*'Data - P&amp;L'!$R$3)+('Data - P&amp;L'!$R$4*AF209)</f>
        <v>0</v>
      </c>
      <c r="AG302" s="453">
        <f>SUM(B302:AF302)</f>
        <v>0</v>
      </c>
    </row>
    <row r="303" outlineLevel="1">
      <c r="A303" s="248" t="s">
        <v>446</v>
      </c>
      <c r="B303" s="278">
        <f t="shared" ref="B303:AF303" si="72">sum(B304:B316)</f>
        <v>0</v>
      </c>
      <c r="C303" s="278">
        <f t="shared" si="72"/>
        <v>0</v>
      </c>
      <c r="D303" s="278">
        <f t="shared" si="72"/>
        <v>0</v>
      </c>
      <c r="E303" s="278">
        <f t="shared" si="72"/>
        <v>0</v>
      </c>
      <c r="F303" s="278">
        <f t="shared" si="72"/>
        <v>0</v>
      </c>
      <c r="G303" s="278">
        <f t="shared" si="72"/>
        <v>0</v>
      </c>
      <c r="H303" s="278">
        <f t="shared" si="72"/>
        <v>0</v>
      </c>
      <c r="I303" s="278">
        <f t="shared" si="72"/>
        <v>0</v>
      </c>
      <c r="J303" s="278">
        <f t="shared" si="72"/>
        <v>0</v>
      </c>
      <c r="K303" s="278">
        <f t="shared" si="72"/>
        <v>0</v>
      </c>
      <c r="L303" s="278">
        <f t="shared" si="72"/>
        <v>0</v>
      </c>
      <c r="M303" s="278">
        <f t="shared" si="72"/>
        <v>0</v>
      </c>
      <c r="N303" s="278">
        <f t="shared" si="72"/>
        <v>0</v>
      </c>
      <c r="O303" s="278">
        <f t="shared" si="72"/>
        <v>0</v>
      </c>
      <c r="P303" s="278">
        <f t="shared" si="72"/>
        <v>0</v>
      </c>
      <c r="Q303" s="278">
        <f t="shared" si="72"/>
        <v>0</v>
      </c>
      <c r="R303" s="278">
        <f t="shared" si="72"/>
        <v>0</v>
      </c>
      <c r="S303" s="278">
        <f t="shared" si="72"/>
        <v>0</v>
      </c>
      <c r="T303" s="278">
        <f t="shared" si="72"/>
        <v>0</v>
      </c>
      <c r="U303" s="278">
        <f t="shared" si="72"/>
        <v>0</v>
      </c>
      <c r="V303" s="278">
        <f t="shared" si="72"/>
        <v>0</v>
      </c>
      <c r="W303" s="278">
        <f t="shared" si="72"/>
        <v>0</v>
      </c>
      <c r="X303" s="278">
        <f t="shared" si="72"/>
        <v>0</v>
      </c>
      <c r="Y303" s="278">
        <f t="shared" si="72"/>
        <v>0</v>
      </c>
      <c r="Z303" s="278">
        <f t="shared" si="72"/>
        <v>0</v>
      </c>
      <c r="AA303" s="278">
        <f t="shared" si="72"/>
        <v>0</v>
      </c>
      <c r="AB303" s="278">
        <f t="shared" si="72"/>
        <v>0</v>
      </c>
      <c r="AC303" s="278">
        <f t="shared" si="72"/>
        <v>0</v>
      </c>
      <c r="AD303" s="278">
        <f t="shared" si="72"/>
        <v>0</v>
      </c>
      <c r="AE303" s="278">
        <f t="shared" si="72"/>
        <v>0</v>
      </c>
      <c r="AF303" s="278">
        <f t="shared" si="72"/>
        <v>0</v>
      </c>
      <c r="AG303" s="458">
        <f>SUM(AF289:AG302)</f>
        <v>0</v>
      </c>
    </row>
    <row r="304" outlineLevel="1">
      <c r="A304" s="147" t="s">
        <v>447</v>
      </c>
      <c r="B304" s="263">
        <f>(B94+B204)*'Data - P&amp;L'!$C$3</f>
        <v>0</v>
      </c>
      <c r="C304" s="263">
        <f>(C94+C204)*'Data - P&amp;L'!$C$3</f>
        <v>0</v>
      </c>
      <c r="D304" s="263">
        <f>(D94+D204)*'Data - P&amp;L'!$C$3</f>
        <v>0</v>
      </c>
      <c r="E304" s="263">
        <f>(E94+E204)*'Data - P&amp;L'!$C$3</f>
        <v>0</v>
      </c>
      <c r="F304" s="263">
        <f>(F94+F204)*'Data - P&amp;L'!$C$3</f>
        <v>0</v>
      </c>
      <c r="G304" s="263">
        <f>(G94+G204)*'Data - P&amp;L'!$C$3</f>
        <v>0</v>
      </c>
      <c r="H304" s="263">
        <f>(H94+H204)*'Data - P&amp;L'!$C$3</f>
        <v>0</v>
      </c>
      <c r="I304" s="263">
        <f>(I94+I204)*'Data - P&amp;L'!$C$3</f>
        <v>0</v>
      </c>
      <c r="J304" s="263">
        <f>(J94+J204)*'Data - P&amp;L'!$C$3</f>
        <v>0</v>
      </c>
      <c r="K304" s="263">
        <f>(K94+K204)*'Data - P&amp;L'!$C$3</f>
        <v>0</v>
      </c>
      <c r="L304" s="263">
        <f>(L94+L204)*'Data - P&amp;L'!$C$3</f>
        <v>0</v>
      </c>
      <c r="M304" s="263">
        <f>(M94+M204)*'Data - P&amp;L'!$C$3</f>
        <v>0</v>
      </c>
      <c r="N304" s="263">
        <f>(N94+N204)*'Data - P&amp;L'!$C$3</f>
        <v>0</v>
      </c>
      <c r="O304" s="263">
        <f>(O94+O204)*'Data - P&amp;L'!$C$3</f>
        <v>0</v>
      </c>
      <c r="P304" s="263">
        <f>(P94+P204)*'Data - P&amp;L'!$C$3</f>
        <v>0</v>
      </c>
      <c r="Q304" s="263">
        <f>(Q94+Q204)*'Data - P&amp;L'!$C$3</f>
        <v>0</v>
      </c>
      <c r="R304" s="263">
        <f>(R94+R204)*'Data - P&amp;L'!$C$3</f>
        <v>0</v>
      </c>
      <c r="S304" s="263">
        <f>(S94+S204)*'Data - P&amp;L'!$C$3</f>
        <v>0</v>
      </c>
      <c r="T304" s="263">
        <f>(T94+T204)*'Data - P&amp;L'!$C$3</f>
        <v>0</v>
      </c>
      <c r="U304" s="263">
        <f>(U94+U204)*'Data - P&amp;L'!$C$3</f>
        <v>0</v>
      </c>
      <c r="V304" s="263">
        <f>(V94+V204)*'Data - P&amp;L'!$C$3</f>
        <v>0</v>
      </c>
      <c r="W304" s="263">
        <f>(W94+W204)*'Data - P&amp;L'!$C$3</f>
        <v>0</v>
      </c>
      <c r="X304" s="263">
        <f>(X94+X204)*'Data - P&amp;L'!$C$3</f>
        <v>0</v>
      </c>
      <c r="Y304" s="263">
        <f>(Y94+Y204)*'Data - P&amp;L'!$C$3</f>
        <v>0</v>
      </c>
      <c r="Z304" s="263">
        <f>(Z94+Z204)*'Data - P&amp;L'!$C$3</f>
        <v>0</v>
      </c>
      <c r="AA304" s="263">
        <f>(AA94+AA204)*'Data - P&amp;L'!$C$3</f>
        <v>0</v>
      </c>
      <c r="AB304" s="263">
        <f>(AB94+AB204)*'Data - P&amp;L'!$C$3</f>
        <v>0</v>
      </c>
      <c r="AC304" s="263">
        <f>(AC94+AC204)*'Data - P&amp;L'!$C$3</f>
        <v>0</v>
      </c>
      <c r="AD304" s="263">
        <f>(AD94+AD204)*'Data - P&amp;L'!$C$3</f>
        <v>0</v>
      </c>
      <c r="AE304" s="263">
        <f>(AE94+AE204)*'Data - P&amp;L'!$C$3</f>
        <v>0</v>
      </c>
      <c r="AF304" s="263">
        <f>(AF94+AF204)*'Data - P&amp;L'!$C$3</f>
        <v>0</v>
      </c>
      <c r="AG304" s="453">
        <f t="shared" ref="AG304:AG316" si="73">SUM(B304:AF304)</f>
        <v>0</v>
      </c>
    </row>
    <row r="305" outlineLevel="1">
      <c r="A305" s="147" t="s">
        <v>448</v>
      </c>
      <c r="B305" s="263">
        <f>(B95+B205)*'Data - P&amp;L'!$C$4</f>
        <v>0</v>
      </c>
      <c r="C305" s="263">
        <f>(C95+C205)*'Data - P&amp;L'!$C$4</f>
        <v>0</v>
      </c>
      <c r="D305" s="263">
        <f>(D95+D205)*'Data - P&amp;L'!$C$4</f>
        <v>0</v>
      </c>
      <c r="E305" s="263">
        <f>(E95+E205)*'Data - P&amp;L'!$C$4</f>
        <v>0</v>
      </c>
      <c r="F305" s="263">
        <f>(F95+F205)*'Data - P&amp;L'!$C$4</f>
        <v>0</v>
      </c>
      <c r="G305" s="263">
        <f>(G95+G205)*'Data - P&amp;L'!$C$4</f>
        <v>0</v>
      </c>
      <c r="H305" s="263">
        <f>(H95+H205)*'Data - P&amp;L'!$C$4</f>
        <v>0</v>
      </c>
      <c r="I305" s="263">
        <f>(I95+I205)*'Data - P&amp;L'!$C$4</f>
        <v>0</v>
      </c>
      <c r="J305" s="263">
        <f>(J95+J205)*'Data - P&amp;L'!$C$4</f>
        <v>0</v>
      </c>
      <c r="K305" s="263">
        <f>(K95+K205)*'Data - P&amp;L'!$C$4</f>
        <v>0</v>
      </c>
      <c r="L305" s="263">
        <f>(L95+L205)*'Data - P&amp;L'!$C$4</f>
        <v>0</v>
      </c>
      <c r="M305" s="263">
        <f>(M95+M205)*'Data - P&amp;L'!$C$4</f>
        <v>0</v>
      </c>
      <c r="N305" s="263">
        <f>(N95+N205)*'Data - P&amp;L'!$C$4</f>
        <v>0</v>
      </c>
      <c r="O305" s="263">
        <f>(O95+O205)*'Data - P&amp;L'!$C$4</f>
        <v>0</v>
      </c>
      <c r="P305" s="263">
        <f>(P95+P205)*'Data - P&amp;L'!$C$4</f>
        <v>0</v>
      </c>
      <c r="Q305" s="263">
        <f>(Q95+Q205)*'Data - P&amp;L'!$C$4</f>
        <v>0</v>
      </c>
      <c r="R305" s="263">
        <f>(R95+R205)*'Data - P&amp;L'!$C$4</f>
        <v>0</v>
      </c>
      <c r="S305" s="263">
        <f>(S95+S205)*'Data - P&amp;L'!$C$4</f>
        <v>0</v>
      </c>
      <c r="T305" s="263">
        <f>(T95+T205)*'Data - P&amp;L'!$C$4</f>
        <v>0</v>
      </c>
      <c r="U305" s="263">
        <f>(U95+U205)*'Data - P&amp;L'!$C$4</f>
        <v>0</v>
      </c>
      <c r="V305" s="263">
        <f>(V95+V205)*'Data - P&amp;L'!$C$4</f>
        <v>0</v>
      </c>
      <c r="W305" s="263">
        <f>(W95+W205)*'Data - P&amp;L'!$C$4</f>
        <v>0</v>
      </c>
      <c r="X305" s="263">
        <f>(X95+X205)*'Data - P&amp;L'!$C$4</f>
        <v>0</v>
      </c>
      <c r="Y305" s="263">
        <f>(Y95+Y205)*'Data - P&amp;L'!$C$4</f>
        <v>0</v>
      </c>
      <c r="Z305" s="263">
        <f>(Z95+Z205)*'Data - P&amp;L'!$C$4</f>
        <v>0</v>
      </c>
      <c r="AA305" s="263">
        <f>(AA95+AA205)*'Data - P&amp;L'!$C$4</f>
        <v>0</v>
      </c>
      <c r="AB305" s="263">
        <f>(AB95+AB205)*'Data - P&amp;L'!$C$4</f>
        <v>0</v>
      </c>
      <c r="AC305" s="263">
        <f>(AC95+AC205)*'Data - P&amp;L'!$C$4</f>
        <v>0</v>
      </c>
      <c r="AD305" s="263">
        <f>(AD95+AD205)*'Data - P&amp;L'!$C$4</f>
        <v>0</v>
      </c>
      <c r="AE305" s="263">
        <f>(AE95+AE205)*'Data - P&amp;L'!$C$4</f>
        <v>0</v>
      </c>
      <c r="AF305" s="263">
        <f>(AF95+AF205)*'Data - P&amp;L'!$C$4</f>
        <v>0</v>
      </c>
      <c r="AG305" s="453">
        <f t="shared" si="73"/>
        <v>0</v>
      </c>
    </row>
    <row r="306" outlineLevel="1">
      <c r="A306" s="147" t="s">
        <v>451</v>
      </c>
      <c r="B306" s="263">
        <f>(B97+B207)*'Data - P&amp;L'!$C$6</f>
        <v>0</v>
      </c>
      <c r="C306" s="263">
        <f>(C97+C207)*'Data - P&amp;L'!$C$6</f>
        <v>0</v>
      </c>
      <c r="D306" s="263">
        <f>(D97+D207)*'Data - P&amp;L'!$C$6</f>
        <v>0</v>
      </c>
      <c r="E306" s="263">
        <f>(E97+E207)*'Data - P&amp;L'!$C$6</f>
        <v>0</v>
      </c>
      <c r="F306" s="263">
        <f>(F97+F207)*'Data - P&amp;L'!$C$6</f>
        <v>0</v>
      </c>
      <c r="G306" s="263">
        <f>(G97+G207)*'Data - P&amp;L'!$C$6</f>
        <v>0</v>
      </c>
      <c r="H306" s="263">
        <f>(H97+H207)*'Data - P&amp;L'!$C$6</f>
        <v>0</v>
      </c>
      <c r="I306" s="263">
        <f>(I97+I207)*'Data - P&amp;L'!$C$6</f>
        <v>0</v>
      </c>
      <c r="J306" s="263">
        <f>(J97+J207)*'Data - P&amp;L'!$C$6</f>
        <v>0</v>
      </c>
      <c r="K306" s="263">
        <f>(K97+K207)*'Data - P&amp;L'!$C$6</f>
        <v>0</v>
      </c>
      <c r="L306" s="263">
        <f>(L97+L207)*'Data - P&amp;L'!$C$6</f>
        <v>0</v>
      </c>
      <c r="M306" s="263">
        <f>(M97+M207)*'Data - P&amp;L'!$C$6</f>
        <v>0</v>
      </c>
      <c r="N306" s="263">
        <f>(N97+N207)*'Data - P&amp;L'!$C$6</f>
        <v>0</v>
      </c>
      <c r="O306" s="263">
        <f>(O97+O207)*'Data - P&amp;L'!$C$6</f>
        <v>0</v>
      </c>
      <c r="P306" s="263">
        <f>(P97+P207)*'Data - P&amp;L'!$C$6</f>
        <v>0</v>
      </c>
      <c r="Q306" s="263">
        <f>(Q97+Q207)*'Data - P&amp;L'!$C$6</f>
        <v>0</v>
      </c>
      <c r="R306" s="263">
        <f>(R97+R207)*'Data - P&amp;L'!$C$6</f>
        <v>0</v>
      </c>
      <c r="S306" s="263">
        <f>(S97+S207)*'Data - P&amp;L'!$C$6</f>
        <v>0</v>
      </c>
      <c r="T306" s="263">
        <f>(T97+T207)*'Data - P&amp;L'!$C$6</f>
        <v>0</v>
      </c>
      <c r="U306" s="263">
        <f>(U97+U207)*'Data - P&amp;L'!$C$6</f>
        <v>0</v>
      </c>
      <c r="V306" s="263">
        <f>(V97+V207)*'Data - P&amp;L'!$C$6</f>
        <v>0</v>
      </c>
      <c r="W306" s="263">
        <f>(W97+W207)*'Data - P&amp;L'!$C$6</f>
        <v>0</v>
      </c>
      <c r="X306" s="263">
        <f>(X97+X207)*'Data - P&amp;L'!$C$6</f>
        <v>0</v>
      </c>
      <c r="Y306" s="263">
        <f>(Y97+Y207)*'Data - P&amp;L'!$C$6</f>
        <v>0</v>
      </c>
      <c r="Z306" s="263">
        <f>(Z97+Z207)*'Data - P&amp;L'!$C$6</f>
        <v>0</v>
      </c>
      <c r="AA306" s="263">
        <f>(AA97+AA207)*'Data - P&amp;L'!$C$6</f>
        <v>0</v>
      </c>
      <c r="AB306" s="263">
        <f>(AB97+AB207)*'Data - P&amp;L'!$C$6</f>
        <v>0</v>
      </c>
      <c r="AC306" s="263">
        <f>(AC97+AC207)*'Data - P&amp;L'!$C$6</f>
        <v>0</v>
      </c>
      <c r="AD306" s="263">
        <f>(AD97+AD207)*'Data - P&amp;L'!$C$6</f>
        <v>0</v>
      </c>
      <c r="AE306" s="263">
        <f>(AE97+AE207)*'Data - P&amp;L'!$C$6</f>
        <v>0</v>
      </c>
      <c r="AF306" s="263">
        <f>(AF97+AF207)*'Data - P&amp;L'!$C$6</f>
        <v>0</v>
      </c>
      <c r="AG306" s="453">
        <f t="shared" si="73"/>
        <v>0</v>
      </c>
    </row>
    <row r="307" outlineLevel="1">
      <c r="A307" s="147" t="s">
        <v>452</v>
      </c>
      <c r="B307" s="263">
        <f>(B98+B208)*'Data - P&amp;L'!$C$8</f>
        <v>0</v>
      </c>
      <c r="C307" s="263">
        <f>(C98+C208)*'Data - P&amp;L'!$C$8</f>
        <v>0</v>
      </c>
      <c r="D307" s="263">
        <f>(D98+D208)*'Data - P&amp;L'!$C$8</f>
        <v>0</v>
      </c>
      <c r="E307" s="263">
        <f>(E98+E208)*'Data - P&amp;L'!$C$8</f>
        <v>0</v>
      </c>
      <c r="F307" s="263">
        <f>(F98+F208)*'Data - P&amp;L'!$C$8</f>
        <v>0</v>
      </c>
      <c r="G307" s="263">
        <f>(G98+G208)*'Data - P&amp;L'!$C$8</f>
        <v>0</v>
      </c>
      <c r="H307" s="263">
        <f>(H98+H208)*'Data - P&amp;L'!$C$8</f>
        <v>0</v>
      </c>
      <c r="I307" s="263">
        <f>(I98+I208)*'Data - P&amp;L'!$C$8</f>
        <v>0</v>
      </c>
      <c r="J307" s="263">
        <f>(J98+J208)*'Data - P&amp;L'!$C$8</f>
        <v>0</v>
      </c>
      <c r="K307" s="263">
        <f>(K98+K208)*'Data - P&amp;L'!$C$8</f>
        <v>0</v>
      </c>
      <c r="L307" s="263">
        <f>(L98+L208)*'Data - P&amp;L'!$C$8</f>
        <v>0</v>
      </c>
      <c r="M307" s="263">
        <f>(M98+M208)*'Data - P&amp;L'!$C$8</f>
        <v>0</v>
      </c>
      <c r="N307" s="263">
        <f>(N98+N208)*'Data - P&amp;L'!$C$8</f>
        <v>0</v>
      </c>
      <c r="O307" s="263">
        <f>(O98+O208)*'Data - P&amp;L'!$C$8</f>
        <v>0</v>
      </c>
      <c r="P307" s="263">
        <f>(P98+P208)*'Data - P&amp;L'!$C$8</f>
        <v>0</v>
      </c>
      <c r="Q307" s="263">
        <f>(Q98+Q208)*'Data - P&amp;L'!$C$8</f>
        <v>0</v>
      </c>
      <c r="R307" s="263">
        <f>(R98+R208)*'Data - P&amp;L'!$C$8</f>
        <v>0</v>
      </c>
      <c r="S307" s="263">
        <f>(S98+S208)*'Data - P&amp;L'!$C$8</f>
        <v>0</v>
      </c>
      <c r="T307" s="263">
        <f>(T98+T208)*'Data - P&amp;L'!$C$8</f>
        <v>0</v>
      </c>
      <c r="U307" s="263">
        <f>(U98+U208)*'Data - P&amp;L'!$C$8</f>
        <v>0</v>
      </c>
      <c r="V307" s="263">
        <f>(V98+V208)*'Data - P&amp;L'!$C$8</f>
        <v>0</v>
      </c>
      <c r="W307" s="263">
        <f>(W98+W208)*'Data - P&amp;L'!$C$8</f>
        <v>0</v>
      </c>
      <c r="X307" s="263">
        <f>(X98+X208)*'Data - P&amp;L'!$C$8</f>
        <v>0</v>
      </c>
      <c r="Y307" s="263">
        <f>(Y98+Y208)*'Data - P&amp;L'!$C$8</f>
        <v>0</v>
      </c>
      <c r="Z307" s="263">
        <f>(Z98+Z208)*'Data - P&amp;L'!$C$8</f>
        <v>0</v>
      </c>
      <c r="AA307" s="263">
        <f>(AA98+AA208)*'Data - P&amp;L'!$C$8</f>
        <v>0</v>
      </c>
      <c r="AB307" s="263">
        <f>(AB98+AB208)*'Data - P&amp;L'!$C$8</f>
        <v>0</v>
      </c>
      <c r="AC307" s="263">
        <f>(AC98+AC208)*'Data - P&amp;L'!$C$8</f>
        <v>0</v>
      </c>
      <c r="AD307" s="263">
        <f>(AD98+AD208)*'Data - P&amp;L'!$C$8</f>
        <v>0</v>
      </c>
      <c r="AE307" s="263">
        <f>(AE98+AE208)*'Data - P&amp;L'!$C$8</f>
        <v>0</v>
      </c>
      <c r="AF307" s="263">
        <f>(AF98+AF208)*'Data - P&amp;L'!$C$8</f>
        <v>0</v>
      </c>
      <c r="AG307" s="453">
        <f t="shared" si="73"/>
        <v>0</v>
      </c>
    </row>
    <row r="308" outlineLevel="1">
      <c r="A308" s="147" t="s">
        <v>453</v>
      </c>
      <c r="B308" s="263">
        <f>(B99+B100+B209+B210)*'Data - P&amp;L'!$C$9</f>
        <v>0</v>
      </c>
      <c r="C308" s="263">
        <f>(C99+C100+C209+C210)*'Data - P&amp;L'!$C$9</f>
        <v>0</v>
      </c>
      <c r="D308" s="263">
        <f>(D99+D100+D209+D210)*'Data - P&amp;L'!$C$9</f>
        <v>0</v>
      </c>
      <c r="E308" s="263">
        <f>(E99+E100+E209+E210)*'Data - P&amp;L'!$C$9</f>
        <v>0</v>
      </c>
      <c r="F308" s="263">
        <f>(F99+F100+F209+F210)*'Data - P&amp;L'!$C$9</f>
        <v>0</v>
      </c>
      <c r="G308" s="263">
        <f>(G99+G100+G209+G210)*'Data - P&amp;L'!$C$9</f>
        <v>0</v>
      </c>
      <c r="H308" s="263">
        <f>(H99+H100+H209+H210)*'Data - P&amp;L'!$C$9</f>
        <v>0</v>
      </c>
      <c r="I308" s="263">
        <f>(I99+I100+I209+I210)*'Data - P&amp;L'!$C$9</f>
        <v>0</v>
      </c>
      <c r="J308" s="263">
        <f>(J99+J100+J209+J210)*'Data - P&amp;L'!$C$9</f>
        <v>0</v>
      </c>
      <c r="K308" s="263">
        <f>(K99+K100+K209+K210)*'Data - P&amp;L'!$C$9</f>
        <v>0</v>
      </c>
      <c r="L308" s="263">
        <f>(L99+L100+L209+L210)*'Data - P&amp;L'!$C$9</f>
        <v>0</v>
      </c>
      <c r="M308" s="263">
        <f>(M99+M100+M209+M210)*'Data - P&amp;L'!$C$9</f>
        <v>0</v>
      </c>
      <c r="N308" s="263">
        <f>(N99+N100+N209+N210)*'Data - P&amp;L'!$C$9</f>
        <v>0</v>
      </c>
      <c r="O308" s="263">
        <f>(O99+O100+O209+O210)*'Data - P&amp;L'!$C$9</f>
        <v>0</v>
      </c>
      <c r="P308" s="263">
        <f>(P99+P100+P209+P210)*'Data - P&amp;L'!$C$9</f>
        <v>0</v>
      </c>
      <c r="Q308" s="263">
        <f>(Q99+Q100+Q209+Q210)*'Data - P&amp;L'!$C$9</f>
        <v>0</v>
      </c>
      <c r="R308" s="263">
        <f>(R99+R100+R209+R210)*'Data - P&amp;L'!$C$9</f>
        <v>0</v>
      </c>
      <c r="S308" s="263">
        <f>(S99+S100+S209+S210)*'Data - P&amp;L'!$C$9</f>
        <v>0</v>
      </c>
      <c r="T308" s="263">
        <f>(T99+T100+T209+T210)*'Data - P&amp;L'!$C$9</f>
        <v>0</v>
      </c>
      <c r="U308" s="263">
        <f>(U99+U100+U209+U210)*'Data - P&amp;L'!$C$9</f>
        <v>0</v>
      </c>
      <c r="V308" s="263">
        <f>(V99+V100+V209+V210)*'Data - P&amp;L'!$C$9</f>
        <v>0</v>
      </c>
      <c r="W308" s="263">
        <f>(W99+W100+W209+W210)*'Data - P&amp;L'!$C$9</f>
        <v>0</v>
      </c>
      <c r="X308" s="263">
        <f>(X99+X100+X209+X210)*'Data - P&amp;L'!$C$9</f>
        <v>0</v>
      </c>
      <c r="Y308" s="263">
        <f>(Y99+Y100+Y209+Y210)*'Data - P&amp;L'!$C$9</f>
        <v>0</v>
      </c>
      <c r="Z308" s="263">
        <f>(Z99+Z100+Z209+Z210)*'Data - P&amp;L'!$C$9</f>
        <v>0</v>
      </c>
      <c r="AA308" s="263">
        <f>(AA99+AA100+AA209+AA210)*'Data - P&amp;L'!$C$9</f>
        <v>0</v>
      </c>
      <c r="AB308" s="263">
        <f>(AB99+AB100+AB209+AB210)*'Data - P&amp;L'!$C$9</f>
        <v>0</v>
      </c>
      <c r="AC308" s="263">
        <f>(AC99+AC100+AC209+AC210)*'Data - P&amp;L'!$C$9</f>
        <v>0</v>
      </c>
      <c r="AD308" s="263">
        <f>(AD99+AD100+AD209+AD210)*'Data - P&amp;L'!$C$9</f>
        <v>0</v>
      </c>
      <c r="AE308" s="263">
        <f>(AE99+AE100+AE209+AE210)*'Data - P&amp;L'!$C$9</f>
        <v>0</v>
      </c>
      <c r="AF308" s="263">
        <f>(AF99+AF100+AF209+AF210)*'Data - P&amp;L'!$C$9</f>
        <v>0</v>
      </c>
      <c r="AG308" s="453">
        <f t="shared" si="73"/>
        <v>0</v>
      </c>
    </row>
    <row r="309" outlineLevel="1">
      <c r="A309" s="147" t="s">
        <v>454</v>
      </c>
      <c r="B309" s="263">
        <f>(B101+B102+B211+B212)*'Data - P&amp;L'!$C$5</f>
        <v>0</v>
      </c>
      <c r="C309" s="263">
        <f>(C101+C102+C211+C212)*'Data - P&amp;L'!$C$5</f>
        <v>0</v>
      </c>
      <c r="D309" s="263">
        <f>(D101+D102+D211+D212)*'Data - P&amp;L'!$C$5</f>
        <v>0</v>
      </c>
      <c r="E309" s="263">
        <f>(E101+E102+E211+E212)*'Data - P&amp;L'!$C$5</f>
        <v>0</v>
      </c>
      <c r="F309" s="263">
        <f>(F101+F102+F211+F212)*'Data - P&amp;L'!$C$5</f>
        <v>0</v>
      </c>
      <c r="G309" s="263">
        <f>(G101+G102+G211+G212)*'Data - P&amp;L'!$C$5</f>
        <v>0</v>
      </c>
      <c r="H309" s="263">
        <f>(H101+H102+H211+H212)*'Data - P&amp;L'!$C$5</f>
        <v>0</v>
      </c>
      <c r="I309" s="263">
        <f>(I101+I102+I211+I212)*'Data - P&amp;L'!$C$5</f>
        <v>0</v>
      </c>
      <c r="J309" s="263">
        <f>(J101+J102+J211+J212)*'Data - P&amp;L'!$C$5</f>
        <v>0</v>
      </c>
      <c r="K309" s="263">
        <f>(K101+K102+K211+K212)*'Data - P&amp;L'!$C$5</f>
        <v>0</v>
      </c>
      <c r="L309" s="263">
        <f>(L101+L102+L211+L212)*'Data - P&amp;L'!$C$5</f>
        <v>0</v>
      </c>
      <c r="M309" s="263">
        <f>(M101+M102+M211+M212)*'Data - P&amp;L'!$C$5</f>
        <v>0</v>
      </c>
      <c r="N309" s="263">
        <f>(N101+N102+N211+N212)*'Data - P&amp;L'!$C$5</f>
        <v>0</v>
      </c>
      <c r="O309" s="263">
        <f>(O101+O102+O211+O212)*'Data - P&amp;L'!$C$5</f>
        <v>0</v>
      </c>
      <c r="P309" s="263">
        <f>(P101+P102+P211+P212)*'Data - P&amp;L'!$C$5</f>
        <v>0</v>
      </c>
      <c r="Q309" s="263">
        <f>(Q101+Q102+Q211+Q212)*'Data - P&amp;L'!$C$5</f>
        <v>0</v>
      </c>
      <c r="R309" s="263">
        <f>(R101+R102+R211+R212)*'Data - P&amp;L'!$C$5</f>
        <v>0</v>
      </c>
      <c r="S309" s="263">
        <f>(S101+S102+S211+S212)*'Data - P&amp;L'!$C$5</f>
        <v>0</v>
      </c>
      <c r="T309" s="263">
        <f>(T101+T102+T211+T212)*'Data - P&amp;L'!$C$5</f>
        <v>0</v>
      </c>
      <c r="U309" s="263">
        <f>(U101+U102+U211+U212)*'Data - P&amp;L'!$C$5</f>
        <v>0</v>
      </c>
      <c r="V309" s="263">
        <f>(V101+V102+V211+V212)*'Data - P&amp;L'!$C$5</f>
        <v>0</v>
      </c>
      <c r="W309" s="263">
        <f>(W101+W102+W211+W212)*'Data - P&amp;L'!$C$5</f>
        <v>0</v>
      </c>
      <c r="X309" s="263">
        <f>(X101+X102+X211+X212)*'Data - P&amp;L'!$C$5</f>
        <v>0</v>
      </c>
      <c r="Y309" s="263">
        <f>(Y101+Y102+Y211+Y212)*'Data - P&amp;L'!$C$5</f>
        <v>0</v>
      </c>
      <c r="Z309" s="263">
        <f>(Z101+Z102+Z211+Z212)*'Data - P&amp;L'!$C$5</f>
        <v>0</v>
      </c>
      <c r="AA309" s="263">
        <f>(AA101+AA102+AA211+AA212)*'Data - P&amp;L'!$C$5</f>
        <v>0</v>
      </c>
      <c r="AB309" s="263">
        <f>(AB101+AB102+AB211+AB212)*'Data - P&amp;L'!$C$5</f>
        <v>0</v>
      </c>
      <c r="AC309" s="263">
        <f>(AC101+AC102+AC211+AC212)*'Data - P&amp;L'!$C$5</f>
        <v>0</v>
      </c>
      <c r="AD309" s="263">
        <f>(AD101+AD102+AD211+AD212)*'Data - P&amp;L'!$C$5</f>
        <v>0</v>
      </c>
      <c r="AE309" s="263">
        <f>(AE101+AE102+AE211+AE212)*'Data - P&amp;L'!$C$5</f>
        <v>0</v>
      </c>
      <c r="AF309" s="263">
        <f>(AF101+AF102+AF211+AF212)*'Data - P&amp;L'!$C$5</f>
        <v>0</v>
      </c>
      <c r="AG309" s="453">
        <f t="shared" si="73"/>
        <v>0</v>
      </c>
    </row>
    <row r="310" outlineLevel="1">
      <c r="A310" s="147" t="s">
        <v>455</v>
      </c>
      <c r="B310" s="263">
        <f>(B103+B104+B213+B214)*'Data - P&amp;L'!$C$10</f>
        <v>0</v>
      </c>
      <c r="C310" s="263">
        <f>(C103+C104+C213+C214)*'Data - P&amp;L'!$C$10</f>
        <v>0</v>
      </c>
      <c r="D310" s="263">
        <f>(D103+D104+D213+D214)*'Data - P&amp;L'!$C$10</f>
        <v>0</v>
      </c>
      <c r="E310" s="263">
        <f>(E103+E104+E213+E214)*'Data - P&amp;L'!$C$10</f>
        <v>0</v>
      </c>
      <c r="F310" s="263">
        <f>(F103+F104+F213+F214)*'Data - P&amp;L'!$C$10</f>
        <v>0</v>
      </c>
      <c r="G310" s="263">
        <f>(G103+G104+G213+G214)*'Data - P&amp;L'!$C$10</f>
        <v>0</v>
      </c>
      <c r="H310" s="263">
        <f>(H103+H104+H213+H214)*'Data - P&amp;L'!$C$10</f>
        <v>0</v>
      </c>
      <c r="I310" s="263">
        <f>(I103+I104+I213+I214)*'Data - P&amp;L'!$C$10</f>
        <v>0</v>
      </c>
      <c r="J310" s="263">
        <f>(J103+J104+J213+J214)*'Data - P&amp;L'!$C$10</f>
        <v>0</v>
      </c>
      <c r="K310" s="263">
        <f>(K103+K104+K213+K214)*'Data - P&amp;L'!$C$10</f>
        <v>0</v>
      </c>
      <c r="L310" s="263">
        <f>(L103+L104+L213+L214)*'Data - P&amp;L'!$C$10</f>
        <v>0</v>
      </c>
      <c r="M310" s="263">
        <f>(M103+M104+M213+M214)*'Data - P&amp;L'!$C$10</f>
        <v>0</v>
      </c>
      <c r="N310" s="263">
        <f>(N103+N104+N213+N214)*'Data - P&amp;L'!$C$10</f>
        <v>0</v>
      </c>
      <c r="O310" s="263">
        <f>(O103+O104+O213+O214)*'Data - P&amp;L'!$C$10</f>
        <v>0</v>
      </c>
      <c r="P310" s="263">
        <f>(P103+P104+P213+P214)*'Data - P&amp;L'!$C$10</f>
        <v>0</v>
      </c>
      <c r="Q310" s="263">
        <f>(Q103+Q104+Q213+Q214)*'Data - P&amp;L'!$C$10</f>
        <v>0</v>
      </c>
      <c r="R310" s="263">
        <f>(R103+R104+R213+R214)*'Data - P&amp;L'!$C$10</f>
        <v>0</v>
      </c>
      <c r="S310" s="263">
        <f>(S103+S104+S213+S214)*'Data - P&amp;L'!$C$10</f>
        <v>0</v>
      </c>
      <c r="T310" s="263">
        <f>(T103+T104+T213+T214)*'Data - P&amp;L'!$C$10</f>
        <v>0</v>
      </c>
      <c r="U310" s="263">
        <f>(U103+U104+U213+U214)*'Data - P&amp;L'!$C$10</f>
        <v>0</v>
      </c>
      <c r="V310" s="263">
        <f>(V103+V104+V213+V214)*'Data - P&amp;L'!$C$10</f>
        <v>0</v>
      </c>
      <c r="W310" s="263">
        <f>(W103+W104+W213+W214)*'Data - P&amp;L'!$C$10</f>
        <v>0</v>
      </c>
      <c r="X310" s="263">
        <f>(X103+X104+X213+X214)*'Data - P&amp;L'!$C$10</f>
        <v>0</v>
      </c>
      <c r="Y310" s="263">
        <f>(Y103+Y104+Y213+Y214)*'Data - P&amp;L'!$C$10</f>
        <v>0</v>
      </c>
      <c r="Z310" s="263">
        <f>(Z103+Z104+Z213+Z214)*'Data - P&amp;L'!$C$10</f>
        <v>0</v>
      </c>
      <c r="AA310" s="263">
        <f>(AA103+AA104+AA213+AA214)*'Data - P&amp;L'!$C$10</f>
        <v>0</v>
      </c>
      <c r="AB310" s="263">
        <f>(AB103+AB104+AB213+AB214)*'Data - P&amp;L'!$C$10</f>
        <v>0</v>
      </c>
      <c r="AC310" s="263">
        <f>(AC103+AC104+AC213+AC214)*'Data - P&amp;L'!$C$10</f>
        <v>0</v>
      </c>
      <c r="AD310" s="263">
        <f>(AD103+AD104+AD213+AD214)*'Data - P&amp;L'!$C$10</f>
        <v>0</v>
      </c>
      <c r="AE310" s="263">
        <f>(AE103+AE104+AE213+AE214)*'Data - P&amp;L'!$C$10</f>
        <v>0</v>
      </c>
      <c r="AF310" s="263">
        <f>(AF103+AF104+AF213+AF214)*'Data - P&amp;L'!$C$10</f>
        <v>0</v>
      </c>
      <c r="AG310" s="453">
        <f t="shared" si="73"/>
        <v>0</v>
      </c>
    </row>
    <row r="311" outlineLevel="1">
      <c r="A311" s="147" t="s">
        <v>456</v>
      </c>
      <c r="B311" s="263">
        <f>(B108+B109+B218+B219)*'Data - P&amp;L'!$C$13</f>
        <v>0</v>
      </c>
      <c r="C311" s="263">
        <f>(C163+C164+C176+C177)*'Data - P&amp;L'!$C$13</f>
        <v>0</v>
      </c>
      <c r="D311" s="263">
        <f>(D163+D164+D176+D177)*'Data - P&amp;L'!$C$13</f>
        <v>0</v>
      </c>
      <c r="E311" s="263">
        <f>(E163+E164+E176+E177)*'Data - P&amp;L'!$C$13</f>
        <v>0</v>
      </c>
      <c r="F311" s="263">
        <f>(F163+F164+F176+F177)*'Data - P&amp;L'!$C$13</f>
        <v>0</v>
      </c>
      <c r="G311" s="263">
        <f>(G163+G164+G176+G177)*'Data - P&amp;L'!$C$13</f>
        <v>0</v>
      </c>
      <c r="H311" s="263">
        <f>(H163+H164+H176+H177)*'Data - P&amp;L'!$C$13</f>
        <v>0</v>
      </c>
      <c r="I311" s="263">
        <f>(I163+I164+I176+I177)*'Data - P&amp;L'!$C$13</f>
        <v>0</v>
      </c>
      <c r="J311" s="263">
        <f>(J163+J164+J176+J177)*'Data - P&amp;L'!$C$13</f>
        <v>0</v>
      </c>
      <c r="K311" s="263">
        <f>(K163+K164+K176+K177)*'Data - P&amp;L'!$C$13</f>
        <v>0</v>
      </c>
      <c r="L311" s="263">
        <f>(L163+L164+L176+L177)*'Data - P&amp;L'!$C$13</f>
        <v>0</v>
      </c>
      <c r="M311" s="263">
        <f>(M163+M164+M176+M177)*'Data - P&amp;L'!$C$13</f>
        <v>0</v>
      </c>
      <c r="N311" s="263">
        <f>(N163+N164+N176+N177)*'Data - P&amp;L'!$C$13</f>
        <v>0</v>
      </c>
      <c r="O311" s="263">
        <f>(O163+O164+O176+O177)*'Data - P&amp;L'!$C$13</f>
        <v>0</v>
      </c>
      <c r="P311" s="263">
        <f>(P163+P164+P176+P177)*'Data - P&amp;L'!$C$13</f>
        <v>0</v>
      </c>
      <c r="Q311" s="263">
        <f>(Q163+Q164+Q176+Q177)*'Data - P&amp;L'!$C$13</f>
        <v>0</v>
      </c>
      <c r="R311" s="263">
        <f>(R163+R164+R176+R177)*'Data - P&amp;L'!$C$13</f>
        <v>0</v>
      </c>
      <c r="S311" s="263">
        <f>(S163+S164+S176+S177)*'Data - P&amp;L'!$C$13</f>
        <v>0</v>
      </c>
      <c r="T311" s="263">
        <f>(T163+T164+T176+T177)*'Data - P&amp;L'!$C$13</f>
        <v>0</v>
      </c>
      <c r="U311" s="263">
        <f>(U163+U164+U176+U177)*'Data - P&amp;L'!$C$13</f>
        <v>0</v>
      </c>
      <c r="V311" s="263">
        <f>(V163+V164+V176+V177)*'Data - P&amp;L'!$C$13</f>
        <v>0</v>
      </c>
      <c r="W311" s="263">
        <f>(W163+W164+W176+W177)*'Data - P&amp;L'!$C$13</f>
        <v>0</v>
      </c>
      <c r="X311" s="263">
        <f>(X163+X164+X176+X177)*'Data - P&amp;L'!$C$13</f>
        <v>0</v>
      </c>
      <c r="Y311" s="263">
        <f>(Y163+Y164+Y176+Y177)*'Data - P&amp;L'!$C$13</f>
        <v>0</v>
      </c>
      <c r="Z311" s="263">
        <f>(Z163+Z164+Z176+Z177)*'Data - P&amp;L'!$C$13</f>
        <v>0</v>
      </c>
      <c r="AA311" s="263">
        <f>(AA163+AA164+AA176+AA177)*'Data - P&amp;L'!$C$13</f>
        <v>0</v>
      </c>
      <c r="AB311" s="263">
        <f>(AB163+AB164+AB176+AB177)*'Data - P&amp;L'!$C$13</f>
        <v>0</v>
      </c>
      <c r="AC311" s="263">
        <f>(AC163+AC164+AC176+AC177)*'Data - P&amp;L'!$C$13</f>
        <v>0</v>
      </c>
      <c r="AD311" s="263">
        <f>(AD163+AD164+AD176+AD177)*'Data - P&amp;L'!$C$13</f>
        <v>0</v>
      </c>
      <c r="AE311" s="263">
        <f>(AE163+AE164+AE176+AE177)*'Data - P&amp;L'!$C$13</f>
        <v>0</v>
      </c>
      <c r="AF311" s="263">
        <f>(AF163+AF164+AF176+AF177)*'Data - P&amp;L'!$C$13</f>
        <v>0</v>
      </c>
      <c r="AG311" s="453">
        <f t="shared" si="73"/>
        <v>0</v>
      </c>
    </row>
    <row r="312" outlineLevel="1">
      <c r="A312" s="147" t="s">
        <v>457</v>
      </c>
      <c r="B312" s="263">
        <f>(B110+B220)*'Data - P&amp;L'!$C$14</f>
        <v>0</v>
      </c>
      <c r="C312" s="263">
        <f>(C165+C178)*'Data - P&amp;L'!$C$14</f>
        <v>0</v>
      </c>
      <c r="D312" s="263">
        <f>(D165+D178)*'Data - P&amp;L'!$C$14</f>
        <v>0</v>
      </c>
      <c r="E312" s="263">
        <f>(E165+E178)*'Data - P&amp;L'!$C$14</f>
        <v>0</v>
      </c>
      <c r="F312" s="263">
        <f>(F165+F178)*'Data - P&amp;L'!$C$14</f>
        <v>0</v>
      </c>
      <c r="G312" s="263">
        <f>(G165+G178)*'Data - P&amp;L'!$C$14</f>
        <v>0</v>
      </c>
      <c r="H312" s="263">
        <f>(H165+H178)*'Data - P&amp;L'!$C$14</f>
        <v>0</v>
      </c>
      <c r="I312" s="263">
        <f>(I165+I178)*'Data - P&amp;L'!$C$14</f>
        <v>0</v>
      </c>
      <c r="J312" s="263">
        <f>(J165+J178)*'Data - P&amp;L'!$C$14</f>
        <v>0</v>
      </c>
      <c r="K312" s="263">
        <f>(K165+K178)*'Data - P&amp;L'!$C$14</f>
        <v>0</v>
      </c>
      <c r="L312" s="263">
        <f>(L165+L178)*'Data - P&amp;L'!$C$14</f>
        <v>0</v>
      </c>
      <c r="M312" s="263">
        <f>(M165+M178)*'Data - P&amp;L'!$C$14</f>
        <v>0</v>
      </c>
      <c r="N312" s="263">
        <f>(N165+N178)*'Data - P&amp;L'!$C$14</f>
        <v>0</v>
      </c>
      <c r="O312" s="263">
        <f>(O165+O178)*'Data - P&amp;L'!$C$14</f>
        <v>0</v>
      </c>
      <c r="P312" s="263">
        <f>(P165+P178)*'Data - P&amp;L'!$C$14</f>
        <v>0</v>
      </c>
      <c r="Q312" s="263">
        <f>(Q165+Q178)*'Data - P&amp;L'!$C$14</f>
        <v>0</v>
      </c>
      <c r="R312" s="263">
        <f>(R165+R178)*'Data - P&amp;L'!$C$14</f>
        <v>0</v>
      </c>
      <c r="S312" s="263">
        <f>(S165+S178)*'Data - P&amp;L'!$C$14</f>
        <v>0</v>
      </c>
      <c r="T312" s="263">
        <f>(T165+T178)*'Data - P&amp;L'!$C$14</f>
        <v>0</v>
      </c>
      <c r="U312" s="263">
        <f>(U165+U178)*'Data - P&amp;L'!$C$14</f>
        <v>0</v>
      </c>
      <c r="V312" s="263">
        <f>(V165+V178)*'Data - P&amp;L'!$C$14</f>
        <v>0</v>
      </c>
      <c r="W312" s="263">
        <f>(W165+W178)*'Data - P&amp;L'!$C$14</f>
        <v>0</v>
      </c>
      <c r="X312" s="263">
        <f>(X165+X178)*'Data - P&amp;L'!$C$14</f>
        <v>0</v>
      </c>
      <c r="Y312" s="263">
        <f>(Y165+Y178)*'Data - P&amp;L'!$C$14</f>
        <v>0</v>
      </c>
      <c r="Z312" s="263">
        <f>(Z165+Z178)*'Data - P&amp;L'!$C$14</f>
        <v>0</v>
      </c>
      <c r="AA312" s="263">
        <f>(AA165+AA178)*'Data - P&amp;L'!$C$14</f>
        <v>0</v>
      </c>
      <c r="AB312" s="263">
        <f>(AB165+AB178)*'Data - P&amp;L'!$C$14</f>
        <v>0</v>
      </c>
      <c r="AC312" s="263">
        <f>(AC165+AC178)*'Data - P&amp;L'!$C$14</f>
        <v>0</v>
      </c>
      <c r="AD312" s="263">
        <f>(AD165+AD178)*'Data - P&amp;L'!$C$14</f>
        <v>0</v>
      </c>
      <c r="AE312" s="263">
        <f>(AE165+AE178)*'Data - P&amp;L'!$C$14</f>
        <v>0</v>
      </c>
      <c r="AF312" s="263">
        <f>(AF165+AF178)*'Data - P&amp;L'!$C$14</f>
        <v>0</v>
      </c>
      <c r="AG312" s="453">
        <f t="shared" si="73"/>
        <v>0</v>
      </c>
    </row>
    <row r="313" outlineLevel="1">
      <c r="A313" s="147" t="s">
        <v>460</v>
      </c>
      <c r="B313" s="263">
        <f>(((B94+B204)*'Data - P&amp;L'!$C$38)+((B95+B205)*'Data - P&amp;L'!$C$38))*'Data - P&amp;L'!$C$55</f>
        <v>0</v>
      </c>
      <c r="C313" s="263">
        <f>(((C94+C204)*'Data - P&amp;L'!$C$38)+((C95+C205)*'Data - P&amp;L'!$C$38))*'Data - P&amp;L'!$C$55</f>
        <v>0</v>
      </c>
      <c r="D313" s="263">
        <f>(((D94+D204)*'Data - P&amp;L'!$C$38)+((D95+D205)*'Data - P&amp;L'!$C$38))*'Data - P&amp;L'!$C$55</f>
        <v>0</v>
      </c>
      <c r="E313" s="263">
        <f>(((E94+E204)*'Data - P&amp;L'!$C$38)+((E95+E205)*'Data - P&amp;L'!$C$38))*'Data - P&amp;L'!$C$55</f>
        <v>0</v>
      </c>
      <c r="F313" s="263">
        <f>(((F94+F204)*'Data - P&amp;L'!$C$38)+((F95+F205)*'Data - P&amp;L'!$C$38))*'Data - P&amp;L'!$C$55</f>
        <v>0</v>
      </c>
      <c r="G313" s="263">
        <f>(((G94+G204)*'Data - P&amp;L'!$C$38)+((G95+G205)*'Data - P&amp;L'!$C$38))*'Data - P&amp;L'!$C$55</f>
        <v>0</v>
      </c>
      <c r="H313" s="263">
        <f>(((H94+H204)*'Data - P&amp;L'!$C$38)+((H95+H205)*'Data - P&amp;L'!$C$38))*'Data - P&amp;L'!$C$55</f>
        <v>0</v>
      </c>
      <c r="I313" s="263">
        <f>(((I94+I204)*'Data - P&amp;L'!$C$38)+((I95+I205)*'Data - P&amp;L'!$C$38))*'Data - P&amp;L'!$C$55</f>
        <v>0</v>
      </c>
      <c r="J313" s="263">
        <f>(((J94+J204)*'Data - P&amp;L'!$C$38)+((J95+J205)*'Data - P&amp;L'!$C$38))*'Data - P&amp;L'!$C$55</f>
        <v>0</v>
      </c>
      <c r="K313" s="263">
        <f>(((K94+K204)*'Data - P&amp;L'!$C$38)+((K95+K205)*'Data - P&amp;L'!$C$38))*'Data - P&amp;L'!$C$55</f>
        <v>0</v>
      </c>
      <c r="L313" s="263">
        <f>(((L94+L204)*'Data - P&amp;L'!$C$38)+((L95+L205)*'Data - P&amp;L'!$C$38))*'Data - P&amp;L'!$C$55</f>
        <v>0</v>
      </c>
      <c r="M313" s="263">
        <f>(((M94+M204)*'Data - P&amp;L'!$C$38)+((M95+M205)*'Data - P&amp;L'!$C$38))*'Data - P&amp;L'!$C$55</f>
        <v>0</v>
      </c>
      <c r="N313" s="263">
        <f>(((N94+N204)*'Data - P&amp;L'!$C$38)+((N95+N205)*'Data - P&amp;L'!$C$38))*'Data - P&amp;L'!$C$55</f>
        <v>0</v>
      </c>
      <c r="O313" s="263">
        <f>(((O94+O204)*'Data - P&amp;L'!$C$38)+((O95+O205)*'Data - P&amp;L'!$C$38))*'Data - P&amp;L'!$C$55</f>
        <v>0</v>
      </c>
      <c r="P313" s="263">
        <f>(((P94+P204)*'Data - P&amp;L'!$C$38)+((P95+P205)*'Data - P&amp;L'!$C$38))*'Data - P&amp;L'!$C$55</f>
        <v>0</v>
      </c>
      <c r="Q313" s="263">
        <f>(((Q94+Q204)*'Data - P&amp;L'!$C$38)+((Q95+Q205)*'Data - P&amp;L'!$C$38))*'Data - P&amp;L'!$C$55</f>
        <v>0</v>
      </c>
      <c r="R313" s="263">
        <f>(((R94+R204)*'Data - P&amp;L'!$C$38)+((R95+R205)*'Data - P&amp;L'!$C$38))*'Data - P&amp;L'!$C$55</f>
        <v>0</v>
      </c>
      <c r="S313" s="263">
        <f>(((S94+S204)*'Data - P&amp;L'!$C$38)+((S95+S205)*'Data - P&amp;L'!$C$38))*'Data - P&amp;L'!$C$55</f>
        <v>0</v>
      </c>
      <c r="T313" s="263">
        <f>(((T94+T204)*'Data - P&amp;L'!$C$38)+((T95+T205)*'Data - P&amp;L'!$C$38))*'Data - P&amp;L'!$C$55</f>
        <v>0</v>
      </c>
      <c r="U313" s="263">
        <f>(((U94+U204)*'Data - P&amp;L'!$C$38)+((U95+U205)*'Data - P&amp;L'!$C$38))*'Data - P&amp;L'!$C$55</f>
        <v>0</v>
      </c>
      <c r="V313" s="263">
        <f>(((V94+V204)*'Data - P&amp;L'!$C$38)+((V95+V205)*'Data - P&amp;L'!$C$38))*'Data - P&amp;L'!$C$55</f>
        <v>0</v>
      </c>
      <c r="W313" s="263">
        <f>(((W94+W204)*'Data - P&amp;L'!$C$38)+((W95+W205)*'Data - P&amp;L'!$C$38))*'Data - P&amp;L'!$C$55</f>
        <v>0</v>
      </c>
      <c r="X313" s="263">
        <f>(((X94+X204)*'Data - P&amp;L'!$C$38)+((X95+X205)*'Data - P&amp;L'!$C$38))*'Data - P&amp;L'!$C$55</f>
        <v>0</v>
      </c>
      <c r="Y313" s="263">
        <f>(((Y94+Y204)*'Data - P&amp;L'!$C$38)+((Y95+Y205)*'Data - P&amp;L'!$C$38))*'Data - P&amp;L'!$C$55</f>
        <v>0</v>
      </c>
      <c r="Z313" s="263">
        <f>(((Z94+Z204)*'Data - P&amp;L'!$C$38)+((Z95+Z205)*'Data - P&amp;L'!$C$38))*'Data - P&amp;L'!$C$55</f>
        <v>0</v>
      </c>
      <c r="AA313" s="263">
        <f>(((AA94+AA204)*'Data - P&amp;L'!$C$38)+((AA95+AA205)*'Data - P&amp;L'!$C$38))*'Data - P&amp;L'!$C$55</f>
        <v>0</v>
      </c>
      <c r="AB313" s="263">
        <f>(((AB94+AB204)*'Data - P&amp;L'!$C$38)+((AB95+AB205)*'Data - P&amp;L'!$C$38))*'Data - P&amp;L'!$C$55</f>
        <v>0</v>
      </c>
      <c r="AC313" s="263">
        <f>(((AC94+AC204)*'Data - P&amp;L'!$C$38)+((AC95+AC205)*'Data - P&amp;L'!$C$38))*'Data - P&amp;L'!$C$55</f>
        <v>0</v>
      </c>
      <c r="AD313" s="263">
        <f>(((AD94+AD204)*'Data - P&amp;L'!$C$38)+((AD95+AD205)*'Data - P&amp;L'!$C$38))*'Data - P&amp;L'!$C$55</f>
        <v>0</v>
      </c>
      <c r="AE313" s="263">
        <f>(((AE94+AE204)*'Data - P&amp;L'!$C$38)+((AE95+AE205)*'Data - P&amp;L'!$C$38))*'Data - P&amp;L'!$C$55</f>
        <v>0</v>
      </c>
      <c r="AF313" s="263">
        <f>(((AF94+AF204)*'Data - P&amp;L'!$C$38)+((AF95+AF205)*'Data - P&amp;L'!$C$38))*'Data - P&amp;L'!$C$55</f>
        <v>0</v>
      </c>
      <c r="AG313" s="453">
        <f t="shared" si="73"/>
        <v>0</v>
      </c>
    </row>
    <row r="314" outlineLevel="1">
      <c r="A314" s="147" t="s">
        <v>461</v>
      </c>
      <c r="B314" s="263">
        <f>((B90+B91+B92+B93)*'Data - P&amp;L'!$C$34)+((B200+B201+B202+B203)*'Data - P&amp;L'!$C$34)</f>
        <v>0</v>
      </c>
      <c r="C314" s="263">
        <f>((C90+C91+C92+C93)*'Data - P&amp;L'!$C$34)+((C200+C201+C202+C203)*'Data - P&amp;L'!$C$34)</f>
        <v>0</v>
      </c>
      <c r="D314" s="263">
        <f>((D90+D91+D92+D93)*'Data - P&amp;L'!$C$34)+((D200+D201+D202+D203)*'Data - P&amp;L'!$C$34)</f>
        <v>0</v>
      </c>
      <c r="E314" s="263">
        <f>((E90+E91+E92+E93)*'Data - P&amp;L'!$C$34)+((E200+E201+E202+E203)*'Data - P&amp;L'!$C$34)</f>
        <v>0</v>
      </c>
      <c r="F314" s="263">
        <f>((F90+F91+F92+F93)*'Data - P&amp;L'!$C$34)+((F200+F201+F202+F203)*'Data - P&amp;L'!$C$34)</f>
        <v>0</v>
      </c>
      <c r="G314" s="263">
        <f>((G90+G91+G92+G93)*'Data - P&amp;L'!$C$34)+((G200+G201+G202+G203)*'Data - P&amp;L'!$C$34)</f>
        <v>0</v>
      </c>
      <c r="H314" s="263">
        <f>((H90+H91+H92+H93)*'Data - P&amp;L'!$C$34)+((H200+H201+H202+H203)*'Data - P&amp;L'!$C$34)</f>
        <v>0</v>
      </c>
      <c r="I314" s="263">
        <f>((I90+I91+I92+I93)*'Data - P&amp;L'!$C$34)+((I200+I201+I202+I203)*'Data - P&amp;L'!$C$34)</f>
        <v>0</v>
      </c>
      <c r="J314" s="263">
        <f>((J90+J91+J92+J93)*'Data - P&amp;L'!$C$34)+((J200+J201+J202+J203)*'Data - P&amp;L'!$C$34)</f>
        <v>0</v>
      </c>
      <c r="K314" s="263">
        <f>((K90+K91+K92+K93)*'Data - P&amp;L'!$C$34)+((K200+K201+K202+K203)*'Data - P&amp;L'!$C$34)</f>
        <v>0</v>
      </c>
      <c r="L314" s="263">
        <f>((L90+L91+L92+L93)*'Data - P&amp;L'!$C$34)+((L200+L201+L202+L203)*'Data - P&amp;L'!$C$34)</f>
        <v>0</v>
      </c>
      <c r="M314" s="263">
        <f>((M90+M91+M92+M93)*'Data - P&amp;L'!$C$34)+((M200+M201+M202+M203)*'Data - P&amp;L'!$C$34)</f>
        <v>0</v>
      </c>
      <c r="N314" s="263">
        <f>((N90+N91+N92+N93)*'Data - P&amp;L'!$C$34)+((N200+N201+N202+N203)*'Data - P&amp;L'!$C$34)</f>
        <v>0</v>
      </c>
      <c r="O314" s="263">
        <f>((O90+O91+O92+O93)*'Data - P&amp;L'!$C$34)+((O200+O201+O202+O203)*'Data - P&amp;L'!$C$34)</f>
        <v>0</v>
      </c>
      <c r="P314" s="263">
        <f>((P90+P91+P92+P93)*'Data - P&amp;L'!$C$34)+((P200+P201+P202+P203)*'Data - P&amp;L'!$C$34)</f>
        <v>0</v>
      </c>
      <c r="Q314" s="263">
        <f>((Q90+Q91+Q92+Q93)*'Data - P&amp;L'!$C$34)+((Q200+Q201+Q202+Q203)*'Data - P&amp;L'!$C$34)</f>
        <v>0</v>
      </c>
      <c r="R314" s="263">
        <f>((R90+R91+R92+R93)*'Data - P&amp;L'!$C$34)+((R200+R201+R202+R203)*'Data - P&amp;L'!$C$34)</f>
        <v>0</v>
      </c>
      <c r="S314" s="263">
        <f>((S90+S91+S92+S93)*'Data - P&amp;L'!$C$34)+((S200+S201+S202+S203)*'Data - P&amp;L'!$C$34)</f>
        <v>0</v>
      </c>
      <c r="T314" s="263">
        <f>((T90+T91+T92+T93)*'Data - P&amp;L'!$C$34)+((T200+T201+T202+T203)*'Data - P&amp;L'!$C$34)</f>
        <v>0</v>
      </c>
      <c r="U314" s="263">
        <f>((U90+U91+U92+U93)*'Data - P&amp;L'!$C$34)+((U200+U201+U202+U203)*'Data - P&amp;L'!$C$34)</f>
        <v>0</v>
      </c>
      <c r="V314" s="263">
        <f>((V90+V91+V92+V93)*'Data - P&amp;L'!$C$34)+((V200+V201+V202+V203)*'Data - P&amp;L'!$C$34)</f>
        <v>0</v>
      </c>
      <c r="W314" s="263">
        <f>((W90+W91+W92+W93)*'Data - P&amp;L'!$C$34)+((W200+W201+W202+W203)*'Data - P&amp;L'!$C$34)</f>
        <v>0</v>
      </c>
      <c r="X314" s="263">
        <f>((X90+X91+X92+X93)*'Data - P&amp;L'!$C$34)+((X200+X201+X202+X203)*'Data - P&amp;L'!$C$34)</f>
        <v>0</v>
      </c>
      <c r="Y314" s="263">
        <f>((Y90+Y91+Y92+Y93)*'Data - P&amp;L'!$C$34)+((Y200+Y201+Y202+Y203)*'Data - P&amp;L'!$C$34)</f>
        <v>0</v>
      </c>
      <c r="Z314" s="263">
        <f>((Z90+Z91+Z92+Z93)*'Data - P&amp;L'!$C$34)+((Z200+Z201+Z202+Z203)*'Data - P&amp;L'!$C$34)</f>
        <v>0</v>
      </c>
      <c r="AA314" s="263">
        <f>((AA90+AA91+AA92+AA93)*'Data - P&amp;L'!$C$34)+((AA200+AA201+AA202+AA203)*'Data - P&amp;L'!$C$34)</f>
        <v>0</v>
      </c>
      <c r="AB314" s="263">
        <f>((AB90+AB91+AB92+AB93)*'Data - P&amp;L'!$C$34)+((AB200+AB201+AB202+AB203)*'Data - P&amp;L'!$C$34)</f>
        <v>0</v>
      </c>
      <c r="AC314" s="263">
        <f>((AC90+AC91+AC92+AC93)*'Data - P&amp;L'!$C$34)+((AC200+AC201+AC202+AC203)*'Data - P&amp;L'!$C$34)</f>
        <v>0</v>
      </c>
      <c r="AD314" s="263">
        <f>((AD90+AD91+AD92+AD93)*'Data - P&amp;L'!$C$34)+((AD200+AD201+AD202+AD203)*'Data - P&amp;L'!$C$34)</f>
        <v>0</v>
      </c>
      <c r="AE314" s="263">
        <f>((AE90+AE91+AE92+AE93)*'Data - P&amp;L'!$C$34)+((AE200+AE201+AE202+AE203)*'Data - P&amp;L'!$C$34)</f>
        <v>0</v>
      </c>
      <c r="AF314" s="263">
        <f>((AF90+AF91+AF92+AF93)*'Data - P&amp;L'!$C$34)+((AF200+AF201+AF202+AF203)*'Data - P&amp;L'!$C$34)</f>
        <v>0</v>
      </c>
      <c r="AG314" s="453">
        <f t="shared" si="73"/>
        <v>0</v>
      </c>
    </row>
    <row r="315" outlineLevel="1">
      <c r="A315" s="147" t="s">
        <v>462</v>
      </c>
      <c r="B315" s="263">
        <f>((B191*'Data - P&amp;L'!$D$38)+(B206*'Data - P&amp;L'!$D$39))*'Data - P&amp;L'!$C$55</f>
        <v>0</v>
      </c>
      <c r="C315" s="263">
        <f>((C191*'Data - P&amp;L'!$D$38)+(C206*'Data - P&amp;L'!$D$39))*'Data - P&amp;L'!$C$55</f>
        <v>0</v>
      </c>
      <c r="D315" s="263">
        <f>((D191*'Data - P&amp;L'!$D$38)+(D206*'Data - P&amp;L'!$D$39))*'Data - P&amp;L'!$C$55</f>
        <v>0</v>
      </c>
      <c r="E315" s="263">
        <f>((E191*'Data - P&amp;L'!$D$38)+(E206*'Data - P&amp;L'!$D$39))*'Data - P&amp;L'!$C$55</f>
        <v>0</v>
      </c>
      <c r="F315" s="263">
        <f>((F191*'Data - P&amp;L'!$D$38)+(F206*'Data - P&amp;L'!$D$39))*'Data - P&amp;L'!$C$55</f>
        <v>0</v>
      </c>
      <c r="G315" s="263">
        <f>((G191*'Data - P&amp;L'!$D$38)+(G206*'Data - P&amp;L'!$D$39))*'Data - P&amp;L'!$C$55</f>
        <v>0</v>
      </c>
      <c r="H315" s="263">
        <f>((H191*'Data - P&amp;L'!$D$38)+(H206*'Data - P&amp;L'!$D$39))*'Data - P&amp;L'!$C$55</f>
        <v>0</v>
      </c>
      <c r="I315" s="263">
        <f>((I191*'Data - P&amp;L'!$D$38)+(I206*'Data - P&amp;L'!$D$39))*'Data - P&amp;L'!$C$55</f>
        <v>0</v>
      </c>
      <c r="J315" s="263">
        <f>((J191*'Data - P&amp;L'!$D$38)+(J206*'Data - P&amp;L'!$D$39))*'Data - P&amp;L'!$C$55</f>
        <v>0</v>
      </c>
      <c r="K315" s="263">
        <f>((K191*'Data - P&amp;L'!$D$38)+(K206*'Data - P&amp;L'!$D$39))*'Data - P&amp;L'!$C$55</f>
        <v>0</v>
      </c>
      <c r="L315" s="263">
        <f>((L191*'Data - P&amp;L'!$D$38)+(L206*'Data - P&amp;L'!$D$39))*'Data - P&amp;L'!$C$55</f>
        <v>0</v>
      </c>
      <c r="M315" s="263">
        <f>((M191*'Data - P&amp;L'!$D$38)+(M206*'Data - P&amp;L'!$D$39))*'Data - P&amp;L'!$C$55</f>
        <v>0</v>
      </c>
      <c r="N315" s="263">
        <f>((N191*'Data - P&amp;L'!$D$38)+(N206*'Data - P&amp;L'!$D$39))*'Data - P&amp;L'!$C$55</f>
        <v>0</v>
      </c>
      <c r="O315" s="263">
        <f>((O191*'Data - P&amp;L'!$D$38)+(O206*'Data - P&amp;L'!$D$39))*'Data - P&amp;L'!$C$55</f>
        <v>0</v>
      </c>
      <c r="P315" s="263">
        <f>((P191*'Data - P&amp;L'!$D$38)+(P206*'Data - P&amp;L'!$D$39))*'Data - P&amp;L'!$C$55</f>
        <v>0</v>
      </c>
      <c r="Q315" s="263">
        <f>((Q191*'Data - P&amp;L'!$D$38)+(Q206*'Data - P&amp;L'!$D$39))*'Data - P&amp;L'!$C$55</f>
        <v>0</v>
      </c>
      <c r="R315" s="263">
        <f>((R191*'Data - P&amp;L'!$D$38)+(R206*'Data - P&amp;L'!$D$39))*'Data - P&amp;L'!$C$55</f>
        <v>0</v>
      </c>
      <c r="S315" s="263">
        <f>((S191*'Data - P&amp;L'!$D$38)+(S206*'Data - P&amp;L'!$D$39))*'Data - P&amp;L'!$C$55</f>
        <v>0</v>
      </c>
      <c r="T315" s="263">
        <f>((T191*'Data - P&amp;L'!$D$38)+(T206*'Data - P&amp;L'!$D$39))*'Data - P&amp;L'!$C$55</f>
        <v>0</v>
      </c>
      <c r="U315" s="263">
        <f>((U191*'Data - P&amp;L'!$D$38)+(U206*'Data - P&amp;L'!$D$39))*'Data - P&amp;L'!$C$55</f>
        <v>0</v>
      </c>
      <c r="V315" s="263">
        <f>((V191*'Data - P&amp;L'!$D$38)+(V206*'Data - P&amp;L'!$D$39))*'Data - P&amp;L'!$C$55</f>
        <v>0</v>
      </c>
      <c r="W315" s="263">
        <f>((W191*'Data - P&amp;L'!$D$38)+(W206*'Data - P&amp;L'!$D$39))*'Data - P&amp;L'!$C$55</f>
        <v>0</v>
      </c>
      <c r="X315" s="263">
        <f>((X191*'Data - P&amp;L'!$D$38)+(X206*'Data - P&amp;L'!$D$39))*'Data - P&amp;L'!$C$55</f>
        <v>0</v>
      </c>
      <c r="Y315" s="263">
        <f>((Y191*'Data - P&amp;L'!$D$38)+(Y206*'Data - P&amp;L'!$D$39))*'Data - P&amp;L'!$C$55</f>
        <v>0</v>
      </c>
      <c r="Z315" s="263">
        <f>((Z191*'Data - P&amp;L'!$D$38)+(Z206*'Data - P&amp;L'!$D$39))*'Data - P&amp;L'!$C$55</f>
        <v>0</v>
      </c>
      <c r="AA315" s="263">
        <f>((AA191*'Data - P&amp;L'!$D$38)+(AA206*'Data - P&amp;L'!$D$39))*'Data - P&amp;L'!$C$55</f>
        <v>0</v>
      </c>
      <c r="AB315" s="263">
        <f>((AB191*'Data - P&amp;L'!$D$38)+(AB206*'Data - P&amp;L'!$D$39))*'Data - P&amp;L'!$C$55</f>
        <v>0</v>
      </c>
      <c r="AC315" s="263">
        <f>((AC191*'Data - P&amp;L'!$D$38)+(AC206*'Data - P&amp;L'!$D$39))*'Data - P&amp;L'!$C$55</f>
        <v>0</v>
      </c>
      <c r="AD315" s="263">
        <f>((AD191*'Data - P&amp;L'!$D$38)+(AD206*'Data - P&amp;L'!$D$39))*'Data - P&amp;L'!$C$55</f>
        <v>0</v>
      </c>
      <c r="AE315" s="263">
        <f>((AE191*'Data - P&amp;L'!$D$38)+(AE206*'Data - P&amp;L'!$D$39))*'Data - P&amp;L'!$C$55</f>
        <v>0</v>
      </c>
      <c r="AF315" s="263">
        <f>((AF191*'Data - P&amp;L'!$D$38)+(AF206*'Data - P&amp;L'!$D$39))*'Data - P&amp;L'!$C$55</f>
        <v>0</v>
      </c>
      <c r="AG315" s="453">
        <f t="shared" si="73"/>
        <v>0</v>
      </c>
    </row>
    <row r="316" outlineLevel="1">
      <c r="A316" s="147" t="s">
        <v>463</v>
      </c>
      <c r="B316" s="263">
        <f>(B105*'Data - P&amp;L'!$D$34)+(B215*'Data - P&amp;L'!$D$34)</f>
        <v>0</v>
      </c>
      <c r="C316" s="263">
        <f>(C105*'Data - P&amp;L'!$D$34)+(C215*'Data - P&amp;L'!$D$34)</f>
        <v>0</v>
      </c>
      <c r="D316" s="263">
        <f>(D105*'Data - P&amp;L'!$D$34)+(D215*'Data - P&amp;L'!$D$34)</f>
        <v>0</v>
      </c>
      <c r="E316" s="263">
        <f>(E105*'Data - P&amp;L'!$D$34)+(E215*'Data - P&amp;L'!$D$34)</f>
        <v>0</v>
      </c>
      <c r="F316" s="263">
        <f>(F105*'Data - P&amp;L'!$D$34)+(F215*'Data - P&amp;L'!$D$34)</f>
        <v>0</v>
      </c>
      <c r="G316" s="263">
        <f>(G105*'Data - P&amp;L'!$D$34)+(G215*'Data - P&amp;L'!$D$34)</f>
        <v>0</v>
      </c>
      <c r="H316" s="263">
        <f>(H105*'Data - P&amp;L'!$D$34)+(H215*'Data - P&amp;L'!$D$34)</f>
        <v>0</v>
      </c>
      <c r="I316" s="263">
        <f>(I105*'Data - P&amp;L'!$D$34)+(I215*'Data - P&amp;L'!$D$34)</f>
        <v>0</v>
      </c>
      <c r="J316" s="263">
        <f>(J105*'Data - P&amp;L'!$D$34)+(J215*'Data - P&amp;L'!$D$34)</f>
        <v>0</v>
      </c>
      <c r="K316" s="263">
        <f>(K105*'Data - P&amp;L'!$D$34)+(K215*'Data - P&amp;L'!$D$34)</f>
        <v>0</v>
      </c>
      <c r="L316" s="263">
        <f>(L105*'Data - P&amp;L'!$D$34)+(L215*'Data - P&amp;L'!$D$34)</f>
        <v>0</v>
      </c>
      <c r="M316" s="263">
        <f>(M105*'Data - P&amp;L'!$D$34)+(M215*'Data - P&amp;L'!$D$34)</f>
        <v>0</v>
      </c>
      <c r="N316" s="263">
        <f>(N105*'Data - P&amp;L'!$D$34)+(N215*'Data - P&amp;L'!$D$34)</f>
        <v>0</v>
      </c>
      <c r="O316" s="263">
        <f>(O105*'Data - P&amp;L'!$D$34)+(O215*'Data - P&amp;L'!$D$34)</f>
        <v>0</v>
      </c>
      <c r="P316" s="263">
        <f>(P105*'Data - P&amp;L'!$D$34)+(P215*'Data - P&amp;L'!$D$34)</f>
        <v>0</v>
      </c>
      <c r="Q316" s="263">
        <f>(Q105*'Data - P&amp;L'!$D$34)+(Q215*'Data - P&amp;L'!$D$34)</f>
        <v>0</v>
      </c>
      <c r="R316" s="263">
        <f>(R105*'Data - P&amp;L'!$D$34)+(R215*'Data - P&amp;L'!$D$34)</f>
        <v>0</v>
      </c>
      <c r="S316" s="263">
        <f>(S105*'Data - P&amp;L'!$D$34)+(S215*'Data - P&amp;L'!$D$34)</f>
        <v>0</v>
      </c>
      <c r="T316" s="263">
        <f>(T105*'Data - P&amp;L'!$D$34)+(T215*'Data - P&amp;L'!$D$34)</f>
        <v>0</v>
      </c>
      <c r="U316" s="263">
        <f>(U105*'Data - P&amp;L'!$D$34)+(U215*'Data - P&amp;L'!$D$34)</f>
        <v>0</v>
      </c>
      <c r="V316" s="263">
        <f>(V105*'Data - P&amp;L'!$D$34)+(V215*'Data - P&amp;L'!$D$34)</f>
        <v>0</v>
      </c>
      <c r="W316" s="263">
        <f>(W105*'Data - P&amp;L'!$D$34)+(W215*'Data - P&amp;L'!$D$34)</f>
        <v>0</v>
      </c>
      <c r="X316" s="263">
        <f>(X105*'Data - P&amp;L'!$D$34)+(X215*'Data - P&amp;L'!$D$34)</f>
        <v>0</v>
      </c>
      <c r="Y316" s="263">
        <f>(Y105*'Data - P&amp;L'!$D$34)+(Y215*'Data - P&amp;L'!$D$34)</f>
        <v>0</v>
      </c>
      <c r="Z316" s="263">
        <f>(Z105*'Data - P&amp;L'!$D$34)+(Z215*'Data - P&amp;L'!$D$34)</f>
        <v>0</v>
      </c>
      <c r="AA316" s="263">
        <f>(AA105*'Data - P&amp;L'!$D$34)+(AA215*'Data - P&amp;L'!$D$34)</f>
        <v>0</v>
      </c>
      <c r="AB316" s="263">
        <f>(AB105*'Data - P&amp;L'!$D$34)+(AB215*'Data - P&amp;L'!$D$34)</f>
        <v>0</v>
      </c>
      <c r="AC316" s="263">
        <f>(AC105*'Data - P&amp;L'!$D$34)+(AC215*'Data - P&amp;L'!$D$34)</f>
        <v>0</v>
      </c>
      <c r="AD316" s="263">
        <f>(AD105*'Data - P&amp;L'!$D$34)+(AD215*'Data - P&amp;L'!$D$34)</f>
        <v>0</v>
      </c>
      <c r="AE316" s="263">
        <f>(AE105*'Data - P&amp;L'!$D$34)+(AE215*'Data - P&amp;L'!$D$34)</f>
        <v>0</v>
      </c>
      <c r="AF316" s="263">
        <f>(AF105*'Data - P&amp;L'!$D$34)+(AF215*'Data - P&amp;L'!$D$34)</f>
        <v>0</v>
      </c>
      <c r="AG316" s="453">
        <f t="shared" si="73"/>
        <v>0</v>
      </c>
    </row>
    <row r="317" outlineLevel="1">
      <c r="A317" s="459" t="s">
        <v>464</v>
      </c>
      <c r="B317" s="460"/>
      <c r="C317" s="460"/>
      <c r="D317" s="460"/>
      <c r="E317" s="460"/>
      <c r="F317" s="460"/>
      <c r="G317" s="460"/>
      <c r="H317" s="460"/>
      <c r="I317" s="460"/>
      <c r="J317" s="460"/>
      <c r="K317" s="460"/>
      <c r="L317" s="460"/>
      <c r="M317" s="460"/>
      <c r="N317" s="460"/>
      <c r="O317" s="460"/>
      <c r="P317" s="460"/>
      <c r="Q317" s="460"/>
      <c r="R317" s="460"/>
      <c r="S317" s="460"/>
      <c r="T317" s="460"/>
      <c r="U317" s="460"/>
      <c r="V317" s="460"/>
      <c r="W317" s="460"/>
      <c r="X317" s="460"/>
      <c r="Y317" s="460"/>
      <c r="Z317" s="460"/>
      <c r="AA317" s="460"/>
      <c r="AB317" s="460"/>
      <c r="AC317" s="460"/>
      <c r="AD317" s="460"/>
      <c r="AE317" s="460"/>
      <c r="AF317" s="460"/>
      <c r="AG317" s="458"/>
    </row>
    <row r="318" outlineLevel="1">
      <c r="A318" s="147" t="s">
        <v>465</v>
      </c>
      <c r="B318" s="457"/>
      <c r="C318" s="457"/>
      <c r="D318" s="457"/>
      <c r="E318" s="457"/>
      <c r="F318" s="457"/>
      <c r="G318" s="457"/>
      <c r="H318" s="457"/>
      <c r="I318" s="457"/>
      <c r="J318" s="457"/>
      <c r="K318" s="457"/>
      <c r="L318" s="457"/>
      <c r="M318" s="457"/>
      <c r="N318" s="457"/>
      <c r="O318" s="457"/>
      <c r="P318" s="457"/>
      <c r="Q318" s="457"/>
      <c r="R318" s="457"/>
      <c r="S318" s="457"/>
      <c r="T318" s="457"/>
      <c r="U318" s="457"/>
      <c r="V318" s="457"/>
      <c r="W318" s="457"/>
      <c r="X318" s="457"/>
      <c r="Y318" s="457"/>
      <c r="Z318" s="457"/>
      <c r="AA318" s="457"/>
      <c r="AB318" s="457"/>
      <c r="AC318" s="457"/>
      <c r="AD318" s="457"/>
      <c r="AE318" s="457"/>
      <c r="AF318" s="457"/>
      <c r="AG318" s="453"/>
    </row>
    <row r="319" outlineLevel="1">
      <c r="A319" s="147" t="s">
        <v>466</v>
      </c>
      <c r="B319" s="457"/>
      <c r="C319" s="457"/>
      <c r="D319" s="457"/>
      <c r="E319" s="457"/>
      <c r="F319" s="457"/>
      <c r="G319" s="457"/>
      <c r="H319" s="457"/>
      <c r="I319" s="457"/>
      <c r="J319" s="457"/>
      <c r="K319" s="457"/>
      <c r="L319" s="457"/>
      <c r="M319" s="457"/>
      <c r="N319" s="457"/>
      <c r="O319" s="457"/>
      <c r="P319" s="457"/>
      <c r="Q319" s="457"/>
      <c r="R319" s="457"/>
      <c r="S319" s="457"/>
      <c r="T319" s="457"/>
      <c r="U319" s="457"/>
      <c r="V319" s="457"/>
      <c r="W319" s="457"/>
      <c r="X319" s="457"/>
      <c r="Y319" s="457"/>
      <c r="Z319" s="457"/>
      <c r="AA319" s="457"/>
      <c r="AB319" s="457"/>
      <c r="AC319" s="457"/>
      <c r="AD319" s="457"/>
      <c r="AE319" s="457"/>
      <c r="AF319" s="457"/>
      <c r="AG319" s="453"/>
    </row>
    <row r="320" outlineLevel="1">
      <c r="A320" s="455" t="s">
        <v>467</v>
      </c>
      <c r="B320" s="461"/>
      <c r="C320" s="461"/>
      <c r="D320" s="461"/>
      <c r="E320" s="461"/>
      <c r="F320" s="461"/>
      <c r="G320" s="461"/>
      <c r="H320" s="461"/>
      <c r="I320" s="461"/>
      <c r="J320" s="461"/>
      <c r="K320" s="461"/>
      <c r="L320" s="461"/>
      <c r="M320" s="461"/>
      <c r="N320" s="461"/>
      <c r="O320" s="461"/>
      <c r="P320" s="461"/>
      <c r="Q320" s="461"/>
      <c r="R320" s="461"/>
      <c r="S320" s="461"/>
      <c r="T320" s="461"/>
      <c r="U320" s="461"/>
      <c r="V320" s="461"/>
      <c r="W320" s="461"/>
      <c r="X320" s="461"/>
      <c r="Y320" s="461"/>
      <c r="Z320" s="461"/>
      <c r="AA320" s="461"/>
      <c r="AB320" s="461"/>
      <c r="AC320" s="461"/>
      <c r="AD320" s="461"/>
      <c r="AE320" s="461"/>
      <c r="AF320" s="461"/>
      <c r="AG320" s="453"/>
    </row>
    <row r="321">
      <c r="A321" s="86"/>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263"/>
      <c r="Z321" s="263"/>
      <c r="AA321" s="263"/>
      <c r="AB321" s="263"/>
      <c r="AC321" s="263"/>
      <c r="AD321" s="263"/>
      <c r="AE321" s="263"/>
      <c r="AF321" s="263"/>
      <c r="AG321" s="453"/>
    </row>
    <row r="322">
      <c r="A322" s="284" t="s">
        <v>781</v>
      </c>
      <c r="B322" s="462">
        <f t="shared" ref="B322:AF322" si="74">B275+B287</f>
        <v>0</v>
      </c>
      <c r="C322" s="462">
        <f t="shared" si="74"/>
        <v>0</v>
      </c>
      <c r="D322" s="462">
        <f t="shared" si="74"/>
        <v>0</v>
      </c>
      <c r="E322" s="462">
        <f t="shared" si="74"/>
        <v>0</v>
      </c>
      <c r="F322" s="462">
        <f t="shared" si="74"/>
        <v>0</v>
      </c>
      <c r="G322" s="462">
        <f t="shared" si="74"/>
        <v>0</v>
      </c>
      <c r="H322" s="462">
        <f t="shared" si="74"/>
        <v>0</v>
      </c>
      <c r="I322" s="462">
        <f t="shared" si="74"/>
        <v>0</v>
      </c>
      <c r="J322" s="462">
        <f t="shared" si="74"/>
        <v>0</v>
      </c>
      <c r="K322" s="462">
        <f t="shared" si="74"/>
        <v>0</v>
      </c>
      <c r="L322" s="462">
        <f t="shared" si="74"/>
        <v>0</v>
      </c>
      <c r="M322" s="462">
        <f t="shared" si="74"/>
        <v>0</v>
      </c>
      <c r="N322" s="462">
        <f t="shared" si="74"/>
        <v>0</v>
      </c>
      <c r="O322" s="462">
        <f t="shared" si="74"/>
        <v>0</v>
      </c>
      <c r="P322" s="462">
        <f t="shared" si="74"/>
        <v>0</v>
      </c>
      <c r="Q322" s="462">
        <f t="shared" si="74"/>
        <v>0</v>
      </c>
      <c r="R322" s="462">
        <f t="shared" si="74"/>
        <v>0</v>
      </c>
      <c r="S322" s="462">
        <f t="shared" si="74"/>
        <v>0</v>
      </c>
      <c r="T322" s="462">
        <f t="shared" si="74"/>
        <v>0</v>
      </c>
      <c r="U322" s="462">
        <f t="shared" si="74"/>
        <v>0</v>
      </c>
      <c r="V322" s="462">
        <f t="shared" si="74"/>
        <v>0</v>
      </c>
      <c r="W322" s="462">
        <f t="shared" si="74"/>
        <v>0</v>
      </c>
      <c r="X322" s="462">
        <f t="shared" si="74"/>
        <v>0</v>
      </c>
      <c r="Y322" s="462">
        <f t="shared" si="74"/>
        <v>299.99</v>
      </c>
      <c r="Z322" s="462">
        <f t="shared" si="74"/>
        <v>0</v>
      </c>
      <c r="AA322" s="462">
        <f t="shared" si="74"/>
        <v>0</v>
      </c>
      <c r="AB322" s="462">
        <f t="shared" si="74"/>
        <v>0</v>
      </c>
      <c r="AC322" s="462">
        <f t="shared" si="74"/>
        <v>0</v>
      </c>
      <c r="AD322" s="462">
        <f t="shared" si="74"/>
        <v>0</v>
      </c>
      <c r="AE322" s="462">
        <f t="shared" si="74"/>
        <v>0</v>
      </c>
      <c r="AF322" s="462">
        <f t="shared" si="74"/>
        <v>0</v>
      </c>
      <c r="AG322" s="303">
        <f>SUM(B322:AF322)</f>
        <v>299.99</v>
      </c>
    </row>
    <row r="323">
      <c r="A323" s="166"/>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263"/>
      <c r="Z323" s="263"/>
      <c r="AA323" s="263"/>
      <c r="AB323" s="263"/>
      <c r="AC323" s="263"/>
      <c r="AD323" s="263"/>
      <c r="AE323" s="263"/>
      <c r="AF323" s="263"/>
      <c r="AG323" s="453"/>
    </row>
    <row r="324">
      <c r="A324" s="223" t="s">
        <v>414</v>
      </c>
      <c r="B324" s="463">
        <f t="shared" ref="B324:AF324" si="75">B265+B276+B288-B303</f>
        <v>0</v>
      </c>
      <c r="C324" s="463">
        <f t="shared" si="75"/>
        <v>0</v>
      </c>
      <c r="D324" s="463">
        <f t="shared" si="75"/>
        <v>0</v>
      </c>
      <c r="E324" s="463">
        <f t="shared" si="75"/>
        <v>0</v>
      </c>
      <c r="F324" s="463">
        <f t="shared" si="75"/>
        <v>0</v>
      </c>
      <c r="G324" s="463">
        <f t="shared" si="75"/>
        <v>0</v>
      </c>
      <c r="H324" s="463">
        <f t="shared" si="75"/>
        <v>0</v>
      </c>
      <c r="I324" s="463">
        <f t="shared" si="75"/>
        <v>6</v>
      </c>
      <c r="J324" s="463">
        <f t="shared" si="75"/>
        <v>0</v>
      </c>
      <c r="K324" s="463">
        <f t="shared" si="75"/>
        <v>0</v>
      </c>
      <c r="L324" s="463">
        <f t="shared" si="75"/>
        <v>0</v>
      </c>
      <c r="M324" s="463">
        <f t="shared" si="75"/>
        <v>0</v>
      </c>
      <c r="N324" s="463">
        <f t="shared" si="75"/>
        <v>0</v>
      </c>
      <c r="O324" s="463">
        <f t="shared" si="75"/>
        <v>0</v>
      </c>
      <c r="P324" s="463">
        <f t="shared" si="75"/>
        <v>0</v>
      </c>
      <c r="Q324" s="463">
        <f t="shared" si="75"/>
        <v>0</v>
      </c>
      <c r="R324" s="463">
        <f t="shared" si="75"/>
        <v>0</v>
      </c>
      <c r="S324" s="463">
        <f t="shared" si="75"/>
        <v>0</v>
      </c>
      <c r="T324" s="463">
        <f t="shared" si="75"/>
        <v>0</v>
      </c>
      <c r="U324" s="463">
        <f t="shared" si="75"/>
        <v>0</v>
      </c>
      <c r="V324" s="463">
        <f t="shared" si="75"/>
        <v>0</v>
      </c>
      <c r="W324" s="463">
        <f t="shared" si="75"/>
        <v>0</v>
      </c>
      <c r="X324" s="463">
        <f t="shared" si="75"/>
        <v>0</v>
      </c>
      <c r="Y324" s="463">
        <f t="shared" si="75"/>
        <v>-202.38</v>
      </c>
      <c r="Z324" s="463">
        <f t="shared" si="75"/>
        <v>0</v>
      </c>
      <c r="AA324" s="463">
        <f t="shared" si="75"/>
        <v>0</v>
      </c>
      <c r="AB324" s="463">
        <f t="shared" si="75"/>
        <v>0</v>
      </c>
      <c r="AC324" s="463">
        <f t="shared" si="75"/>
        <v>0</v>
      </c>
      <c r="AD324" s="463">
        <f t="shared" si="75"/>
        <v>0</v>
      </c>
      <c r="AE324" s="463">
        <f t="shared" si="75"/>
        <v>0</v>
      </c>
      <c r="AF324" s="463">
        <f t="shared" si="75"/>
        <v>0</v>
      </c>
      <c r="AG324" s="303">
        <f>SUM(B324:AF324)</f>
        <v>-196.38</v>
      </c>
    </row>
    <row r="325">
      <c r="A325" s="86"/>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263"/>
      <c r="Z325" s="263"/>
      <c r="AA325" s="263"/>
      <c r="AB325" s="263"/>
      <c r="AC325" s="263"/>
      <c r="AD325" s="263"/>
      <c r="AE325" s="263"/>
      <c r="AF325" s="263"/>
      <c r="AG325" s="453"/>
    </row>
    <row r="326">
      <c r="A326" s="464" t="s">
        <v>782</v>
      </c>
      <c r="B326" s="267"/>
      <c r="C326" s="267"/>
      <c r="D326" s="267"/>
      <c r="E326" s="267"/>
      <c r="F326" s="267"/>
      <c r="G326" s="267"/>
      <c r="H326" s="267"/>
      <c r="I326" s="267"/>
      <c r="J326" s="267"/>
      <c r="K326" s="267"/>
      <c r="L326" s="267"/>
      <c r="M326" s="267"/>
      <c r="N326" s="267"/>
      <c r="O326" s="267"/>
      <c r="P326" s="267"/>
      <c r="Q326" s="267"/>
      <c r="R326" s="267"/>
      <c r="S326" s="267"/>
      <c r="T326" s="267"/>
      <c r="U326" s="267"/>
      <c r="V326" s="267"/>
      <c r="W326" s="267"/>
      <c r="X326" s="267"/>
      <c r="Y326" s="267"/>
      <c r="Z326" s="267"/>
      <c r="AA326" s="267"/>
      <c r="AB326" s="267"/>
      <c r="AC326" s="267"/>
      <c r="AD326" s="267"/>
      <c r="AE326" s="267"/>
      <c r="AF326" s="267"/>
      <c r="AG326" s="453"/>
    </row>
    <row r="327">
      <c r="A327" s="269">
        <f>SUM(AG4+AG116)</f>
        <v>8914.412022</v>
      </c>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263"/>
      <c r="Z327" s="263"/>
      <c r="AA327" s="263"/>
      <c r="AB327" s="263"/>
      <c r="AC327" s="263"/>
      <c r="AD327" s="263"/>
      <c r="AE327" s="263"/>
      <c r="AF327" s="263"/>
      <c r="AG327" s="453"/>
    </row>
    <row r="328">
      <c r="A328" s="464" t="s">
        <v>783</v>
      </c>
      <c r="B328" s="267">
        <f t="shared" ref="B328:AF328" si="76">(B4+B116)-B262</f>
        <v>184.5362456</v>
      </c>
      <c r="C328" s="267">
        <f t="shared" si="76"/>
        <v>219.0543328</v>
      </c>
      <c r="D328" s="267">
        <f t="shared" si="76"/>
        <v>276.8043684</v>
      </c>
      <c r="E328" s="267">
        <f t="shared" si="76"/>
        <v>92.2681228</v>
      </c>
      <c r="F328" s="267">
        <f t="shared" si="76"/>
        <v>0</v>
      </c>
      <c r="G328" s="267">
        <f t="shared" si="76"/>
        <v>0</v>
      </c>
      <c r="H328" s="267">
        <f t="shared" si="76"/>
        <v>132.7643684</v>
      </c>
      <c r="I328" s="267">
        <f t="shared" si="76"/>
        <v>276.8043684</v>
      </c>
      <c r="J328" s="267">
        <f t="shared" si="76"/>
        <v>184.5362456</v>
      </c>
      <c r="K328" s="267">
        <f t="shared" si="76"/>
        <v>92.2681228</v>
      </c>
      <c r="L328" s="267">
        <f t="shared" si="76"/>
        <v>-32.3418772</v>
      </c>
      <c r="M328" s="267">
        <f t="shared" si="76"/>
        <v>92.2681228</v>
      </c>
      <c r="N328" s="267">
        <f t="shared" si="76"/>
        <v>0</v>
      </c>
      <c r="O328" s="267">
        <f t="shared" si="76"/>
        <v>0</v>
      </c>
      <c r="P328" s="267">
        <f t="shared" si="76"/>
        <v>0</v>
      </c>
      <c r="Q328" s="267">
        <f t="shared" si="76"/>
        <v>92.2681228</v>
      </c>
      <c r="R328" s="267">
        <f t="shared" si="76"/>
        <v>0</v>
      </c>
      <c r="S328" s="267">
        <f t="shared" si="76"/>
        <v>0</v>
      </c>
      <c r="T328" s="267">
        <f t="shared" si="76"/>
        <v>184.5362456</v>
      </c>
      <c r="U328" s="267">
        <f t="shared" si="76"/>
        <v>0</v>
      </c>
      <c r="V328" s="267">
        <f t="shared" si="76"/>
        <v>0</v>
      </c>
      <c r="W328" s="267">
        <f t="shared" si="76"/>
        <v>0</v>
      </c>
      <c r="X328" s="267">
        <f t="shared" si="76"/>
        <v>92.2681228</v>
      </c>
      <c r="Y328" s="267">
        <f t="shared" si="76"/>
        <v>0</v>
      </c>
      <c r="Z328" s="267">
        <f t="shared" si="76"/>
        <v>0</v>
      </c>
      <c r="AA328" s="267">
        <f t="shared" si="76"/>
        <v>0</v>
      </c>
      <c r="AB328" s="267">
        <f t="shared" si="76"/>
        <v>276.8043684</v>
      </c>
      <c r="AC328" s="267">
        <f t="shared" si="76"/>
        <v>92.2681228</v>
      </c>
      <c r="AD328" s="267">
        <f t="shared" si="76"/>
        <v>0</v>
      </c>
      <c r="AE328" s="267">
        <f t="shared" si="76"/>
        <v>0</v>
      </c>
      <c r="AF328" s="267">
        <f t="shared" si="76"/>
        <v>92.2681228</v>
      </c>
      <c r="AG328" s="303"/>
    </row>
    <row r="329">
      <c r="A329" s="465">
        <f>SUM(B328:AF328)</f>
        <v>2349.375526</v>
      </c>
      <c r="B329" s="272"/>
      <c r="C329" s="272"/>
      <c r="D329" s="272"/>
      <c r="E329" s="272"/>
      <c r="F329" s="272"/>
      <c r="G329" s="272"/>
      <c r="H329" s="272"/>
      <c r="I329" s="272"/>
      <c r="J329" s="272"/>
      <c r="K329" s="272"/>
      <c r="L329" s="272"/>
      <c r="M329" s="272"/>
      <c r="N329" s="272"/>
      <c r="O329" s="272"/>
      <c r="P329" s="272"/>
      <c r="Q329" s="272"/>
      <c r="R329" s="272"/>
      <c r="S329" s="272"/>
      <c r="T329" s="272"/>
      <c r="U329" s="272"/>
      <c r="V329" s="272"/>
      <c r="W329" s="272"/>
      <c r="X329" s="272"/>
      <c r="Y329" s="272"/>
      <c r="Z329" s="272"/>
      <c r="AA329" s="272"/>
      <c r="AB329" s="272"/>
      <c r="AC329" s="272"/>
      <c r="AD329" s="272"/>
      <c r="AE329" s="272"/>
      <c r="AF329" s="272"/>
      <c r="AG329" s="453"/>
    </row>
    <row r="330">
      <c r="A330" s="466" t="s">
        <v>784</v>
      </c>
      <c r="B330" s="467"/>
      <c r="C330" s="467"/>
      <c r="D330" s="467"/>
      <c r="E330" s="467"/>
      <c r="F330" s="467"/>
      <c r="G330" s="467"/>
      <c r="H330" s="467"/>
      <c r="I330" s="467"/>
      <c r="J330" s="467"/>
      <c r="K330" s="467"/>
      <c r="L330" s="467"/>
      <c r="M330" s="467"/>
      <c r="N330" s="467"/>
      <c r="O330" s="467"/>
      <c r="P330" s="467"/>
      <c r="Q330" s="467"/>
      <c r="R330" s="467"/>
      <c r="S330" s="467"/>
      <c r="T330" s="467"/>
      <c r="U330" s="467"/>
      <c r="V330" s="467"/>
      <c r="W330" s="467"/>
      <c r="X330" s="467"/>
      <c r="Y330" s="467"/>
      <c r="Z330" s="467"/>
      <c r="AA330" s="467"/>
      <c r="AB330" s="467"/>
      <c r="AC330" s="467"/>
      <c r="AD330" s="467"/>
      <c r="AE330" s="467"/>
      <c r="AF330" s="467"/>
      <c r="AG330" s="453"/>
    </row>
    <row r="331">
      <c r="A331" s="468">
        <f>A329/A327</f>
        <v>0.2635480074</v>
      </c>
      <c r="B331" s="469"/>
      <c r="C331" s="469"/>
      <c r="D331" s="469"/>
      <c r="E331" s="469"/>
      <c r="F331" s="469"/>
      <c r="G331" s="469"/>
      <c r="H331" s="469"/>
      <c r="I331" s="469"/>
      <c r="J331" s="469"/>
      <c r="K331" s="469"/>
      <c r="L331" s="469"/>
      <c r="M331" s="469"/>
      <c r="N331" s="469"/>
      <c r="O331" s="469"/>
      <c r="P331" s="469"/>
      <c r="Q331" s="469"/>
      <c r="R331" s="469"/>
      <c r="S331" s="469"/>
      <c r="T331" s="469"/>
      <c r="U331" s="469"/>
      <c r="V331" s="469"/>
      <c r="W331" s="469"/>
      <c r="X331" s="469"/>
      <c r="Y331" s="469"/>
      <c r="Z331" s="469"/>
      <c r="AA331" s="469"/>
      <c r="AB331" s="469"/>
      <c r="AC331" s="469"/>
      <c r="AD331" s="469"/>
      <c r="AE331" s="469"/>
      <c r="AF331" s="469"/>
      <c r="AG331" s="453"/>
    </row>
    <row r="332">
      <c r="A332" s="84"/>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263"/>
      <c r="Z332" s="263"/>
      <c r="AA332" s="263"/>
      <c r="AB332" s="263"/>
      <c r="AC332" s="263"/>
      <c r="AD332" s="263"/>
      <c r="AE332" s="263"/>
      <c r="AF332" s="263"/>
      <c r="AG332" s="453"/>
    </row>
    <row r="333">
      <c r="A333" s="84"/>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263"/>
      <c r="Z333" s="263"/>
      <c r="AA333" s="263"/>
      <c r="AB333" s="263"/>
      <c r="AC333" s="263"/>
      <c r="AD333" s="263"/>
      <c r="AE333" s="263"/>
      <c r="AF333" s="263"/>
      <c r="AG333" s="453"/>
    </row>
    <row r="334">
      <c r="A334" s="470" t="s">
        <v>415</v>
      </c>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263"/>
      <c r="Z334" s="263"/>
      <c r="AA334" s="263"/>
      <c r="AB334" s="263"/>
      <c r="AC334" s="263"/>
      <c r="AD334" s="263"/>
      <c r="AE334" s="263"/>
      <c r="AF334" s="263"/>
      <c r="AG334" s="453"/>
    </row>
    <row r="335">
      <c r="A335" s="269">
        <f>A327</f>
        <v>8914.412022</v>
      </c>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263"/>
      <c r="Z335" s="263"/>
      <c r="AA335" s="263"/>
      <c r="AB335" s="263"/>
      <c r="AC335" s="263"/>
      <c r="AD335" s="263"/>
      <c r="AE335" s="263"/>
      <c r="AF335" s="263"/>
      <c r="AG335" s="453"/>
    </row>
    <row r="336">
      <c r="A336" s="470" t="s">
        <v>472</v>
      </c>
      <c r="B336" s="263">
        <f t="shared" ref="B336:AF336" si="77">B328+B324</f>
        <v>184.5362456</v>
      </c>
      <c r="C336" s="263">
        <f t="shared" si="77"/>
        <v>219.0543328</v>
      </c>
      <c r="D336" s="263">
        <f t="shared" si="77"/>
        <v>276.8043684</v>
      </c>
      <c r="E336" s="263">
        <f t="shared" si="77"/>
        <v>92.2681228</v>
      </c>
      <c r="F336" s="263">
        <f t="shared" si="77"/>
        <v>0</v>
      </c>
      <c r="G336" s="263">
        <f t="shared" si="77"/>
        <v>0</v>
      </c>
      <c r="H336" s="263">
        <f t="shared" si="77"/>
        <v>132.7643684</v>
      </c>
      <c r="I336" s="263">
        <f t="shared" si="77"/>
        <v>282.8043684</v>
      </c>
      <c r="J336" s="263">
        <f t="shared" si="77"/>
        <v>184.5362456</v>
      </c>
      <c r="K336" s="263">
        <f t="shared" si="77"/>
        <v>92.2681228</v>
      </c>
      <c r="L336" s="263">
        <f t="shared" si="77"/>
        <v>-32.3418772</v>
      </c>
      <c r="M336" s="263">
        <f t="shared" si="77"/>
        <v>92.2681228</v>
      </c>
      <c r="N336" s="263">
        <f t="shared" si="77"/>
        <v>0</v>
      </c>
      <c r="O336" s="263">
        <f t="shared" si="77"/>
        <v>0</v>
      </c>
      <c r="P336" s="263">
        <f t="shared" si="77"/>
        <v>0</v>
      </c>
      <c r="Q336" s="263">
        <f t="shared" si="77"/>
        <v>92.2681228</v>
      </c>
      <c r="R336" s="263">
        <f t="shared" si="77"/>
        <v>0</v>
      </c>
      <c r="S336" s="263">
        <f t="shared" si="77"/>
        <v>0</v>
      </c>
      <c r="T336" s="263">
        <f t="shared" si="77"/>
        <v>184.5362456</v>
      </c>
      <c r="U336" s="263">
        <f t="shared" si="77"/>
        <v>0</v>
      </c>
      <c r="V336" s="263">
        <f t="shared" si="77"/>
        <v>0</v>
      </c>
      <c r="W336" s="263">
        <f t="shared" si="77"/>
        <v>0</v>
      </c>
      <c r="X336" s="263">
        <f t="shared" si="77"/>
        <v>92.2681228</v>
      </c>
      <c r="Y336" s="263">
        <f t="shared" si="77"/>
        <v>-202.38</v>
      </c>
      <c r="Z336" s="263">
        <f t="shared" si="77"/>
        <v>0</v>
      </c>
      <c r="AA336" s="263">
        <f t="shared" si="77"/>
        <v>0</v>
      </c>
      <c r="AB336" s="263">
        <f t="shared" si="77"/>
        <v>276.8043684</v>
      </c>
      <c r="AC336" s="263">
        <f t="shared" si="77"/>
        <v>92.2681228</v>
      </c>
      <c r="AD336" s="263">
        <f t="shared" si="77"/>
        <v>0</v>
      </c>
      <c r="AE336" s="263">
        <f t="shared" si="77"/>
        <v>0</v>
      </c>
      <c r="AF336" s="263">
        <f t="shared" si="77"/>
        <v>92.2681228</v>
      </c>
      <c r="AG336" s="303"/>
    </row>
    <row r="337">
      <c r="A337" s="465">
        <f>sum(B336:AF336)</f>
        <v>2152.995526</v>
      </c>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263"/>
      <c r="Z337" s="263"/>
      <c r="AA337" s="263"/>
      <c r="AB337" s="263"/>
      <c r="AC337" s="263"/>
      <c r="AD337" s="263"/>
      <c r="AE337" s="263"/>
      <c r="AF337" s="263"/>
      <c r="AG337" s="453"/>
    </row>
    <row r="338">
      <c r="A338" s="471" t="s">
        <v>473</v>
      </c>
      <c r="B338" s="272">
        <f t="shared" ref="B338:AF338" si="78">B336/(B4+B116)</f>
        <v>0.2897782756</v>
      </c>
      <c r="C338" s="272">
        <f t="shared" si="78"/>
        <v>0.3445507443</v>
      </c>
      <c r="D338" s="272">
        <f t="shared" si="78"/>
        <v>0.2897782756</v>
      </c>
      <c r="E338" s="272">
        <f t="shared" si="78"/>
        <v>0.2897782756</v>
      </c>
      <c r="F338" s="272" t="str">
        <f t="shared" si="78"/>
        <v>#DIV/0!</v>
      </c>
      <c r="G338" s="272" t="str">
        <f t="shared" si="78"/>
        <v>#DIV/0!</v>
      </c>
      <c r="H338" s="272">
        <f t="shared" si="78"/>
        <v>0.1389870758</v>
      </c>
      <c r="I338" s="272">
        <f t="shared" si="78"/>
        <v>0.2960594974</v>
      </c>
      <c r="J338" s="272">
        <f t="shared" si="78"/>
        <v>0.2897782756</v>
      </c>
      <c r="K338" s="272">
        <f t="shared" si="78"/>
        <v>0.2897782756</v>
      </c>
      <c r="L338" s="272">
        <f t="shared" si="78"/>
        <v>-0.1015732532</v>
      </c>
      <c r="M338" s="272">
        <f t="shared" si="78"/>
        <v>0.2897782756</v>
      </c>
      <c r="N338" s="272" t="str">
        <f t="shared" si="78"/>
        <v>#DIV/0!</v>
      </c>
      <c r="O338" s="272" t="str">
        <f t="shared" si="78"/>
        <v>#DIV/0!</v>
      </c>
      <c r="P338" s="272" t="str">
        <f t="shared" si="78"/>
        <v>#DIV/0!</v>
      </c>
      <c r="Q338" s="272">
        <f t="shared" si="78"/>
        <v>0.2897782756</v>
      </c>
      <c r="R338" s="272" t="str">
        <f t="shared" si="78"/>
        <v>#DIV/0!</v>
      </c>
      <c r="S338" s="272" t="str">
        <f t="shared" si="78"/>
        <v>#DIV/0!</v>
      </c>
      <c r="T338" s="272">
        <f t="shared" si="78"/>
        <v>0.2897782756</v>
      </c>
      <c r="U338" s="272" t="str">
        <f t="shared" si="78"/>
        <v>#DIV/0!</v>
      </c>
      <c r="V338" s="272" t="str">
        <f t="shared" si="78"/>
        <v>#DIV/0!</v>
      </c>
      <c r="W338" s="272" t="str">
        <f t="shared" si="78"/>
        <v>#DIV/0!</v>
      </c>
      <c r="X338" s="272">
        <f t="shared" si="78"/>
        <v>0.2897782756</v>
      </c>
      <c r="Y338" s="272" t="str">
        <f t="shared" si="78"/>
        <v>#DIV/0!</v>
      </c>
      <c r="Z338" s="272" t="str">
        <f t="shared" si="78"/>
        <v>#DIV/0!</v>
      </c>
      <c r="AA338" s="272" t="str">
        <f t="shared" si="78"/>
        <v>#DIV/0!</v>
      </c>
      <c r="AB338" s="272">
        <f t="shared" si="78"/>
        <v>0.2897782756</v>
      </c>
      <c r="AC338" s="272">
        <f t="shared" si="78"/>
        <v>0.2897782756</v>
      </c>
      <c r="AD338" s="272" t="str">
        <f t="shared" si="78"/>
        <v>#DIV/0!</v>
      </c>
      <c r="AE338" s="272" t="str">
        <f t="shared" si="78"/>
        <v>#DIV/0!</v>
      </c>
      <c r="AF338" s="272">
        <f t="shared" si="78"/>
        <v>0.2897782756</v>
      </c>
      <c r="AG338" s="303"/>
    </row>
    <row r="339">
      <c r="A339" s="468">
        <f>A337/A335</f>
        <v>0.2415185119</v>
      </c>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263"/>
      <c r="Z339" s="263"/>
      <c r="AA339" s="263"/>
      <c r="AB339" s="263"/>
      <c r="AC339" s="263"/>
      <c r="AD339" s="263"/>
      <c r="AE339" s="263"/>
      <c r="AF339" s="263"/>
      <c r="AG339" s="453"/>
    </row>
    <row r="340">
      <c r="A340" s="83"/>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263"/>
      <c r="Z340" s="263"/>
      <c r="AA340" s="263"/>
      <c r="AB340" s="263"/>
      <c r="AC340" s="263"/>
      <c r="AD340" s="263"/>
      <c r="AE340" s="263"/>
      <c r="AF340" s="263"/>
      <c r="AG340" s="453"/>
    </row>
    <row r="341">
      <c r="A341" s="84"/>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263"/>
      <c r="Z341" s="263"/>
      <c r="AA341" s="263"/>
      <c r="AB341" s="263"/>
      <c r="AC341" s="263"/>
      <c r="AD341" s="263"/>
      <c r="AE341" s="263"/>
      <c r="AF341" s="263"/>
      <c r="AG341" s="453"/>
    </row>
    <row r="342">
      <c r="A342" s="84"/>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263"/>
      <c r="Z342" s="263"/>
      <c r="AA342" s="263"/>
      <c r="AB342" s="263"/>
      <c r="AC342" s="263"/>
      <c r="AD342" s="263"/>
      <c r="AE342" s="263"/>
      <c r="AF342" s="263"/>
      <c r="AG342" s="453"/>
    </row>
    <row r="343">
      <c r="A343" s="84"/>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263"/>
      <c r="Z343" s="263"/>
      <c r="AA343" s="263"/>
      <c r="AB343" s="263"/>
      <c r="AC343" s="263"/>
      <c r="AD343" s="263"/>
      <c r="AE343" s="263"/>
      <c r="AF343" s="263"/>
      <c r="AG343" s="453"/>
    </row>
    <row r="344">
      <c r="A344" s="84"/>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263"/>
      <c r="Z344" s="263"/>
      <c r="AA344" s="263"/>
      <c r="AB344" s="263"/>
      <c r="AC344" s="263"/>
      <c r="AD344" s="263"/>
      <c r="AE344" s="263"/>
      <c r="AF344" s="263"/>
      <c r="AG344" s="453"/>
    </row>
    <row r="345">
      <c r="A345" s="84"/>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263"/>
      <c r="Z345" s="263"/>
      <c r="AA345" s="263"/>
      <c r="AB345" s="263"/>
      <c r="AC345" s="263"/>
      <c r="AD345" s="263"/>
      <c r="AE345" s="263"/>
      <c r="AF345" s="263"/>
      <c r="AG345" s="453"/>
    </row>
    <row r="346">
      <c r="A346" s="84"/>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263"/>
      <c r="Z346" s="263"/>
      <c r="AA346" s="263"/>
      <c r="AB346" s="263"/>
      <c r="AC346" s="263"/>
      <c r="AD346" s="263"/>
      <c r="AE346" s="263"/>
      <c r="AF346" s="263"/>
      <c r="AG346" s="453"/>
    </row>
    <row r="347">
      <c r="A347" s="84"/>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263"/>
      <c r="Z347" s="263"/>
      <c r="AA347" s="263"/>
      <c r="AB347" s="263"/>
      <c r="AC347" s="263"/>
      <c r="AD347" s="263"/>
      <c r="AE347" s="263"/>
      <c r="AF347" s="263"/>
      <c r="AG347" s="453"/>
    </row>
  </sheetData>
  <conditionalFormatting sqref="B328:AF328">
    <cfRule type="cellIs" dxfId="0" priority="1" operator="greaterThan">
      <formula>0</formula>
    </cfRule>
  </conditionalFormatting>
  <conditionalFormatting sqref="B328:AF328">
    <cfRule type="cellIs" dxfId="1" priority="2" operator="lessThan">
      <formula>0</formula>
    </cfRule>
  </conditionalFormatting>
  <conditionalFormatting sqref="B246:AF246">
    <cfRule type="colorScale" priority="3">
      <colorScale>
        <cfvo type="min"/>
        <cfvo type="max"/>
        <color rgb="FFFFFFFF"/>
        <color rgb="FFE67C73"/>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39.75"/>
    <col customWidth="1" min="2" max="2" width="11.75"/>
    <col customWidth="1" min="3" max="6" width="10.25"/>
    <col customWidth="1" min="7" max="7" width="11.0"/>
    <col customWidth="1" min="8" max="13" width="10.25"/>
    <col customWidth="1" min="14" max="14" width="11.25"/>
    <col customWidth="1" min="15" max="32" width="10.25"/>
  </cols>
  <sheetData>
    <row r="1">
      <c r="A1" s="1">
        <v>45413.0</v>
      </c>
      <c r="B1" s="2">
        <v>45413.0</v>
      </c>
      <c r="C1" s="2">
        <v>45414.0</v>
      </c>
      <c r="D1" s="2">
        <v>45415.0</v>
      </c>
      <c r="E1" s="2">
        <v>45416.0</v>
      </c>
      <c r="F1" s="2">
        <v>45417.0</v>
      </c>
      <c r="G1" s="2">
        <v>45418.0</v>
      </c>
      <c r="H1" s="2">
        <v>45419.0</v>
      </c>
      <c r="I1" s="2">
        <v>45420.0</v>
      </c>
      <c r="J1" s="2">
        <v>45421.0</v>
      </c>
      <c r="K1" s="2">
        <v>45422.0</v>
      </c>
      <c r="L1" s="2">
        <v>45423.0</v>
      </c>
      <c r="M1" s="2">
        <v>45424.0</v>
      </c>
      <c r="N1" s="2">
        <v>45425.0</v>
      </c>
      <c r="O1" s="2">
        <v>45426.0</v>
      </c>
      <c r="P1" s="2">
        <v>45427.0</v>
      </c>
      <c r="Q1" s="2">
        <v>45428.0</v>
      </c>
      <c r="R1" s="2">
        <v>45429.0</v>
      </c>
      <c r="S1" s="2">
        <v>45430.0</v>
      </c>
      <c r="T1" s="2">
        <v>45431.0</v>
      </c>
      <c r="U1" s="2">
        <v>45432.0</v>
      </c>
      <c r="V1" s="2">
        <v>45433.0</v>
      </c>
      <c r="W1" s="2">
        <v>45434.0</v>
      </c>
      <c r="X1" s="2">
        <v>45435.0</v>
      </c>
      <c r="Y1" s="2">
        <v>45436.0</v>
      </c>
      <c r="Z1" s="2">
        <v>45437.0</v>
      </c>
      <c r="AA1" s="2">
        <v>45438.0</v>
      </c>
      <c r="AB1" s="2">
        <v>45439.0</v>
      </c>
      <c r="AC1" s="2">
        <v>45440.0</v>
      </c>
      <c r="AD1" s="2">
        <v>45441.0</v>
      </c>
      <c r="AE1" s="2">
        <v>45442.0</v>
      </c>
      <c r="AF1" s="2">
        <v>45443.0</v>
      </c>
    </row>
    <row r="2">
      <c r="B2" s="3" t="s">
        <v>0</v>
      </c>
      <c r="C2" s="3" t="s">
        <v>1</v>
      </c>
      <c r="D2" s="3" t="s">
        <v>2</v>
      </c>
      <c r="E2" s="3" t="s">
        <v>3</v>
      </c>
      <c r="F2" s="3" t="s">
        <v>4</v>
      </c>
      <c r="G2" s="3" t="s">
        <v>5</v>
      </c>
      <c r="H2" s="3" t="s">
        <v>6</v>
      </c>
      <c r="I2" s="3" t="s">
        <v>0</v>
      </c>
      <c r="J2" s="3" t="s">
        <v>1</v>
      </c>
      <c r="K2" s="3" t="s">
        <v>2</v>
      </c>
      <c r="L2" s="3" t="s">
        <v>3</v>
      </c>
      <c r="M2" s="3" t="s">
        <v>4</v>
      </c>
      <c r="N2" s="3" t="s">
        <v>5</v>
      </c>
      <c r="O2" s="3" t="s">
        <v>6</v>
      </c>
      <c r="P2" s="3" t="s">
        <v>0</v>
      </c>
      <c r="Q2" s="3" t="s">
        <v>1</v>
      </c>
      <c r="R2" s="3" t="s">
        <v>2</v>
      </c>
      <c r="S2" s="3" t="s">
        <v>3</v>
      </c>
      <c r="T2" s="3" t="s">
        <v>4</v>
      </c>
      <c r="U2" s="3" t="s">
        <v>5</v>
      </c>
      <c r="V2" s="3" t="s">
        <v>6</v>
      </c>
      <c r="W2" s="3" t="s">
        <v>0</v>
      </c>
      <c r="X2" s="3" t="s">
        <v>1</v>
      </c>
      <c r="Y2" s="3" t="s">
        <v>2</v>
      </c>
      <c r="Z2" s="3" t="s">
        <v>3</v>
      </c>
      <c r="AA2" s="3" t="s">
        <v>4</v>
      </c>
      <c r="AB2" s="3" t="s">
        <v>5</v>
      </c>
      <c r="AC2" s="3" t="s">
        <v>6</v>
      </c>
      <c r="AD2" s="3" t="s">
        <v>0</v>
      </c>
      <c r="AE2" s="3" t="s">
        <v>1</v>
      </c>
      <c r="AF2" s="3" t="s">
        <v>2</v>
      </c>
    </row>
    <row r="4">
      <c r="A4" s="472" t="s">
        <v>785</v>
      </c>
      <c r="B4" s="473">
        <f>'PP - Data'!B5</f>
        <v>164</v>
      </c>
      <c r="C4" s="473">
        <f>'PP - Data'!C5</f>
        <v>183</v>
      </c>
      <c r="D4" s="473">
        <f>'PP - Data'!D5</f>
        <v>219</v>
      </c>
      <c r="E4" s="473">
        <f>'PP - Data'!E5</f>
        <v>143</v>
      </c>
      <c r="F4" s="473">
        <f>'PP - Data'!F5</f>
        <v>159</v>
      </c>
      <c r="G4" s="473">
        <f>'PP - Data'!G5</f>
        <v>189</v>
      </c>
      <c r="H4" s="473">
        <f>'PP - Data'!H5</f>
        <v>173</v>
      </c>
      <c r="I4" s="473">
        <f>'PP - Data'!I5</f>
        <v>134</v>
      </c>
      <c r="J4" s="473">
        <f>'PP - Data'!J5</f>
        <v>114</v>
      </c>
      <c r="K4" s="473">
        <f>'PP - Data'!K5</f>
        <v>99</v>
      </c>
      <c r="L4" s="473">
        <f>'PP - Data'!L5</f>
        <v>119</v>
      </c>
      <c r="M4" s="473">
        <f>'PP - Data'!M5</f>
        <v>130</v>
      </c>
      <c r="N4" s="473">
        <f>'PP - Data'!N5</f>
        <v>90</v>
      </c>
      <c r="O4" s="473">
        <f>'PP - Data'!O5</f>
        <v>81</v>
      </c>
      <c r="P4" s="473">
        <f>'PP - Data'!P5</f>
        <v>24</v>
      </c>
      <c r="Q4" s="473">
        <f>'PP - Data'!Q5</f>
        <v>3</v>
      </c>
      <c r="R4" s="473">
        <f>'PP - Data'!R5</f>
        <v>34</v>
      </c>
      <c r="S4" s="473">
        <f>'PP - Data'!S5</f>
        <v>33</v>
      </c>
      <c r="T4" s="473">
        <f>'PP - Data'!T5</f>
        <v>37</v>
      </c>
      <c r="U4" s="473">
        <f>'PP - Data'!U5</f>
        <v>39</v>
      </c>
      <c r="V4" s="473">
        <f>'PP - Data'!V5</f>
        <v>46</v>
      </c>
      <c r="W4" s="473">
        <f>'PP - Data'!W5</f>
        <v>34</v>
      </c>
      <c r="X4" s="473">
        <f>'PP - Data'!X5</f>
        <v>35</v>
      </c>
      <c r="Y4" s="473">
        <f>'PP - Data'!Y5</f>
        <v>26</v>
      </c>
      <c r="Z4" s="473">
        <f>'PP - Data'!Z5</f>
        <v>33</v>
      </c>
      <c r="AA4" s="473">
        <f>'PP - Data'!AA5</f>
        <v>26</v>
      </c>
      <c r="AB4" s="473">
        <f>'PP - Data'!AB5</f>
        <v>32</v>
      </c>
      <c r="AC4" s="473">
        <f>'PP - Data'!AC5</f>
        <v>43</v>
      </c>
      <c r="AD4" s="473">
        <f>'PP - Data'!AD5</f>
        <v>34</v>
      </c>
      <c r="AE4" s="473">
        <f>'PP - Data'!AE5</f>
        <v>23</v>
      </c>
      <c r="AF4" s="473">
        <f>'PP - Data'!AF5</f>
        <v>30</v>
      </c>
    </row>
    <row r="5">
      <c r="A5" s="474" t="s">
        <v>786</v>
      </c>
      <c r="B5" s="475">
        <f>B4/Summary!B52</f>
        <v>0.735426009</v>
      </c>
      <c r="C5" s="475">
        <f>C4/Summary!C52</f>
        <v>0.7754237288</v>
      </c>
      <c r="D5" s="475">
        <f>D4/Summary!D52</f>
        <v>0.7630662021</v>
      </c>
      <c r="E5" s="475">
        <f>E4/Summary!E52</f>
        <v>0.6777251185</v>
      </c>
      <c r="F5" s="475">
        <f>F4/Summary!F52</f>
        <v>0.7004405286</v>
      </c>
      <c r="G5" s="475">
        <f>G4/Summary!G52</f>
        <v>0.75</v>
      </c>
      <c r="H5" s="475">
        <f>H4/Summary!H52</f>
        <v>0.7554585153</v>
      </c>
      <c r="I5" s="475">
        <f>I4/Summary!I52</f>
        <v>0.748603352</v>
      </c>
      <c r="J5" s="475">
        <f>J4/Summary!J52</f>
        <v>0.7261146497</v>
      </c>
      <c r="K5" s="475">
        <f>K4/Summary!K52</f>
        <v>0.7734375</v>
      </c>
      <c r="L5" s="475">
        <f>L4/Summary!L52</f>
        <v>0.6959064327</v>
      </c>
      <c r="M5" s="475">
        <f>M4/Summary!M52</f>
        <v>0.7602339181</v>
      </c>
      <c r="N5" s="475">
        <f>N4/Summary!N52</f>
        <v>0.72</v>
      </c>
      <c r="O5" s="475">
        <f>O4/Summary!O52</f>
        <v>0.6982758621</v>
      </c>
      <c r="P5" s="475">
        <f>P4/Summary!P52</f>
        <v>0.2526315789</v>
      </c>
      <c r="Q5" s="475">
        <f>Q4/Summary!Q52</f>
        <v>0.03370786517</v>
      </c>
      <c r="R5" s="475">
        <f>R4/Summary!R52</f>
        <v>0.3434343434</v>
      </c>
      <c r="S5" s="475">
        <f>S4/Summary!S52</f>
        <v>0.2844827586</v>
      </c>
      <c r="T5" s="475">
        <f>T4/Summary!T52</f>
        <v>0.3894736842</v>
      </c>
      <c r="U5" s="475">
        <f>U4/Summary!U52</f>
        <v>0.3979591837</v>
      </c>
      <c r="V5" s="475">
        <f>V4/Summary!V52</f>
        <v>0.368</v>
      </c>
      <c r="W5" s="475">
        <f>W4/Summary!W52</f>
        <v>0.3063063063</v>
      </c>
      <c r="X5" s="475">
        <f>X4/Summary!X52</f>
        <v>0.3645833333</v>
      </c>
      <c r="Y5" s="475">
        <f>Y4/Summary!Y52</f>
        <v>0.2549019608</v>
      </c>
      <c r="Z5" s="475">
        <f>Z4/Summary!Z52</f>
        <v>0.3666666667</v>
      </c>
      <c r="AA5" s="475">
        <f>AA4/Summary!AA52</f>
        <v>0.25</v>
      </c>
      <c r="AB5" s="475">
        <f>AB4/Summary!AB52</f>
        <v>0.3555555556</v>
      </c>
      <c r="AC5" s="475">
        <f>AC4/Summary!AC52</f>
        <v>0.3524590164</v>
      </c>
      <c r="AD5" s="475">
        <f>AD4/Summary!AD52</f>
        <v>0.3541666667</v>
      </c>
      <c r="AE5" s="475">
        <f>AE4/Summary!AE52</f>
        <v>0.3538461538</v>
      </c>
      <c r="AF5" s="475">
        <f>AF4/Summary!AF52</f>
        <v>0.2752293578</v>
      </c>
    </row>
    <row r="7">
      <c r="A7" s="474" t="s">
        <v>787</v>
      </c>
      <c r="B7" s="476"/>
      <c r="C7" s="476"/>
      <c r="D7" s="476"/>
      <c r="E7" s="476"/>
      <c r="F7" s="476"/>
      <c r="G7" s="476"/>
      <c r="H7" s="476"/>
      <c r="I7" s="476"/>
      <c r="J7" s="476"/>
      <c r="K7" s="476"/>
      <c r="L7" s="476"/>
      <c r="M7" s="476"/>
      <c r="N7" s="476"/>
      <c r="O7" s="476"/>
      <c r="P7" s="476"/>
      <c r="Q7" s="476"/>
      <c r="R7" s="476"/>
      <c r="S7" s="476"/>
      <c r="T7" s="476"/>
      <c r="U7" s="476"/>
      <c r="V7" s="476"/>
      <c r="W7" s="476"/>
      <c r="X7" s="476"/>
      <c r="Y7" s="476"/>
      <c r="Z7" s="477"/>
      <c r="AA7" s="476"/>
      <c r="AB7" s="476"/>
      <c r="AC7" s="476"/>
      <c r="AD7" s="476"/>
      <c r="AE7" s="476"/>
      <c r="AF7" s="476"/>
    </row>
    <row r="8">
      <c r="A8" s="4" t="s">
        <v>788</v>
      </c>
      <c r="B8" s="66">
        <f>'PP - Data'!B7</f>
        <v>0.7012195122</v>
      </c>
      <c r="C8" s="66">
        <f>'PP - Data'!C7</f>
        <v>0.606557377</v>
      </c>
      <c r="D8" s="66">
        <f>'PP - Data'!D7</f>
        <v>0.6666666667</v>
      </c>
      <c r="E8" s="66">
        <f>'PP - Data'!E7</f>
        <v>0.5804195804</v>
      </c>
      <c r="F8" s="66">
        <f>'PP - Data'!F7</f>
        <v>0.6289308176</v>
      </c>
      <c r="G8" s="66">
        <f>'PP - Data'!G7</f>
        <v>0.6296296296</v>
      </c>
      <c r="H8" s="66">
        <f>'PP - Data'!H7</f>
        <v>0.5953757225</v>
      </c>
      <c r="I8" s="66">
        <f>'PP - Data'!I7</f>
        <v>0.552238806</v>
      </c>
      <c r="J8" s="66">
        <f>'PP - Data'!J7</f>
        <v>0.5877192982</v>
      </c>
      <c r="K8" s="66">
        <f>'PP - Data'!K7</f>
        <v>0.5757575758</v>
      </c>
      <c r="L8" s="66">
        <f>'PP - Data'!L7</f>
        <v>0.487394958</v>
      </c>
      <c r="M8" s="66">
        <f>'PP - Data'!M7</f>
        <v>0.4692307692</v>
      </c>
      <c r="N8" s="66">
        <f>'PP - Data'!N7</f>
        <v>0.4555555556</v>
      </c>
      <c r="O8" s="66">
        <f>'PP - Data'!O7</f>
        <v>0.5185185185</v>
      </c>
      <c r="P8" s="66">
        <f>'PP - Data'!P7</f>
        <v>0.5833333333</v>
      </c>
      <c r="Q8" s="66">
        <f>'PP - Data'!Q7</f>
        <v>0</v>
      </c>
      <c r="R8" s="66">
        <f>'PP - Data'!R7</f>
        <v>0.6470588235</v>
      </c>
      <c r="S8" s="66">
        <f>'PP - Data'!S7</f>
        <v>0.5454545455</v>
      </c>
      <c r="T8" s="66">
        <f>'PP - Data'!T7</f>
        <v>0.4324324324</v>
      </c>
      <c r="U8" s="66">
        <f>'PP - Data'!U7</f>
        <v>0.641025641</v>
      </c>
      <c r="V8" s="66">
        <f>'PP - Data'!V7</f>
        <v>0.2826086957</v>
      </c>
      <c r="W8" s="66">
        <f>'PP - Data'!W7</f>
        <v>0.4411764706</v>
      </c>
      <c r="X8" s="66">
        <f>'PP - Data'!X7</f>
        <v>0.5714285714</v>
      </c>
      <c r="Y8" s="66">
        <f>'PP - Data'!Y7</f>
        <v>0.5384615385</v>
      </c>
      <c r="Z8" s="66">
        <f>'PP - Data'!Z7</f>
        <v>0.4242424242</v>
      </c>
      <c r="AA8" s="66">
        <f>'PP - Data'!AA7</f>
        <v>0.4230769231</v>
      </c>
      <c r="AB8" s="66">
        <f>'PP - Data'!AB7</f>
        <v>0.53125</v>
      </c>
      <c r="AC8" s="66">
        <f>'PP - Data'!AC7</f>
        <v>0.4418604651</v>
      </c>
      <c r="AD8" s="66">
        <f>'PP - Data'!AD7</f>
        <v>0.3529411765</v>
      </c>
      <c r="AE8" s="66">
        <f>'PP - Data'!AE7</f>
        <v>0.5652173913</v>
      </c>
    </row>
    <row r="9">
      <c r="A9" s="4" t="s">
        <v>789</v>
      </c>
      <c r="B9" s="66">
        <f>'PP - Data'!B8</f>
        <v>0.2987804878</v>
      </c>
      <c r="C9" s="66">
        <f>'PP - Data'!C8</f>
        <v>0.393442623</v>
      </c>
      <c r="D9" s="66">
        <f>'PP - Data'!D8</f>
        <v>0.3333333333</v>
      </c>
      <c r="E9" s="66">
        <f>'PP - Data'!E8</f>
        <v>0.4195804196</v>
      </c>
      <c r="F9" s="66">
        <f>'PP - Data'!F8</f>
        <v>0.3710691824</v>
      </c>
      <c r="G9" s="66">
        <f>'PP - Data'!G8</f>
        <v>0.3703703704</v>
      </c>
      <c r="H9" s="66">
        <f>'PP - Data'!H8</f>
        <v>0.4046242775</v>
      </c>
      <c r="I9" s="66">
        <f>'PP - Data'!I8</f>
        <v>0.447761194</v>
      </c>
      <c r="J9" s="66">
        <f>'PP - Data'!J8</f>
        <v>0.4122807018</v>
      </c>
      <c r="K9" s="66">
        <f>'PP - Data'!K8</f>
        <v>0.4242424242</v>
      </c>
      <c r="L9" s="66">
        <f>'PP - Data'!L8</f>
        <v>0.512605042</v>
      </c>
      <c r="M9" s="66">
        <f>'PP - Data'!M8</f>
        <v>0.5307692308</v>
      </c>
      <c r="N9" s="66">
        <f>'PP - Data'!N8</f>
        <v>0.5444444444</v>
      </c>
      <c r="O9" s="66">
        <f>'PP - Data'!O8</f>
        <v>0.4814814815</v>
      </c>
      <c r="P9" s="66">
        <f>'PP - Data'!P8</f>
        <v>0.4166666667</v>
      </c>
      <c r="Q9" s="66">
        <f>'PP - Data'!Q8</f>
        <v>0</v>
      </c>
      <c r="R9" s="66">
        <f>'PP - Data'!R8</f>
        <v>0.3529411765</v>
      </c>
      <c r="S9" s="66">
        <f>'PP - Data'!S8</f>
        <v>0.4545454545</v>
      </c>
      <c r="T9" s="66">
        <f>'PP - Data'!T8</f>
        <v>0.5675675676</v>
      </c>
      <c r="U9" s="66">
        <f>'PP - Data'!U8</f>
        <v>0.358974359</v>
      </c>
      <c r="V9" s="66">
        <f>'PP - Data'!V8</f>
        <v>0.7173913043</v>
      </c>
      <c r="W9" s="66">
        <f>'PP - Data'!W8</f>
        <v>0.5588235294</v>
      </c>
      <c r="X9" s="66">
        <f>'PP - Data'!X8</f>
        <v>0.4285714286</v>
      </c>
      <c r="Y9" s="66">
        <f>'PP - Data'!Y8</f>
        <v>0.4615384615</v>
      </c>
      <c r="Z9" s="66">
        <f>'PP - Data'!Z8</f>
        <v>0.5757575758</v>
      </c>
      <c r="AA9" s="66">
        <f>'PP - Data'!AA8</f>
        <v>0.5769230769</v>
      </c>
      <c r="AB9" s="66">
        <f>'PP - Data'!AB8</f>
        <v>0.46875</v>
      </c>
      <c r="AC9" s="66">
        <f>'PP - Data'!AC8</f>
        <v>0.5581395349</v>
      </c>
      <c r="AD9" s="66">
        <f>'PP - Data'!AD8</f>
        <v>0.6470588235</v>
      </c>
      <c r="AE9" s="66">
        <f>'PP - Data'!AE8</f>
        <v>0.4347826087</v>
      </c>
    </row>
    <row r="10">
      <c r="A10" s="478"/>
      <c r="Z10" s="58"/>
    </row>
    <row r="11">
      <c r="A11" s="479" t="s">
        <v>790</v>
      </c>
      <c r="Z11" s="58"/>
    </row>
    <row r="12">
      <c r="Z12" s="58"/>
    </row>
    <row r="13">
      <c r="A13" s="474" t="s">
        <v>791</v>
      </c>
      <c r="B13" s="476"/>
      <c r="C13" s="476"/>
      <c r="D13" s="476"/>
      <c r="E13" s="476"/>
      <c r="F13" s="476"/>
      <c r="G13" s="476"/>
      <c r="H13" s="476"/>
      <c r="I13" s="476"/>
      <c r="J13" s="476"/>
      <c r="K13" s="476"/>
      <c r="L13" s="476"/>
      <c r="M13" s="476"/>
      <c r="N13" s="476"/>
      <c r="O13" s="476"/>
      <c r="P13" s="476"/>
      <c r="Q13" s="476"/>
      <c r="R13" s="476"/>
      <c r="S13" s="476"/>
      <c r="T13" s="476"/>
      <c r="U13" s="476"/>
      <c r="V13" s="476"/>
      <c r="W13" s="476"/>
      <c r="X13" s="476"/>
      <c r="Y13" s="476"/>
      <c r="Z13" s="477"/>
      <c r="AA13" s="476"/>
      <c r="AB13" s="476"/>
      <c r="AC13" s="476"/>
      <c r="AD13" s="476"/>
      <c r="AE13" s="476"/>
      <c r="AF13" s="476"/>
    </row>
    <row r="14">
      <c r="A14" s="4" t="s">
        <v>792</v>
      </c>
      <c r="B14" s="66">
        <f>'PP - Data'!B19</f>
        <v>0.06956521739</v>
      </c>
      <c r="C14" s="66">
        <f>'PP - Data'!C19</f>
        <v>0.07207207207</v>
      </c>
      <c r="D14" s="66">
        <f>'PP - Data'!D19</f>
        <v>0.06164383562</v>
      </c>
      <c r="E14" s="66">
        <f>'PP - Data'!E19</f>
        <v>0.0843373494</v>
      </c>
      <c r="F14" s="66">
        <f>'PP - Data'!F19</f>
        <v>0.11</v>
      </c>
      <c r="G14" s="66">
        <f>'PP - Data'!G19</f>
        <v>0.06722689076</v>
      </c>
      <c r="H14" s="66">
        <f>'PP - Data'!H19</f>
        <v>0.07766990291</v>
      </c>
      <c r="I14" s="66">
        <f>'PP - Data'!I19</f>
        <v>0.1216216216</v>
      </c>
      <c r="J14" s="66">
        <f>'PP - Data'!J19</f>
        <v>0.07462686567</v>
      </c>
      <c r="K14" s="66">
        <f>'PP - Data'!K19</f>
        <v>0</v>
      </c>
      <c r="L14" s="66">
        <f>'PP - Data'!L19</f>
        <v>0.1379310345</v>
      </c>
      <c r="M14" s="66">
        <f>'PP - Data'!M19</f>
        <v>0.1475409836</v>
      </c>
      <c r="N14" s="66">
        <f>'PP - Data'!N19</f>
        <v>0.1707317073</v>
      </c>
      <c r="O14" s="66">
        <f>'PP - Data'!O19</f>
        <v>0.09523809524</v>
      </c>
      <c r="P14" s="66">
        <f>'PP - Data'!P19</f>
        <v>0.07142857143</v>
      </c>
      <c r="Q14" s="66">
        <f>'PP - Data'!Q19</f>
        <v>0</v>
      </c>
      <c r="R14" s="66">
        <f>'PP - Data'!R19</f>
        <v>0.2727272727</v>
      </c>
      <c r="S14" s="66">
        <f>'PP - Data'!S19</f>
        <v>0.2777777778</v>
      </c>
      <c r="T14" s="66">
        <f>'PP - Data'!T19</f>
        <v>0.125</v>
      </c>
      <c r="U14" s="66">
        <f>'PP - Data'!U19</f>
        <v>0.2</v>
      </c>
      <c r="V14" s="66">
        <f>'PP - Data'!V19</f>
        <v>0.2307692308</v>
      </c>
      <c r="W14" s="66">
        <f>'PP - Data'!W19</f>
        <v>0.1333333333</v>
      </c>
      <c r="X14" s="66">
        <f>'PP - Data'!X19</f>
        <v>0.15</v>
      </c>
      <c r="Y14" s="66">
        <f>'PP - Data'!Y19</f>
        <v>0.07142857143</v>
      </c>
      <c r="Z14" s="66">
        <f>'PP - Data'!Z19</f>
        <v>0.2857142857</v>
      </c>
      <c r="AA14" s="66">
        <f>'PP - Data'!AA19</f>
        <v>0.1818181818</v>
      </c>
      <c r="AB14" s="66">
        <f>'PP - Data'!AB19</f>
        <v>0.2352941176</v>
      </c>
      <c r="AC14" s="66">
        <f>'PP - Data'!AC19</f>
        <v>0.2105263158</v>
      </c>
      <c r="AD14" s="66">
        <f>'PP - Data'!AD19</f>
        <v>0.08333333333</v>
      </c>
      <c r="AE14" s="66">
        <f>'PP - Data'!AE19</f>
        <v>0.1538461538</v>
      </c>
      <c r="AF14" s="66">
        <f>'PP - Data'!AF19</f>
        <v>0.07142857143</v>
      </c>
    </row>
    <row r="15">
      <c r="A15" s="4" t="s">
        <v>793</v>
      </c>
      <c r="B15" s="66">
        <f>'PP - Data'!B20</f>
        <v>0.4782608696</v>
      </c>
      <c r="C15" s="66">
        <f>'PP - Data'!C20</f>
        <v>0.4954954955</v>
      </c>
      <c r="D15" s="66">
        <f>'PP - Data'!D20</f>
        <v>0.4452054795</v>
      </c>
      <c r="E15" s="66">
        <f>'PP - Data'!E20</f>
        <v>0.5060240964</v>
      </c>
      <c r="F15" s="66">
        <f>'PP - Data'!F20</f>
        <v>0.44</v>
      </c>
      <c r="G15" s="66">
        <f>'PP - Data'!G20</f>
        <v>0.5294117647</v>
      </c>
      <c r="H15" s="66">
        <f>'PP - Data'!H20</f>
        <v>0.5436893204</v>
      </c>
      <c r="I15" s="66">
        <f>'PP - Data'!I20</f>
        <v>0.4864864865</v>
      </c>
      <c r="J15" s="66">
        <f>'PP - Data'!J20</f>
        <v>0.447761194</v>
      </c>
      <c r="K15" s="66">
        <f>'PP - Data'!K20</f>
        <v>0.4385964912</v>
      </c>
      <c r="L15" s="66">
        <f>'PP - Data'!L20</f>
        <v>0.3275862069</v>
      </c>
      <c r="M15" s="66">
        <f>'PP - Data'!M20</f>
        <v>0.4262295082</v>
      </c>
      <c r="N15" s="66">
        <f>'PP - Data'!N20</f>
        <v>0.3170731707</v>
      </c>
      <c r="O15" s="66">
        <f>'PP - Data'!O20</f>
        <v>0.2857142857</v>
      </c>
      <c r="P15" s="66">
        <f>'PP - Data'!P20</f>
        <v>0.2142857143</v>
      </c>
      <c r="Q15" s="66">
        <f>'PP - Data'!Q20</f>
        <v>0</v>
      </c>
      <c r="R15" s="66">
        <f>'PP - Data'!R20</f>
        <v>0.2727272727</v>
      </c>
      <c r="S15" s="66">
        <f>'PP - Data'!S20</f>
        <v>0.2777777778</v>
      </c>
      <c r="T15" s="66">
        <f>'PP - Data'!T20</f>
        <v>0.3125</v>
      </c>
      <c r="U15" s="66">
        <f>'PP - Data'!U20</f>
        <v>0.4</v>
      </c>
      <c r="V15" s="66">
        <f>'PP - Data'!V20</f>
        <v>0.1538461538</v>
      </c>
      <c r="W15" s="66">
        <f>'PP - Data'!W20</f>
        <v>0.2</v>
      </c>
      <c r="X15" s="66">
        <f>'PP - Data'!X20</f>
        <v>0.2</v>
      </c>
      <c r="Y15" s="66">
        <f>'PP - Data'!Y20</f>
        <v>0.1428571429</v>
      </c>
      <c r="Z15" s="66">
        <f>'PP - Data'!Z20</f>
        <v>0.07142857143</v>
      </c>
      <c r="AA15" s="66">
        <f>'PP - Data'!AA20</f>
        <v>0.2727272727</v>
      </c>
      <c r="AB15" s="66">
        <f>'PP - Data'!AB20</f>
        <v>0.1764705882</v>
      </c>
      <c r="AC15" s="66">
        <f>'PP - Data'!AC20</f>
        <v>0.1578947368</v>
      </c>
      <c r="AD15" s="66">
        <f>'PP - Data'!AD20</f>
        <v>0.3333333333</v>
      </c>
      <c r="AE15" s="66">
        <f>'PP - Data'!AE20</f>
        <v>0.2307692308</v>
      </c>
      <c r="AF15" s="66">
        <f>'PP - Data'!AF20</f>
        <v>0.4285714286</v>
      </c>
    </row>
    <row r="16">
      <c r="A16" s="4" t="s">
        <v>794</v>
      </c>
      <c r="B16" s="66">
        <f>'PP - Data'!B21</f>
        <v>0.2869565217</v>
      </c>
      <c r="C16" s="66">
        <f>'PP - Data'!C21</f>
        <v>0.3063063063</v>
      </c>
      <c r="D16" s="66">
        <f>'PP - Data'!D21</f>
        <v>0.3835616438</v>
      </c>
      <c r="E16" s="66">
        <f>'PP - Data'!E21</f>
        <v>0.2891566265</v>
      </c>
      <c r="F16" s="66">
        <f>'PP - Data'!F21</f>
        <v>0.31</v>
      </c>
      <c r="G16" s="66">
        <f>'PP - Data'!G21</f>
        <v>0.2773109244</v>
      </c>
      <c r="H16" s="66">
        <f>'PP - Data'!H21</f>
        <v>0.213592233</v>
      </c>
      <c r="I16" s="66">
        <f>'PP - Data'!I21</f>
        <v>0.3648648649</v>
      </c>
      <c r="J16" s="66">
        <f>'PP - Data'!J21</f>
        <v>0.3582089552</v>
      </c>
      <c r="K16" s="66">
        <f>'PP - Data'!K21</f>
        <v>0.4210526316</v>
      </c>
      <c r="L16" s="66">
        <f>'PP - Data'!L21</f>
        <v>0.2068965517</v>
      </c>
      <c r="M16" s="66">
        <f>'PP - Data'!M21</f>
        <v>0.2131147541</v>
      </c>
      <c r="N16" s="66">
        <f>'PP - Data'!N21</f>
        <v>0.3170731707</v>
      </c>
      <c r="O16" s="66">
        <f>'PP - Data'!O21</f>
        <v>0.4523809524</v>
      </c>
      <c r="P16" s="66">
        <f>'PP - Data'!P21</f>
        <v>0.5</v>
      </c>
      <c r="Q16" s="66">
        <f>'PP - Data'!Q21</f>
        <v>0</v>
      </c>
      <c r="R16" s="66">
        <f>'PP - Data'!R21</f>
        <v>0.3181818182</v>
      </c>
      <c r="S16" s="66">
        <f>'PP - Data'!S21</f>
        <v>0.1666666667</v>
      </c>
      <c r="T16" s="66">
        <f>'PP - Data'!T21</f>
        <v>0.25</v>
      </c>
      <c r="U16" s="66">
        <f>'PP - Data'!U21</f>
        <v>0.12</v>
      </c>
      <c r="V16" s="66">
        <f>'PP - Data'!V21</f>
        <v>0.4615384615</v>
      </c>
      <c r="W16" s="66">
        <f>'PP - Data'!W21</f>
        <v>0.1333333333</v>
      </c>
      <c r="X16" s="66">
        <f>'PP - Data'!X21</f>
        <v>0.4</v>
      </c>
      <c r="Y16" s="66">
        <f>'PP - Data'!Y21</f>
        <v>0.5714285714</v>
      </c>
      <c r="Z16" s="66">
        <f>'PP - Data'!Z21</f>
        <v>0.2857142857</v>
      </c>
      <c r="AA16" s="66">
        <f>'PP - Data'!AA21</f>
        <v>0.2727272727</v>
      </c>
      <c r="AB16" s="66">
        <f>'PP - Data'!AB21</f>
        <v>0.2352941176</v>
      </c>
      <c r="AC16" s="66">
        <f>'PP - Data'!AC21</f>
        <v>0.3684210526</v>
      </c>
      <c r="AD16" s="66">
        <f>'PP - Data'!AD21</f>
        <v>0.25</v>
      </c>
      <c r="AE16" s="66">
        <f>'PP - Data'!AE21</f>
        <v>0.2307692308</v>
      </c>
      <c r="AF16" s="66">
        <f>'PP - Data'!AF21</f>
        <v>0.2857142857</v>
      </c>
    </row>
    <row r="17">
      <c r="A17" s="4" t="s">
        <v>795</v>
      </c>
      <c r="B17" s="66">
        <f>'PP - Data'!B22</f>
        <v>0.1652173913</v>
      </c>
      <c r="C17" s="66">
        <f>'PP - Data'!C22</f>
        <v>0.1261261261</v>
      </c>
      <c r="D17" s="66">
        <f>'PP - Data'!D22</f>
        <v>0.1095890411</v>
      </c>
      <c r="E17" s="66">
        <f>'PP - Data'!E22</f>
        <v>0.1204819277</v>
      </c>
      <c r="F17" s="66">
        <f>'PP - Data'!F22</f>
        <v>0.14</v>
      </c>
      <c r="G17" s="66">
        <f>'PP - Data'!G22</f>
        <v>0.1260504202</v>
      </c>
      <c r="H17" s="66">
        <f>'PP - Data'!H22</f>
        <v>0.1650485437</v>
      </c>
      <c r="I17" s="66">
        <f>'PP - Data'!I22</f>
        <v>0.02702702703</v>
      </c>
      <c r="J17" s="66">
        <f>'PP - Data'!J22</f>
        <v>0.1194029851</v>
      </c>
      <c r="K17" s="66">
        <f>'PP - Data'!K22</f>
        <v>0.1403508772</v>
      </c>
      <c r="L17" s="66">
        <f>'PP - Data'!L22</f>
        <v>0.3275862069</v>
      </c>
      <c r="M17" s="66">
        <f>'PP - Data'!M22</f>
        <v>0.2131147541</v>
      </c>
      <c r="N17" s="66">
        <f>'PP - Data'!N22</f>
        <v>0.1951219512</v>
      </c>
      <c r="O17" s="66">
        <f>'PP - Data'!O22</f>
        <v>0.1666666667</v>
      </c>
      <c r="P17" s="66">
        <f>'PP - Data'!P22</f>
        <v>0.2142857143</v>
      </c>
      <c r="Q17" s="66">
        <f>'PP - Data'!Q22</f>
        <v>0</v>
      </c>
      <c r="R17" s="66">
        <f>'PP - Data'!R22</f>
        <v>0.1363636364</v>
      </c>
      <c r="S17" s="66">
        <f>'PP - Data'!S22</f>
        <v>0.2777777778</v>
      </c>
      <c r="T17" s="66">
        <f>'PP - Data'!T22</f>
        <v>0.3125</v>
      </c>
      <c r="U17" s="66">
        <f>'PP - Data'!U22</f>
        <v>0.28</v>
      </c>
      <c r="V17" s="66">
        <f>'PP - Data'!V22</f>
        <v>0.1538461538</v>
      </c>
      <c r="W17" s="66">
        <f>'PP - Data'!W22</f>
        <v>0.5333333333</v>
      </c>
      <c r="X17" s="66">
        <f>'PP - Data'!X22</f>
        <v>0.25</v>
      </c>
      <c r="Y17" s="66">
        <f>'PP - Data'!Y22</f>
        <v>0.2142857143</v>
      </c>
      <c r="Z17" s="66">
        <f>'PP - Data'!Z22</f>
        <v>0.3571428571</v>
      </c>
      <c r="AA17" s="66">
        <f>'PP - Data'!AA22</f>
        <v>0.2727272727</v>
      </c>
      <c r="AB17" s="66">
        <f>'PP - Data'!AB22</f>
        <v>0.3529411765</v>
      </c>
      <c r="AC17" s="66">
        <f>'PP - Data'!AC22</f>
        <v>0.2631578947</v>
      </c>
      <c r="AD17" s="66">
        <f>'PP - Data'!AD22</f>
        <v>0.3333333333</v>
      </c>
      <c r="AE17" s="66">
        <f>'PP - Data'!AE22</f>
        <v>0.3846153846</v>
      </c>
      <c r="AF17" s="66">
        <f>'PP - Data'!AF22</f>
        <v>0.2142857143</v>
      </c>
    </row>
    <row r="18">
      <c r="A18" s="474" t="s">
        <v>796</v>
      </c>
      <c r="B18" s="476"/>
      <c r="C18" s="476"/>
      <c r="D18" s="476"/>
      <c r="E18" s="476"/>
      <c r="F18" s="476"/>
      <c r="G18" s="476"/>
      <c r="H18" s="476"/>
      <c r="I18" s="476"/>
      <c r="J18" s="476"/>
      <c r="K18" s="476"/>
      <c r="L18" s="476"/>
      <c r="M18" s="476"/>
      <c r="N18" s="476"/>
      <c r="O18" s="476"/>
      <c r="P18" s="476"/>
      <c r="Q18" s="476"/>
      <c r="R18" s="476"/>
      <c r="S18" s="476"/>
      <c r="T18" s="476"/>
      <c r="U18" s="476"/>
      <c r="V18" s="476"/>
      <c r="W18" s="476"/>
      <c r="X18" s="476"/>
      <c r="Y18" s="476"/>
      <c r="Z18" s="477"/>
      <c r="AA18" s="476"/>
      <c r="AB18" s="476"/>
      <c r="AC18" s="476"/>
      <c r="AD18" s="476"/>
      <c r="AE18" s="476"/>
      <c r="AF18" s="476"/>
    </row>
    <row r="19" collapsed="1">
      <c r="A19" s="4" t="s">
        <v>797</v>
      </c>
      <c r="B19" s="66">
        <f>'PP - Data'!B34</f>
        <v>0.1487603306</v>
      </c>
      <c r="C19" s="66">
        <f>'PP - Data'!C34</f>
        <v>0.1666666667</v>
      </c>
      <c r="D19" s="66">
        <f>'PP - Data'!D34</f>
        <v>0.1428571429</v>
      </c>
      <c r="E19" s="66">
        <f>'PP - Data'!E34</f>
        <v>0.25</v>
      </c>
      <c r="F19" s="66">
        <f>'PP - Data'!F34</f>
        <v>0.2072072072</v>
      </c>
      <c r="G19" s="66">
        <f>'PP - Data'!G34</f>
        <v>0.197080292</v>
      </c>
      <c r="H19" s="66">
        <f>'PP - Data'!H34</f>
        <v>0.141509434</v>
      </c>
      <c r="I19" s="66">
        <f>'PP - Data'!I34</f>
        <v>0.1923076923</v>
      </c>
      <c r="J19" s="66">
        <f>'PP - Data'!J34</f>
        <v>0.1470588235</v>
      </c>
      <c r="K19" s="66">
        <f>'PP - Data'!K34</f>
        <v>0.25</v>
      </c>
      <c r="L19" s="66">
        <f>'PP - Data'!L34</f>
        <v>0.1875</v>
      </c>
      <c r="M19" s="66">
        <f>'PP - Data'!M34</f>
        <v>0.2658227848</v>
      </c>
      <c r="N19" s="66">
        <f>'PP - Data'!N34</f>
        <v>0.1627906977</v>
      </c>
      <c r="O19" s="66">
        <f>'PP - Data'!O34</f>
        <v>0.2</v>
      </c>
      <c r="P19" s="66">
        <f>'PP - Data'!P34</f>
        <v>0.1428571429</v>
      </c>
      <c r="Q19" s="66">
        <f>'PP - Data'!Q34</f>
        <v>0</v>
      </c>
      <c r="R19" s="66">
        <f>'PP - Data'!R34</f>
        <v>0.1363636364</v>
      </c>
      <c r="S19" s="66">
        <f>'PP - Data'!S34</f>
        <v>0.3333333333</v>
      </c>
      <c r="T19" s="66">
        <f>'PP - Data'!T34</f>
        <v>0.3125</v>
      </c>
      <c r="U19" s="66">
        <f>'PP - Data'!U34</f>
        <v>0.28</v>
      </c>
      <c r="V19" s="66">
        <f>'PP - Data'!V34</f>
        <v>0.1428571429</v>
      </c>
      <c r="W19" s="66">
        <f>'PP - Data'!W34</f>
        <v>0.3571428571</v>
      </c>
      <c r="X19" s="66">
        <f>'PP - Data'!X34</f>
        <v>0.15</v>
      </c>
      <c r="Y19" s="66">
        <f>'PP - Data'!Y34</f>
        <v>0.4285714286</v>
      </c>
      <c r="Z19" s="66">
        <f>'PP - Data'!Z34</f>
        <v>0.1428571429</v>
      </c>
      <c r="AA19" s="66">
        <f>'PP - Data'!AA34</f>
        <v>0.09090909091</v>
      </c>
      <c r="AB19" s="66">
        <f>'PP - Data'!AB34</f>
        <v>0.2352941176</v>
      </c>
      <c r="AC19" s="66">
        <f>'PP - Data'!AC34</f>
        <v>0.3157894737</v>
      </c>
      <c r="AD19" s="66">
        <f>'PP - Data'!AD34</f>
        <v>0.1666666667</v>
      </c>
      <c r="AE19" s="66">
        <f>'PP - Data'!AE34</f>
        <v>0.4615384615</v>
      </c>
      <c r="AF19" s="66">
        <f>'PP - Data'!AF34</f>
        <v>0.07142857143</v>
      </c>
    </row>
    <row r="20" hidden="1" outlineLevel="1">
      <c r="A20" s="480"/>
      <c r="B20" s="476"/>
      <c r="C20" s="476"/>
      <c r="D20" s="476"/>
      <c r="E20" s="476"/>
      <c r="F20" s="476"/>
      <c r="G20" s="476"/>
      <c r="H20" s="476"/>
      <c r="I20" s="476"/>
      <c r="J20" s="476"/>
      <c r="K20" s="481"/>
      <c r="L20" s="481"/>
      <c r="M20" s="481"/>
      <c r="N20" s="481"/>
      <c r="O20" s="481"/>
      <c r="P20" s="481"/>
      <c r="Q20" s="481"/>
      <c r="R20" s="481"/>
      <c r="S20" s="481"/>
      <c r="T20" s="481"/>
      <c r="U20" s="481"/>
      <c r="V20" s="481"/>
      <c r="W20" s="481"/>
      <c r="X20" s="481"/>
      <c r="Y20" s="481"/>
      <c r="Z20" s="481"/>
      <c r="AA20" s="481"/>
      <c r="AB20" s="481"/>
      <c r="AC20" s="481"/>
      <c r="AD20" s="481"/>
      <c r="AE20" s="481"/>
      <c r="AF20" s="481"/>
    </row>
    <row r="21" hidden="1" outlineLevel="1">
      <c r="A21" s="482" t="s">
        <v>798</v>
      </c>
      <c r="B21" s="483">
        <f>'PP - Data'!B48</f>
        <v>0.8888888889</v>
      </c>
      <c r="C21" s="483">
        <f>'PP - Data'!C48</f>
        <v>0.7142857143</v>
      </c>
      <c r="D21" s="483">
        <f>'PP - Data'!D48</f>
        <v>0.7142857143</v>
      </c>
      <c r="E21" s="483">
        <f>'PP - Data'!E48</f>
        <v>0.875</v>
      </c>
      <c r="F21" s="483">
        <f>'PP - Data'!F48</f>
        <v>0.7826086957</v>
      </c>
      <c r="G21" s="483">
        <f>'PP - Data'!G48</f>
        <v>0.8518518519</v>
      </c>
      <c r="H21" s="483">
        <f>'PP - Data'!H48</f>
        <v>0.8</v>
      </c>
      <c r="I21" s="483">
        <f>'PP - Data'!I48</f>
        <v>0.6666666667</v>
      </c>
      <c r="J21" s="483">
        <f>'PP - Data'!J48</f>
        <v>0.7</v>
      </c>
      <c r="K21" s="483">
        <f>'PP - Data'!K48</f>
        <v>0.75</v>
      </c>
      <c r="L21" s="483">
        <f>'PP - Data'!L48</f>
        <v>0.8333333333</v>
      </c>
      <c r="M21" s="483">
        <f>'PP - Data'!M48</f>
        <v>0.8571428571</v>
      </c>
      <c r="N21" s="483">
        <f>'PP - Data'!N48</f>
        <v>0.5714285714</v>
      </c>
      <c r="O21" s="483">
        <f>'PP - Data'!O48</f>
        <v>0.6666666667</v>
      </c>
      <c r="P21" s="483">
        <f>'PP - Data'!P48</f>
        <v>0</v>
      </c>
      <c r="Q21" s="483">
        <f>'PP - Data'!Q48</f>
        <v>0</v>
      </c>
      <c r="R21" s="483">
        <f>'PP - Data'!R48</f>
        <v>0.6666666667</v>
      </c>
      <c r="S21" s="483">
        <f>'PP - Data'!S48</f>
        <v>0.5</v>
      </c>
      <c r="T21" s="483">
        <f>'PP - Data'!T48</f>
        <v>0.8</v>
      </c>
      <c r="U21" s="483">
        <f>'PP - Data'!U48</f>
        <v>0.8571428571</v>
      </c>
      <c r="V21" s="483">
        <f>'PP - Data'!V48</f>
        <v>0.5</v>
      </c>
      <c r="W21" s="483">
        <f>'PP - Data'!W48</f>
        <v>0.8</v>
      </c>
      <c r="X21" s="483">
        <f>'PP - Data'!X48</f>
        <v>0.3333333333</v>
      </c>
      <c r="Y21" s="483">
        <f>'PP - Data'!Y48</f>
        <v>0.8333333333</v>
      </c>
      <c r="Z21" s="483">
        <f>'PP - Data'!Z48</f>
        <v>0.5</v>
      </c>
      <c r="AA21" s="483">
        <f>'PP - Data'!AA48</f>
        <v>1</v>
      </c>
      <c r="AB21" s="483">
        <f>'PP - Data'!AB48</f>
        <v>0.75</v>
      </c>
      <c r="AC21" s="483">
        <f>'PP - Data'!AC48</f>
        <v>0.5</v>
      </c>
      <c r="AD21" s="483">
        <f>'PP - Data'!AD48</f>
        <v>1</v>
      </c>
      <c r="AE21" s="483">
        <f>'PP - Data'!AE48</f>
        <v>0.8333333333</v>
      </c>
      <c r="AF21" s="483">
        <f>'PP - Data'!AF48</f>
        <v>1</v>
      </c>
    </row>
    <row r="22" hidden="1" outlineLevel="1">
      <c r="A22" s="484" t="s">
        <v>799</v>
      </c>
      <c r="B22" s="66">
        <f>'PP - Data'!B49</f>
        <v>0.1111111111</v>
      </c>
      <c r="C22" s="66">
        <f>'PP - Data'!C49</f>
        <v>0.1428571429</v>
      </c>
      <c r="D22" s="66">
        <f>'PP - Data'!D49</f>
        <v>0.1904761905</v>
      </c>
      <c r="E22" s="66">
        <f>'PP - Data'!E49</f>
        <v>0.125</v>
      </c>
      <c r="F22" s="66">
        <f>'PP - Data'!F49</f>
        <v>0.04347826087</v>
      </c>
      <c r="G22" s="66">
        <f>'PP - Data'!G49</f>
        <v>0.1111111111</v>
      </c>
      <c r="H22" s="66">
        <f>'PP - Data'!H49</f>
        <v>0.06666666667</v>
      </c>
      <c r="I22" s="66">
        <f>'PP - Data'!I49</f>
        <v>0.2666666667</v>
      </c>
      <c r="J22" s="66">
        <f>'PP - Data'!J49</f>
        <v>0.3</v>
      </c>
      <c r="K22" s="66">
        <f>'PP - Data'!K49</f>
        <v>0.125</v>
      </c>
      <c r="L22" s="66">
        <f>'PP - Data'!L49</f>
        <v>0</v>
      </c>
      <c r="M22" s="66">
        <f>'PP - Data'!M49</f>
        <v>0.09523809524</v>
      </c>
      <c r="N22" s="66">
        <f>'PP - Data'!N49</f>
        <v>0.4285714286</v>
      </c>
      <c r="O22" s="66">
        <f>'PP - Data'!O49</f>
        <v>0.2222222222</v>
      </c>
      <c r="P22" s="66">
        <f>'PP - Data'!P49</f>
        <v>0.5</v>
      </c>
      <c r="Q22" s="66">
        <f>'PP - Data'!Q49</f>
        <v>0</v>
      </c>
      <c r="R22" s="66">
        <f>'PP - Data'!R49</f>
        <v>0</v>
      </c>
      <c r="S22" s="66">
        <f>'PP - Data'!S49</f>
        <v>0.5</v>
      </c>
      <c r="T22" s="66">
        <f>'PP - Data'!T49</f>
        <v>0</v>
      </c>
      <c r="U22" s="66">
        <f>'PP - Data'!U49</f>
        <v>0</v>
      </c>
      <c r="V22" s="66">
        <f>'PP - Data'!V49</f>
        <v>0</v>
      </c>
      <c r="W22" s="66">
        <f>'PP - Data'!W49</f>
        <v>0.2</v>
      </c>
      <c r="X22" s="66">
        <f>'PP - Data'!X49</f>
        <v>0.6666666667</v>
      </c>
      <c r="Y22" s="66">
        <f>'PP - Data'!Y49</f>
        <v>0.1666666667</v>
      </c>
      <c r="Z22" s="66">
        <f>'PP - Data'!Z49</f>
        <v>0.5</v>
      </c>
      <c r="AA22" s="66">
        <f>'PP - Data'!AA49</f>
        <v>0</v>
      </c>
      <c r="AB22" s="66">
        <f>'PP - Data'!AB49</f>
        <v>0.25</v>
      </c>
      <c r="AC22" s="66">
        <f>'PP - Data'!AC49</f>
        <v>0.3333333333</v>
      </c>
      <c r="AD22" s="66">
        <f>'PP - Data'!AD49</f>
        <v>0</v>
      </c>
      <c r="AE22" s="66">
        <f>'PP - Data'!AE49</f>
        <v>0</v>
      </c>
      <c r="AF22" s="66">
        <f>'PP - Data'!AF49</f>
        <v>0</v>
      </c>
    </row>
    <row r="23" hidden="1" outlineLevel="1">
      <c r="A23" s="485" t="s">
        <v>800</v>
      </c>
      <c r="B23" s="486">
        <f>'PP - Data'!B50</f>
        <v>0</v>
      </c>
      <c r="C23" s="486">
        <f>'PP - Data'!C50</f>
        <v>0.1428571429</v>
      </c>
      <c r="D23" s="486">
        <f>'PP - Data'!D50</f>
        <v>0.09523809524</v>
      </c>
      <c r="E23" s="486">
        <f>'PP - Data'!E50</f>
        <v>0</v>
      </c>
      <c r="F23" s="486">
        <f>'PP - Data'!F50</f>
        <v>0.1739130435</v>
      </c>
      <c r="G23" s="486">
        <f>'PP - Data'!G50</f>
        <v>0.03703703704</v>
      </c>
      <c r="H23" s="486">
        <f>'PP - Data'!H50</f>
        <v>0.1333333333</v>
      </c>
      <c r="I23" s="486">
        <f>'PP - Data'!I50</f>
        <v>0.06666666667</v>
      </c>
      <c r="J23" s="486">
        <f>'PP - Data'!J50</f>
        <v>0</v>
      </c>
      <c r="K23" s="486">
        <f>'PP - Data'!K50</f>
        <v>0.125</v>
      </c>
      <c r="L23" s="486">
        <f>'PP - Data'!L50</f>
        <v>0.1666666667</v>
      </c>
      <c r="M23" s="486">
        <f>'PP - Data'!M50</f>
        <v>0.04761904762</v>
      </c>
      <c r="N23" s="486">
        <f>'PP - Data'!N50</f>
        <v>0</v>
      </c>
      <c r="O23" s="486">
        <f>'PP - Data'!O50</f>
        <v>0.1111111111</v>
      </c>
      <c r="P23" s="486">
        <f>'PP - Data'!P50</f>
        <v>0.5</v>
      </c>
      <c r="Q23" s="486">
        <f>'PP - Data'!Q50</f>
        <v>0</v>
      </c>
      <c r="R23" s="486">
        <f>'PP - Data'!R50</f>
        <v>0.3333333333</v>
      </c>
      <c r="S23" s="486">
        <f>'PP - Data'!S50</f>
        <v>0</v>
      </c>
      <c r="T23" s="486">
        <f>'PP - Data'!T50</f>
        <v>0.2</v>
      </c>
      <c r="U23" s="486">
        <f>'PP - Data'!U50</f>
        <v>0.1428571429</v>
      </c>
      <c r="V23" s="486">
        <f>'PP - Data'!V50</f>
        <v>0.5</v>
      </c>
      <c r="W23" s="486">
        <f>'PP - Data'!W50</f>
        <v>0</v>
      </c>
      <c r="X23" s="486">
        <f>'PP - Data'!X50</f>
        <v>0</v>
      </c>
      <c r="Y23" s="486">
        <f>'PP - Data'!Y50</f>
        <v>0</v>
      </c>
      <c r="Z23" s="486">
        <f>'PP - Data'!Z50</f>
        <v>0</v>
      </c>
      <c r="AA23" s="486">
        <f>'PP - Data'!AA50</f>
        <v>0</v>
      </c>
      <c r="AB23" s="486">
        <f>'PP - Data'!AB50</f>
        <v>0</v>
      </c>
      <c r="AC23" s="486">
        <f>'PP - Data'!AC50</f>
        <v>0.1666666667</v>
      </c>
      <c r="AD23" s="486">
        <f>'PP - Data'!AD50</f>
        <v>0</v>
      </c>
      <c r="AE23" s="486">
        <f>'PP - Data'!AE50</f>
        <v>0.1666666667</v>
      </c>
      <c r="AF23" s="486">
        <f>'PP - Data'!AF50</f>
        <v>0</v>
      </c>
    </row>
    <row r="24">
      <c r="A24" s="4" t="s">
        <v>801</v>
      </c>
      <c r="B24" s="66">
        <f>'PP - Data'!B35</f>
        <v>0.5041322314</v>
      </c>
      <c r="C24" s="66">
        <f>'PP - Data'!C35</f>
        <v>0.5079365079</v>
      </c>
      <c r="D24" s="66">
        <f>'PP - Data'!D35</f>
        <v>0.5510204082</v>
      </c>
      <c r="E24" s="66">
        <f>'PP - Data'!E35</f>
        <v>0.3854166667</v>
      </c>
      <c r="F24" s="66">
        <f>'PP - Data'!F35</f>
        <v>0.4594594595</v>
      </c>
      <c r="G24" s="66">
        <f>'PP - Data'!G35</f>
        <v>0.4160583942</v>
      </c>
      <c r="H24" s="66">
        <f>'PP - Data'!H35</f>
        <v>0.5754716981</v>
      </c>
      <c r="I24" s="66">
        <f>'PP - Data'!I35</f>
        <v>0.4358974359</v>
      </c>
      <c r="J24" s="66">
        <f>'PP - Data'!J35</f>
        <v>0.5441176471</v>
      </c>
      <c r="K24" s="66">
        <f>'PP - Data'!K35</f>
        <v>0.421875</v>
      </c>
      <c r="L24" s="66">
        <f>'PP - Data'!L35</f>
        <v>0.5625</v>
      </c>
      <c r="M24" s="66">
        <f>'PP - Data'!M35</f>
        <v>0.4303797468</v>
      </c>
      <c r="N24" s="66">
        <f>'PP - Data'!N35</f>
        <v>0.5581395349</v>
      </c>
      <c r="O24" s="66">
        <f>'PP - Data'!O35</f>
        <v>0.5333333333</v>
      </c>
      <c r="P24" s="66">
        <f>'PP - Data'!P35</f>
        <v>0.5714285714</v>
      </c>
      <c r="Q24" s="66">
        <f>'PP - Data'!Q35</f>
        <v>0</v>
      </c>
      <c r="R24" s="66">
        <f>'PP - Data'!R35</f>
        <v>0.4545454545</v>
      </c>
      <c r="S24" s="66">
        <f>'PP - Data'!S35</f>
        <v>0.4444444444</v>
      </c>
      <c r="T24" s="66">
        <f>'PP - Data'!T35</f>
        <v>0.375</v>
      </c>
      <c r="U24" s="66">
        <f>'PP - Data'!U35</f>
        <v>0.64</v>
      </c>
      <c r="V24" s="66">
        <f>'PP - Data'!V35</f>
        <v>0.6428571429</v>
      </c>
      <c r="W24" s="66">
        <f>'PP - Data'!W35</f>
        <v>0.5</v>
      </c>
      <c r="X24" s="66">
        <f>'PP - Data'!X35</f>
        <v>0.75</v>
      </c>
      <c r="Y24" s="66">
        <f>'PP - Data'!Y35</f>
        <v>0.5714285714</v>
      </c>
      <c r="Z24" s="66">
        <f>'PP - Data'!Z35</f>
        <v>0.4285714286</v>
      </c>
      <c r="AA24" s="66">
        <f>'PP - Data'!AA35</f>
        <v>0.8181818182</v>
      </c>
      <c r="AB24" s="66">
        <f>'PP - Data'!AB35</f>
        <v>0.7058823529</v>
      </c>
      <c r="AC24" s="66">
        <f>'PP - Data'!AC35</f>
        <v>0.4736842105</v>
      </c>
      <c r="AD24" s="66">
        <f>'PP - Data'!AD35</f>
        <v>0.5</v>
      </c>
      <c r="AE24" s="66">
        <f>'PP - Data'!AE35</f>
        <v>0.4615384615</v>
      </c>
      <c r="AF24" s="66">
        <f>'PP - Data'!AF35</f>
        <v>0.8571428571</v>
      </c>
    </row>
    <row r="25">
      <c r="A25" s="4" t="s">
        <v>109</v>
      </c>
      <c r="B25" s="66">
        <f>'PP - Data'!B36</f>
        <v>0.01652892562</v>
      </c>
      <c r="C25" s="66">
        <f>'PP - Data'!C36</f>
        <v>0.007936507937</v>
      </c>
      <c r="D25" s="66">
        <f>'PP - Data'!D36</f>
        <v>0.02721088435</v>
      </c>
      <c r="E25" s="66">
        <f>'PP - Data'!E36</f>
        <v>0.01041666667</v>
      </c>
      <c r="F25" s="66">
        <f>'PP - Data'!F36</f>
        <v>0.02702702703</v>
      </c>
      <c r="G25" s="66">
        <f>'PP - Data'!G36</f>
        <v>0.0802919708</v>
      </c>
      <c r="H25" s="66">
        <f>'PP - Data'!H36</f>
        <v>0.06603773585</v>
      </c>
      <c r="I25" s="66">
        <f>'PP - Data'!I36</f>
        <v>0.02564102564</v>
      </c>
      <c r="J25" s="66">
        <f>'PP - Data'!J36</f>
        <v>0.04411764706</v>
      </c>
      <c r="K25" s="66">
        <f>'PP - Data'!K36</f>
        <v>0.015625</v>
      </c>
      <c r="L25" s="66">
        <f>'PP - Data'!L36</f>
        <v>0.03125</v>
      </c>
      <c r="M25" s="66">
        <f>'PP - Data'!M36</f>
        <v>0.01265822785</v>
      </c>
      <c r="N25" s="66">
        <f>'PP - Data'!N36</f>
        <v>0.04651162791</v>
      </c>
      <c r="O25" s="66">
        <f>'PP - Data'!O36</f>
        <v>0.02222222222</v>
      </c>
      <c r="P25" s="66">
        <f>'PP - Data'!P36</f>
        <v>0.07142857143</v>
      </c>
      <c r="Q25" s="66">
        <f>'PP - Data'!Q36</f>
        <v>0</v>
      </c>
      <c r="R25" s="66">
        <f>'PP - Data'!R36</f>
        <v>0</v>
      </c>
      <c r="S25" s="66">
        <f>'PP - Data'!S36</f>
        <v>0.05555555556</v>
      </c>
      <c r="T25" s="66">
        <f>'PP - Data'!T36</f>
        <v>0</v>
      </c>
      <c r="U25" s="66">
        <f>'PP - Data'!U36</f>
        <v>0.04</v>
      </c>
      <c r="V25" s="66">
        <f>'PP - Data'!V36</f>
        <v>0</v>
      </c>
      <c r="W25" s="66">
        <f>'PP - Data'!W36</f>
        <v>0.07142857143</v>
      </c>
      <c r="X25" s="66">
        <f>'PP - Data'!X36</f>
        <v>0</v>
      </c>
      <c r="Y25" s="66">
        <f>'PP - Data'!Y36</f>
        <v>0</v>
      </c>
      <c r="Z25" s="66">
        <f>'PP - Data'!Z36</f>
        <v>0.07142857143</v>
      </c>
      <c r="AA25" s="66">
        <f>'PP - Data'!AA36</f>
        <v>0</v>
      </c>
      <c r="AB25" s="66">
        <f>'PP - Data'!AB36</f>
        <v>0</v>
      </c>
      <c r="AC25" s="66">
        <f>'PP - Data'!AC36</f>
        <v>0.05263157895</v>
      </c>
      <c r="AD25" s="66">
        <f>'PP - Data'!AD36</f>
        <v>0</v>
      </c>
      <c r="AE25" s="66">
        <f>'PP - Data'!AE36</f>
        <v>0</v>
      </c>
      <c r="AF25" s="66">
        <f>'PP - Data'!AF36</f>
        <v>0.07142857143</v>
      </c>
    </row>
    <row r="26">
      <c r="A26" s="4" t="s">
        <v>802</v>
      </c>
      <c r="B26" s="66">
        <f>'PP - Data'!B37</f>
        <v>0.00826446281</v>
      </c>
      <c r="C26" s="66">
        <f>'PP - Data'!C37</f>
        <v>0.007936507937</v>
      </c>
      <c r="D26" s="66">
        <f>'PP - Data'!D37</f>
        <v>0.03401360544</v>
      </c>
      <c r="E26" s="66">
        <f>'PP - Data'!E37</f>
        <v>0.02083333333</v>
      </c>
      <c r="F26" s="66">
        <f>'PP - Data'!F37</f>
        <v>0.009009009009</v>
      </c>
      <c r="G26" s="66">
        <f>'PP - Data'!G37</f>
        <v>0.007299270073</v>
      </c>
      <c r="H26" s="66">
        <f>'PP - Data'!H37</f>
        <v>0.01886792453</v>
      </c>
      <c r="I26" s="66">
        <f>'PP - Data'!I37</f>
        <v>0.0641025641</v>
      </c>
      <c r="J26" s="66">
        <f>'PP - Data'!J37</f>
        <v>0.04411764706</v>
      </c>
      <c r="K26" s="66">
        <f>'PP - Data'!K37</f>
        <v>0</v>
      </c>
      <c r="L26" s="66">
        <f>'PP - Data'!L37</f>
        <v>0</v>
      </c>
      <c r="M26" s="66">
        <f>'PP - Data'!M37</f>
        <v>0</v>
      </c>
      <c r="N26" s="66">
        <f>'PP - Data'!N37</f>
        <v>0</v>
      </c>
      <c r="O26" s="66">
        <f>'PP - Data'!O37</f>
        <v>0.02222222222</v>
      </c>
      <c r="P26" s="66">
        <f>'PP - Data'!P37</f>
        <v>0</v>
      </c>
      <c r="Q26" s="66">
        <f>'PP - Data'!Q37</f>
        <v>0</v>
      </c>
      <c r="R26" s="66">
        <f>'PP - Data'!R37</f>
        <v>0.09090909091</v>
      </c>
      <c r="S26" s="66">
        <f>'PP - Data'!S37</f>
        <v>0</v>
      </c>
      <c r="T26" s="66">
        <f>'PP - Data'!T37</f>
        <v>0</v>
      </c>
      <c r="U26" s="66">
        <f>'PP - Data'!U37</f>
        <v>0</v>
      </c>
      <c r="V26" s="66">
        <f>'PP - Data'!V37</f>
        <v>0</v>
      </c>
      <c r="W26" s="66">
        <f>'PP - Data'!W37</f>
        <v>0</v>
      </c>
      <c r="X26" s="66">
        <f>'PP - Data'!X37</f>
        <v>0</v>
      </c>
      <c r="Y26" s="66">
        <f>'PP - Data'!Y37</f>
        <v>0</v>
      </c>
      <c r="Z26" s="66">
        <f>'PP - Data'!Z37</f>
        <v>0</v>
      </c>
      <c r="AA26" s="66">
        <f>'PP - Data'!AA37</f>
        <v>0</v>
      </c>
      <c r="AB26" s="66">
        <f>'PP - Data'!AB37</f>
        <v>0</v>
      </c>
      <c r="AC26" s="66">
        <f>'PP - Data'!AC37</f>
        <v>0</v>
      </c>
      <c r="AD26" s="66">
        <f>'PP - Data'!AD37</f>
        <v>0</v>
      </c>
      <c r="AE26" s="66">
        <f>'PP - Data'!AE37</f>
        <v>0</v>
      </c>
      <c r="AF26" s="66">
        <f>'PP - Data'!AF37</f>
        <v>0</v>
      </c>
    </row>
    <row r="27">
      <c r="A27" s="4" t="s">
        <v>803</v>
      </c>
      <c r="B27" s="66">
        <f>'PP - Data'!B38</f>
        <v>0.1404958678</v>
      </c>
      <c r="C27" s="66">
        <f>'PP - Data'!C38</f>
        <v>0.126984127</v>
      </c>
      <c r="D27" s="66">
        <f>'PP - Data'!D38</f>
        <v>0.09523809524</v>
      </c>
      <c r="E27" s="66">
        <f>'PP - Data'!E38</f>
        <v>0.0625</v>
      </c>
      <c r="F27" s="66">
        <f>'PP - Data'!F38</f>
        <v>0.08108108108</v>
      </c>
      <c r="G27" s="66">
        <f>'PP - Data'!G38</f>
        <v>0.05839416058</v>
      </c>
      <c r="H27" s="66">
        <f>'PP - Data'!H38</f>
        <v>0.03773584906</v>
      </c>
      <c r="I27" s="66">
        <f>'PP - Data'!I38</f>
        <v>0.0641025641</v>
      </c>
      <c r="J27" s="66">
        <f>'PP - Data'!J38</f>
        <v>0.05882352941</v>
      </c>
      <c r="K27" s="66">
        <f>'PP - Data'!K38</f>
        <v>0.046875</v>
      </c>
      <c r="L27" s="66">
        <f>'PP - Data'!L38</f>
        <v>0.03125</v>
      </c>
      <c r="M27" s="66">
        <f>'PP - Data'!M38</f>
        <v>0.0253164557</v>
      </c>
      <c r="N27" s="66">
        <f>'PP - Data'!N38</f>
        <v>0.02325581395</v>
      </c>
      <c r="O27" s="66">
        <f>'PP - Data'!O38</f>
        <v>0.02222222222</v>
      </c>
      <c r="P27" s="66">
        <f>'PP - Data'!P38</f>
        <v>0.07142857143</v>
      </c>
      <c r="Q27" s="66">
        <f>'PP - Data'!Q38</f>
        <v>0</v>
      </c>
      <c r="R27" s="66">
        <f>'PP - Data'!R38</f>
        <v>0.1363636364</v>
      </c>
      <c r="S27" s="66">
        <f>'PP - Data'!S38</f>
        <v>0.05555555556</v>
      </c>
      <c r="T27" s="66">
        <f>'PP - Data'!T38</f>
        <v>0.0625</v>
      </c>
      <c r="U27" s="66">
        <f>'PP - Data'!U38</f>
        <v>0.04</v>
      </c>
      <c r="V27" s="66">
        <f>'PP - Data'!V38</f>
        <v>0</v>
      </c>
      <c r="W27" s="66">
        <f>'PP - Data'!W38</f>
        <v>0.07142857143</v>
      </c>
      <c r="X27" s="66">
        <f>'PP - Data'!X38</f>
        <v>0.1</v>
      </c>
      <c r="Y27" s="66">
        <f>'PP - Data'!Y38</f>
        <v>0</v>
      </c>
      <c r="Z27" s="66">
        <f>'PP - Data'!Z38</f>
        <v>0</v>
      </c>
      <c r="AA27" s="66">
        <f>'PP - Data'!AA38</f>
        <v>0.09090909091</v>
      </c>
      <c r="AB27" s="66">
        <f>'PP - Data'!AB38</f>
        <v>0</v>
      </c>
      <c r="AC27" s="66">
        <f>'PP - Data'!AC38</f>
        <v>0.05263157895</v>
      </c>
      <c r="AD27" s="66">
        <f>'PP - Data'!AD38</f>
        <v>0.1666666667</v>
      </c>
      <c r="AE27" s="66">
        <f>'PP - Data'!AE38</f>
        <v>0</v>
      </c>
      <c r="AF27" s="66">
        <f>'PP - Data'!AF38</f>
        <v>0</v>
      </c>
    </row>
    <row r="28">
      <c r="A28" s="4" t="s">
        <v>804</v>
      </c>
      <c r="B28" s="66">
        <f>'PP - Data'!B39</f>
        <v>0.01652892562</v>
      </c>
      <c r="C28" s="66">
        <f>'PP - Data'!C39</f>
        <v>0.01587301587</v>
      </c>
      <c r="D28" s="66">
        <f>'PP - Data'!D39</f>
        <v>0.006802721088</v>
      </c>
      <c r="E28" s="66">
        <f>'PP - Data'!E39</f>
        <v>0.02083333333</v>
      </c>
      <c r="F28" s="66">
        <f>'PP - Data'!F39</f>
        <v>0</v>
      </c>
      <c r="G28" s="66">
        <f>'PP - Data'!G39</f>
        <v>0.04379562044</v>
      </c>
      <c r="H28" s="66">
        <f>'PP - Data'!H39</f>
        <v>0.009433962264</v>
      </c>
      <c r="I28" s="66">
        <f>'PP - Data'!I39</f>
        <v>0.02564102564</v>
      </c>
      <c r="J28" s="66">
        <f>'PP - Data'!J39</f>
        <v>0</v>
      </c>
      <c r="K28" s="66">
        <f>'PP - Data'!K39</f>
        <v>0.015625</v>
      </c>
      <c r="L28" s="66">
        <f>'PP - Data'!L39</f>
        <v>0</v>
      </c>
      <c r="M28" s="66">
        <f>'PP - Data'!M39</f>
        <v>0</v>
      </c>
      <c r="N28" s="66">
        <f>'PP - Data'!N39</f>
        <v>0.02325581395</v>
      </c>
      <c r="O28" s="66">
        <f>'PP - Data'!O39</f>
        <v>0</v>
      </c>
      <c r="P28" s="66">
        <f>'PP - Data'!P39</f>
        <v>0</v>
      </c>
      <c r="Q28" s="66">
        <f>'PP - Data'!Q39</f>
        <v>0</v>
      </c>
      <c r="R28" s="66">
        <f>'PP - Data'!R39</f>
        <v>0</v>
      </c>
      <c r="S28" s="66">
        <f>'PP - Data'!S39</f>
        <v>0</v>
      </c>
      <c r="T28" s="66">
        <f>'PP - Data'!T39</f>
        <v>0.0625</v>
      </c>
      <c r="U28" s="66">
        <f>'PP - Data'!U39</f>
        <v>0</v>
      </c>
      <c r="V28" s="66">
        <f>'PP - Data'!V39</f>
        <v>0</v>
      </c>
      <c r="W28" s="66">
        <f>'PP - Data'!W39</f>
        <v>0</v>
      </c>
      <c r="X28" s="66">
        <f>'PP - Data'!X39</f>
        <v>0</v>
      </c>
      <c r="Y28" s="66">
        <f>'PP - Data'!Y39</f>
        <v>0</v>
      </c>
      <c r="Z28" s="66">
        <f>'PP - Data'!Z39</f>
        <v>0.1428571429</v>
      </c>
      <c r="AA28" s="66">
        <f>'PP - Data'!AA39</f>
        <v>0</v>
      </c>
      <c r="AB28" s="66">
        <f>'PP - Data'!AB39</f>
        <v>0</v>
      </c>
      <c r="AC28" s="66">
        <f>'PP - Data'!AC39</f>
        <v>0</v>
      </c>
      <c r="AD28" s="66">
        <f>'PP - Data'!AD39</f>
        <v>0</v>
      </c>
      <c r="AE28" s="66">
        <f>'PP - Data'!AE39</f>
        <v>0</v>
      </c>
      <c r="AF28" s="66">
        <f>'PP - Data'!AF39</f>
        <v>0</v>
      </c>
    </row>
    <row r="29">
      <c r="A29" s="4" t="s">
        <v>805</v>
      </c>
      <c r="B29" s="66">
        <f>'PP - Data'!B40</f>
        <v>0.1487603306</v>
      </c>
      <c r="C29" s="66">
        <f>'PP - Data'!C40</f>
        <v>0.1666666667</v>
      </c>
      <c r="D29" s="66">
        <f>'PP - Data'!D40</f>
        <v>0.1428571429</v>
      </c>
      <c r="E29" s="66">
        <f>'PP - Data'!E40</f>
        <v>0.25</v>
      </c>
      <c r="F29" s="66">
        <f>'PP - Data'!F40</f>
        <v>0.2072072072</v>
      </c>
      <c r="G29" s="66">
        <f>'PP - Data'!G40</f>
        <v>0.197080292</v>
      </c>
      <c r="H29" s="66">
        <f>'PP - Data'!H40</f>
        <v>0.141509434</v>
      </c>
      <c r="I29" s="66">
        <f>'PP - Data'!I40</f>
        <v>0.1923076923</v>
      </c>
      <c r="J29" s="66">
        <f>'PP - Data'!J40</f>
        <v>0.1470588235</v>
      </c>
      <c r="K29" s="66">
        <f>'PP - Data'!K40</f>
        <v>0.25</v>
      </c>
      <c r="L29" s="66">
        <f>'PP - Data'!L40</f>
        <v>0.1875</v>
      </c>
      <c r="M29" s="66">
        <f>'PP - Data'!M40</f>
        <v>0.2658227848</v>
      </c>
      <c r="N29" s="66">
        <f>'PP - Data'!N40</f>
        <v>0.1627906977</v>
      </c>
      <c r="O29" s="66">
        <f>'PP - Data'!O40</f>
        <v>0.2</v>
      </c>
      <c r="P29" s="66">
        <f>'PP - Data'!P40</f>
        <v>0.1428571429</v>
      </c>
      <c r="Q29" s="66">
        <f>'PP - Data'!Q40</f>
        <v>0</v>
      </c>
      <c r="R29" s="66">
        <f>'PP - Data'!R40</f>
        <v>0.1818181818</v>
      </c>
      <c r="S29" s="66">
        <f>'PP - Data'!S40</f>
        <v>0.1111111111</v>
      </c>
      <c r="T29" s="66">
        <f>'PP - Data'!T40</f>
        <v>0.1875</v>
      </c>
      <c r="U29" s="66">
        <f>'PP - Data'!U40</f>
        <v>0</v>
      </c>
      <c r="V29" s="66">
        <f>'PP - Data'!V40</f>
        <v>0.2142857143</v>
      </c>
      <c r="W29" s="66">
        <f>'PP - Data'!W40</f>
        <v>0</v>
      </c>
      <c r="X29" s="66">
        <f>'PP - Data'!X40</f>
        <v>0</v>
      </c>
      <c r="Y29" s="66">
        <f>'PP - Data'!Y40</f>
        <v>0</v>
      </c>
      <c r="Z29" s="66">
        <f>'PP - Data'!Z40</f>
        <v>0.2142857143</v>
      </c>
      <c r="AA29" s="66">
        <f>'PP - Data'!AA40</f>
        <v>0</v>
      </c>
      <c r="AB29" s="66">
        <f>'PP - Data'!AB40</f>
        <v>0.05882352941</v>
      </c>
      <c r="AC29" s="66">
        <f>'PP - Data'!AC40</f>
        <v>0.1052631579</v>
      </c>
      <c r="AD29" s="66">
        <f>'PP - Data'!AD40</f>
        <v>0.1666666667</v>
      </c>
      <c r="AE29" s="66">
        <f>'PP - Data'!AE40</f>
        <v>0.07692307692</v>
      </c>
      <c r="AF29" s="66">
        <f>'PP - Data'!AF40</f>
        <v>0</v>
      </c>
    </row>
    <row r="30">
      <c r="A30" s="487" t="s">
        <v>806</v>
      </c>
      <c r="B30" s="488">
        <f>'PP - Data'!B41</f>
        <v>0.01652892562</v>
      </c>
      <c r="C30" s="488">
        <f>'PP - Data'!C41</f>
        <v>0</v>
      </c>
      <c r="D30" s="488">
        <f>'PP - Data'!D41</f>
        <v>0</v>
      </c>
      <c r="E30" s="488">
        <f>'PP - Data'!E41</f>
        <v>0</v>
      </c>
      <c r="F30" s="488">
        <f>'PP - Data'!F41</f>
        <v>0.009009009009</v>
      </c>
      <c r="G30" s="488">
        <f>'PP - Data'!G41</f>
        <v>0</v>
      </c>
      <c r="H30" s="488">
        <f>'PP - Data'!H41</f>
        <v>0.009433962264</v>
      </c>
      <c r="I30" s="488">
        <f>'PP - Data'!I41</f>
        <v>0</v>
      </c>
      <c r="J30" s="488">
        <f>'PP - Data'!J41</f>
        <v>0.01470588235</v>
      </c>
      <c r="K30" s="488">
        <f>'PP - Data'!K41</f>
        <v>0</v>
      </c>
      <c r="L30" s="488">
        <f>'PP - Data'!L41</f>
        <v>0</v>
      </c>
      <c r="M30" s="488">
        <f>'PP - Data'!M41</f>
        <v>0</v>
      </c>
      <c r="N30" s="488">
        <f>'PP - Data'!N41</f>
        <v>0.02325581395</v>
      </c>
      <c r="O30" s="488">
        <f>'PP - Data'!O41</f>
        <v>0</v>
      </c>
      <c r="P30" s="488">
        <f>'PP - Data'!P41</f>
        <v>0</v>
      </c>
      <c r="Q30" s="488">
        <f>'PP - Data'!Q41</f>
        <v>0</v>
      </c>
      <c r="R30" s="488">
        <f>'PP - Data'!R41</f>
        <v>0</v>
      </c>
      <c r="S30" s="488">
        <f>'PP - Data'!S41</f>
        <v>0</v>
      </c>
      <c r="T30" s="488">
        <f>'PP - Data'!T41</f>
        <v>0</v>
      </c>
      <c r="U30" s="488">
        <f>'PP - Data'!U41</f>
        <v>0</v>
      </c>
      <c r="V30" s="488">
        <f>'PP - Data'!V41</f>
        <v>0</v>
      </c>
      <c r="W30" s="488">
        <f>'PP - Data'!W41</f>
        <v>0</v>
      </c>
      <c r="X30" s="488">
        <f>'PP - Data'!X41</f>
        <v>0</v>
      </c>
      <c r="Y30" s="488">
        <f>'PP - Data'!Y41</f>
        <v>0</v>
      </c>
      <c r="Z30" s="488">
        <f>'PP - Data'!Z41</f>
        <v>0</v>
      </c>
      <c r="AA30" s="488">
        <f>'PP - Data'!AA41</f>
        <v>0</v>
      </c>
      <c r="AB30" s="488">
        <f>'PP - Data'!AB41</f>
        <v>0</v>
      </c>
      <c r="AC30" s="488">
        <f>'PP - Data'!AC41</f>
        <v>0</v>
      </c>
      <c r="AD30" s="488">
        <f>'PP - Data'!AD41</f>
        <v>0</v>
      </c>
      <c r="AE30" s="488">
        <f>'PP - Data'!AE41</f>
        <v>0</v>
      </c>
      <c r="AF30" s="488">
        <f>'PP - Data'!AF41</f>
        <v>0</v>
      </c>
    </row>
    <row r="31">
      <c r="G31" s="76"/>
    </row>
    <row r="32">
      <c r="A32" s="479" t="s">
        <v>807</v>
      </c>
      <c r="Z32" s="58"/>
    </row>
    <row r="33">
      <c r="Z33" s="58"/>
    </row>
    <row r="34">
      <c r="A34" s="474" t="s">
        <v>791</v>
      </c>
      <c r="B34" s="476"/>
      <c r="C34" s="476"/>
      <c r="D34" s="476"/>
      <c r="E34" s="476"/>
      <c r="F34" s="476"/>
      <c r="G34" s="476"/>
      <c r="H34" s="476"/>
      <c r="I34" s="476"/>
      <c r="J34" s="476"/>
      <c r="K34" s="476"/>
      <c r="L34" s="476"/>
      <c r="M34" s="476"/>
      <c r="N34" s="476"/>
      <c r="O34" s="476"/>
      <c r="P34" s="476"/>
      <c r="Q34" s="476"/>
      <c r="R34" s="476"/>
      <c r="S34" s="476"/>
      <c r="T34" s="476"/>
      <c r="U34" s="476"/>
      <c r="V34" s="476"/>
      <c r="W34" s="476"/>
      <c r="X34" s="476"/>
      <c r="Y34" s="476"/>
      <c r="Z34" s="477"/>
      <c r="AA34" s="476"/>
      <c r="AB34" s="476"/>
      <c r="AC34" s="476"/>
      <c r="AD34" s="476"/>
      <c r="AE34" s="476"/>
      <c r="AF34" s="476"/>
    </row>
    <row r="35">
      <c r="A35" s="4" t="s">
        <v>792</v>
      </c>
      <c r="B35" s="66">
        <f>'PP - Data'!B61</f>
        <v>0.2857142857</v>
      </c>
      <c r="C35" s="66">
        <f>'PP - Data'!C61</f>
        <v>0.1944444444</v>
      </c>
      <c r="D35" s="66">
        <f>'PP - Data'!D61</f>
        <v>0.2465753425</v>
      </c>
      <c r="E35" s="66">
        <f>'PP - Data'!E61</f>
        <v>0.1666666667</v>
      </c>
      <c r="F35" s="66">
        <f>'PP - Data'!F61</f>
        <v>0.1355932203</v>
      </c>
      <c r="G35" s="66">
        <f>'PP - Data'!G61</f>
        <v>0.1714285714</v>
      </c>
      <c r="H35" s="66">
        <f>'PP - Data'!H61</f>
        <v>0.2142857143</v>
      </c>
      <c r="I35" s="66">
        <f>'PP - Data'!I61</f>
        <v>0.2</v>
      </c>
      <c r="J35" s="66">
        <f>'PP - Data'!J61</f>
        <v>0.170212766</v>
      </c>
      <c r="K35" s="66">
        <f>'PP - Data'!K61</f>
        <v>0.2142857143</v>
      </c>
      <c r="L35" s="66">
        <f>'PP - Data'!L61</f>
        <v>0.2295081967</v>
      </c>
      <c r="M35" s="66">
        <f>'PP - Data'!M61</f>
        <v>0.2173913043</v>
      </c>
      <c r="N35" s="66">
        <f>'PP - Data'!N61</f>
        <v>0.4489795918</v>
      </c>
      <c r="O35" s="66">
        <f>'PP - Data'!O61</f>
        <v>0.3076923077</v>
      </c>
      <c r="P35" s="66">
        <f>'PP - Data'!P61</f>
        <v>0.3</v>
      </c>
      <c r="Q35" s="66">
        <f>'PP - Data'!Q61</f>
        <v>0</v>
      </c>
      <c r="R35" s="66">
        <f>'PP - Data'!R61</f>
        <v>0.3333333333</v>
      </c>
      <c r="S35" s="66">
        <f>'PP - Data'!S61</f>
        <v>0.4666666667</v>
      </c>
      <c r="T35" s="66">
        <f>'PP - Data'!T61</f>
        <v>0.2857142857</v>
      </c>
      <c r="U35" s="66">
        <f>'PP - Data'!U61</f>
        <v>0.4285714286</v>
      </c>
      <c r="V35" s="66">
        <f>'PP - Data'!V61</f>
        <v>0.4242424242</v>
      </c>
      <c r="W35" s="66">
        <f>'PP - Data'!W61</f>
        <v>0.3684210526</v>
      </c>
      <c r="X35" s="66">
        <f>'PP - Data'!X61</f>
        <v>0.4</v>
      </c>
      <c r="Y35" s="66">
        <f>'PP - Data'!Y61</f>
        <v>0.4166666667</v>
      </c>
      <c r="Z35" s="66">
        <f>'PP - Data'!Z61</f>
        <v>0.3157894737</v>
      </c>
      <c r="AA35" s="66">
        <f>'PP - Data'!AA61</f>
        <v>0.3333333333</v>
      </c>
      <c r="AB35" s="66">
        <f>'PP - Data'!AB61</f>
        <v>0.2</v>
      </c>
      <c r="AC35" s="66">
        <f>'PP - Data'!AC61</f>
        <v>0.4583333333</v>
      </c>
      <c r="AD35" s="66">
        <f>'PP - Data'!AD61</f>
        <v>0.4090909091</v>
      </c>
      <c r="AE35" s="66">
        <f>'PP - Data'!AE61</f>
        <v>0.3</v>
      </c>
      <c r="AF35" s="66">
        <f>'PP - Data'!AF61</f>
        <v>0.3125</v>
      </c>
    </row>
    <row r="36">
      <c r="A36" s="4" t="s">
        <v>793</v>
      </c>
      <c r="B36" s="66">
        <f>'PP - Data'!B62</f>
        <v>0.4489795918</v>
      </c>
      <c r="C36" s="66">
        <f>'PP - Data'!C62</f>
        <v>0.375</v>
      </c>
      <c r="D36" s="66">
        <f>'PP - Data'!D62</f>
        <v>0.3150684932</v>
      </c>
      <c r="E36" s="66">
        <f>'PP - Data'!E62</f>
        <v>0.4166666667</v>
      </c>
      <c r="F36" s="66">
        <f>'PP - Data'!F62</f>
        <v>0.4406779661</v>
      </c>
      <c r="G36" s="66">
        <f>'PP - Data'!G62</f>
        <v>0.4714285714</v>
      </c>
      <c r="H36" s="66">
        <f>'PP - Data'!H62</f>
        <v>0.3857142857</v>
      </c>
      <c r="I36" s="66">
        <f>'PP - Data'!I62</f>
        <v>0.5166666667</v>
      </c>
      <c r="J36" s="66">
        <f>'PP - Data'!J62</f>
        <v>0.4255319149</v>
      </c>
      <c r="K36" s="66">
        <f>'PP - Data'!K62</f>
        <v>0.4285714286</v>
      </c>
      <c r="L36" s="66">
        <f>'PP - Data'!L62</f>
        <v>0.4098360656</v>
      </c>
      <c r="M36" s="66">
        <f>'PP - Data'!M62</f>
        <v>0.3623188406</v>
      </c>
      <c r="N36" s="66">
        <f>'PP - Data'!N62</f>
        <v>0.1224489796</v>
      </c>
      <c r="O36" s="66">
        <f>'PP - Data'!O62</f>
        <v>0.1794871795</v>
      </c>
      <c r="P36" s="66">
        <f>'PP - Data'!P62</f>
        <v>0.4</v>
      </c>
      <c r="Q36" s="66">
        <f>'PP - Data'!Q62</f>
        <v>0</v>
      </c>
      <c r="R36" s="66">
        <f>'PP - Data'!R62</f>
        <v>0.08333333333</v>
      </c>
      <c r="S36" s="66">
        <f>'PP - Data'!S62</f>
        <v>0.06666666667</v>
      </c>
      <c r="T36" s="66">
        <f>'PP - Data'!T62</f>
        <v>0.2857142857</v>
      </c>
      <c r="U36" s="66">
        <f>'PP - Data'!U62</f>
        <v>0.1428571429</v>
      </c>
      <c r="V36" s="66">
        <f>'PP - Data'!V62</f>
        <v>0.09090909091</v>
      </c>
      <c r="W36" s="66">
        <f>'PP - Data'!W62</f>
        <v>0.1578947368</v>
      </c>
      <c r="X36" s="66">
        <f>'PP - Data'!X62</f>
        <v>0.1333333333</v>
      </c>
      <c r="Y36" s="66">
        <f>'PP - Data'!Y62</f>
        <v>0.1666666667</v>
      </c>
      <c r="Z36" s="66">
        <f>'PP - Data'!Z62</f>
        <v>0.2631578947</v>
      </c>
      <c r="AA36" s="66">
        <f>'PP - Data'!AA62</f>
        <v>0.1333333333</v>
      </c>
      <c r="AB36" s="66">
        <f>'PP - Data'!AB62</f>
        <v>0.2</v>
      </c>
      <c r="AC36" s="66">
        <f>'PP - Data'!AC62</f>
        <v>0.08333333333</v>
      </c>
      <c r="AD36" s="66">
        <f>'PP - Data'!AD62</f>
        <v>0.1818181818</v>
      </c>
      <c r="AE36" s="66">
        <f>'PP - Data'!AE62</f>
        <v>0.4</v>
      </c>
      <c r="AF36" s="66">
        <f>'PP - Data'!AF62</f>
        <v>0.375</v>
      </c>
    </row>
    <row r="37">
      <c r="A37" s="4" t="s">
        <v>794</v>
      </c>
      <c r="B37" s="66">
        <f>'PP - Data'!B63</f>
        <v>0.0612244898</v>
      </c>
      <c r="C37" s="66">
        <f>'PP - Data'!C63</f>
        <v>0.1388888889</v>
      </c>
      <c r="D37" s="66">
        <f>'PP - Data'!D63</f>
        <v>0.2054794521</v>
      </c>
      <c r="E37" s="66">
        <f>'PP - Data'!E63</f>
        <v>0.15</v>
      </c>
      <c r="F37" s="66">
        <f>'PP - Data'!F63</f>
        <v>0.1355932203</v>
      </c>
      <c r="G37" s="66">
        <f>'PP - Data'!G63</f>
        <v>0.1142857143</v>
      </c>
      <c r="H37" s="66">
        <f>'PP - Data'!H63</f>
        <v>0.2</v>
      </c>
      <c r="I37" s="66">
        <f>'PP - Data'!I63</f>
        <v>0.1333333333</v>
      </c>
      <c r="J37" s="66">
        <f>'PP - Data'!J63</f>
        <v>0.1063829787</v>
      </c>
      <c r="K37" s="66">
        <f>'PP - Data'!K63</f>
        <v>0.1428571429</v>
      </c>
      <c r="L37" s="66">
        <f>'PP - Data'!L63</f>
        <v>0.1967213115</v>
      </c>
      <c r="M37" s="66">
        <f>'PP - Data'!M63</f>
        <v>0.115942029</v>
      </c>
      <c r="N37" s="66">
        <f>'PP - Data'!N63</f>
        <v>0.1632653061</v>
      </c>
      <c r="O37" s="66">
        <f>'PP - Data'!O63</f>
        <v>0.2307692308</v>
      </c>
      <c r="P37" s="66">
        <f>'PP - Data'!P63</f>
        <v>0.1</v>
      </c>
      <c r="Q37" s="66">
        <f>'PP - Data'!Q63</f>
        <v>0</v>
      </c>
      <c r="R37" s="66">
        <f>'PP - Data'!R63</f>
        <v>0.08333333333</v>
      </c>
      <c r="S37" s="66">
        <f>'PP - Data'!S63</f>
        <v>0.2</v>
      </c>
      <c r="T37" s="66">
        <f>'PP - Data'!T63</f>
        <v>0.2380952381</v>
      </c>
      <c r="U37" s="66">
        <f>'PP - Data'!U63</f>
        <v>0.2142857143</v>
      </c>
      <c r="V37" s="66">
        <f>'PP - Data'!V63</f>
        <v>0.2121212121</v>
      </c>
      <c r="W37" s="66">
        <f>'PP - Data'!W63</f>
        <v>0.3157894737</v>
      </c>
      <c r="X37" s="66">
        <f>'PP - Data'!X63</f>
        <v>0.2</v>
      </c>
      <c r="Y37" s="66">
        <f>'PP - Data'!Y63</f>
        <v>0.08333333333</v>
      </c>
      <c r="Z37" s="66">
        <f>'PP - Data'!Z63</f>
        <v>0.1052631579</v>
      </c>
      <c r="AA37" s="66">
        <f>'PP - Data'!AA63</f>
        <v>0.3333333333</v>
      </c>
      <c r="AB37" s="66">
        <f>'PP - Data'!AB63</f>
        <v>0.1333333333</v>
      </c>
      <c r="AC37" s="66">
        <f>'PP - Data'!AC63</f>
        <v>0.25</v>
      </c>
      <c r="AD37" s="66">
        <f>'PP - Data'!AD63</f>
        <v>0.04545454545</v>
      </c>
      <c r="AE37" s="66">
        <f>'PP - Data'!AE63</f>
        <v>0</v>
      </c>
      <c r="AF37" s="66">
        <f>'PP - Data'!AF63</f>
        <v>0.125</v>
      </c>
    </row>
    <row r="38">
      <c r="A38" s="4" t="s">
        <v>795</v>
      </c>
      <c r="B38" s="66">
        <f>'PP - Data'!B64</f>
        <v>0.2040816327</v>
      </c>
      <c r="C38" s="66">
        <f>'PP - Data'!C64</f>
        <v>0.2916666667</v>
      </c>
      <c r="D38" s="66">
        <f>'PP - Data'!D64</f>
        <v>0.2328767123</v>
      </c>
      <c r="E38" s="66">
        <f>'PP - Data'!E64</f>
        <v>0.2666666667</v>
      </c>
      <c r="F38" s="66">
        <f>'PP - Data'!F64</f>
        <v>0.2881355932</v>
      </c>
      <c r="G38" s="66">
        <f>'PP - Data'!G64</f>
        <v>0.2428571429</v>
      </c>
      <c r="H38" s="66">
        <f>'PP - Data'!H64</f>
        <v>0.2</v>
      </c>
      <c r="I38" s="66">
        <f>'PP - Data'!I64</f>
        <v>0.15</v>
      </c>
      <c r="J38" s="66">
        <f>'PP - Data'!J64</f>
        <v>0.2978723404</v>
      </c>
      <c r="K38" s="66">
        <f>'PP - Data'!K64</f>
        <v>0.2142857143</v>
      </c>
      <c r="L38" s="66">
        <f>'PP - Data'!L64</f>
        <v>0.1639344262</v>
      </c>
      <c r="M38" s="66">
        <f>'PP - Data'!M64</f>
        <v>0.3043478261</v>
      </c>
      <c r="N38" s="66">
        <f>'PP - Data'!N64</f>
        <v>0.2653061224</v>
      </c>
      <c r="O38" s="66">
        <f>'PP - Data'!O64</f>
        <v>0.2820512821</v>
      </c>
      <c r="P38" s="66">
        <f>'PP - Data'!P64</f>
        <v>0.2</v>
      </c>
      <c r="Q38" s="66">
        <f>'PP - Data'!Q64</f>
        <v>0</v>
      </c>
      <c r="R38" s="66">
        <f>'PP - Data'!R64</f>
        <v>0.5</v>
      </c>
      <c r="S38" s="66">
        <f>'PP - Data'!S64</f>
        <v>0.2666666667</v>
      </c>
      <c r="T38" s="66">
        <f>'PP - Data'!T64</f>
        <v>0.1904761905</v>
      </c>
      <c r="U38" s="66">
        <f>'PP - Data'!U64</f>
        <v>0.2142857143</v>
      </c>
      <c r="V38" s="66">
        <f>'PP - Data'!V64</f>
        <v>0.2727272727</v>
      </c>
      <c r="W38" s="66">
        <f>'PP - Data'!W64</f>
        <v>0.1578947368</v>
      </c>
      <c r="X38" s="66">
        <f>'PP - Data'!X64</f>
        <v>0.2666666667</v>
      </c>
      <c r="Y38" s="66">
        <f>'PP - Data'!Y64</f>
        <v>0.3333333333</v>
      </c>
      <c r="Z38" s="66">
        <f>'PP - Data'!Z64</f>
        <v>0.3157894737</v>
      </c>
      <c r="AA38" s="66">
        <f>'PP - Data'!AA64</f>
        <v>0.2</v>
      </c>
      <c r="AB38" s="66">
        <f>'PP - Data'!AB64</f>
        <v>0.4666666667</v>
      </c>
      <c r="AC38" s="66">
        <f>'PP - Data'!AC64</f>
        <v>0.2083333333</v>
      </c>
      <c r="AD38" s="66">
        <f>'PP - Data'!AD64</f>
        <v>0.3636363636</v>
      </c>
      <c r="AE38" s="66">
        <f>'PP - Data'!AE64</f>
        <v>0.3</v>
      </c>
      <c r="AF38" s="66">
        <f>'PP - Data'!AF64</f>
        <v>0.1875</v>
      </c>
    </row>
    <row r="39">
      <c r="A39" s="474" t="s">
        <v>796</v>
      </c>
      <c r="B39" s="476"/>
      <c r="C39" s="476"/>
      <c r="D39" s="476"/>
      <c r="E39" s="476"/>
      <c r="F39" s="476"/>
      <c r="G39" s="476"/>
      <c r="H39" s="476"/>
      <c r="I39" s="476"/>
      <c r="J39" s="476"/>
      <c r="K39" s="476"/>
      <c r="L39" s="476"/>
      <c r="M39" s="476"/>
      <c r="N39" s="476"/>
      <c r="O39" s="476"/>
      <c r="P39" s="476"/>
      <c r="Q39" s="476"/>
      <c r="R39" s="476"/>
      <c r="S39" s="476"/>
      <c r="T39" s="476"/>
      <c r="U39" s="476"/>
      <c r="V39" s="476"/>
      <c r="W39" s="476"/>
      <c r="X39" s="476"/>
      <c r="Y39" s="476"/>
      <c r="Z39" s="477"/>
      <c r="AA39" s="476"/>
      <c r="AB39" s="476"/>
      <c r="AC39" s="476"/>
      <c r="AD39" s="476"/>
      <c r="AE39" s="476"/>
      <c r="AF39" s="476"/>
    </row>
    <row r="40" collapsed="1">
      <c r="A40" s="4" t="s">
        <v>797</v>
      </c>
      <c r="B40" s="66">
        <f>'PP - Data'!B76</f>
        <v>0.262295082</v>
      </c>
      <c r="C40" s="66">
        <f>'PP - Data'!C76</f>
        <v>0.2826086957</v>
      </c>
      <c r="D40" s="66">
        <f>'PP - Data'!D76</f>
        <v>0.2317073171</v>
      </c>
      <c r="E40" s="66">
        <f>'PP - Data'!E76</f>
        <v>0.2575757576</v>
      </c>
      <c r="F40" s="66">
        <f>'PP - Data'!F76</f>
        <v>0.231884058</v>
      </c>
      <c r="G40" s="66">
        <f>'PP - Data'!G76</f>
        <v>0.225</v>
      </c>
      <c r="H40" s="66">
        <f>'PP - Data'!H76</f>
        <v>0.2588235294</v>
      </c>
      <c r="I40" s="66">
        <f>'PP - Data'!I76</f>
        <v>0.2173913043</v>
      </c>
      <c r="J40" s="66">
        <f>'PP - Data'!J76</f>
        <v>0.2307692308</v>
      </c>
      <c r="K40" s="66">
        <f>'PP - Data'!K76</f>
        <v>0.1818181818</v>
      </c>
      <c r="L40" s="66">
        <f>'PP - Data'!L76</f>
        <v>0.2467532468</v>
      </c>
      <c r="M40" s="66">
        <f>'PP - Data'!M76</f>
        <v>0.25</v>
      </c>
      <c r="N40" s="66">
        <f>'PP - Data'!N76</f>
        <v>0.1960784314</v>
      </c>
      <c r="O40" s="66">
        <f>'PP - Data'!O76</f>
        <v>0.25</v>
      </c>
      <c r="P40" s="66">
        <f>'PP - Data'!P76</f>
        <v>0.3076923077</v>
      </c>
      <c r="Q40" s="66">
        <f>'PP - Data'!Q76</f>
        <v>0</v>
      </c>
      <c r="R40" s="66">
        <f>'PP - Data'!R76</f>
        <v>0</v>
      </c>
      <c r="S40" s="66">
        <f>'PP - Data'!S76</f>
        <v>0.2666666667</v>
      </c>
      <c r="T40" s="66">
        <f>'PP - Data'!T76</f>
        <v>0.2857142857</v>
      </c>
      <c r="U40" s="66">
        <f>'PP - Data'!U76</f>
        <v>0.5714285714</v>
      </c>
      <c r="V40" s="66">
        <f>'PP - Data'!V76</f>
        <v>0.3529411765</v>
      </c>
      <c r="W40" s="66">
        <f>'PP - Data'!W76</f>
        <v>0.2631578947</v>
      </c>
      <c r="X40" s="66">
        <f>'PP - Data'!X76</f>
        <v>0.3571428571</v>
      </c>
      <c r="Y40" s="66">
        <f>'PP - Data'!Y76</f>
        <v>0.1666666667</v>
      </c>
      <c r="Z40" s="66">
        <f>'PP - Data'!Z76</f>
        <v>0.2105263158</v>
      </c>
      <c r="AA40" s="66">
        <f>'PP - Data'!AA76</f>
        <v>0.1875</v>
      </c>
      <c r="AB40" s="66">
        <f>'PP - Data'!AB76</f>
        <v>0.2142857143</v>
      </c>
      <c r="AC40" s="66">
        <f>'PP - Data'!AC76</f>
        <v>0.3333333333</v>
      </c>
      <c r="AD40" s="66">
        <f>'PP - Data'!AD76</f>
        <v>0.3181818182</v>
      </c>
      <c r="AE40" s="66">
        <f>'PP - Data'!AE76</f>
        <v>0.1</v>
      </c>
      <c r="AF40" s="66">
        <f>'PP - Data'!AF76</f>
        <v>0.1764705882</v>
      </c>
    </row>
    <row r="41" hidden="1" outlineLevel="1">
      <c r="A41" s="480"/>
      <c r="B41" s="476"/>
      <c r="C41" s="476"/>
      <c r="D41" s="476"/>
      <c r="E41" s="476"/>
      <c r="F41" s="476"/>
      <c r="G41" s="476"/>
      <c r="H41" s="476"/>
      <c r="I41" s="476"/>
      <c r="J41" s="476"/>
      <c r="K41" s="481"/>
      <c r="L41" s="481"/>
      <c r="M41" s="481"/>
      <c r="N41" s="481"/>
      <c r="O41" s="481"/>
      <c r="P41" s="481"/>
      <c r="Q41" s="481"/>
      <c r="R41" s="481"/>
      <c r="S41" s="481"/>
      <c r="T41" s="481"/>
      <c r="U41" s="481"/>
      <c r="V41" s="481"/>
      <c r="W41" s="481"/>
      <c r="X41" s="481"/>
      <c r="Y41" s="481"/>
      <c r="Z41" s="481"/>
      <c r="AA41" s="481"/>
      <c r="AB41" s="481"/>
      <c r="AC41" s="481"/>
      <c r="AD41" s="481"/>
      <c r="AE41" s="481"/>
      <c r="AF41" s="481"/>
    </row>
    <row r="42" hidden="1" outlineLevel="1">
      <c r="A42" s="482" t="s">
        <v>798</v>
      </c>
      <c r="B42" s="483">
        <f>'PP - Data'!B90</f>
        <v>0.6875</v>
      </c>
      <c r="C42" s="483">
        <f>'PP - Data'!C90</f>
        <v>0.8076923077</v>
      </c>
      <c r="D42" s="483">
        <f>'PP - Data'!D90</f>
        <v>0.5789473684</v>
      </c>
      <c r="E42" s="483">
        <f>'PP - Data'!E90</f>
        <v>0.7647058824</v>
      </c>
      <c r="F42" s="483">
        <f>'PP - Data'!F90</f>
        <v>0.75</v>
      </c>
      <c r="G42" s="483">
        <f>'PP - Data'!G90</f>
        <v>0.6111111111</v>
      </c>
      <c r="H42" s="483">
        <f>'PP - Data'!H90</f>
        <v>0.7727272727</v>
      </c>
      <c r="I42" s="483">
        <f>'PP - Data'!I90</f>
        <v>0.8</v>
      </c>
      <c r="J42" s="483">
        <f>'PP - Data'!J90</f>
        <v>0.8333333333</v>
      </c>
      <c r="K42" s="483">
        <f>'PP - Data'!K90</f>
        <v>0.75</v>
      </c>
      <c r="L42" s="483">
        <f>'PP - Data'!L90</f>
        <v>0.7368421053</v>
      </c>
      <c r="M42" s="483">
        <f>'PP - Data'!M90</f>
        <v>0.6315789474</v>
      </c>
      <c r="N42" s="483">
        <f>'PP - Data'!N90</f>
        <v>0.6</v>
      </c>
      <c r="O42" s="483">
        <f>'PP - Data'!O90</f>
        <v>0.8181818182</v>
      </c>
      <c r="P42" s="483">
        <f>'PP - Data'!P90</f>
        <v>1</v>
      </c>
      <c r="Q42" s="483">
        <f>'PP - Data'!Q90</f>
        <v>0</v>
      </c>
      <c r="R42" s="483">
        <f>'PP - Data'!R90</f>
        <v>0</v>
      </c>
      <c r="S42" s="483">
        <f>'PP - Data'!S90</f>
        <v>0.5</v>
      </c>
      <c r="T42" s="483">
        <f>'PP - Data'!T90</f>
        <v>0.5</v>
      </c>
      <c r="U42" s="483">
        <f>'PP - Data'!U90</f>
        <v>0.625</v>
      </c>
      <c r="V42" s="483">
        <f>'PP - Data'!V90</f>
        <v>0.8333333333</v>
      </c>
      <c r="W42" s="483">
        <f>'PP - Data'!W90</f>
        <v>0.6</v>
      </c>
      <c r="X42" s="483">
        <f>'PP - Data'!X90</f>
        <v>0.8</v>
      </c>
      <c r="Y42" s="483">
        <f>'PP - Data'!Y90</f>
        <v>1</v>
      </c>
      <c r="Z42" s="483">
        <f>'PP - Data'!Z90</f>
        <v>0.75</v>
      </c>
      <c r="AA42" s="483">
        <f>'PP - Data'!AA90</f>
        <v>0.6666666667</v>
      </c>
      <c r="AB42" s="483">
        <f>'PP - Data'!AB90</f>
        <v>0.6666666667</v>
      </c>
      <c r="AC42" s="483">
        <f>'PP - Data'!AC90</f>
        <v>0.875</v>
      </c>
      <c r="AD42" s="483">
        <f>'PP - Data'!AD90</f>
        <v>1</v>
      </c>
      <c r="AE42" s="483">
        <f>'PP - Data'!AE90</f>
        <v>1</v>
      </c>
      <c r="AF42" s="483">
        <f>'PP - Data'!AF90</f>
        <v>1</v>
      </c>
    </row>
    <row r="43" hidden="1" outlineLevel="1">
      <c r="A43" s="484" t="s">
        <v>799</v>
      </c>
      <c r="B43" s="66">
        <f>'PP - Data'!B91</f>
        <v>0.0625</v>
      </c>
      <c r="C43" s="66">
        <f>'PP - Data'!C91</f>
        <v>0.03846153846</v>
      </c>
      <c r="D43" s="66">
        <f>'PP - Data'!D91</f>
        <v>0.2105263158</v>
      </c>
      <c r="E43" s="66">
        <f>'PP - Data'!E91</f>
        <v>0.05882352941</v>
      </c>
      <c r="F43" s="66">
        <f>'PP - Data'!F91</f>
        <v>0.0625</v>
      </c>
      <c r="G43" s="66">
        <f>'PP - Data'!G91</f>
        <v>0.1666666667</v>
      </c>
      <c r="H43" s="66">
        <f>'PP - Data'!H91</f>
        <v>0.09090909091</v>
      </c>
      <c r="I43" s="66">
        <f>'PP - Data'!I91</f>
        <v>0.1333333333</v>
      </c>
      <c r="J43" s="66">
        <f>'PP - Data'!J91</f>
        <v>0</v>
      </c>
      <c r="K43" s="66">
        <f>'PP - Data'!K91</f>
        <v>0</v>
      </c>
      <c r="L43" s="66">
        <f>'PP - Data'!L91</f>
        <v>0.1052631579</v>
      </c>
      <c r="M43" s="66">
        <f>'PP - Data'!M91</f>
        <v>0.05263157895</v>
      </c>
      <c r="N43" s="66">
        <f>'PP - Data'!N91</f>
        <v>0</v>
      </c>
      <c r="O43" s="66">
        <f>'PP - Data'!O91</f>
        <v>0</v>
      </c>
      <c r="P43" s="66">
        <f>'PP - Data'!P91</f>
        <v>0</v>
      </c>
      <c r="Q43" s="66">
        <f>'PP - Data'!Q91</f>
        <v>0</v>
      </c>
      <c r="R43" s="66">
        <f>'PP - Data'!R91</f>
        <v>0</v>
      </c>
      <c r="S43" s="66">
        <f>'PP - Data'!S91</f>
        <v>0.25</v>
      </c>
      <c r="T43" s="66">
        <f>'PP - Data'!T91</f>
        <v>0.1666666667</v>
      </c>
      <c r="U43" s="66">
        <f>'PP - Data'!U91</f>
        <v>0.25</v>
      </c>
      <c r="V43" s="66">
        <f>'PP - Data'!V91</f>
        <v>0.08333333333</v>
      </c>
      <c r="W43" s="66">
        <f>'PP - Data'!W91</f>
        <v>0</v>
      </c>
      <c r="X43" s="66">
        <f>'PP - Data'!X91</f>
        <v>0</v>
      </c>
      <c r="Y43" s="66">
        <f>'PP - Data'!Y91</f>
        <v>0</v>
      </c>
      <c r="Z43" s="66">
        <f>'PP - Data'!Z91</f>
        <v>0.25</v>
      </c>
      <c r="AA43" s="66">
        <f>'PP - Data'!AA91</f>
        <v>0</v>
      </c>
      <c r="AB43" s="66">
        <f>'PP - Data'!AB91</f>
        <v>0.3333333333</v>
      </c>
      <c r="AC43" s="66">
        <f>'PP - Data'!AC91</f>
        <v>0</v>
      </c>
      <c r="AD43" s="66">
        <f>'PP - Data'!AD91</f>
        <v>0</v>
      </c>
      <c r="AE43" s="66">
        <f>'PP - Data'!AE91</f>
        <v>0</v>
      </c>
      <c r="AF43" s="66">
        <f>'PP - Data'!AF91</f>
        <v>0</v>
      </c>
    </row>
    <row r="44" hidden="1" outlineLevel="1">
      <c r="A44" s="485" t="s">
        <v>800</v>
      </c>
      <c r="B44" s="486">
        <f>'PP - Data'!B92</f>
        <v>0.25</v>
      </c>
      <c r="C44" s="486">
        <f>'PP - Data'!C92</f>
        <v>0.1538461538</v>
      </c>
      <c r="D44" s="486">
        <f>'PP - Data'!D92</f>
        <v>0.2105263158</v>
      </c>
      <c r="E44" s="486">
        <f>'PP - Data'!E92</f>
        <v>0.1764705882</v>
      </c>
      <c r="F44" s="486">
        <f>'PP - Data'!F92</f>
        <v>0.1875</v>
      </c>
      <c r="G44" s="486">
        <f>'PP - Data'!G92</f>
        <v>0.2222222222</v>
      </c>
      <c r="H44" s="486">
        <f>'PP - Data'!H92</f>
        <v>0.1363636364</v>
      </c>
      <c r="I44" s="486">
        <f>'PP - Data'!I92</f>
        <v>0.06666666667</v>
      </c>
      <c r="J44" s="486">
        <f>'PP - Data'!J92</f>
        <v>0.1666666667</v>
      </c>
      <c r="K44" s="486">
        <f>'PP - Data'!K92</f>
        <v>0.25</v>
      </c>
      <c r="L44" s="486">
        <f>'PP - Data'!L92</f>
        <v>0.1578947368</v>
      </c>
      <c r="M44" s="486">
        <f>'PP - Data'!M92</f>
        <v>0.3157894737</v>
      </c>
      <c r="N44" s="486">
        <f>'PP - Data'!N92</f>
        <v>0.4</v>
      </c>
      <c r="O44" s="486">
        <f>'PP - Data'!O92</f>
        <v>0.1818181818</v>
      </c>
      <c r="P44" s="486">
        <f>'PP - Data'!P92</f>
        <v>0</v>
      </c>
      <c r="Q44" s="486">
        <f>'PP - Data'!Q92</f>
        <v>0</v>
      </c>
      <c r="R44" s="486">
        <f>'PP - Data'!R92</f>
        <v>0</v>
      </c>
      <c r="S44" s="486">
        <f>'PP - Data'!S92</f>
        <v>0.25</v>
      </c>
      <c r="T44" s="486">
        <f>'PP - Data'!T92</f>
        <v>0.3333333333</v>
      </c>
      <c r="U44" s="486">
        <f>'PP - Data'!U92</f>
        <v>0.125</v>
      </c>
      <c r="V44" s="486">
        <f>'PP - Data'!V92</f>
        <v>0.08333333333</v>
      </c>
      <c r="W44" s="486">
        <f>'PP - Data'!W92</f>
        <v>0.4</v>
      </c>
      <c r="X44" s="486">
        <f>'PP - Data'!X92</f>
        <v>0.2</v>
      </c>
      <c r="Y44" s="486">
        <f>'PP - Data'!Y92</f>
        <v>0</v>
      </c>
      <c r="Z44" s="486">
        <f>'PP - Data'!Z92</f>
        <v>0</v>
      </c>
      <c r="AA44" s="486">
        <f>'PP - Data'!AA92</f>
        <v>0.3333333333</v>
      </c>
      <c r="AB44" s="486">
        <f>'PP - Data'!AB92</f>
        <v>0</v>
      </c>
      <c r="AC44" s="486">
        <f>'PP - Data'!AC92</f>
        <v>0.125</v>
      </c>
      <c r="AD44" s="486">
        <f>'PP - Data'!AD92</f>
        <v>0</v>
      </c>
      <c r="AE44" s="486">
        <f>'PP - Data'!AE92</f>
        <v>0</v>
      </c>
      <c r="AF44" s="486">
        <f>'PP - Data'!AF92</f>
        <v>0.5</v>
      </c>
    </row>
    <row r="45">
      <c r="A45" s="4" t="s">
        <v>801</v>
      </c>
      <c r="B45" s="66">
        <f>'PP - Data'!B77</f>
        <v>0.4426229508</v>
      </c>
      <c r="C45" s="66">
        <f>'PP - Data'!C77</f>
        <v>0.3369565217</v>
      </c>
      <c r="D45" s="66">
        <f>'PP - Data'!D77</f>
        <v>0.4390243902</v>
      </c>
      <c r="E45" s="66">
        <f>'PP - Data'!E77</f>
        <v>0.4090909091</v>
      </c>
      <c r="F45" s="66">
        <f>'PP - Data'!F77</f>
        <v>0.3913043478</v>
      </c>
      <c r="G45" s="66">
        <f>'PP - Data'!G77</f>
        <v>0.4375</v>
      </c>
      <c r="H45" s="66">
        <f>'PP - Data'!H77</f>
        <v>0.4</v>
      </c>
      <c r="I45" s="66">
        <f>'PP - Data'!I77</f>
        <v>0.4202898551</v>
      </c>
      <c r="J45" s="66">
        <f>'PP - Data'!J77</f>
        <v>0.4230769231</v>
      </c>
      <c r="K45" s="66">
        <f>'PP - Data'!K77</f>
        <v>0.5681818182</v>
      </c>
      <c r="L45" s="66">
        <f>'PP - Data'!L77</f>
        <v>0.4805194805</v>
      </c>
      <c r="M45" s="66">
        <f>'PP - Data'!M77</f>
        <v>0.3815789474</v>
      </c>
      <c r="N45" s="66">
        <f>'PP - Data'!N77</f>
        <v>0.5294117647</v>
      </c>
      <c r="O45" s="66">
        <f>'PP - Data'!O77</f>
        <v>0.3863636364</v>
      </c>
      <c r="P45" s="66">
        <f>'PP - Data'!P77</f>
        <v>0.3846153846</v>
      </c>
      <c r="Q45" s="66">
        <f>'PP - Data'!Q77</f>
        <v>0</v>
      </c>
      <c r="R45" s="66">
        <f>'PP - Data'!R77</f>
        <v>0.5833333333</v>
      </c>
      <c r="S45" s="66">
        <f>'PP - Data'!S77</f>
        <v>0.4666666667</v>
      </c>
      <c r="T45" s="66">
        <f>'PP - Data'!T77</f>
        <v>0.4761904762</v>
      </c>
      <c r="U45" s="66">
        <f>'PP - Data'!U77</f>
        <v>0.2857142857</v>
      </c>
      <c r="V45" s="66">
        <f>'PP - Data'!V77</f>
        <v>0.4705882353</v>
      </c>
      <c r="W45" s="66">
        <f>'PP - Data'!W77</f>
        <v>0.5263157895</v>
      </c>
      <c r="X45" s="66">
        <f>'PP - Data'!X77</f>
        <v>0.5714285714</v>
      </c>
      <c r="Y45" s="66">
        <f>'PP - Data'!Y77</f>
        <v>0.4166666667</v>
      </c>
      <c r="Z45" s="66">
        <f>'PP - Data'!Z77</f>
        <v>0.6315789474</v>
      </c>
      <c r="AA45" s="66">
        <f>'PP - Data'!AA77</f>
        <v>0.5625</v>
      </c>
      <c r="AB45" s="66">
        <f>'PP - Data'!AB77</f>
        <v>0.5714285714</v>
      </c>
      <c r="AC45" s="66">
        <f>'PP - Data'!AC77</f>
        <v>0.5416666667</v>
      </c>
      <c r="AD45" s="66">
        <f>'PP - Data'!AD77</f>
        <v>0.4545454545</v>
      </c>
      <c r="AE45" s="66">
        <f>'PP - Data'!AE77</f>
        <v>0.6</v>
      </c>
      <c r="AF45" s="66">
        <f>'PP - Data'!AF77</f>
        <v>0.4705882353</v>
      </c>
    </row>
    <row r="46">
      <c r="A46" s="4" t="s">
        <v>109</v>
      </c>
      <c r="B46" s="66">
        <f>'PP - Data'!B78</f>
        <v>0.01639344262</v>
      </c>
      <c r="C46" s="66">
        <f>'PP - Data'!C78</f>
        <v>0.03260869565</v>
      </c>
      <c r="D46" s="66">
        <f>'PP - Data'!D78</f>
        <v>0</v>
      </c>
      <c r="E46" s="66">
        <f>'PP - Data'!E78</f>
        <v>0</v>
      </c>
      <c r="F46" s="66">
        <f>'PP - Data'!F78</f>
        <v>0.02898550725</v>
      </c>
      <c r="G46" s="66">
        <f>'PP - Data'!G78</f>
        <v>0.0625</v>
      </c>
      <c r="H46" s="66">
        <f>'PP - Data'!H78</f>
        <v>0.02352941176</v>
      </c>
      <c r="I46" s="66">
        <f>'PP - Data'!I78</f>
        <v>0.01449275362</v>
      </c>
      <c r="J46" s="66">
        <f>'PP - Data'!J78</f>
        <v>0.03846153846</v>
      </c>
      <c r="K46" s="66">
        <f>'PP - Data'!K78</f>
        <v>0.02272727273</v>
      </c>
      <c r="L46" s="66">
        <f>'PP - Data'!L78</f>
        <v>0</v>
      </c>
      <c r="M46" s="66">
        <f>'PP - Data'!M78</f>
        <v>0.01315789474</v>
      </c>
      <c r="N46" s="66">
        <f>'PP - Data'!N78</f>
        <v>0.01960784314</v>
      </c>
      <c r="O46" s="66">
        <f>'PP - Data'!O78</f>
        <v>0.02272727273</v>
      </c>
      <c r="P46" s="66">
        <f>'PP - Data'!P78</f>
        <v>0</v>
      </c>
      <c r="Q46" s="66">
        <f>'PP - Data'!Q78</f>
        <v>0</v>
      </c>
      <c r="R46" s="66">
        <f>'PP - Data'!R78</f>
        <v>0</v>
      </c>
      <c r="S46" s="66">
        <f>'PP - Data'!S78</f>
        <v>0</v>
      </c>
      <c r="T46" s="66">
        <f>'PP - Data'!T78</f>
        <v>0</v>
      </c>
      <c r="U46" s="66">
        <f>'PP - Data'!U78</f>
        <v>0</v>
      </c>
      <c r="V46" s="66">
        <f>'PP - Data'!V78</f>
        <v>0</v>
      </c>
      <c r="W46" s="66">
        <f>'PP - Data'!W78</f>
        <v>0</v>
      </c>
      <c r="X46" s="66">
        <f>'PP - Data'!X78</f>
        <v>0</v>
      </c>
      <c r="Y46" s="66">
        <f>'PP - Data'!Y78</f>
        <v>0</v>
      </c>
      <c r="Z46" s="66">
        <f>'PP - Data'!Z78</f>
        <v>0</v>
      </c>
      <c r="AA46" s="66">
        <f>'PP - Data'!AA78</f>
        <v>0</v>
      </c>
      <c r="AB46" s="66">
        <f>'PP - Data'!AB78</f>
        <v>0</v>
      </c>
      <c r="AC46" s="66">
        <f>'PP - Data'!AC78</f>
        <v>0</v>
      </c>
      <c r="AD46" s="66">
        <f>'PP - Data'!AD78</f>
        <v>0.04545454545</v>
      </c>
      <c r="AE46" s="66">
        <f>'PP - Data'!AE78</f>
        <v>0.1</v>
      </c>
      <c r="AF46" s="66">
        <f>'PP - Data'!AF78</f>
        <v>0</v>
      </c>
    </row>
    <row r="47">
      <c r="A47" s="4" t="s">
        <v>802</v>
      </c>
      <c r="B47" s="66">
        <f>'PP - Data'!B79</f>
        <v>0</v>
      </c>
      <c r="C47" s="66">
        <f>'PP - Data'!C79</f>
        <v>0</v>
      </c>
      <c r="D47" s="66">
        <f>'PP - Data'!D79</f>
        <v>0.0243902439</v>
      </c>
      <c r="E47" s="66">
        <f>'PP - Data'!E79</f>
        <v>0.01515151515</v>
      </c>
      <c r="F47" s="66">
        <f>'PP - Data'!F79</f>
        <v>0.01449275362</v>
      </c>
      <c r="G47" s="66">
        <f>'PP - Data'!G79</f>
        <v>0.0125</v>
      </c>
      <c r="H47" s="66">
        <f>'PP - Data'!H79</f>
        <v>0.01176470588</v>
      </c>
      <c r="I47" s="66">
        <f>'PP - Data'!I79</f>
        <v>0.04347826087</v>
      </c>
      <c r="J47" s="66">
        <f>'PP - Data'!J79</f>
        <v>0.03846153846</v>
      </c>
      <c r="K47" s="66">
        <f>'PP - Data'!K79</f>
        <v>0.02272727273</v>
      </c>
      <c r="L47" s="66">
        <f>'PP - Data'!L79</f>
        <v>0</v>
      </c>
      <c r="M47" s="66">
        <f>'PP - Data'!M79</f>
        <v>0.01315789474</v>
      </c>
      <c r="N47" s="66">
        <f>'PP - Data'!N79</f>
        <v>0.01960784314</v>
      </c>
      <c r="O47" s="66">
        <f>'PP - Data'!O79</f>
        <v>0.02272727273</v>
      </c>
      <c r="P47" s="66">
        <f>'PP - Data'!P79</f>
        <v>0</v>
      </c>
      <c r="Q47" s="66">
        <f>'PP - Data'!Q79</f>
        <v>0</v>
      </c>
      <c r="R47" s="66">
        <f>'PP - Data'!R79</f>
        <v>0.08333333333</v>
      </c>
      <c r="S47" s="66">
        <f>'PP - Data'!S79</f>
        <v>0.06666666667</v>
      </c>
      <c r="T47" s="66">
        <f>'PP - Data'!T79</f>
        <v>0</v>
      </c>
      <c r="U47" s="66">
        <f>'PP - Data'!U79</f>
        <v>0</v>
      </c>
      <c r="V47" s="66">
        <f>'PP - Data'!V79</f>
        <v>0</v>
      </c>
      <c r="W47" s="66">
        <f>'PP - Data'!W79</f>
        <v>0</v>
      </c>
      <c r="X47" s="66">
        <f>'PP - Data'!X79</f>
        <v>0</v>
      </c>
      <c r="Y47" s="66">
        <f>'PP - Data'!Y79</f>
        <v>0</v>
      </c>
      <c r="Z47" s="66">
        <f>'PP - Data'!Z79</f>
        <v>0.05263157895</v>
      </c>
      <c r="AA47" s="66">
        <f>'PP - Data'!AA79</f>
        <v>0</v>
      </c>
      <c r="AB47" s="66">
        <f>'PP - Data'!AB79</f>
        <v>0.07142857143</v>
      </c>
      <c r="AC47" s="66">
        <f>'PP - Data'!AC79</f>
        <v>0</v>
      </c>
      <c r="AD47" s="66">
        <f>'PP - Data'!AD79</f>
        <v>0</v>
      </c>
      <c r="AE47" s="66">
        <f>'PP - Data'!AE79</f>
        <v>0</v>
      </c>
      <c r="AF47" s="66">
        <f>'PP - Data'!AF79</f>
        <v>0.05882352941</v>
      </c>
    </row>
    <row r="48">
      <c r="A48" s="4" t="s">
        <v>803</v>
      </c>
      <c r="B48" s="66">
        <f>'PP - Data'!B80</f>
        <v>0.01639344262</v>
      </c>
      <c r="C48" s="66">
        <f>'PP - Data'!C80</f>
        <v>0.0652173913</v>
      </c>
      <c r="D48" s="66">
        <f>'PP - Data'!D80</f>
        <v>0.06097560976</v>
      </c>
      <c r="E48" s="66">
        <f>'PP - Data'!E80</f>
        <v>0.06060606061</v>
      </c>
      <c r="F48" s="66">
        <f>'PP - Data'!F80</f>
        <v>0.07246376812</v>
      </c>
      <c r="G48" s="66">
        <f>'PP - Data'!G80</f>
        <v>0.025</v>
      </c>
      <c r="H48" s="66">
        <f>'PP - Data'!H80</f>
        <v>0.04705882353</v>
      </c>
      <c r="I48" s="66">
        <f>'PP - Data'!I80</f>
        <v>0.07246376812</v>
      </c>
      <c r="J48" s="66">
        <f>'PP - Data'!J80</f>
        <v>0.03846153846</v>
      </c>
      <c r="K48" s="66">
        <f>'PP - Data'!K80</f>
        <v>0.02272727273</v>
      </c>
      <c r="L48" s="66">
        <f>'PP - Data'!L80</f>
        <v>0.01298701299</v>
      </c>
      <c r="M48" s="66">
        <f>'PP - Data'!M80</f>
        <v>0.07894736842</v>
      </c>
      <c r="N48" s="66">
        <f>'PP - Data'!N80</f>
        <v>0.01960784314</v>
      </c>
      <c r="O48" s="66">
        <f>'PP - Data'!O80</f>
        <v>0.04545454545</v>
      </c>
      <c r="P48" s="66">
        <f>'PP - Data'!P80</f>
        <v>0</v>
      </c>
      <c r="Q48" s="66">
        <f>'PP - Data'!Q80</f>
        <v>0</v>
      </c>
      <c r="R48" s="66">
        <f>'PP - Data'!R80</f>
        <v>0.1666666667</v>
      </c>
      <c r="S48" s="66">
        <f>'PP - Data'!S80</f>
        <v>0.2</v>
      </c>
      <c r="T48" s="66">
        <f>'PP - Data'!T80</f>
        <v>0.09523809524</v>
      </c>
      <c r="U48" s="66">
        <f>'PP - Data'!U80</f>
        <v>0.1428571429</v>
      </c>
      <c r="V48" s="66">
        <f>'PP - Data'!V80</f>
        <v>0.08823529412</v>
      </c>
      <c r="W48" s="66">
        <f>'PP - Data'!W80</f>
        <v>0.05263157895</v>
      </c>
      <c r="X48" s="66">
        <f>'PP - Data'!X80</f>
        <v>0</v>
      </c>
      <c r="Y48" s="66">
        <f>'PP - Data'!Y80</f>
        <v>0.1666666667</v>
      </c>
      <c r="Z48" s="66">
        <f>'PP - Data'!Z80</f>
        <v>0</v>
      </c>
      <c r="AA48" s="66">
        <f>'PP - Data'!AA80</f>
        <v>0.0625</v>
      </c>
      <c r="AB48" s="66">
        <f>'PP - Data'!AB80</f>
        <v>0</v>
      </c>
      <c r="AC48" s="66">
        <f>'PP - Data'!AC80</f>
        <v>0.08333333333</v>
      </c>
      <c r="AD48" s="66">
        <f>'PP - Data'!AD80</f>
        <v>0.1363636364</v>
      </c>
      <c r="AE48" s="66">
        <f>'PP - Data'!AE80</f>
        <v>0</v>
      </c>
      <c r="AF48" s="66">
        <f>'PP - Data'!AF80</f>
        <v>0.1176470588</v>
      </c>
    </row>
    <row r="49">
      <c r="A49" s="4" t="s">
        <v>804</v>
      </c>
      <c r="B49" s="66">
        <f>'PP - Data'!B81</f>
        <v>0</v>
      </c>
      <c r="C49" s="66">
        <f>'PP - Data'!C81</f>
        <v>0</v>
      </c>
      <c r="D49" s="66">
        <f>'PP - Data'!D81</f>
        <v>0.01219512195</v>
      </c>
      <c r="E49" s="66">
        <f>'PP - Data'!E81</f>
        <v>0</v>
      </c>
      <c r="F49" s="66">
        <f>'PP - Data'!F81</f>
        <v>0</v>
      </c>
      <c r="G49" s="66">
        <f>'PP - Data'!G81</f>
        <v>0.0125</v>
      </c>
      <c r="H49" s="66">
        <f>'PP - Data'!H81</f>
        <v>0</v>
      </c>
      <c r="I49" s="66">
        <f>'PP - Data'!I81</f>
        <v>0.01449275362</v>
      </c>
      <c r="J49" s="66">
        <f>'PP - Data'!J81</f>
        <v>0</v>
      </c>
      <c r="K49" s="66">
        <f>'PP - Data'!K81</f>
        <v>0</v>
      </c>
      <c r="L49" s="66">
        <f>'PP - Data'!L81</f>
        <v>0.01298701299</v>
      </c>
      <c r="M49" s="66">
        <f>'PP - Data'!M81</f>
        <v>0</v>
      </c>
      <c r="N49" s="66">
        <f>'PP - Data'!N81</f>
        <v>0.01960784314</v>
      </c>
      <c r="O49" s="66">
        <f>'PP - Data'!O81</f>
        <v>0.02272727273</v>
      </c>
      <c r="P49" s="66">
        <f>'PP - Data'!P81</f>
        <v>0</v>
      </c>
      <c r="Q49" s="66">
        <f>'PP - Data'!Q81</f>
        <v>0</v>
      </c>
      <c r="R49" s="66">
        <f>'PP - Data'!R81</f>
        <v>0</v>
      </c>
      <c r="S49" s="66">
        <f>'PP - Data'!S81</f>
        <v>0</v>
      </c>
      <c r="T49" s="66">
        <f>'PP - Data'!T81</f>
        <v>0</v>
      </c>
      <c r="U49" s="66">
        <f>'PP - Data'!U81</f>
        <v>0</v>
      </c>
      <c r="V49" s="66">
        <f>'PP - Data'!V81</f>
        <v>0</v>
      </c>
      <c r="W49" s="66">
        <f>'PP - Data'!W81</f>
        <v>0</v>
      </c>
      <c r="X49" s="66">
        <f>'PP - Data'!X81</f>
        <v>0</v>
      </c>
      <c r="Y49" s="66">
        <f>'PP - Data'!Y81</f>
        <v>0</v>
      </c>
      <c r="Z49" s="66">
        <f>'PP - Data'!Z81</f>
        <v>0</v>
      </c>
      <c r="AA49" s="66">
        <f>'PP - Data'!AA81</f>
        <v>0</v>
      </c>
      <c r="AB49" s="66">
        <f>'PP - Data'!AB81</f>
        <v>0</v>
      </c>
      <c r="AC49" s="66">
        <f>'PP - Data'!AC81</f>
        <v>0</v>
      </c>
      <c r="AD49" s="66">
        <f>'PP - Data'!AD81</f>
        <v>0</v>
      </c>
      <c r="AE49" s="66">
        <f>'PP - Data'!AE81</f>
        <v>0.1</v>
      </c>
      <c r="AF49" s="66">
        <f>'PP - Data'!AF81</f>
        <v>0</v>
      </c>
    </row>
    <row r="50">
      <c r="A50" s="4" t="s">
        <v>805</v>
      </c>
      <c r="B50" s="66">
        <f>'PP - Data'!B82</f>
        <v>0.262295082</v>
      </c>
      <c r="C50" s="66">
        <f>'PP - Data'!C82</f>
        <v>0.2826086957</v>
      </c>
      <c r="D50" s="66">
        <f>'PP - Data'!D82</f>
        <v>0.2317073171</v>
      </c>
      <c r="E50" s="66">
        <f>'PP - Data'!E82</f>
        <v>0.2575757576</v>
      </c>
      <c r="F50" s="66">
        <f>'PP - Data'!F82</f>
        <v>0.231884058</v>
      </c>
      <c r="G50" s="66">
        <f>'PP - Data'!G82</f>
        <v>0.225</v>
      </c>
      <c r="H50" s="66">
        <f>'PP - Data'!H82</f>
        <v>0.2588235294</v>
      </c>
      <c r="I50" s="66">
        <f>'PP - Data'!I82</f>
        <v>0.2173913043</v>
      </c>
      <c r="J50" s="66">
        <f>'PP - Data'!J82</f>
        <v>0.2307692308</v>
      </c>
      <c r="K50" s="66">
        <f>'PP - Data'!K82</f>
        <v>0.1818181818</v>
      </c>
      <c r="L50" s="66">
        <f>'PP - Data'!L82</f>
        <v>0.2467532468</v>
      </c>
      <c r="M50" s="66">
        <f>'PP - Data'!M82</f>
        <v>0.25</v>
      </c>
      <c r="N50" s="66">
        <f>'PP - Data'!N82</f>
        <v>0.1960784314</v>
      </c>
      <c r="O50" s="66">
        <f>'PP - Data'!O82</f>
        <v>0.25</v>
      </c>
      <c r="P50" s="66">
        <f>'PP - Data'!P82</f>
        <v>0.3076923077</v>
      </c>
      <c r="Q50" s="66">
        <f>'PP - Data'!Q82</f>
        <v>0</v>
      </c>
      <c r="R50" s="66">
        <f>'PP - Data'!R82</f>
        <v>0.1666666667</v>
      </c>
      <c r="S50" s="66">
        <f>'PP - Data'!S82</f>
        <v>0</v>
      </c>
      <c r="T50" s="66">
        <f>'PP - Data'!T82</f>
        <v>0.1428571429</v>
      </c>
      <c r="U50" s="66">
        <f>'PP - Data'!U82</f>
        <v>0</v>
      </c>
      <c r="V50" s="66">
        <f>'PP - Data'!V82</f>
        <v>0.05882352941</v>
      </c>
      <c r="W50" s="66">
        <f>'PP - Data'!W82</f>
        <v>0.1578947368</v>
      </c>
      <c r="X50" s="66">
        <f>'PP - Data'!X82</f>
        <v>0.07142857143</v>
      </c>
      <c r="Y50" s="66">
        <f>'PP - Data'!Y82</f>
        <v>0.25</v>
      </c>
      <c r="Z50" s="66">
        <f>'PP - Data'!Z82</f>
        <v>0.1052631579</v>
      </c>
      <c r="AA50" s="66">
        <f>'PP - Data'!AA82</f>
        <v>0.1875</v>
      </c>
      <c r="AB50" s="66">
        <f>'PP - Data'!AB82</f>
        <v>0.1428571429</v>
      </c>
      <c r="AC50" s="66">
        <f>'PP - Data'!AC82</f>
        <v>0.04166666667</v>
      </c>
      <c r="AD50" s="66">
        <f>'PP - Data'!AD82</f>
        <v>0.04545454545</v>
      </c>
      <c r="AE50" s="66">
        <f>'PP - Data'!AE82</f>
        <v>0.1</v>
      </c>
      <c r="AF50" s="66">
        <f>'PP - Data'!AF82</f>
        <v>0.1764705882</v>
      </c>
    </row>
    <row r="51">
      <c r="A51" s="489" t="s">
        <v>806</v>
      </c>
      <c r="B51" s="486">
        <f>'PP - Data'!B83</f>
        <v>0</v>
      </c>
      <c r="C51" s="486">
        <f>'PP - Data'!C83</f>
        <v>0</v>
      </c>
      <c r="D51" s="486">
        <f>'PP - Data'!D83</f>
        <v>0</v>
      </c>
      <c r="E51" s="486">
        <f>'PP - Data'!E83</f>
        <v>0</v>
      </c>
      <c r="F51" s="486">
        <f>'PP - Data'!F83</f>
        <v>0.02898550725</v>
      </c>
      <c r="G51" s="486">
        <f>'PP - Data'!G83</f>
        <v>0</v>
      </c>
      <c r="H51" s="486">
        <f>'PP - Data'!H83</f>
        <v>0</v>
      </c>
      <c r="I51" s="486">
        <f>'PP - Data'!I83</f>
        <v>0</v>
      </c>
      <c r="J51" s="486">
        <f>'PP - Data'!J83</f>
        <v>0</v>
      </c>
      <c r="K51" s="486">
        <f>'PP - Data'!K83</f>
        <v>0</v>
      </c>
      <c r="L51" s="486">
        <f>'PP - Data'!L83</f>
        <v>0</v>
      </c>
      <c r="M51" s="486">
        <f>'PP - Data'!M83</f>
        <v>0.01315789474</v>
      </c>
      <c r="N51" s="486">
        <f>'PP - Data'!N83</f>
        <v>0</v>
      </c>
      <c r="O51" s="486">
        <f>'PP - Data'!O83</f>
        <v>0</v>
      </c>
      <c r="P51" s="486">
        <f>'PP - Data'!P83</f>
        <v>0</v>
      </c>
      <c r="Q51" s="486">
        <f>'PP - Data'!Q83</f>
        <v>0</v>
      </c>
      <c r="R51" s="486">
        <f>'PP - Data'!R83</f>
        <v>0</v>
      </c>
      <c r="S51" s="486">
        <f>'PP - Data'!S83</f>
        <v>0</v>
      </c>
      <c r="T51" s="486">
        <f>'PP - Data'!T83</f>
        <v>0</v>
      </c>
      <c r="U51" s="486">
        <f>'PP - Data'!U83</f>
        <v>0</v>
      </c>
      <c r="V51" s="486">
        <f>'PP - Data'!V83</f>
        <v>0.02941176471</v>
      </c>
      <c r="W51" s="486">
        <f>'PP - Data'!W83</f>
        <v>0</v>
      </c>
      <c r="X51" s="486">
        <f>'PP - Data'!X83</f>
        <v>0</v>
      </c>
      <c r="Y51" s="486">
        <f>'PP - Data'!Y83</f>
        <v>0</v>
      </c>
      <c r="Z51" s="486">
        <f>'PP - Data'!Z83</f>
        <v>0</v>
      </c>
      <c r="AA51" s="486">
        <f>'PP - Data'!AA83</f>
        <v>0</v>
      </c>
      <c r="AB51" s="486">
        <f>'PP - Data'!AB83</f>
        <v>0</v>
      </c>
      <c r="AC51" s="486">
        <f>'PP - Data'!AC83</f>
        <v>0</v>
      </c>
      <c r="AD51" s="486">
        <f>'PP - Data'!AD83</f>
        <v>0</v>
      </c>
      <c r="AE51" s="486">
        <f>'PP - Data'!AE83</f>
        <v>0</v>
      </c>
      <c r="AF51" s="486">
        <f>'PP - Data'!AF83</f>
        <v>0</v>
      </c>
    </row>
  </sheetData>
  <mergeCells count="2">
    <mergeCell ref="A11:A12"/>
    <mergeCell ref="A32:A33"/>
  </mergeCells>
  <conditionalFormatting sqref="B35:AF38">
    <cfRule type="colorScale" priority="1">
      <colorScale>
        <cfvo type="min"/>
        <cfvo type="max"/>
        <color rgb="FFFFFFFF"/>
        <color rgb="FF57BB8A"/>
      </colorScale>
    </cfRule>
  </conditionalFormatting>
  <conditionalFormatting sqref="B21:AF23 B42:AF44">
    <cfRule type="colorScale" priority="2">
      <colorScale>
        <cfvo type="min"/>
        <cfvo type="max"/>
        <color rgb="FFFFFFFF"/>
        <color rgb="FF57BB8A"/>
      </colorScale>
    </cfRule>
  </conditionalFormatting>
  <conditionalFormatting sqref="B8:AE9">
    <cfRule type="colorScale" priority="3">
      <colorScale>
        <cfvo type="min"/>
        <cfvo type="max"/>
        <color rgb="FF57BB8A"/>
        <color rgb="FFFFFFFF"/>
      </colorScale>
    </cfRule>
  </conditionalFormatting>
  <conditionalFormatting sqref="B19:AF19 B24:AF30">
    <cfRule type="colorScale" priority="4">
      <colorScale>
        <cfvo type="min"/>
        <cfvo type="max"/>
        <color rgb="FFFFFFFF"/>
        <color rgb="FF34A853"/>
      </colorScale>
    </cfRule>
  </conditionalFormatting>
  <conditionalFormatting sqref="B40:AF40 B45:AF51">
    <cfRule type="colorScale" priority="5">
      <colorScale>
        <cfvo type="min"/>
        <cfvo type="max"/>
        <color rgb="FFFFFFFF"/>
        <color rgb="FF34A853"/>
      </colorScale>
    </cfRule>
  </conditionalFormatting>
  <conditionalFormatting sqref="B14:AF17">
    <cfRule type="colorScale" priority="6">
      <colorScale>
        <cfvo type="min"/>
        <cfvo type="max"/>
        <color rgb="FFFFFFFF"/>
        <color rgb="FF34A853"/>
      </colorScale>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s>
  <sheetData>
    <row r="1">
      <c r="A1" s="490" t="s">
        <v>808</v>
      </c>
      <c r="B1" s="491">
        <v>45413.0</v>
      </c>
      <c r="C1" s="491">
        <v>45414.0</v>
      </c>
      <c r="D1" s="491">
        <v>45415.0</v>
      </c>
      <c r="E1" s="491">
        <v>45416.0</v>
      </c>
      <c r="F1" s="491">
        <v>45417.0</v>
      </c>
      <c r="G1" s="491">
        <v>45418.0</v>
      </c>
      <c r="H1" s="491">
        <v>45419.0</v>
      </c>
      <c r="I1" s="491">
        <v>45420.0</v>
      </c>
      <c r="J1" s="491">
        <v>45421.0</v>
      </c>
      <c r="K1" s="491">
        <v>45422.0</v>
      </c>
      <c r="L1" s="491">
        <v>45423.0</v>
      </c>
      <c r="M1" s="491">
        <v>45424.0</v>
      </c>
      <c r="N1" s="491">
        <v>45425.0</v>
      </c>
      <c r="O1" s="491">
        <v>45426.0</v>
      </c>
      <c r="P1" s="491">
        <v>45427.0</v>
      </c>
      <c r="Q1" s="491">
        <v>45428.0</v>
      </c>
      <c r="R1" s="491">
        <v>45429.0</v>
      </c>
      <c r="S1" s="491">
        <v>45430.0</v>
      </c>
      <c r="T1" s="491">
        <v>45431.0</v>
      </c>
      <c r="U1" s="491">
        <v>45432.0</v>
      </c>
      <c r="V1" s="491">
        <v>45433.0</v>
      </c>
      <c r="W1" s="491">
        <v>45434.0</v>
      </c>
      <c r="X1" s="491">
        <v>45435.0</v>
      </c>
      <c r="Y1" s="491">
        <v>45436.0</v>
      </c>
      <c r="Z1" s="491">
        <v>45437.0</v>
      </c>
      <c r="AA1" s="491">
        <v>45438.0</v>
      </c>
      <c r="AB1" s="491">
        <v>45439.0</v>
      </c>
      <c r="AC1" s="491">
        <v>45440.0</v>
      </c>
      <c r="AD1" s="491">
        <v>45441.0</v>
      </c>
      <c r="AE1" s="491">
        <v>45442.0</v>
      </c>
      <c r="AF1" s="491">
        <v>45443.0</v>
      </c>
      <c r="AG1" s="492" t="s">
        <v>809</v>
      </c>
      <c r="AH1" s="493" t="s">
        <v>810</v>
      </c>
    </row>
    <row r="2">
      <c r="A2" s="494" t="s">
        <v>787</v>
      </c>
      <c r="B2" s="495"/>
      <c r="C2" s="495"/>
      <c r="D2" s="495"/>
      <c r="E2" s="495"/>
      <c r="F2" s="495"/>
      <c r="G2" s="495"/>
      <c r="H2" s="495"/>
      <c r="I2" s="495"/>
      <c r="J2" s="495"/>
      <c r="K2" s="495"/>
      <c r="L2" s="495"/>
      <c r="M2" s="495"/>
      <c r="N2" s="495"/>
      <c r="O2" s="495"/>
      <c r="P2" s="495"/>
      <c r="Q2" s="495"/>
      <c r="R2" s="495"/>
      <c r="S2" s="495"/>
      <c r="T2" s="495"/>
      <c r="U2" s="495"/>
      <c r="V2" s="495"/>
      <c r="W2" s="495"/>
      <c r="X2" s="495"/>
      <c r="Y2" s="495"/>
      <c r="Z2" s="495"/>
      <c r="AA2" s="495"/>
      <c r="AB2" s="495"/>
      <c r="AC2" s="495"/>
      <c r="AD2" s="495"/>
      <c r="AE2" s="495"/>
      <c r="AF2" s="495"/>
      <c r="AG2" s="496"/>
      <c r="AH2" s="497"/>
    </row>
    <row r="3">
      <c r="A3" s="498" t="s">
        <v>788</v>
      </c>
      <c r="B3" s="499">
        <v>115.0</v>
      </c>
      <c r="C3" s="499">
        <v>111.0</v>
      </c>
      <c r="D3" s="499">
        <v>146.0</v>
      </c>
      <c r="E3" s="499">
        <v>83.0</v>
      </c>
      <c r="F3" s="499">
        <v>100.0</v>
      </c>
      <c r="G3" s="499">
        <v>119.0</v>
      </c>
      <c r="H3" s="499">
        <v>103.0</v>
      </c>
      <c r="I3" s="499">
        <v>74.0</v>
      </c>
      <c r="J3" s="499">
        <v>67.0</v>
      </c>
      <c r="K3" s="499">
        <v>57.0</v>
      </c>
      <c r="L3" s="499">
        <v>58.0</v>
      </c>
      <c r="M3" s="499">
        <v>61.0</v>
      </c>
      <c r="N3" s="500">
        <v>41.0</v>
      </c>
      <c r="O3" s="500">
        <v>42.0</v>
      </c>
      <c r="P3" s="500">
        <v>14.0</v>
      </c>
      <c r="Q3" s="500">
        <v>2.0</v>
      </c>
      <c r="R3" s="500">
        <v>22.0</v>
      </c>
      <c r="S3" s="500">
        <v>18.0</v>
      </c>
      <c r="T3" s="500">
        <v>16.0</v>
      </c>
      <c r="U3" s="499">
        <v>25.0</v>
      </c>
      <c r="V3" s="499">
        <v>13.0</v>
      </c>
      <c r="W3" s="499">
        <v>15.0</v>
      </c>
      <c r="X3" s="499">
        <v>20.0</v>
      </c>
      <c r="Y3" s="500">
        <v>14.0</v>
      </c>
      <c r="Z3" s="500">
        <v>14.0</v>
      </c>
      <c r="AA3" s="500">
        <v>11.0</v>
      </c>
      <c r="AB3" s="500">
        <v>17.0</v>
      </c>
      <c r="AC3" s="500">
        <v>19.0</v>
      </c>
      <c r="AD3" s="500">
        <v>12.0</v>
      </c>
      <c r="AE3" s="500">
        <v>13.0</v>
      </c>
      <c r="AF3" s="500">
        <v>14.0</v>
      </c>
      <c r="AG3" s="501">
        <f t="shared" ref="AG3:AG5" si="1">SUM(B3:AF3)</f>
        <v>1436</v>
      </c>
      <c r="AH3" s="502">
        <f t="shared" ref="AH3:AH4" si="2">iferror(AG3/AG$5,"")</f>
        <v>0.567813365</v>
      </c>
    </row>
    <row r="4">
      <c r="A4" s="503" t="s">
        <v>789</v>
      </c>
      <c r="B4" s="500">
        <v>49.0</v>
      </c>
      <c r="C4" s="500">
        <v>72.0</v>
      </c>
      <c r="D4" s="500">
        <v>73.0</v>
      </c>
      <c r="E4" s="500">
        <v>60.0</v>
      </c>
      <c r="F4" s="500">
        <v>59.0</v>
      </c>
      <c r="G4" s="500">
        <v>70.0</v>
      </c>
      <c r="H4" s="500">
        <v>70.0</v>
      </c>
      <c r="I4" s="500">
        <v>60.0</v>
      </c>
      <c r="J4" s="500">
        <v>47.0</v>
      </c>
      <c r="K4" s="500">
        <v>42.0</v>
      </c>
      <c r="L4" s="500">
        <v>61.0</v>
      </c>
      <c r="M4" s="504">
        <v>69.0</v>
      </c>
      <c r="N4" s="500">
        <v>49.0</v>
      </c>
      <c r="O4" s="500">
        <v>39.0</v>
      </c>
      <c r="P4" s="500">
        <v>10.0</v>
      </c>
      <c r="Q4" s="500">
        <v>1.0</v>
      </c>
      <c r="R4" s="500">
        <v>12.0</v>
      </c>
      <c r="S4" s="500">
        <v>15.0</v>
      </c>
      <c r="T4" s="500">
        <v>21.0</v>
      </c>
      <c r="U4" s="500">
        <v>14.0</v>
      </c>
      <c r="V4" s="500">
        <v>33.0</v>
      </c>
      <c r="W4" s="500">
        <v>19.0</v>
      </c>
      <c r="X4" s="500">
        <v>15.0</v>
      </c>
      <c r="Y4" s="500">
        <v>12.0</v>
      </c>
      <c r="Z4" s="500">
        <v>19.0</v>
      </c>
      <c r="AA4" s="500">
        <v>15.0</v>
      </c>
      <c r="AB4" s="500">
        <v>15.0</v>
      </c>
      <c r="AC4" s="500">
        <v>24.0</v>
      </c>
      <c r="AD4" s="500">
        <v>22.0</v>
      </c>
      <c r="AE4" s="500">
        <v>10.0</v>
      </c>
      <c r="AF4" s="500">
        <v>16.0</v>
      </c>
      <c r="AG4" s="501">
        <f t="shared" si="1"/>
        <v>1093</v>
      </c>
      <c r="AH4" s="502">
        <f t="shared" si="2"/>
        <v>0.432186635</v>
      </c>
    </row>
    <row r="5">
      <c r="A5" s="505" t="s">
        <v>811</v>
      </c>
      <c r="B5" s="506">
        <f t="shared" ref="B5:AF5" si="3">SUM(B3:B4)</f>
        <v>164</v>
      </c>
      <c r="C5" s="506">
        <f t="shared" si="3"/>
        <v>183</v>
      </c>
      <c r="D5" s="506">
        <f t="shared" si="3"/>
        <v>219</v>
      </c>
      <c r="E5" s="506">
        <f t="shared" si="3"/>
        <v>143</v>
      </c>
      <c r="F5" s="506">
        <f t="shared" si="3"/>
        <v>159</v>
      </c>
      <c r="G5" s="506">
        <f t="shared" si="3"/>
        <v>189</v>
      </c>
      <c r="H5" s="506">
        <f t="shared" si="3"/>
        <v>173</v>
      </c>
      <c r="I5" s="506">
        <f t="shared" si="3"/>
        <v>134</v>
      </c>
      <c r="J5" s="506">
        <f t="shared" si="3"/>
        <v>114</v>
      </c>
      <c r="K5" s="506">
        <f t="shared" si="3"/>
        <v>99</v>
      </c>
      <c r="L5" s="506">
        <f t="shared" si="3"/>
        <v>119</v>
      </c>
      <c r="M5" s="506">
        <f t="shared" si="3"/>
        <v>130</v>
      </c>
      <c r="N5" s="506">
        <f t="shared" si="3"/>
        <v>90</v>
      </c>
      <c r="O5" s="506">
        <f t="shared" si="3"/>
        <v>81</v>
      </c>
      <c r="P5" s="506">
        <f t="shared" si="3"/>
        <v>24</v>
      </c>
      <c r="Q5" s="506">
        <f t="shared" si="3"/>
        <v>3</v>
      </c>
      <c r="R5" s="506">
        <f t="shared" si="3"/>
        <v>34</v>
      </c>
      <c r="S5" s="506">
        <f t="shared" si="3"/>
        <v>33</v>
      </c>
      <c r="T5" s="506">
        <f t="shared" si="3"/>
        <v>37</v>
      </c>
      <c r="U5" s="506">
        <f t="shared" si="3"/>
        <v>39</v>
      </c>
      <c r="V5" s="506">
        <f t="shared" si="3"/>
        <v>46</v>
      </c>
      <c r="W5" s="506">
        <f t="shared" si="3"/>
        <v>34</v>
      </c>
      <c r="X5" s="506">
        <f t="shared" si="3"/>
        <v>35</v>
      </c>
      <c r="Y5" s="506">
        <f t="shared" si="3"/>
        <v>26</v>
      </c>
      <c r="Z5" s="506">
        <f t="shared" si="3"/>
        <v>33</v>
      </c>
      <c r="AA5" s="506">
        <f t="shared" si="3"/>
        <v>26</v>
      </c>
      <c r="AB5" s="506">
        <f t="shared" si="3"/>
        <v>32</v>
      </c>
      <c r="AC5" s="506">
        <f t="shared" si="3"/>
        <v>43</v>
      </c>
      <c r="AD5" s="506">
        <f t="shared" si="3"/>
        <v>34</v>
      </c>
      <c r="AE5" s="506">
        <f t="shared" si="3"/>
        <v>23</v>
      </c>
      <c r="AF5" s="506">
        <f t="shared" si="3"/>
        <v>30</v>
      </c>
      <c r="AG5" s="507">
        <f t="shared" si="1"/>
        <v>2529</v>
      </c>
      <c r="AH5" s="508">
        <f>SUM(AH3:AH4)</f>
        <v>1</v>
      </c>
    </row>
    <row r="6">
      <c r="A6" s="509" t="s">
        <v>812</v>
      </c>
      <c r="B6" s="510"/>
      <c r="C6" s="510"/>
      <c r="D6" s="510"/>
      <c r="E6" s="510"/>
      <c r="F6" s="510"/>
      <c r="G6" s="510"/>
      <c r="H6" s="510"/>
      <c r="I6" s="510"/>
      <c r="J6" s="510"/>
      <c r="K6" s="510"/>
      <c r="L6" s="510"/>
      <c r="M6" s="510"/>
      <c r="N6" s="510"/>
      <c r="O6" s="510"/>
      <c r="P6" s="510"/>
      <c r="Q6" s="510"/>
      <c r="R6" s="510"/>
      <c r="S6" s="510"/>
      <c r="T6" s="510"/>
      <c r="U6" s="510"/>
      <c r="V6" s="510"/>
      <c r="W6" s="510"/>
      <c r="X6" s="510"/>
      <c r="Y6" s="510"/>
      <c r="Z6" s="510"/>
      <c r="AA6" s="510"/>
      <c r="AB6" s="510"/>
      <c r="AC6" s="510"/>
      <c r="AD6" s="510"/>
      <c r="AE6" s="510"/>
      <c r="AF6" s="510"/>
      <c r="AG6" s="511"/>
      <c r="AH6" s="512"/>
    </row>
    <row r="7">
      <c r="A7" s="513" t="s">
        <v>788</v>
      </c>
      <c r="B7" s="514">
        <f t="shared" ref="B7:P7" si="4">iferror(B3/B$5,"")</f>
        <v>0.7012195122</v>
      </c>
      <c r="C7" s="514">
        <f t="shared" si="4"/>
        <v>0.606557377</v>
      </c>
      <c r="D7" s="514">
        <f t="shared" si="4"/>
        <v>0.6666666667</v>
      </c>
      <c r="E7" s="514">
        <f t="shared" si="4"/>
        <v>0.5804195804</v>
      </c>
      <c r="F7" s="514">
        <f t="shared" si="4"/>
        <v>0.6289308176</v>
      </c>
      <c r="G7" s="514">
        <f t="shared" si="4"/>
        <v>0.6296296296</v>
      </c>
      <c r="H7" s="514">
        <f t="shared" si="4"/>
        <v>0.5953757225</v>
      </c>
      <c r="I7" s="514">
        <f t="shared" si="4"/>
        <v>0.552238806</v>
      </c>
      <c r="J7" s="514">
        <f t="shared" si="4"/>
        <v>0.5877192982</v>
      </c>
      <c r="K7" s="514">
        <f t="shared" si="4"/>
        <v>0.5757575758</v>
      </c>
      <c r="L7" s="514">
        <f t="shared" si="4"/>
        <v>0.487394958</v>
      </c>
      <c r="M7" s="514">
        <f t="shared" si="4"/>
        <v>0.4692307692</v>
      </c>
      <c r="N7" s="514">
        <f t="shared" si="4"/>
        <v>0.4555555556</v>
      </c>
      <c r="O7" s="514">
        <f t="shared" si="4"/>
        <v>0.5185185185</v>
      </c>
      <c r="P7" s="514">
        <f t="shared" si="4"/>
        <v>0.5833333333</v>
      </c>
      <c r="Q7" s="515">
        <v>0.0</v>
      </c>
      <c r="R7" s="514">
        <f t="shared" ref="R7:AF7" si="5">iferror(R3/R$5,"")</f>
        <v>0.6470588235</v>
      </c>
      <c r="S7" s="514">
        <f t="shared" si="5"/>
        <v>0.5454545455</v>
      </c>
      <c r="T7" s="514">
        <f t="shared" si="5"/>
        <v>0.4324324324</v>
      </c>
      <c r="U7" s="514">
        <f t="shared" si="5"/>
        <v>0.641025641</v>
      </c>
      <c r="V7" s="514">
        <f t="shared" si="5"/>
        <v>0.2826086957</v>
      </c>
      <c r="W7" s="514">
        <f t="shared" si="5"/>
        <v>0.4411764706</v>
      </c>
      <c r="X7" s="514">
        <f t="shared" si="5"/>
        <v>0.5714285714</v>
      </c>
      <c r="Y7" s="514">
        <f t="shared" si="5"/>
        <v>0.5384615385</v>
      </c>
      <c r="Z7" s="514">
        <f t="shared" si="5"/>
        <v>0.4242424242</v>
      </c>
      <c r="AA7" s="514">
        <f t="shared" si="5"/>
        <v>0.4230769231</v>
      </c>
      <c r="AB7" s="514">
        <f t="shared" si="5"/>
        <v>0.53125</v>
      </c>
      <c r="AC7" s="514">
        <f t="shared" si="5"/>
        <v>0.4418604651</v>
      </c>
      <c r="AD7" s="514">
        <f t="shared" si="5"/>
        <v>0.3529411765</v>
      </c>
      <c r="AE7" s="514">
        <f t="shared" si="5"/>
        <v>0.5652173913</v>
      </c>
      <c r="AF7" s="514">
        <f t="shared" si="5"/>
        <v>0.4666666667</v>
      </c>
      <c r="AG7" s="516"/>
      <c r="AH7" s="517"/>
    </row>
    <row r="8">
      <c r="A8" s="513" t="s">
        <v>789</v>
      </c>
      <c r="B8" s="514">
        <f t="shared" ref="B8:P8" si="6">iferror(B4/B$5,"")</f>
        <v>0.2987804878</v>
      </c>
      <c r="C8" s="514">
        <f t="shared" si="6"/>
        <v>0.393442623</v>
      </c>
      <c r="D8" s="514">
        <f t="shared" si="6"/>
        <v>0.3333333333</v>
      </c>
      <c r="E8" s="514">
        <f t="shared" si="6"/>
        <v>0.4195804196</v>
      </c>
      <c r="F8" s="514">
        <f t="shared" si="6"/>
        <v>0.3710691824</v>
      </c>
      <c r="G8" s="514">
        <f t="shared" si="6"/>
        <v>0.3703703704</v>
      </c>
      <c r="H8" s="514">
        <f t="shared" si="6"/>
        <v>0.4046242775</v>
      </c>
      <c r="I8" s="514">
        <f t="shared" si="6"/>
        <v>0.447761194</v>
      </c>
      <c r="J8" s="514">
        <f t="shared" si="6"/>
        <v>0.4122807018</v>
      </c>
      <c r="K8" s="514">
        <f t="shared" si="6"/>
        <v>0.4242424242</v>
      </c>
      <c r="L8" s="514">
        <f t="shared" si="6"/>
        <v>0.512605042</v>
      </c>
      <c r="M8" s="514">
        <f t="shared" si="6"/>
        <v>0.5307692308</v>
      </c>
      <c r="N8" s="514">
        <f t="shared" si="6"/>
        <v>0.5444444444</v>
      </c>
      <c r="O8" s="514">
        <f t="shared" si="6"/>
        <v>0.4814814815</v>
      </c>
      <c r="P8" s="514">
        <f t="shared" si="6"/>
        <v>0.4166666667</v>
      </c>
      <c r="Q8" s="515">
        <v>0.0</v>
      </c>
      <c r="R8" s="514">
        <f t="shared" ref="R8:AF8" si="7">iferror(R4/R$5,"")</f>
        <v>0.3529411765</v>
      </c>
      <c r="S8" s="514">
        <f t="shared" si="7"/>
        <v>0.4545454545</v>
      </c>
      <c r="T8" s="514">
        <f t="shared" si="7"/>
        <v>0.5675675676</v>
      </c>
      <c r="U8" s="514">
        <f t="shared" si="7"/>
        <v>0.358974359</v>
      </c>
      <c r="V8" s="514">
        <f t="shared" si="7"/>
        <v>0.7173913043</v>
      </c>
      <c r="W8" s="514">
        <f t="shared" si="7"/>
        <v>0.5588235294</v>
      </c>
      <c r="X8" s="514">
        <f t="shared" si="7"/>
        <v>0.4285714286</v>
      </c>
      <c r="Y8" s="514">
        <f t="shared" si="7"/>
        <v>0.4615384615</v>
      </c>
      <c r="Z8" s="514">
        <f t="shared" si="7"/>
        <v>0.5757575758</v>
      </c>
      <c r="AA8" s="514">
        <f t="shared" si="7"/>
        <v>0.5769230769</v>
      </c>
      <c r="AB8" s="514">
        <f t="shared" si="7"/>
        <v>0.46875</v>
      </c>
      <c r="AC8" s="514">
        <f t="shared" si="7"/>
        <v>0.5581395349</v>
      </c>
      <c r="AD8" s="514">
        <f t="shared" si="7"/>
        <v>0.6470588235</v>
      </c>
      <c r="AE8" s="514">
        <f t="shared" si="7"/>
        <v>0.4347826087</v>
      </c>
      <c r="AF8" s="514">
        <f t="shared" si="7"/>
        <v>0.5333333333</v>
      </c>
      <c r="AG8" s="518"/>
      <c r="AH8" s="517"/>
    </row>
    <row r="9">
      <c r="A9" s="519"/>
      <c r="B9" s="520"/>
      <c r="C9" s="520"/>
      <c r="D9" s="520"/>
      <c r="E9" s="520"/>
      <c r="F9" s="520"/>
      <c r="G9" s="520"/>
      <c r="H9" s="520"/>
      <c r="I9" s="520"/>
      <c r="J9" s="520"/>
      <c r="K9" s="520"/>
      <c r="L9" s="520"/>
      <c r="M9" s="520"/>
      <c r="N9" s="520"/>
      <c r="O9" s="520"/>
      <c r="P9" s="520"/>
      <c r="Q9" s="520"/>
      <c r="R9" s="520"/>
      <c r="S9" s="520"/>
      <c r="T9" s="520"/>
      <c r="U9" s="520"/>
      <c r="V9" s="520"/>
      <c r="W9" s="520"/>
      <c r="X9" s="520"/>
      <c r="Y9" s="520"/>
      <c r="Z9" s="520"/>
      <c r="AA9" s="520"/>
      <c r="AB9" s="520"/>
      <c r="AC9" s="520"/>
      <c r="AD9" s="520"/>
      <c r="AE9" s="520"/>
      <c r="AF9" s="520"/>
      <c r="AG9" s="521"/>
      <c r="AH9" s="522"/>
    </row>
    <row r="10">
      <c r="A10" s="523" t="s">
        <v>790</v>
      </c>
      <c r="B10" s="524"/>
      <c r="C10" s="524"/>
      <c r="D10" s="524"/>
      <c r="E10" s="524"/>
      <c r="F10" s="524"/>
      <c r="G10" s="524"/>
      <c r="H10" s="524"/>
      <c r="I10" s="524"/>
      <c r="J10" s="524"/>
      <c r="K10" s="524"/>
      <c r="L10" s="524"/>
      <c r="M10" s="524"/>
      <c r="N10" s="524"/>
      <c r="O10" s="524"/>
      <c r="P10" s="524"/>
      <c r="Q10" s="524"/>
      <c r="R10" s="524"/>
      <c r="S10" s="524"/>
      <c r="T10" s="524"/>
      <c r="U10" s="524"/>
      <c r="V10" s="524"/>
      <c r="W10" s="524"/>
      <c r="X10" s="524"/>
      <c r="Y10" s="524"/>
      <c r="Z10" s="524"/>
      <c r="AA10" s="524"/>
      <c r="AB10" s="524"/>
      <c r="AC10" s="524"/>
      <c r="AD10" s="524"/>
      <c r="AE10" s="524"/>
      <c r="AF10" s="524"/>
      <c r="AG10" s="517"/>
      <c r="AH10" s="517"/>
    </row>
    <row r="11">
      <c r="B11" s="524"/>
      <c r="C11" s="524"/>
      <c r="D11" s="524"/>
      <c r="E11" s="524"/>
      <c r="F11" s="524"/>
      <c r="G11" s="524"/>
      <c r="H11" s="524"/>
      <c r="I11" s="524"/>
      <c r="J11" s="524"/>
      <c r="K11" s="524"/>
      <c r="L11" s="524"/>
      <c r="M11" s="524"/>
      <c r="N11" s="524"/>
      <c r="O11" s="524"/>
      <c r="P11" s="524"/>
      <c r="Q11" s="524"/>
      <c r="R11" s="524"/>
      <c r="S11" s="524"/>
      <c r="T11" s="524"/>
      <c r="U11" s="524"/>
      <c r="V11" s="524"/>
      <c r="W11" s="524"/>
      <c r="X11" s="524"/>
      <c r="Y11" s="524"/>
      <c r="Z11" s="524"/>
      <c r="AA11" s="524"/>
      <c r="AB11" s="524"/>
      <c r="AC11" s="524"/>
      <c r="AD11" s="524"/>
      <c r="AE11" s="524"/>
      <c r="AF11" s="524"/>
      <c r="AG11" s="517"/>
      <c r="AH11" s="517"/>
    </row>
    <row r="12" outlineLevel="1">
      <c r="A12" s="494" t="s">
        <v>791</v>
      </c>
      <c r="B12" s="495"/>
      <c r="C12" s="495"/>
      <c r="D12" s="495"/>
      <c r="E12" s="495"/>
      <c r="F12" s="495"/>
      <c r="G12" s="495"/>
      <c r="H12" s="495"/>
      <c r="I12" s="495"/>
      <c r="J12" s="495"/>
      <c r="K12" s="495"/>
      <c r="L12" s="495"/>
      <c r="M12" s="495"/>
      <c r="N12" s="495"/>
      <c r="O12" s="495"/>
      <c r="P12" s="495"/>
      <c r="Q12" s="495"/>
      <c r="R12" s="495"/>
      <c r="S12" s="495"/>
      <c r="T12" s="495"/>
      <c r="U12" s="495"/>
      <c r="V12" s="495"/>
      <c r="W12" s="495"/>
      <c r="X12" s="495"/>
      <c r="Y12" s="495"/>
      <c r="Z12" s="495"/>
      <c r="AA12" s="495"/>
      <c r="AB12" s="495"/>
      <c r="AC12" s="495"/>
      <c r="AD12" s="495"/>
      <c r="AE12" s="495"/>
      <c r="AF12" s="495"/>
      <c r="AG12" s="496"/>
      <c r="AH12" s="497"/>
    </row>
    <row r="13" outlineLevel="1">
      <c r="A13" s="4" t="s">
        <v>792</v>
      </c>
      <c r="B13" s="499">
        <v>8.0</v>
      </c>
      <c r="C13" s="499">
        <v>8.0</v>
      </c>
      <c r="D13" s="499">
        <v>9.0</v>
      </c>
      <c r="E13" s="499">
        <v>7.0</v>
      </c>
      <c r="F13" s="499">
        <v>11.0</v>
      </c>
      <c r="G13" s="499">
        <v>8.0</v>
      </c>
      <c r="H13" s="499">
        <v>8.0</v>
      </c>
      <c r="I13" s="499">
        <v>9.0</v>
      </c>
      <c r="J13" s="499">
        <v>5.0</v>
      </c>
      <c r="K13" s="499">
        <v>0.0</v>
      </c>
      <c r="L13" s="499">
        <v>8.0</v>
      </c>
      <c r="M13" s="499">
        <v>9.0</v>
      </c>
      <c r="N13" s="499">
        <v>7.0</v>
      </c>
      <c r="O13" s="499">
        <v>4.0</v>
      </c>
      <c r="P13" s="499">
        <v>1.0</v>
      </c>
      <c r="Q13" s="499">
        <v>0.0</v>
      </c>
      <c r="R13" s="499">
        <v>6.0</v>
      </c>
      <c r="S13" s="499">
        <v>5.0</v>
      </c>
      <c r="T13" s="499">
        <v>2.0</v>
      </c>
      <c r="U13" s="499">
        <v>5.0</v>
      </c>
      <c r="V13" s="499">
        <v>3.0</v>
      </c>
      <c r="W13" s="499">
        <v>2.0</v>
      </c>
      <c r="X13" s="499">
        <v>3.0</v>
      </c>
      <c r="Y13" s="500">
        <v>1.0</v>
      </c>
      <c r="Z13" s="500">
        <v>4.0</v>
      </c>
      <c r="AA13" s="500">
        <v>2.0</v>
      </c>
      <c r="AB13" s="500">
        <v>4.0</v>
      </c>
      <c r="AC13" s="500">
        <v>4.0</v>
      </c>
      <c r="AD13" s="500">
        <v>1.0</v>
      </c>
      <c r="AE13" s="500">
        <v>2.0</v>
      </c>
      <c r="AF13" s="500">
        <v>1.0</v>
      </c>
      <c r="AG13" s="501">
        <f t="shared" ref="AG13:AG17" si="8">SUM(B13:AF13)</f>
        <v>147</v>
      </c>
      <c r="AH13" s="502">
        <f t="shared" ref="AH13:AH16" si="9">iferror(AG13/AG$17,"")</f>
        <v>0.102367688</v>
      </c>
    </row>
    <row r="14" outlineLevel="1">
      <c r="A14" s="498" t="s">
        <v>793</v>
      </c>
      <c r="B14" s="500">
        <v>55.0</v>
      </c>
      <c r="C14" s="500">
        <v>55.0</v>
      </c>
      <c r="D14" s="500">
        <v>65.0</v>
      </c>
      <c r="E14" s="500">
        <v>42.0</v>
      </c>
      <c r="F14" s="500">
        <v>44.0</v>
      </c>
      <c r="G14" s="500">
        <v>63.0</v>
      </c>
      <c r="H14" s="500">
        <v>56.0</v>
      </c>
      <c r="I14" s="500">
        <v>36.0</v>
      </c>
      <c r="J14" s="500">
        <v>30.0</v>
      </c>
      <c r="K14" s="500">
        <v>25.0</v>
      </c>
      <c r="L14" s="500">
        <v>19.0</v>
      </c>
      <c r="M14" s="500">
        <v>26.0</v>
      </c>
      <c r="N14" s="500">
        <v>13.0</v>
      </c>
      <c r="O14" s="500">
        <v>12.0</v>
      </c>
      <c r="P14" s="500">
        <v>3.0</v>
      </c>
      <c r="Q14" s="500">
        <v>1.0</v>
      </c>
      <c r="R14" s="500">
        <v>6.0</v>
      </c>
      <c r="S14" s="500">
        <v>5.0</v>
      </c>
      <c r="T14" s="500">
        <v>5.0</v>
      </c>
      <c r="U14" s="500">
        <v>10.0</v>
      </c>
      <c r="V14" s="500">
        <v>2.0</v>
      </c>
      <c r="W14" s="500">
        <v>3.0</v>
      </c>
      <c r="X14" s="500">
        <v>4.0</v>
      </c>
      <c r="Y14" s="500">
        <v>2.0</v>
      </c>
      <c r="Z14" s="500">
        <v>1.0</v>
      </c>
      <c r="AA14" s="500">
        <v>3.0</v>
      </c>
      <c r="AB14" s="500">
        <v>3.0</v>
      </c>
      <c r="AC14" s="500">
        <v>3.0</v>
      </c>
      <c r="AD14" s="500">
        <v>4.0</v>
      </c>
      <c r="AE14" s="500">
        <v>3.0</v>
      </c>
      <c r="AF14" s="500">
        <v>6.0</v>
      </c>
      <c r="AG14" s="501">
        <f t="shared" si="8"/>
        <v>605</v>
      </c>
      <c r="AH14" s="502">
        <f t="shared" si="9"/>
        <v>0.4213091922</v>
      </c>
    </row>
    <row r="15" outlineLevel="1">
      <c r="A15" s="498" t="s">
        <v>794</v>
      </c>
      <c r="B15" s="500">
        <v>33.0</v>
      </c>
      <c r="C15" s="500">
        <v>34.0</v>
      </c>
      <c r="D15" s="500">
        <v>56.0</v>
      </c>
      <c r="E15" s="500">
        <v>24.0</v>
      </c>
      <c r="F15" s="500">
        <v>31.0</v>
      </c>
      <c r="G15" s="500">
        <v>33.0</v>
      </c>
      <c r="H15" s="500">
        <v>22.0</v>
      </c>
      <c r="I15" s="500">
        <v>27.0</v>
      </c>
      <c r="J15" s="500">
        <v>24.0</v>
      </c>
      <c r="K15" s="500">
        <v>24.0</v>
      </c>
      <c r="L15" s="500">
        <v>12.0</v>
      </c>
      <c r="M15" s="500">
        <v>13.0</v>
      </c>
      <c r="N15" s="500">
        <v>13.0</v>
      </c>
      <c r="O15" s="500">
        <v>19.0</v>
      </c>
      <c r="P15" s="500">
        <v>7.0</v>
      </c>
      <c r="Q15" s="500">
        <v>1.0</v>
      </c>
      <c r="R15" s="500">
        <v>7.0</v>
      </c>
      <c r="S15" s="500">
        <v>3.0</v>
      </c>
      <c r="T15" s="500">
        <v>4.0</v>
      </c>
      <c r="U15" s="500">
        <v>3.0</v>
      </c>
      <c r="V15" s="500">
        <v>6.0</v>
      </c>
      <c r="W15" s="500">
        <v>2.0</v>
      </c>
      <c r="X15" s="500">
        <v>8.0</v>
      </c>
      <c r="Y15" s="500">
        <v>8.0</v>
      </c>
      <c r="Z15" s="500">
        <v>4.0</v>
      </c>
      <c r="AA15" s="500">
        <v>3.0</v>
      </c>
      <c r="AB15" s="500">
        <v>4.0</v>
      </c>
      <c r="AC15" s="500">
        <v>7.0</v>
      </c>
      <c r="AD15" s="500">
        <v>3.0</v>
      </c>
      <c r="AE15" s="500">
        <v>3.0</v>
      </c>
      <c r="AF15" s="500">
        <v>4.0</v>
      </c>
      <c r="AG15" s="501">
        <f t="shared" si="8"/>
        <v>442</v>
      </c>
      <c r="AH15" s="502">
        <f t="shared" si="9"/>
        <v>0.3077994429</v>
      </c>
    </row>
    <row r="16" outlineLevel="1">
      <c r="A16" s="498" t="s">
        <v>795</v>
      </c>
      <c r="B16" s="500">
        <v>19.0</v>
      </c>
      <c r="C16" s="500">
        <v>14.0</v>
      </c>
      <c r="D16" s="500">
        <v>16.0</v>
      </c>
      <c r="E16" s="500">
        <v>10.0</v>
      </c>
      <c r="F16" s="500">
        <v>14.0</v>
      </c>
      <c r="G16" s="500">
        <v>15.0</v>
      </c>
      <c r="H16" s="500">
        <v>17.0</v>
      </c>
      <c r="I16" s="500">
        <v>2.0</v>
      </c>
      <c r="J16" s="500">
        <v>8.0</v>
      </c>
      <c r="K16" s="500">
        <v>8.0</v>
      </c>
      <c r="L16" s="500">
        <v>19.0</v>
      </c>
      <c r="M16" s="500">
        <v>13.0</v>
      </c>
      <c r="N16" s="500">
        <v>8.0</v>
      </c>
      <c r="O16" s="500">
        <v>7.0</v>
      </c>
      <c r="P16" s="500">
        <v>3.0</v>
      </c>
      <c r="Q16" s="500">
        <v>0.0</v>
      </c>
      <c r="R16" s="500">
        <v>3.0</v>
      </c>
      <c r="S16" s="500">
        <v>5.0</v>
      </c>
      <c r="T16" s="500">
        <v>5.0</v>
      </c>
      <c r="U16" s="500">
        <v>7.0</v>
      </c>
      <c r="V16" s="500">
        <v>2.0</v>
      </c>
      <c r="W16" s="500">
        <v>8.0</v>
      </c>
      <c r="X16" s="500">
        <v>5.0</v>
      </c>
      <c r="Y16" s="500">
        <v>3.0</v>
      </c>
      <c r="Z16" s="500">
        <v>5.0</v>
      </c>
      <c r="AA16" s="500">
        <v>3.0</v>
      </c>
      <c r="AB16" s="500">
        <v>6.0</v>
      </c>
      <c r="AC16" s="500">
        <v>5.0</v>
      </c>
      <c r="AD16" s="500">
        <v>4.0</v>
      </c>
      <c r="AE16" s="500">
        <v>5.0</v>
      </c>
      <c r="AF16" s="500">
        <v>3.0</v>
      </c>
      <c r="AG16" s="501">
        <f t="shared" si="8"/>
        <v>242</v>
      </c>
      <c r="AH16" s="502">
        <f t="shared" si="9"/>
        <v>0.1685236769</v>
      </c>
    </row>
    <row r="17" outlineLevel="1">
      <c r="A17" s="525" t="s">
        <v>811</v>
      </c>
      <c r="B17" s="526">
        <f t="shared" ref="B17:AF17" si="10">SUM(B13:B16)</f>
        <v>115</v>
      </c>
      <c r="C17" s="526">
        <f t="shared" si="10"/>
        <v>111</v>
      </c>
      <c r="D17" s="526">
        <f t="shared" si="10"/>
        <v>146</v>
      </c>
      <c r="E17" s="526">
        <f t="shared" si="10"/>
        <v>83</v>
      </c>
      <c r="F17" s="526">
        <f t="shared" si="10"/>
        <v>100</v>
      </c>
      <c r="G17" s="526">
        <f t="shared" si="10"/>
        <v>119</v>
      </c>
      <c r="H17" s="526">
        <f t="shared" si="10"/>
        <v>103</v>
      </c>
      <c r="I17" s="526">
        <f t="shared" si="10"/>
        <v>74</v>
      </c>
      <c r="J17" s="526">
        <f t="shared" si="10"/>
        <v>67</v>
      </c>
      <c r="K17" s="526">
        <f t="shared" si="10"/>
        <v>57</v>
      </c>
      <c r="L17" s="526">
        <f t="shared" si="10"/>
        <v>58</v>
      </c>
      <c r="M17" s="526">
        <f t="shared" si="10"/>
        <v>61</v>
      </c>
      <c r="N17" s="526">
        <f t="shared" si="10"/>
        <v>41</v>
      </c>
      <c r="O17" s="526">
        <f t="shared" si="10"/>
        <v>42</v>
      </c>
      <c r="P17" s="526">
        <f t="shared" si="10"/>
        <v>14</v>
      </c>
      <c r="Q17" s="526">
        <f t="shared" si="10"/>
        <v>2</v>
      </c>
      <c r="R17" s="526">
        <f t="shared" si="10"/>
        <v>22</v>
      </c>
      <c r="S17" s="526">
        <f t="shared" si="10"/>
        <v>18</v>
      </c>
      <c r="T17" s="526">
        <f t="shared" si="10"/>
        <v>16</v>
      </c>
      <c r="U17" s="526">
        <f t="shared" si="10"/>
        <v>25</v>
      </c>
      <c r="V17" s="526">
        <f t="shared" si="10"/>
        <v>13</v>
      </c>
      <c r="W17" s="526">
        <f t="shared" si="10"/>
        <v>15</v>
      </c>
      <c r="X17" s="526">
        <f t="shared" si="10"/>
        <v>20</v>
      </c>
      <c r="Y17" s="526">
        <f t="shared" si="10"/>
        <v>14</v>
      </c>
      <c r="Z17" s="526">
        <f t="shared" si="10"/>
        <v>14</v>
      </c>
      <c r="AA17" s="526">
        <f t="shared" si="10"/>
        <v>11</v>
      </c>
      <c r="AB17" s="526">
        <f t="shared" si="10"/>
        <v>17</v>
      </c>
      <c r="AC17" s="526">
        <f t="shared" si="10"/>
        <v>19</v>
      </c>
      <c r="AD17" s="526">
        <f t="shared" si="10"/>
        <v>12</v>
      </c>
      <c r="AE17" s="526">
        <f t="shared" si="10"/>
        <v>13</v>
      </c>
      <c r="AF17" s="526">
        <f t="shared" si="10"/>
        <v>14</v>
      </c>
      <c r="AG17" s="527">
        <f t="shared" si="8"/>
        <v>1436</v>
      </c>
      <c r="AH17" s="528">
        <f>SUM(AH13:AH16)</f>
        <v>1</v>
      </c>
    </row>
    <row r="18" outlineLevel="1">
      <c r="A18" s="509" t="s">
        <v>813</v>
      </c>
      <c r="B18" s="510"/>
      <c r="C18" s="510"/>
      <c r="D18" s="510"/>
      <c r="E18" s="510"/>
      <c r="F18" s="510"/>
      <c r="G18" s="510"/>
      <c r="H18" s="510"/>
      <c r="I18" s="510"/>
      <c r="J18" s="510"/>
      <c r="K18" s="510"/>
      <c r="L18" s="510"/>
      <c r="M18" s="510"/>
      <c r="N18" s="510"/>
      <c r="O18" s="510"/>
      <c r="P18" s="510"/>
      <c r="Q18" s="510"/>
      <c r="R18" s="510"/>
      <c r="S18" s="510"/>
      <c r="T18" s="510"/>
      <c r="U18" s="510"/>
      <c r="V18" s="510"/>
      <c r="W18" s="510"/>
      <c r="X18" s="510"/>
      <c r="Y18" s="510"/>
      <c r="Z18" s="510"/>
      <c r="AA18" s="510"/>
      <c r="AB18" s="510"/>
      <c r="AC18" s="510"/>
      <c r="AD18" s="510"/>
      <c r="AE18" s="510"/>
      <c r="AF18" s="510"/>
      <c r="AG18" s="516"/>
      <c r="AH18" s="517"/>
    </row>
    <row r="19" outlineLevel="1">
      <c r="A19" s="513" t="s">
        <v>792</v>
      </c>
      <c r="B19" s="514">
        <f t="shared" ref="B19:P19" si="11">iferror(B13/B$17,"")</f>
        <v>0.06956521739</v>
      </c>
      <c r="C19" s="514">
        <f t="shared" si="11"/>
        <v>0.07207207207</v>
      </c>
      <c r="D19" s="514">
        <f t="shared" si="11"/>
        <v>0.06164383562</v>
      </c>
      <c r="E19" s="514">
        <f t="shared" si="11"/>
        <v>0.0843373494</v>
      </c>
      <c r="F19" s="514">
        <f t="shared" si="11"/>
        <v>0.11</v>
      </c>
      <c r="G19" s="514">
        <f t="shared" si="11"/>
        <v>0.06722689076</v>
      </c>
      <c r="H19" s="514">
        <f t="shared" si="11"/>
        <v>0.07766990291</v>
      </c>
      <c r="I19" s="514">
        <f t="shared" si="11"/>
        <v>0.1216216216</v>
      </c>
      <c r="J19" s="514">
        <f t="shared" si="11"/>
        <v>0.07462686567</v>
      </c>
      <c r="K19" s="514">
        <f t="shared" si="11"/>
        <v>0</v>
      </c>
      <c r="L19" s="514">
        <f t="shared" si="11"/>
        <v>0.1379310345</v>
      </c>
      <c r="M19" s="514">
        <f t="shared" si="11"/>
        <v>0.1475409836</v>
      </c>
      <c r="N19" s="514">
        <f t="shared" si="11"/>
        <v>0.1707317073</v>
      </c>
      <c r="O19" s="514">
        <f t="shared" si="11"/>
        <v>0.09523809524</v>
      </c>
      <c r="P19" s="514">
        <f t="shared" si="11"/>
        <v>0.07142857143</v>
      </c>
      <c r="Q19" s="515">
        <v>0.0</v>
      </c>
      <c r="R19" s="514">
        <f t="shared" ref="R19:AF19" si="12">iferror(R13/R$17,"")</f>
        <v>0.2727272727</v>
      </c>
      <c r="S19" s="514">
        <f t="shared" si="12"/>
        <v>0.2777777778</v>
      </c>
      <c r="T19" s="514">
        <f t="shared" si="12"/>
        <v>0.125</v>
      </c>
      <c r="U19" s="514">
        <f t="shared" si="12"/>
        <v>0.2</v>
      </c>
      <c r="V19" s="514">
        <f t="shared" si="12"/>
        <v>0.2307692308</v>
      </c>
      <c r="W19" s="514">
        <f t="shared" si="12"/>
        <v>0.1333333333</v>
      </c>
      <c r="X19" s="514">
        <f t="shared" si="12"/>
        <v>0.15</v>
      </c>
      <c r="Y19" s="514">
        <f t="shared" si="12"/>
        <v>0.07142857143</v>
      </c>
      <c r="Z19" s="514">
        <f t="shared" si="12"/>
        <v>0.2857142857</v>
      </c>
      <c r="AA19" s="514">
        <f t="shared" si="12"/>
        <v>0.1818181818</v>
      </c>
      <c r="AB19" s="514">
        <f t="shared" si="12"/>
        <v>0.2352941176</v>
      </c>
      <c r="AC19" s="514">
        <f t="shared" si="12"/>
        <v>0.2105263158</v>
      </c>
      <c r="AD19" s="514">
        <f t="shared" si="12"/>
        <v>0.08333333333</v>
      </c>
      <c r="AE19" s="514">
        <f t="shared" si="12"/>
        <v>0.1538461538</v>
      </c>
      <c r="AF19" s="514">
        <f t="shared" si="12"/>
        <v>0.07142857143</v>
      </c>
      <c r="AG19" s="516"/>
      <c r="AH19" s="517"/>
    </row>
    <row r="20" outlineLevel="1">
      <c r="A20" s="513" t="s">
        <v>793</v>
      </c>
      <c r="B20" s="514">
        <f t="shared" ref="B20:P20" si="13">iferror(B14/B$17,"")</f>
        <v>0.4782608696</v>
      </c>
      <c r="C20" s="514">
        <f t="shared" si="13"/>
        <v>0.4954954955</v>
      </c>
      <c r="D20" s="514">
        <f t="shared" si="13"/>
        <v>0.4452054795</v>
      </c>
      <c r="E20" s="514">
        <f t="shared" si="13"/>
        <v>0.5060240964</v>
      </c>
      <c r="F20" s="514">
        <f t="shared" si="13"/>
        <v>0.44</v>
      </c>
      <c r="G20" s="514">
        <f t="shared" si="13"/>
        <v>0.5294117647</v>
      </c>
      <c r="H20" s="514">
        <f t="shared" si="13"/>
        <v>0.5436893204</v>
      </c>
      <c r="I20" s="514">
        <f t="shared" si="13"/>
        <v>0.4864864865</v>
      </c>
      <c r="J20" s="514">
        <f t="shared" si="13"/>
        <v>0.447761194</v>
      </c>
      <c r="K20" s="514">
        <f t="shared" si="13"/>
        <v>0.4385964912</v>
      </c>
      <c r="L20" s="514">
        <f t="shared" si="13"/>
        <v>0.3275862069</v>
      </c>
      <c r="M20" s="514">
        <f t="shared" si="13"/>
        <v>0.4262295082</v>
      </c>
      <c r="N20" s="514">
        <f t="shared" si="13"/>
        <v>0.3170731707</v>
      </c>
      <c r="O20" s="514">
        <f t="shared" si="13"/>
        <v>0.2857142857</v>
      </c>
      <c r="P20" s="514">
        <f t="shared" si="13"/>
        <v>0.2142857143</v>
      </c>
      <c r="Q20" s="515">
        <v>0.0</v>
      </c>
      <c r="R20" s="514">
        <f t="shared" ref="R20:AF20" si="14">iferror(R14/R$17,"")</f>
        <v>0.2727272727</v>
      </c>
      <c r="S20" s="514">
        <f t="shared" si="14"/>
        <v>0.2777777778</v>
      </c>
      <c r="T20" s="514">
        <f t="shared" si="14"/>
        <v>0.3125</v>
      </c>
      <c r="U20" s="514">
        <f t="shared" si="14"/>
        <v>0.4</v>
      </c>
      <c r="V20" s="514">
        <f t="shared" si="14"/>
        <v>0.1538461538</v>
      </c>
      <c r="W20" s="514">
        <f t="shared" si="14"/>
        <v>0.2</v>
      </c>
      <c r="X20" s="514">
        <f t="shared" si="14"/>
        <v>0.2</v>
      </c>
      <c r="Y20" s="514">
        <f t="shared" si="14"/>
        <v>0.1428571429</v>
      </c>
      <c r="Z20" s="514">
        <f t="shared" si="14"/>
        <v>0.07142857143</v>
      </c>
      <c r="AA20" s="514">
        <f t="shared" si="14"/>
        <v>0.2727272727</v>
      </c>
      <c r="AB20" s="514">
        <f t="shared" si="14"/>
        <v>0.1764705882</v>
      </c>
      <c r="AC20" s="514">
        <f t="shared" si="14"/>
        <v>0.1578947368</v>
      </c>
      <c r="AD20" s="514">
        <f t="shared" si="14"/>
        <v>0.3333333333</v>
      </c>
      <c r="AE20" s="514">
        <f t="shared" si="14"/>
        <v>0.2307692308</v>
      </c>
      <c r="AF20" s="514">
        <f t="shared" si="14"/>
        <v>0.4285714286</v>
      </c>
      <c r="AG20" s="516"/>
      <c r="AH20" s="517"/>
    </row>
    <row r="21" outlineLevel="1">
      <c r="A21" s="513" t="s">
        <v>794</v>
      </c>
      <c r="B21" s="514">
        <f t="shared" ref="B21:P21" si="15">iferror(B15/B$17,"")</f>
        <v>0.2869565217</v>
      </c>
      <c r="C21" s="514">
        <f t="shared" si="15"/>
        <v>0.3063063063</v>
      </c>
      <c r="D21" s="514">
        <f t="shared" si="15"/>
        <v>0.3835616438</v>
      </c>
      <c r="E21" s="514">
        <f t="shared" si="15"/>
        <v>0.2891566265</v>
      </c>
      <c r="F21" s="514">
        <f t="shared" si="15"/>
        <v>0.31</v>
      </c>
      <c r="G21" s="514">
        <f t="shared" si="15"/>
        <v>0.2773109244</v>
      </c>
      <c r="H21" s="514">
        <f t="shared" si="15"/>
        <v>0.213592233</v>
      </c>
      <c r="I21" s="514">
        <f t="shared" si="15"/>
        <v>0.3648648649</v>
      </c>
      <c r="J21" s="514">
        <f t="shared" si="15"/>
        <v>0.3582089552</v>
      </c>
      <c r="K21" s="514">
        <f t="shared" si="15"/>
        <v>0.4210526316</v>
      </c>
      <c r="L21" s="514">
        <f t="shared" si="15"/>
        <v>0.2068965517</v>
      </c>
      <c r="M21" s="514">
        <f t="shared" si="15"/>
        <v>0.2131147541</v>
      </c>
      <c r="N21" s="514">
        <f t="shared" si="15"/>
        <v>0.3170731707</v>
      </c>
      <c r="O21" s="514">
        <f t="shared" si="15"/>
        <v>0.4523809524</v>
      </c>
      <c r="P21" s="514">
        <f t="shared" si="15"/>
        <v>0.5</v>
      </c>
      <c r="Q21" s="515">
        <v>0.0</v>
      </c>
      <c r="R21" s="514">
        <f t="shared" ref="R21:AF21" si="16">iferror(R15/R$17,"")</f>
        <v>0.3181818182</v>
      </c>
      <c r="S21" s="514">
        <f t="shared" si="16"/>
        <v>0.1666666667</v>
      </c>
      <c r="T21" s="514">
        <f t="shared" si="16"/>
        <v>0.25</v>
      </c>
      <c r="U21" s="514">
        <f t="shared" si="16"/>
        <v>0.12</v>
      </c>
      <c r="V21" s="514">
        <f t="shared" si="16"/>
        <v>0.4615384615</v>
      </c>
      <c r="W21" s="514">
        <f t="shared" si="16"/>
        <v>0.1333333333</v>
      </c>
      <c r="X21" s="514">
        <f t="shared" si="16"/>
        <v>0.4</v>
      </c>
      <c r="Y21" s="514">
        <f t="shared" si="16"/>
        <v>0.5714285714</v>
      </c>
      <c r="Z21" s="514">
        <f t="shared" si="16"/>
        <v>0.2857142857</v>
      </c>
      <c r="AA21" s="514">
        <f t="shared" si="16"/>
        <v>0.2727272727</v>
      </c>
      <c r="AB21" s="514">
        <f t="shared" si="16"/>
        <v>0.2352941176</v>
      </c>
      <c r="AC21" s="514">
        <f t="shared" si="16"/>
        <v>0.3684210526</v>
      </c>
      <c r="AD21" s="514">
        <f t="shared" si="16"/>
        <v>0.25</v>
      </c>
      <c r="AE21" s="514">
        <f t="shared" si="16"/>
        <v>0.2307692308</v>
      </c>
      <c r="AF21" s="514">
        <f t="shared" si="16"/>
        <v>0.2857142857</v>
      </c>
      <c r="AG21" s="516"/>
      <c r="AH21" s="517"/>
    </row>
    <row r="22" outlineLevel="1">
      <c r="A22" s="513" t="s">
        <v>795</v>
      </c>
      <c r="B22" s="514">
        <f t="shared" ref="B22:P22" si="17">iferror(B16/B$17,"")</f>
        <v>0.1652173913</v>
      </c>
      <c r="C22" s="514">
        <f t="shared" si="17"/>
        <v>0.1261261261</v>
      </c>
      <c r="D22" s="514">
        <f t="shared" si="17"/>
        <v>0.1095890411</v>
      </c>
      <c r="E22" s="514">
        <f t="shared" si="17"/>
        <v>0.1204819277</v>
      </c>
      <c r="F22" s="514">
        <f t="shared" si="17"/>
        <v>0.14</v>
      </c>
      <c r="G22" s="514">
        <f t="shared" si="17"/>
        <v>0.1260504202</v>
      </c>
      <c r="H22" s="514">
        <f t="shared" si="17"/>
        <v>0.1650485437</v>
      </c>
      <c r="I22" s="514">
        <f t="shared" si="17"/>
        <v>0.02702702703</v>
      </c>
      <c r="J22" s="514">
        <f t="shared" si="17"/>
        <v>0.1194029851</v>
      </c>
      <c r="K22" s="514">
        <f t="shared" si="17"/>
        <v>0.1403508772</v>
      </c>
      <c r="L22" s="514">
        <f t="shared" si="17"/>
        <v>0.3275862069</v>
      </c>
      <c r="M22" s="514">
        <f t="shared" si="17"/>
        <v>0.2131147541</v>
      </c>
      <c r="N22" s="514">
        <f t="shared" si="17"/>
        <v>0.1951219512</v>
      </c>
      <c r="O22" s="514">
        <f t="shared" si="17"/>
        <v>0.1666666667</v>
      </c>
      <c r="P22" s="514">
        <f t="shared" si="17"/>
        <v>0.2142857143</v>
      </c>
      <c r="Q22" s="515">
        <v>0.0</v>
      </c>
      <c r="R22" s="514">
        <f t="shared" ref="R22:AF22" si="18">iferror(R16/R$17,"")</f>
        <v>0.1363636364</v>
      </c>
      <c r="S22" s="514">
        <f t="shared" si="18"/>
        <v>0.2777777778</v>
      </c>
      <c r="T22" s="514">
        <f t="shared" si="18"/>
        <v>0.3125</v>
      </c>
      <c r="U22" s="514">
        <f t="shared" si="18"/>
        <v>0.28</v>
      </c>
      <c r="V22" s="514">
        <f t="shared" si="18"/>
        <v>0.1538461538</v>
      </c>
      <c r="W22" s="514">
        <f t="shared" si="18"/>
        <v>0.5333333333</v>
      </c>
      <c r="X22" s="514">
        <f t="shared" si="18"/>
        <v>0.25</v>
      </c>
      <c r="Y22" s="514">
        <f t="shared" si="18"/>
        <v>0.2142857143</v>
      </c>
      <c r="Z22" s="514">
        <f t="shared" si="18"/>
        <v>0.3571428571</v>
      </c>
      <c r="AA22" s="514">
        <f t="shared" si="18"/>
        <v>0.2727272727</v>
      </c>
      <c r="AB22" s="514">
        <f t="shared" si="18"/>
        <v>0.3529411765</v>
      </c>
      <c r="AC22" s="514">
        <f t="shared" si="18"/>
        <v>0.2631578947</v>
      </c>
      <c r="AD22" s="514">
        <f t="shared" si="18"/>
        <v>0.3333333333</v>
      </c>
      <c r="AE22" s="514">
        <f t="shared" si="18"/>
        <v>0.3846153846</v>
      </c>
      <c r="AF22" s="514">
        <f t="shared" si="18"/>
        <v>0.2142857143</v>
      </c>
      <c r="AG22" s="516"/>
      <c r="AH22" s="517"/>
    </row>
    <row r="23" outlineLevel="1">
      <c r="A23" s="529" t="s">
        <v>796</v>
      </c>
      <c r="B23" s="530"/>
      <c r="C23" s="530"/>
      <c r="D23" s="530"/>
      <c r="E23" s="530"/>
      <c r="F23" s="530"/>
      <c r="G23" s="530"/>
      <c r="H23" s="530"/>
      <c r="I23" s="530"/>
      <c r="J23" s="530"/>
      <c r="K23" s="530"/>
      <c r="L23" s="530"/>
      <c r="M23" s="530"/>
      <c r="N23" s="530"/>
      <c r="O23" s="530"/>
      <c r="P23" s="530"/>
      <c r="Q23" s="530"/>
      <c r="R23" s="530"/>
      <c r="S23" s="530"/>
      <c r="T23" s="530"/>
      <c r="U23" s="530"/>
      <c r="V23" s="530"/>
      <c r="W23" s="530"/>
      <c r="X23" s="530"/>
      <c r="Y23" s="530"/>
      <c r="Z23" s="530"/>
      <c r="AA23" s="530"/>
      <c r="AB23" s="530"/>
      <c r="AC23" s="530"/>
      <c r="AD23" s="530"/>
      <c r="AE23" s="530"/>
      <c r="AF23" s="530"/>
      <c r="AG23" s="531"/>
      <c r="AH23" s="532"/>
    </row>
    <row r="24" outlineLevel="1">
      <c r="A24" s="4" t="s">
        <v>797</v>
      </c>
      <c r="B24" s="499">
        <v>18.0</v>
      </c>
      <c r="C24" s="499">
        <v>21.0</v>
      </c>
      <c r="D24" s="499">
        <v>21.0</v>
      </c>
      <c r="E24" s="499">
        <v>24.0</v>
      </c>
      <c r="F24" s="499">
        <v>23.0</v>
      </c>
      <c r="G24" s="499">
        <v>27.0</v>
      </c>
      <c r="H24" s="499">
        <v>15.0</v>
      </c>
      <c r="I24" s="499">
        <v>15.0</v>
      </c>
      <c r="J24" s="499">
        <v>10.0</v>
      </c>
      <c r="K24" s="499">
        <v>16.0</v>
      </c>
      <c r="L24" s="499">
        <v>12.0</v>
      </c>
      <c r="M24" s="499">
        <v>21.0</v>
      </c>
      <c r="N24" s="8">
        <v>7.0</v>
      </c>
      <c r="O24" s="500">
        <v>9.0</v>
      </c>
      <c r="P24" s="500">
        <v>2.0</v>
      </c>
      <c r="Q24" s="500">
        <v>1.0</v>
      </c>
      <c r="R24" s="500">
        <v>3.0</v>
      </c>
      <c r="S24" s="500">
        <v>6.0</v>
      </c>
      <c r="T24" s="500">
        <v>5.0</v>
      </c>
      <c r="U24" s="499">
        <v>7.0</v>
      </c>
      <c r="V24" s="499">
        <v>2.0</v>
      </c>
      <c r="W24" s="499">
        <v>5.0</v>
      </c>
      <c r="X24" s="499">
        <v>3.0</v>
      </c>
      <c r="Y24" s="500">
        <v>6.0</v>
      </c>
      <c r="Z24" s="500">
        <v>2.0</v>
      </c>
      <c r="AA24" s="500">
        <v>1.0</v>
      </c>
      <c r="AB24" s="500">
        <v>4.0</v>
      </c>
      <c r="AC24" s="500">
        <v>6.0</v>
      </c>
      <c r="AD24" s="500">
        <v>2.0</v>
      </c>
      <c r="AE24" s="500">
        <v>6.0</v>
      </c>
      <c r="AF24" s="500">
        <v>1.0</v>
      </c>
      <c r="AG24" s="501">
        <f t="shared" ref="AG24:AG32" si="19">SUM(B24:AF24)</f>
        <v>301</v>
      </c>
      <c r="AH24" s="502">
        <f t="shared" ref="AH24:AH31" si="20">iferror(AG24/AG$32,"")</f>
        <v>0.1949481865</v>
      </c>
    </row>
    <row r="25" outlineLevel="1">
      <c r="A25" s="498" t="s">
        <v>801</v>
      </c>
      <c r="B25" s="500">
        <v>61.0</v>
      </c>
      <c r="C25" s="500">
        <v>64.0</v>
      </c>
      <c r="D25" s="500">
        <v>81.0</v>
      </c>
      <c r="E25" s="500">
        <v>37.0</v>
      </c>
      <c r="F25" s="500">
        <v>51.0</v>
      </c>
      <c r="G25" s="500">
        <v>57.0</v>
      </c>
      <c r="H25" s="500">
        <v>61.0</v>
      </c>
      <c r="I25" s="500">
        <v>34.0</v>
      </c>
      <c r="J25" s="500">
        <v>37.0</v>
      </c>
      <c r="K25" s="500">
        <v>27.0</v>
      </c>
      <c r="L25" s="500">
        <v>36.0</v>
      </c>
      <c r="M25" s="500">
        <v>34.0</v>
      </c>
      <c r="N25" s="8">
        <v>24.0</v>
      </c>
      <c r="O25" s="8">
        <v>24.0</v>
      </c>
      <c r="P25" s="8">
        <v>8.0</v>
      </c>
      <c r="Q25" s="500">
        <v>1.0</v>
      </c>
      <c r="R25" s="500">
        <v>10.0</v>
      </c>
      <c r="S25" s="500">
        <v>8.0</v>
      </c>
      <c r="T25" s="500">
        <v>6.0</v>
      </c>
      <c r="U25" s="500">
        <v>16.0</v>
      </c>
      <c r="V25" s="500">
        <v>9.0</v>
      </c>
      <c r="W25" s="500">
        <v>7.0</v>
      </c>
      <c r="X25" s="500">
        <v>15.0</v>
      </c>
      <c r="Y25" s="500">
        <v>8.0</v>
      </c>
      <c r="Z25" s="500">
        <v>6.0</v>
      </c>
      <c r="AA25" s="500">
        <v>9.0</v>
      </c>
      <c r="AB25" s="500">
        <v>12.0</v>
      </c>
      <c r="AC25" s="500">
        <v>9.0</v>
      </c>
      <c r="AD25" s="500">
        <v>6.0</v>
      </c>
      <c r="AE25" s="500">
        <v>6.0</v>
      </c>
      <c r="AF25" s="500">
        <v>12.0</v>
      </c>
      <c r="AG25" s="501">
        <f t="shared" si="19"/>
        <v>776</v>
      </c>
      <c r="AH25" s="502">
        <f t="shared" si="20"/>
        <v>0.5025906736</v>
      </c>
    </row>
    <row r="26" outlineLevel="1">
      <c r="A26" s="498" t="s">
        <v>109</v>
      </c>
      <c r="B26" s="500">
        <v>2.0</v>
      </c>
      <c r="C26" s="500">
        <v>1.0</v>
      </c>
      <c r="D26" s="500">
        <v>4.0</v>
      </c>
      <c r="E26" s="500">
        <v>1.0</v>
      </c>
      <c r="F26" s="500">
        <v>3.0</v>
      </c>
      <c r="G26" s="500">
        <v>11.0</v>
      </c>
      <c r="H26" s="500">
        <v>7.0</v>
      </c>
      <c r="I26" s="500">
        <v>2.0</v>
      </c>
      <c r="J26" s="500">
        <v>3.0</v>
      </c>
      <c r="K26" s="500">
        <v>1.0</v>
      </c>
      <c r="L26" s="500">
        <v>2.0</v>
      </c>
      <c r="M26" s="500">
        <v>1.0</v>
      </c>
      <c r="N26" s="8">
        <v>2.0</v>
      </c>
      <c r="O26" s="8">
        <v>1.0</v>
      </c>
      <c r="P26" s="8">
        <v>1.0</v>
      </c>
      <c r="Q26" s="500">
        <v>0.0</v>
      </c>
      <c r="R26" s="500">
        <v>0.0</v>
      </c>
      <c r="S26" s="500">
        <v>1.0</v>
      </c>
      <c r="T26" s="500">
        <v>0.0</v>
      </c>
      <c r="U26" s="500">
        <v>1.0</v>
      </c>
      <c r="V26" s="500">
        <v>0.0</v>
      </c>
      <c r="W26" s="500">
        <v>1.0</v>
      </c>
      <c r="X26" s="500">
        <v>0.0</v>
      </c>
      <c r="Y26" s="500">
        <v>0.0</v>
      </c>
      <c r="Z26" s="500">
        <v>1.0</v>
      </c>
      <c r="AA26" s="500">
        <v>0.0</v>
      </c>
      <c r="AB26" s="500">
        <v>0.0</v>
      </c>
      <c r="AC26" s="500">
        <v>1.0</v>
      </c>
      <c r="AD26" s="500">
        <v>0.0</v>
      </c>
      <c r="AE26" s="500">
        <v>0.0</v>
      </c>
      <c r="AF26" s="500">
        <v>1.0</v>
      </c>
      <c r="AG26" s="501">
        <f t="shared" si="19"/>
        <v>48</v>
      </c>
      <c r="AH26" s="502">
        <f t="shared" si="20"/>
        <v>0.0310880829</v>
      </c>
    </row>
    <row r="27" outlineLevel="1">
      <c r="A27" s="498" t="s">
        <v>802</v>
      </c>
      <c r="B27" s="500">
        <v>1.0</v>
      </c>
      <c r="C27" s="500">
        <v>1.0</v>
      </c>
      <c r="D27" s="500">
        <v>5.0</v>
      </c>
      <c r="E27" s="500">
        <v>2.0</v>
      </c>
      <c r="F27" s="500">
        <v>1.0</v>
      </c>
      <c r="G27" s="500">
        <v>1.0</v>
      </c>
      <c r="H27" s="500">
        <v>2.0</v>
      </c>
      <c r="I27" s="500">
        <v>5.0</v>
      </c>
      <c r="J27" s="500">
        <v>3.0</v>
      </c>
      <c r="K27" s="500">
        <v>0.0</v>
      </c>
      <c r="L27" s="500">
        <v>0.0</v>
      </c>
      <c r="M27" s="500">
        <v>0.0</v>
      </c>
      <c r="N27" s="8">
        <v>0.0</v>
      </c>
      <c r="O27" s="8">
        <v>1.0</v>
      </c>
      <c r="P27" s="8">
        <v>0.0</v>
      </c>
      <c r="Q27" s="500">
        <v>0.0</v>
      </c>
      <c r="R27" s="500">
        <v>2.0</v>
      </c>
      <c r="S27" s="500">
        <v>0.0</v>
      </c>
      <c r="T27" s="500">
        <v>0.0</v>
      </c>
      <c r="U27" s="500">
        <v>0.0</v>
      </c>
      <c r="V27" s="500">
        <v>0.0</v>
      </c>
      <c r="W27" s="500">
        <v>0.0</v>
      </c>
      <c r="X27" s="500">
        <v>0.0</v>
      </c>
      <c r="Y27" s="500">
        <v>0.0</v>
      </c>
      <c r="Z27" s="500">
        <v>0.0</v>
      </c>
      <c r="AA27" s="500">
        <v>0.0</v>
      </c>
      <c r="AB27" s="500">
        <v>0.0</v>
      </c>
      <c r="AC27" s="500">
        <v>0.0</v>
      </c>
      <c r="AD27" s="500">
        <v>0.0</v>
      </c>
      <c r="AE27" s="500">
        <v>0.0</v>
      </c>
      <c r="AF27" s="500">
        <v>0.0</v>
      </c>
      <c r="AG27" s="501">
        <f t="shared" si="19"/>
        <v>24</v>
      </c>
      <c r="AH27" s="502">
        <f t="shared" si="20"/>
        <v>0.01554404145</v>
      </c>
    </row>
    <row r="28" outlineLevel="1">
      <c r="A28" s="498" t="s">
        <v>803</v>
      </c>
      <c r="B28" s="500">
        <v>17.0</v>
      </c>
      <c r="C28" s="500">
        <v>16.0</v>
      </c>
      <c r="D28" s="500">
        <v>14.0</v>
      </c>
      <c r="E28" s="500">
        <v>6.0</v>
      </c>
      <c r="F28" s="500">
        <v>9.0</v>
      </c>
      <c r="G28" s="500">
        <v>8.0</v>
      </c>
      <c r="H28" s="500">
        <v>4.0</v>
      </c>
      <c r="I28" s="500">
        <v>5.0</v>
      </c>
      <c r="J28" s="500">
        <v>4.0</v>
      </c>
      <c r="K28" s="500">
        <v>3.0</v>
      </c>
      <c r="L28" s="500">
        <v>2.0</v>
      </c>
      <c r="M28" s="500">
        <v>2.0</v>
      </c>
      <c r="N28" s="8">
        <v>1.0</v>
      </c>
      <c r="O28" s="8">
        <v>1.0</v>
      </c>
      <c r="P28" s="8">
        <v>1.0</v>
      </c>
      <c r="Q28" s="500">
        <v>0.0</v>
      </c>
      <c r="R28" s="500">
        <v>3.0</v>
      </c>
      <c r="S28" s="500">
        <v>1.0</v>
      </c>
      <c r="T28" s="500">
        <v>1.0</v>
      </c>
      <c r="U28" s="500">
        <v>1.0</v>
      </c>
      <c r="V28" s="500">
        <v>0.0</v>
      </c>
      <c r="W28" s="500">
        <v>1.0</v>
      </c>
      <c r="X28" s="500">
        <v>2.0</v>
      </c>
      <c r="Y28" s="500">
        <v>0.0</v>
      </c>
      <c r="Z28" s="500">
        <v>0.0</v>
      </c>
      <c r="AA28" s="500">
        <v>1.0</v>
      </c>
      <c r="AB28" s="500">
        <v>0.0</v>
      </c>
      <c r="AC28" s="500">
        <v>1.0</v>
      </c>
      <c r="AD28" s="500">
        <v>2.0</v>
      </c>
      <c r="AE28" s="500">
        <v>0.0</v>
      </c>
      <c r="AF28" s="500">
        <v>0.0</v>
      </c>
      <c r="AG28" s="501">
        <f t="shared" si="19"/>
        <v>106</v>
      </c>
      <c r="AH28" s="502">
        <f t="shared" si="20"/>
        <v>0.06865284974</v>
      </c>
    </row>
    <row r="29" outlineLevel="1">
      <c r="A29" s="533" t="s">
        <v>804</v>
      </c>
      <c r="B29" s="500">
        <v>2.0</v>
      </c>
      <c r="C29" s="8">
        <v>2.0</v>
      </c>
      <c r="D29" s="8">
        <v>1.0</v>
      </c>
      <c r="E29" s="8">
        <v>2.0</v>
      </c>
      <c r="F29" s="8">
        <v>0.0</v>
      </c>
      <c r="G29" s="8">
        <v>6.0</v>
      </c>
      <c r="H29" s="8">
        <v>1.0</v>
      </c>
      <c r="I29" s="8">
        <v>2.0</v>
      </c>
      <c r="J29" s="8">
        <v>0.0</v>
      </c>
      <c r="K29" s="8">
        <v>1.0</v>
      </c>
      <c r="L29" s="8">
        <v>0.0</v>
      </c>
      <c r="M29" s="8">
        <v>0.0</v>
      </c>
      <c r="N29" s="8">
        <v>1.0</v>
      </c>
      <c r="O29" s="8">
        <v>0.0</v>
      </c>
      <c r="P29" s="8">
        <v>0.0</v>
      </c>
      <c r="Q29" s="500">
        <v>0.0</v>
      </c>
      <c r="R29" s="500">
        <v>0.0</v>
      </c>
      <c r="S29" s="500">
        <v>0.0</v>
      </c>
      <c r="T29" s="500">
        <v>1.0</v>
      </c>
      <c r="U29" s="500">
        <v>0.0</v>
      </c>
      <c r="V29" s="500">
        <v>0.0</v>
      </c>
      <c r="W29" s="500">
        <v>0.0</v>
      </c>
      <c r="X29" s="500">
        <v>0.0</v>
      </c>
      <c r="Y29" s="500">
        <v>0.0</v>
      </c>
      <c r="Z29" s="500">
        <v>2.0</v>
      </c>
      <c r="AA29" s="500">
        <v>0.0</v>
      </c>
      <c r="AB29" s="500">
        <v>0.0</v>
      </c>
      <c r="AC29" s="500">
        <v>0.0</v>
      </c>
      <c r="AD29" s="500">
        <v>0.0</v>
      </c>
      <c r="AE29" s="500">
        <v>0.0</v>
      </c>
      <c r="AF29" s="500">
        <v>0.0</v>
      </c>
      <c r="AG29" s="501">
        <f t="shared" si="19"/>
        <v>21</v>
      </c>
      <c r="AH29" s="502">
        <f t="shared" si="20"/>
        <v>0.01360103627</v>
      </c>
    </row>
    <row r="30" outlineLevel="1">
      <c r="A30" s="533" t="s">
        <v>805</v>
      </c>
      <c r="B30" s="8">
        <v>18.0</v>
      </c>
      <c r="C30" s="8">
        <v>21.0</v>
      </c>
      <c r="D30" s="8">
        <v>21.0</v>
      </c>
      <c r="E30" s="8">
        <v>24.0</v>
      </c>
      <c r="F30" s="8">
        <v>23.0</v>
      </c>
      <c r="G30" s="8">
        <v>27.0</v>
      </c>
      <c r="H30" s="8">
        <v>15.0</v>
      </c>
      <c r="I30" s="8">
        <v>15.0</v>
      </c>
      <c r="J30" s="8">
        <v>10.0</v>
      </c>
      <c r="K30" s="8">
        <v>16.0</v>
      </c>
      <c r="L30" s="8">
        <v>12.0</v>
      </c>
      <c r="M30" s="8">
        <v>21.0</v>
      </c>
      <c r="N30" s="8">
        <v>7.0</v>
      </c>
      <c r="O30" s="8">
        <v>9.0</v>
      </c>
      <c r="P30" s="8">
        <v>2.0</v>
      </c>
      <c r="Q30" s="500">
        <v>0.0</v>
      </c>
      <c r="R30" s="500">
        <v>4.0</v>
      </c>
      <c r="S30" s="500">
        <v>2.0</v>
      </c>
      <c r="T30" s="500">
        <v>3.0</v>
      </c>
      <c r="U30" s="500">
        <v>0.0</v>
      </c>
      <c r="V30" s="500">
        <v>3.0</v>
      </c>
      <c r="W30" s="500">
        <v>0.0</v>
      </c>
      <c r="X30" s="500">
        <v>0.0</v>
      </c>
      <c r="Y30" s="500">
        <v>0.0</v>
      </c>
      <c r="Z30" s="500">
        <v>3.0</v>
      </c>
      <c r="AA30" s="500">
        <v>0.0</v>
      </c>
      <c r="AB30" s="500">
        <v>1.0</v>
      </c>
      <c r="AC30" s="500">
        <v>2.0</v>
      </c>
      <c r="AD30" s="500">
        <v>2.0</v>
      </c>
      <c r="AE30" s="500">
        <v>1.0</v>
      </c>
      <c r="AF30" s="500">
        <v>0.0</v>
      </c>
      <c r="AG30" s="501">
        <f t="shared" si="19"/>
        <v>262</v>
      </c>
      <c r="AH30" s="502">
        <f t="shared" si="20"/>
        <v>0.1696891192</v>
      </c>
    </row>
    <row r="31" outlineLevel="1">
      <c r="A31" s="533" t="s">
        <v>806</v>
      </c>
      <c r="B31" s="8">
        <v>2.0</v>
      </c>
      <c r="C31" s="8">
        <v>0.0</v>
      </c>
      <c r="D31" s="8">
        <v>0.0</v>
      </c>
      <c r="E31" s="8">
        <v>0.0</v>
      </c>
      <c r="F31" s="8">
        <v>1.0</v>
      </c>
      <c r="G31" s="8">
        <v>0.0</v>
      </c>
      <c r="H31" s="8">
        <v>1.0</v>
      </c>
      <c r="I31" s="8">
        <v>0.0</v>
      </c>
      <c r="J31" s="8">
        <v>1.0</v>
      </c>
      <c r="K31" s="8">
        <v>0.0</v>
      </c>
      <c r="L31" s="8">
        <v>0.0</v>
      </c>
      <c r="M31" s="8">
        <v>0.0</v>
      </c>
      <c r="N31" s="8">
        <v>1.0</v>
      </c>
      <c r="O31" s="8">
        <v>0.0</v>
      </c>
      <c r="P31" s="8">
        <v>0.0</v>
      </c>
      <c r="Q31" s="500">
        <v>0.0</v>
      </c>
      <c r="R31" s="500">
        <v>0.0</v>
      </c>
      <c r="S31" s="500">
        <v>0.0</v>
      </c>
      <c r="T31" s="500">
        <v>0.0</v>
      </c>
      <c r="U31" s="500">
        <v>0.0</v>
      </c>
      <c r="V31" s="500">
        <v>0.0</v>
      </c>
      <c r="W31" s="500">
        <v>0.0</v>
      </c>
      <c r="X31" s="500">
        <v>0.0</v>
      </c>
      <c r="Y31" s="500">
        <v>0.0</v>
      </c>
      <c r="Z31" s="500">
        <v>0.0</v>
      </c>
      <c r="AA31" s="500">
        <v>0.0</v>
      </c>
      <c r="AB31" s="500">
        <v>0.0</v>
      </c>
      <c r="AC31" s="500">
        <v>0.0</v>
      </c>
      <c r="AD31" s="500">
        <v>0.0</v>
      </c>
      <c r="AE31" s="500">
        <v>0.0</v>
      </c>
      <c r="AF31" s="500">
        <v>0.0</v>
      </c>
      <c r="AG31" s="501">
        <f t="shared" si="19"/>
        <v>6</v>
      </c>
      <c r="AH31" s="502">
        <f t="shared" si="20"/>
        <v>0.003886010363</v>
      </c>
    </row>
    <row r="32" outlineLevel="1">
      <c r="A32" s="525" t="s">
        <v>811</v>
      </c>
      <c r="B32" s="526">
        <f t="shared" ref="B32:AF32" si="21">SUM(B24:B31)</f>
        <v>121</v>
      </c>
      <c r="C32" s="526">
        <f t="shared" si="21"/>
        <v>126</v>
      </c>
      <c r="D32" s="526">
        <f t="shared" si="21"/>
        <v>147</v>
      </c>
      <c r="E32" s="526">
        <f t="shared" si="21"/>
        <v>96</v>
      </c>
      <c r="F32" s="526">
        <f t="shared" si="21"/>
        <v>111</v>
      </c>
      <c r="G32" s="526">
        <f t="shared" si="21"/>
        <v>137</v>
      </c>
      <c r="H32" s="526">
        <f t="shared" si="21"/>
        <v>106</v>
      </c>
      <c r="I32" s="526">
        <f t="shared" si="21"/>
        <v>78</v>
      </c>
      <c r="J32" s="526">
        <f t="shared" si="21"/>
        <v>68</v>
      </c>
      <c r="K32" s="526">
        <f t="shared" si="21"/>
        <v>64</v>
      </c>
      <c r="L32" s="526">
        <f t="shared" si="21"/>
        <v>64</v>
      </c>
      <c r="M32" s="526">
        <f t="shared" si="21"/>
        <v>79</v>
      </c>
      <c r="N32" s="526">
        <f t="shared" si="21"/>
        <v>43</v>
      </c>
      <c r="O32" s="526">
        <f t="shared" si="21"/>
        <v>45</v>
      </c>
      <c r="P32" s="526">
        <f t="shared" si="21"/>
        <v>14</v>
      </c>
      <c r="Q32" s="526">
        <f t="shared" si="21"/>
        <v>2</v>
      </c>
      <c r="R32" s="526">
        <f t="shared" si="21"/>
        <v>22</v>
      </c>
      <c r="S32" s="526">
        <f t="shared" si="21"/>
        <v>18</v>
      </c>
      <c r="T32" s="526">
        <f t="shared" si="21"/>
        <v>16</v>
      </c>
      <c r="U32" s="526">
        <f t="shared" si="21"/>
        <v>25</v>
      </c>
      <c r="V32" s="526">
        <f t="shared" si="21"/>
        <v>14</v>
      </c>
      <c r="W32" s="526">
        <f t="shared" si="21"/>
        <v>14</v>
      </c>
      <c r="X32" s="526">
        <f t="shared" si="21"/>
        <v>20</v>
      </c>
      <c r="Y32" s="526">
        <f t="shared" si="21"/>
        <v>14</v>
      </c>
      <c r="Z32" s="526">
        <f t="shared" si="21"/>
        <v>14</v>
      </c>
      <c r="AA32" s="526">
        <f t="shared" si="21"/>
        <v>11</v>
      </c>
      <c r="AB32" s="526">
        <f t="shared" si="21"/>
        <v>17</v>
      </c>
      <c r="AC32" s="526">
        <f t="shared" si="21"/>
        <v>19</v>
      </c>
      <c r="AD32" s="526">
        <f t="shared" si="21"/>
        <v>12</v>
      </c>
      <c r="AE32" s="526">
        <f t="shared" si="21"/>
        <v>13</v>
      </c>
      <c r="AF32" s="526">
        <f t="shared" si="21"/>
        <v>14</v>
      </c>
      <c r="AG32" s="527">
        <f t="shared" si="19"/>
        <v>1544</v>
      </c>
      <c r="AH32" s="528">
        <f>SUM(AH24:AH31)</f>
        <v>1</v>
      </c>
    </row>
    <row r="33" outlineLevel="1">
      <c r="A33" s="509" t="s">
        <v>814</v>
      </c>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510"/>
      <c r="Z33" s="510"/>
      <c r="AA33" s="510"/>
      <c r="AB33" s="510"/>
      <c r="AC33" s="510"/>
      <c r="AD33" s="510"/>
      <c r="AE33" s="510"/>
      <c r="AF33" s="510"/>
      <c r="AG33" s="516"/>
      <c r="AH33" s="517"/>
    </row>
    <row r="34" outlineLevel="1">
      <c r="A34" s="513" t="s">
        <v>797</v>
      </c>
      <c r="B34" s="514">
        <f t="shared" ref="B34:P34" si="22">iferror(B24/B$32,"")</f>
        <v>0.1487603306</v>
      </c>
      <c r="C34" s="514">
        <f t="shared" si="22"/>
        <v>0.1666666667</v>
      </c>
      <c r="D34" s="514">
        <f t="shared" si="22"/>
        <v>0.1428571429</v>
      </c>
      <c r="E34" s="514">
        <f t="shared" si="22"/>
        <v>0.25</v>
      </c>
      <c r="F34" s="514">
        <f t="shared" si="22"/>
        <v>0.2072072072</v>
      </c>
      <c r="G34" s="514">
        <f t="shared" si="22"/>
        <v>0.197080292</v>
      </c>
      <c r="H34" s="514">
        <f t="shared" si="22"/>
        <v>0.141509434</v>
      </c>
      <c r="I34" s="514">
        <f t="shared" si="22"/>
        <v>0.1923076923</v>
      </c>
      <c r="J34" s="514">
        <f t="shared" si="22"/>
        <v>0.1470588235</v>
      </c>
      <c r="K34" s="514">
        <f t="shared" si="22"/>
        <v>0.25</v>
      </c>
      <c r="L34" s="514">
        <f t="shared" si="22"/>
        <v>0.1875</v>
      </c>
      <c r="M34" s="514">
        <f t="shared" si="22"/>
        <v>0.2658227848</v>
      </c>
      <c r="N34" s="514">
        <f t="shared" si="22"/>
        <v>0.1627906977</v>
      </c>
      <c r="O34" s="514">
        <f t="shared" si="22"/>
        <v>0.2</v>
      </c>
      <c r="P34" s="514">
        <f t="shared" si="22"/>
        <v>0.1428571429</v>
      </c>
      <c r="Q34" s="515">
        <v>0.0</v>
      </c>
      <c r="R34" s="514">
        <f t="shared" ref="R34:AF34" si="23">iferror(R24/R$32,"")</f>
        <v>0.1363636364</v>
      </c>
      <c r="S34" s="514">
        <f t="shared" si="23"/>
        <v>0.3333333333</v>
      </c>
      <c r="T34" s="514">
        <f t="shared" si="23"/>
        <v>0.3125</v>
      </c>
      <c r="U34" s="514">
        <f t="shared" si="23"/>
        <v>0.28</v>
      </c>
      <c r="V34" s="514">
        <f t="shared" si="23"/>
        <v>0.1428571429</v>
      </c>
      <c r="W34" s="514">
        <f t="shared" si="23"/>
        <v>0.3571428571</v>
      </c>
      <c r="X34" s="514">
        <f t="shared" si="23"/>
        <v>0.15</v>
      </c>
      <c r="Y34" s="514">
        <f t="shared" si="23"/>
        <v>0.4285714286</v>
      </c>
      <c r="Z34" s="514">
        <f t="shared" si="23"/>
        <v>0.1428571429</v>
      </c>
      <c r="AA34" s="514">
        <f t="shared" si="23"/>
        <v>0.09090909091</v>
      </c>
      <c r="AB34" s="514">
        <f t="shared" si="23"/>
        <v>0.2352941176</v>
      </c>
      <c r="AC34" s="514">
        <f t="shared" si="23"/>
        <v>0.3157894737</v>
      </c>
      <c r="AD34" s="514">
        <f t="shared" si="23"/>
        <v>0.1666666667</v>
      </c>
      <c r="AE34" s="514">
        <f t="shared" si="23"/>
        <v>0.4615384615</v>
      </c>
      <c r="AF34" s="514">
        <f t="shared" si="23"/>
        <v>0.07142857143</v>
      </c>
      <c r="AG34" s="516"/>
      <c r="AH34" s="517"/>
    </row>
    <row r="35" outlineLevel="1">
      <c r="A35" s="513" t="s">
        <v>801</v>
      </c>
      <c r="B35" s="514">
        <f t="shared" ref="B35:P35" si="24">iferror(B25/B$32,"")</f>
        <v>0.5041322314</v>
      </c>
      <c r="C35" s="514">
        <f t="shared" si="24"/>
        <v>0.5079365079</v>
      </c>
      <c r="D35" s="514">
        <f t="shared" si="24"/>
        <v>0.5510204082</v>
      </c>
      <c r="E35" s="514">
        <f t="shared" si="24"/>
        <v>0.3854166667</v>
      </c>
      <c r="F35" s="514">
        <f t="shared" si="24"/>
        <v>0.4594594595</v>
      </c>
      <c r="G35" s="514">
        <f t="shared" si="24"/>
        <v>0.4160583942</v>
      </c>
      <c r="H35" s="514">
        <f t="shared" si="24"/>
        <v>0.5754716981</v>
      </c>
      <c r="I35" s="514">
        <f t="shared" si="24"/>
        <v>0.4358974359</v>
      </c>
      <c r="J35" s="514">
        <f t="shared" si="24"/>
        <v>0.5441176471</v>
      </c>
      <c r="K35" s="514">
        <f t="shared" si="24"/>
        <v>0.421875</v>
      </c>
      <c r="L35" s="514">
        <f t="shared" si="24"/>
        <v>0.5625</v>
      </c>
      <c r="M35" s="514">
        <f t="shared" si="24"/>
        <v>0.4303797468</v>
      </c>
      <c r="N35" s="514">
        <f t="shared" si="24"/>
        <v>0.5581395349</v>
      </c>
      <c r="O35" s="514">
        <f t="shared" si="24"/>
        <v>0.5333333333</v>
      </c>
      <c r="P35" s="514">
        <f t="shared" si="24"/>
        <v>0.5714285714</v>
      </c>
      <c r="Q35" s="515">
        <v>0.0</v>
      </c>
      <c r="R35" s="514">
        <f t="shared" ref="R35:AF35" si="25">iferror(R25/R$32,"")</f>
        <v>0.4545454545</v>
      </c>
      <c r="S35" s="514">
        <f t="shared" si="25"/>
        <v>0.4444444444</v>
      </c>
      <c r="T35" s="514">
        <f t="shared" si="25"/>
        <v>0.375</v>
      </c>
      <c r="U35" s="514">
        <f t="shared" si="25"/>
        <v>0.64</v>
      </c>
      <c r="V35" s="514">
        <f t="shared" si="25"/>
        <v>0.6428571429</v>
      </c>
      <c r="W35" s="514">
        <f t="shared" si="25"/>
        <v>0.5</v>
      </c>
      <c r="X35" s="514">
        <f t="shared" si="25"/>
        <v>0.75</v>
      </c>
      <c r="Y35" s="514">
        <f t="shared" si="25"/>
        <v>0.5714285714</v>
      </c>
      <c r="Z35" s="514">
        <f t="shared" si="25"/>
        <v>0.4285714286</v>
      </c>
      <c r="AA35" s="514">
        <f t="shared" si="25"/>
        <v>0.8181818182</v>
      </c>
      <c r="AB35" s="514">
        <f t="shared" si="25"/>
        <v>0.7058823529</v>
      </c>
      <c r="AC35" s="514">
        <f t="shared" si="25"/>
        <v>0.4736842105</v>
      </c>
      <c r="AD35" s="514">
        <f t="shared" si="25"/>
        <v>0.5</v>
      </c>
      <c r="AE35" s="514">
        <f t="shared" si="25"/>
        <v>0.4615384615</v>
      </c>
      <c r="AF35" s="514">
        <f t="shared" si="25"/>
        <v>0.8571428571</v>
      </c>
      <c r="AG35" s="516"/>
      <c r="AH35" s="517"/>
    </row>
    <row r="36" outlineLevel="1">
      <c r="A36" s="513" t="s">
        <v>109</v>
      </c>
      <c r="B36" s="514">
        <f t="shared" ref="B36:P36" si="26">iferror(B26/B$32,"")</f>
        <v>0.01652892562</v>
      </c>
      <c r="C36" s="514">
        <f t="shared" si="26"/>
        <v>0.007936507937</v>
      </c>
      <c r="D36" s="514">
        <f t="shared" si="26"/>
        <v>0.02721088435</v>
      </c>
      <c r="E36" s="514">
        <f t="shared" si="26"/>
        <v>0.01041666667</v>
      </c>
      <c r="F36" s="514">
        <f t="shared" si="26"/>
        <v>0.02702702703</v>
      </c>
      <c r="G36" s="514">
        <f t="shared" si="26"/>
        <v>0.0802919708</v>
      </c>
      <c r="H36" s="514">
        <f t="shared" si="26"/>
        <v>0.06603773585</v>
      </c>
      <c r="I36" s="514">
        <f t="shared" si="26"/>
        <v>0.02564102564</v>
      </c>
      <c r="J36" s="514">
        <f t="shared" si="26"/>
        <v>0.04411764706</v>
      </c>
      <c r="K36" s="514">
        <f t="shared" si="26"/>
        <v>0.015625</v>
      </c>
      <c r="L36" s="514">
        <f t="shared" si="26"/>
        <v>0.03125</v>
      </c>
      <c r="M36" s="514">
        <f t="shared" si="26"/>
        <v>0.01265822785</v>
      </c>
      <c r="N36" s="514">
        <f t="shared" si="26"/>
        <v>0.04651162791</v>
      </c>
      <c r="O36" s="514">
        <f t="shared" si="26"/>
        <v>0.02222222222</v>
      </c>
      <c r="P36" s="514">
        <f t="shared" si="26"/>
        <v>0.07142857143</v>
      </c>
      <c r="Q36" s="515">
        <v>0.0</v>
      </c>
      <c r="R36" s="514">
        <f t="shared" ref="R36:AF36" si="27">iferror(R26/R$32,"")</f>
        <v>0</v>
      </c>
      <c r="S36" s="514">
        <f t="shared" si="27"/>
        <v>0.05555555556</v>
      </c>
      <c r="T36" s="514">
        <f t="shared" si="27"/>
        <v>0</v>
      </c>
      <c r="U36" s="514">
        <f t="shared" si="27"/>
        <v>0.04</v>
      </c>
      <c r="V36" s="514">
        <f t="shared" si="27"/>
        <v>0</v>
      </c>
      <c r="W36" s="514">
        <f t="shared" si="27"/>
        <v>0.07142857143</v>
      </c>
      <c r="X36" s="514">
        <f t="shared" si="27"/>
        <v>0</v>
      </c>
      <c r="Y36" s="514">
        <f t="shared" si="27"/>
        <v>0</v>
      </c>
      <c r="Z36" s="514">
        <f t="shared" si="27"/>
        <v>0.07142857143</v>
      </c>
      <c r="AA36" s="514">
        <f t="shared" si="27"/>
        <v>0</v>
      </c>
      <c r="AB36" s="514">
        <f t="shared" si="27"/>
        <v>0</v>
      </c>
      <c r="AC36" s="514">
        <f t="shared" si="27"/>
        <v>0.05263157895</v>
      </c>
      <c r="AD36" s="514">
        <f t="shared" si="27"/>
        <v>0</v>
      </c>
      <c r="AE36" s="514">
        <f t="shared" si="27"/>
        <v>0</v>
      </c>
      <c r="AF36" s="514">
        <f t="shared" si="27"/>
        <v>0.07142857143</v>
      </c>
      <c r="AG36" s="516"/>
      <c r="AH36" s="517"/>
    </row>
    <row r="37" outlineLevel="1">
      <c r="A37" s="513" t="s">
        <v>802</v>
      </c>
      <c r="B37" s="514">
        <f t="shared" ref="B37:P37" si="28">iferror(B27/B$32,"")</f>
        <v>0.00826446281</v>
      </c>
      <c r="C37" s="514">
        <f t="shared" si="28"/>
        <v>0.007936507937</v>
      </c>
      <c r="D37" s="514">
        <f t="shared" si="28"/>
        <v>0.03401360544</v>
      </c>
      <c r="E37" s="514">
        <f t="shared" si="28"/>
        <v>0.02083333333</v>
      </c>
      <c r="F37" s="514">
        <f t="shared" si="28"/>
        <v>0.009009009009</v>
      </c>
      <c r="G37" s="514">
        <f t="shared" si="28"/>
        <v>0.007299270073</v>
      </c>
      <c r="H37" s="514">
        <f t="shared" si="28"/>
        <v>0.01886792453</v>
      </c>
      <c r="I37" s="514">
        <f t="shared" si="28"/>
        <v>0.0641025641</v>
      </c>
      <c r="J37" s="514">
        <f t="shared" si="28"/>
        <v>0.04411764706</v>
      </c>
      <c r="K37" s="514">
        <f t="shared" si="28"/>
        <v>0</v>
      </c>
      <c r="L37" s="514">
        <f t="shared" si="28"/>
        <v>0</v>
      </c>
      <c r="M37" s="514">
        <f t="shared" si="28"/>
        <v>0</v>
      </c>
      <c r="N37" s="514">
        <f t="shared" si="28"/>
        <v>0</v>
      </c>
      <c r="O37" s="514">
        <f t="shared" si="28"/>
        <v>0.02222222222</v>
      </c>
      <c r="P37" s="514">
        <f t="shared" si="28"/>
        <v>0</v>
      </c>
      <c r="Q37" s="515">
        <v>0.0</v>
      </c>
      <c r="R37" s="514">
        <f t="shared" ref="R37:AF37" si="29">iferror(R27/R$32,"")</f>
        <v>0.09090909091</v>
      </c>
      <c r="S37" s="514">
        <f t="shared" si="29"/>
        <v>0</v>
      </c>
      <c r="T37" s="514">
        <f t="shared" si="29"/>
        <v>0</v>
      </c>
      <c r="U37" s="514">
        <f t="shared" si="29"/>
        <v>0</v>
      </c>
      <c r="V37" s="514">
        <f t="shared" si="29"/>
        <v>0</v>
      </c>
      <c r="W37" s="514">
        <f t="shared" si="29"/>
        <v>0</v>
      </c>
      <c r="X37" s="514">
        <f t="shared" si="29"/>
        <v>0</v>
      </c>
      <c r="Y37" s="514">
        <f t="shared" si="29"/>
        <v>0</v>
      </c>
      <c r="Z37" s="514">
        <f t="shared" si="29"/>
        <v>0</v>
      </c>
      <c r="AA37" s="514">
        <f t="shared" si="29"/>
        <v>0</v>
      </c>
      <c r="AB37" s="514">
        <f t="shared" si="29"/>
        <v>0</v>
      </c>
      <c r="AC37" s="514">
        <f t="shared" si="29"/>
        <v>0</v>
      </c>
      <c r="AD37" s="514">
        <f t="shared" si="29"/>
        <v>0</v>
      </c>
      <c r="AE37" s="514">
        <f t="shared" si="29"/>
        <v>0</v>
      </c>
      <c r="AF37" s="514">
        <f t="shared" si="29"/>
        <v>0</v>
      </c>
      <c r="AG37" s="516"/>
      <c r="AH37" s="517"/>
    </row>
    <row r="38" outlineLevel="1">
      <c r="A38" s="513" t="s">
        <v>803</v>
      </c>
      <c r="B38" s="514">
        <f t="shared" ref="B38:P38" si="30">iferror(B28/B$32,"")</f>
        <v>0.1404958678</v>
      </c>
      <c r="C38" s="514">
        <f t="shared" si="30"/>
        <v>0.126984127</v>
      </c>
      <c r="D38" s="514">
        <f t="shared" si="30"/>
        <v>0.09523809524</v>
      </c>
      <c r="E38" s="514">
        <f t="shared" si="30"/>
        <v>0.0625</v>
      </c>
      <c r="F38" s="514">
        <f t="shared" si="30"/>
        <v>0.08108108108</v>
      </c>
      <c r="G38" s="514">
        <f t="shared" si="30"/>
        <v>0.05839416058</v>
      </c>
      <c r="H38" s="514">
        <f t="shared" si="30"/>
        <v>0.03773584906</v>
      </c>
      <c r="I38" s="514">
        <f t="shared" si="30"/>
        <v>0.0641025641</v>
      </c>
      <c r="J38" s="514">
        <f t="shared" si="30"/>
        <v>0.05882352941</v>
      </c>
      <c r="K38" s="514">
        <f t="shared" si="30"/>
        <v>0.046875</v>
      </c>
      <c r="L38" s="514">
        <f t="shared" si="30"/>
        <v>0.03125</v>
      </c>
      <c r="M38" s="514">
        <f t="shared" si="30"/>
        <v>0.0253164557</v>
      </c>
      <c r="N38" s="514">
        <f t="shared" si="30"/>
        <v>0.02325581395</v>
      </c>
      <c r="O38" s="514">
        <f t="shared" si="30"/>
        <v>0.02222222222</v>
      </c>
      <c r="P38" s="514">
        <f t="shared" si="30"/>
        <v>0.07142857143</v>
      </c>
      <c r="Q38" s="515">
        <v>0.0</v>
      </c>
      <c r="R38" s="514">
        <f t="shared" ref="R38:AF38" si="31">iferror(R28/R$32,"")</f>
        <v>0.1363636364</v>
      </c>
      <c r="S38" s="514">
        <f t="shared" si="31"/>
        <v>0.05555555556</v>
      </c>
      <c r="T38" s="514">
        <f t="shared" si="31"/>
        <v>0.0625</v>
      </c>
      <c r="U38" s="514">
        <f t="shared" si="31"/>
        <v>0.04</v>
      </c>
      <c r="V38" s="514">
        <f t="shared" si="31"/>
        <v>0</v>
      </c>
      <c r="W38" s="514">
        <f t="shared" si="31"/>
        <v>0.07142857143</v>
      </c>
      <c r="X38" s="514">
        <f t="shared" si="31"/>
        <v>0.1</v>
      </c>
      <c r="Y38" s="514">
        <f t="shared" si="31"/>
        <v>0</v>
      </c>
      <c r="Z38" s="514">
        <f t="shared" si="31"/>
        <v>0</v>
      </c>
      <c r="AA38" s="514">
        <f t="shared" si="31"/>
        <v>0.09090909091</v>
      </c>
      <c r="AB38" s="514">
        <f t="shared" si="31"/>
        <v>0</v>
      </c>
      <c r="AC38" s="514">
        <f t="shared" si="31"/>
        <v>0.05263157895</v>
      </c>
      <c r="AD38" s="514">
        <f t="shared" si="31"/>
        <v>0.1666666667</v>
      </c>
      <c r="AE38" s="514">
        <f t="shared" si="31"/>
        <v>0</v>
      </c>
      <c r="AF38" s="514">
        <f t="shared" si="31"/>
        <v>0</v>
      </c>
      <c r="AG38" s="516"/>
      <c r="AH38" s="517"/>
    </row>
    <row r="39" outlineLevel="1">
      <c r="A39" s="534" t="s">
        <v>804</v>
      </c>
      <c r="B39" s="514">
        <f t="shared" ref="B39:P39" si="32">iferror(B29/B$32,"")</f>
        <v>0.01652892562</v>
      </c>
      <c r="C39" s="514">
        <f t="shared" si="32"/>
        <v>0.01587301587</v>
      </c>
      <c r="D39" s="514">
        <f t="shared" si="32"/>
        <v>0.006802721088</v>
      </c>
      <c r="E39" s="514">
        <f t="shared" si="32"/>
        <v>0.02083333333</v>
      </c>
      <c r="F39" s="514">
        <f t="shared" si="32"/>
        <v>0</v>
      </c>
      <c r="G39" s="514">
        <f t="shared" si="32"/>
        <v>0.04379562044</v>
      </c>
      <c r="H39" s="514">
        <f t="shared" si="32"/>
        <v>0.009433962264</v>
      </c>
      <c r="I39" s="514">
        <f t="shared" si="32"/>
        <v>0.02564102564</v>
      </c>
      <c r="J39" s="514">
        <f t="shared" si="32"/>
        <v>0</v>
      </c>
      <c r="K39" s="514">
        <f t="shared" si="32"/>
        <v>0.015625</v>
      </c>
      <c r="L39" s="514">
        <f t="shared" si="32"/>
        <v>0</v>
      </c>
      <c r="M39" s="514">
        <f t="shared" si="32"/>
        <v>0</v>
      </c>
      <c r="N39" s="514">
        <f t="shared" si="32"/>
        <v>0.02325581395</v>
      </c>
      <c r="O39" s="514">
        <f t="shared" si="32"/>
        <v>0</v>
      </c>
      <c r="P39" s="514">
        <f t="shared" si="32"/>
        <v>0</v>
      </c>
      <c r="Q39" s="515">
        <v>0.0</v>
      </c>
      <c r="R39" s="514">
        <f t="shared" ref="R39:AF39" si="33">iferror(R29/R$32,"")</f>
        <v>0</v>
      </c>
      <c r="S39" s="514">
        <f t="shared" si="33"/>
        <v>0</v>
      </c>
      <c r="T39" s="514">
        <f t="shared" si="33"/>
        <v>0.0625</v>
      </c>
      <c r="U39" s="514">
        <f t="shared" si="33"/>
        <v>0</v>
      </c>
      <c r="V39" s="514">
        <f t="shared" si="33"/>
        <v>0</v>
      </c>
      <c r="W39" s="514">
        <f t="shared" si="33"/>
        <v>0</v>
      </c>
      <c r="X39" s="514">
        <f t="shared" si="33"/>
        <v>0</v>
      </c>
      <c r="Y39" s="514">
        <f t="shared" si="33"/>
        <v>0</v>
      </c>
      <c r="Z39" s="514">
        <f t="shared" si="33"/>
        <v>0.1428571429</v>
      </c>
      <c r="AA39" s="514">
        <f t="shared" si="33"/>
        <v>0</v>
      </c>
      <c r="AB39" s="514">
        <f t="shared" si="33"/>
        <v>0</v>
      </c>
      <c r="AC39" s="514">
        <f t="shared" si="33"/>
        <v>0</v>
      </c>
      <c r="AD39" s="514">
        <f t="shared" si="33"/>
        <v>0</v>
      </c>
      <c r="AE39" s="514">
        <f t="shared" si="33"/>
        <v>0</v>
      </c>
      <c r="AF39" s="514">
        <f t="shared" si="33"/>
        <v>0</v>
      </c>
      <c r="AG39" s="516"/>
      <c r="AH39" s="517"/>
    </row>
    <row r="40" outlineLevel="1">
      <c r="A40" s="534" t="s">
        <v>805</v>
      </c>
      <c r="B40" s="514">
        <f t="shared" ref="B40:P40" si="34">iferror(B30/B$32,"")</f>
        <v>0.1487603306</v>
      </c>
      <c r="C40" s="514">
        <f t="shared" si="34"/>
        <v>0.1666666667</v>
      </c>
      <c r="D40" s="514">
        <f t="shared" si="34"/>
        <v>0.1428571429</v>
      </c>
      <c r="E40" s="514">
        <f t="shared" si="34"/>
        <v>0.25</v>
      </c>
      <c r="F40" s="514">
        <f t="shared" si="34"/>
        <v>0.2072072072</v>
      </c>
      <c r="G40" s="514">
        <f t="shared" si="34"/>
        <v>0.197080292</v>
      </c>
      <c r="H40" s="514">
        <f t="shared" si="34"/>
        <v>0.141509434</v>
      </c>
      <c r="I40" s="514">
        <f t="shared" si="34"/>
        <v>0.1923076923</v>
      </c>
      <c r="J40" s="514">
        <f t="shared" si="34"/>
        <v>0.1470588235</v>
      </c>
      <c r="K40" s="514">
        <f t="shared" si="34"/>
        <v>0.25</v>
      </c>
      <c r="L40" s="514">
        <f t="shared" si="34"/>
        <v>0.1875</v>
      </c>
      <c r="M40" s="514">
        <f t="shared" si="34"/>
        <v>0.2658227848</v>
      </c>
      <c r="N40" s="514">
        <f t="shared" si="34"/>
        <v>0.1627906977</v>
      </c>
      <c r="O40" s="514">
        <f t="shared" si="34"/>
        <v>0.2</v>
      </c>
      <c r="P40" s="514">
        <f t="shared" si="34"/>
        <v>0.1428571429</v>
      </c>
      <c r="Q40" s="515">
        <v>0.0</v>
      </c>
      <c r="R40" s="514">
        <f t="shared" ref="R40:AF40" si="35">iferror(R30/R$32,"")</f>
        <v>0.1818181818</v>
      </c>
      <c r="S40" s="514">
        <f t="shared" si="35"/>
        <v>0.1111111111</v>
      </c>
      <c r="T40" s="514">
        <f t="shared" si="35"/>
        <v>0.1875</v>
      </c>
      <c r="U40" s="514">
        <f t="shared" si="35"/>
        <v>0</v>
      </c>
      <c r="V40" s="514">
        <f t="shared" si="35"/>
        <v>0.2142857143</v>
      </c>
      <c r="W40" s="514">
        <f t="shared" si="35"/>
        <v>0</v>
      </c>
      <c r="X40" s="514">
        <f t="shared" si="35"/>
        <v>0</v>
      </c>
      <c r="Y40" s="514">
        <f t="shared" si="35"/>
        <v>0</v>
      </c>
      <c r="Z40" s="514">
        <f t="shared" si="35"/>
        <v>0.2142857143</v>
      </c>
      <c r="AA40" s="514">
        <f t="shared" si="35"/>
        <v>0</v>
      </c>
      <c r="AB40" s="514">
        <f t="shared" si="35"/>
        <v>0.05882352941</v>
      </c>
      <c r="AC40" s="514">
        <f t="shared" si="35"/>
        <v>0.1052631579</v>
      </c>
      <c r="AD40" s="514">
        <f t="shared" si="35"/>
        <v>0.1666666667</v>
      </c>
      <c r="AE40" s="514">
        <f t="shared" si="35"/>
        <v>0.07692307692</v>
      </c>
      <c r="AF40" s="514">
        <f t="shared" si="35"/>
        <v>0</v>
      </c>
      <c r="AG40" s="516"/>
      <c r="AH40" s="517"/>
    </row>
    <row r="41" outlineLevel="1">
      <c r="A41" s="535" t="s">
        <v>806</v>
      </c>
      <c r="B41" s="536">
        <f t="shared" ref="B41:P41" si="36">iferror(B31/B$32,"")</f>
        <v>0.01652892562</v>
      </c>
      <c r="C41" s="536">
        <f t="shared" si="36"/>
        <v>0</v>
      </c>
      <c r="D41" s="536">
        <f t="shared" si="36"/>
        <v>0</v>
      </c>
      <c r="E41" s="536">
        <f t="shared" si="36"/>
        <v>0</v>
      </c>
      <c r="F41" s="536">
        <f t="shared" si="36"/>
        <v>0.009009009009</v>
      </c>
      <c r="G41" s="536">
        <f t="shared" si="36"/>
        <v>0</v>
      </c>
      <c r="H41" s="536">
        <f t="shared" si="36"/>
        <v>0.009433962264</v>
      </c>
      <c r="I41" s="536">
        <f t="shared" si="36"/>
        <v>0</v>
      </c>
      <c r="J41" s="536">
        <f t="shared" si="36"/>
        <v>0.01470588235</v>
      </c>
      <c r="K41" s="536">
        <f t="shared" si="36"/>
        <v>0</v>
      </c>
      <c r="L41" s="536">
        <f t="shared" si="36"/>
        <v>0</v>
      </c>
      <c r="M41" s="536">
        <f t="shared" si="36"/>
        <v>0</v>
      </c>
      <c r="N41" s="536">
        <f t="shared" si="36"/>
        <v>0.02325581395</v>
      </c>
      <c r="O41" s="536">
        <f t="shared" si="36"/>
        <v>0</v>
      </c>
      <c r="P41" s="536">
        <f t="shared" si="36"/>
        <v>0</v>
      </c>
      <c r="Q41" s="537">
        <v>0.0</v>
      </c>
      <c r="R41" s="536">
        <f t="shared" ref="R41:AF41" si="37">iferror(R31/R$32,"")</f>
        <v>0</v>
      </c>
      <c r="S41" s="536">
        <f t="shared" si="37"/>
        <v>0</v>
      </c>
      <c r="T41" s="536">
        <f t="shared" si="37"/>
        <v>0</v>
      </c>
      <c r="U41" s="536">
        <f t="shared" si="37"/>
        <v>0</v>
      </c>
      <c r="V41" s="536">
        <f t="shared" si="37"/>
        <v>0</v>
      </c>
      <c r="W41" s="536">
        <f t="shared" si="37"/>
        <v>0</v>
      </c>
      <c r="X41" s="536">
        <f t="shared" si="37"/>
        <v>0</v>
      </c>
      <c r="Y41" s="536">
        <f t="shared" si="37"/>
        <v>0</v>
      </c>
      <c r="Z41" s="536">
        <f t="shared" si="37"/>
        <v>0</v>
      </c>
      <c r="AA41" s="536">
        <f t="shared" si="37"/>
        <v>0</v>
      </c>
      <c r="AB41" s="536">
        <f t="shared" si="37"/>
        <v>0</v>
      </c>
      <c r="AC41" s="536">
        <f t="shared" si="37"/>
        <v>0</v>
      </c>
      <c r="AD41" s="536">
        <f t="shared" si="37"/>
        <v>0</v>
      </c>
      <c r="AE41" s="536">
        <f t="shared" si="37"/>
        <v>0</v>
      </c>
      <c r="AF41" s="536">
        <f t="shared" si="37"/>
        <v>0</v>
      </c>
      <c r="AG41" s="496"/>
      <c r="AH41" s="538"/>
    </row>
    <row r="42" outlineLevel="1">
      <c r="A42" s="529" t="s">
        <v>815</v>
      </c>
      <c r="B42" s="530"/>
      <c r="C42" s="530"/>
      <c r="D42" s="530"/>
      <c r="E42" s="530"/>
      <c r="F42" s="530"/>
      <c r="G42" s="530"/>
      <c r="H42" s="530"/>
      <c r="I42" s="530"/>
      <c r="J42" s="530"/>
      <c r="K42" s="530"/>
      <c r="L42" s="530"/>
      <c r="M42" s="530"/>
      <c r="N42" s="530"/>
      <c r="O42" s="530"/>
      <c r="P42" s="530"/>
      <c r="Q42" s="530"/>
      <c r="R42" s="530"/>
      <c r="S42" s="530"/>
      <c r="T42" s="530"/>
      <c r="U42" s="530"/>
      <c r="V42" s="530"/>
      <c r="W42" s="530"/>
      <c r="X42" s="530"/>
      <c r="Y42" s="530"/>
      <c r="Z42" s="530"/>
      <c r="AA42" s="530"/>
      <c r="AB42" s="530"/>
      <c r="AC42" s="530"/>
      <c r="AD42" s="530"/>
      <c r="AE42" s="530"/>
      <c r="AF42" s="530"/>
      <c r="AG42" s="531"/>
      <c r="AH42" s="532"/>
    </row>
    <row r="43" outlineLevel="1">
      <c r="A43" s="498" t="s">
        <v>798</v>
      </c>
      <c r="B43" s="499">
        <v>16.0</v>
      </c>
      <c r="C43" s="499">
        <v>15.0</v>
      </c>
      <c r="D43" s="499">
        <v>15.0</v>
      </c>
      <c r="E43" s="499">
        <v>21.0</v>
      </c>
      <c r="F43" s="499">
        <v>18.0</v>
      </c>
      <c r="G43" s="499">
        <v>23.0</v>
      </c>
      <c r="H43" s="499">
        <v>12.0</v>
      </c>
      <c r="I43" s="499">
        <v>10.0</v>
      </c>
      <c r="J43" s="499">
        <v>7.0</v>
      </c>
      <c r="K43" s="499">
        <v>12.0</v>
      </c>
      <c r="L43" s="499">
        <v>10.0</v>
      </c>
      <c r="M43" s="499">
        <v>18.0</v>
      </c>
      <c r="N43" s="500">
        <v>4.0</v>
      </c>
      <c r="O43" s="500">
        <v>6.0</v>
      </c>
      <c r="P43" s="500">
        <v>0.0</v>
      </c>
      <c r="Q43" s="500">
        <v>1.0</v>
      </c>
      <c r="R43" s="500">
        <v>2.0</v>
      </c>
      <c r="S43" s="500">
        <v>3.0</v>
      </c>
      <c r="T43" s="500">
        <v>4.0</v>
      </c>
      <c r="U43" s="499">
        <v>6.0</v>
      </c>
      <c r="V43" s="499">
        <v>1.0</v>
      </c>
      <c r="W43" s="499">
        <v>4.0</v>
      </c>
      <c r="X43" s="499">
        <v>1.0</v>
      </c>
      <c r="Y43" s="500">
        <v>5.0</v>
      </c>
      <c r="Z43" s="500">
        <v>1.0</v>
      </c>
      <c r="AA43" s="500">
        <v>1.0</v>
      </c>
      <c r="AB43" s="500">
        <v>3.0</v>
      </c>
      <c r="AC43" s="500">
        <v>3.0</v>
      </c>
      <c r="AD43" s="500">
        <v>2.0</v>
      </c>
      <c r="AE43" s="500">
        <v>5.0</v>
      </c>
      <c r="AF43" s="500">
        <v>1.0</v>
      </c>
      <c r="AG43" s="501">
        <f t="shared" ref="AG43:AG46" si="38">SUM(B43:AF43)</f>
        <v>230</v>
      </c>
      <c r="AH43" s="502">
        <f t="shared" ref="AH43:AH45" si="39">iferror(AG43/AG$46,"")</f>
        <v>0.7641196013</v>
      </c>
    </row>
    <row r="44" outlineLevel="1">
      <c r="A44" s="503" t="s">
        <v>799</v>
      </c>
      <c r="B44" s="500">
        <v>2.0</v>
      </c>
      <c r="C44" s="500">
        <v>3.0</v>
      </c>
      <c r="D44" s="500">
        <v>4.0</v>
      </c>
      <c r="E44" s="500">
        <v>3.0</v>
      </c>
      <c r="F44" s="500">
        <v>1.0</v>
      </c>
      <c r="G44" s="500">
        <v>3.0</v>
      </c>
      <c r="H44" s="500">
        <v>1.0</v>
      </c>
      <c r="I44" s="500">
        <v>4.0</v>
      </c>
      <c r="J44" s="500">
        <v>3.0</v>
      </c>
      <c r="K44" s="500">
        <v>2.0</v>
      </c>
      <c r="L44" s="500">
        <v>0.0</v>
      </c>
      <c r="M44" s="500">
        <v>2.0</v>
      </c>
      <c r="N44" s="500">
        <v>3.0</v>
      </c>
      <c r="O44" s="500">
        <v>2.0</v>
      </c>
      <c r="P44" s="500">
        <v>1.0</v>
      </c>
      <c r="Q44" s="500">
        <v>0.0</v>
      </c>
      <c r="R44" s="500">
        <v>0.0</v>
      </c>
      <c r="S44" s="500">
        <v>3.0</v>
      </c>
      <c r="T44" s="500">
        <v>0.0</v>
      </c>
      <c r="U44" s="500">
        <v>0.0</v>
      </c>
      <c r="V44" s="500">
        <v>0.0</v>
      </c>
      <c r="W44" s="500">
        <v>1.0</v>
      </c>
      <c r="X44" s="500">
        <v>2.0</v>
      </c>
      <c r="Y44" s="500">
        <v>1.0</v>
      </c>
      <c r="Z44" s="500">
        <v>1.0</v>
      </c>
      <c r="AA44" s="500">
        <v>0.0</v>
      </c>
      <c r="AB44" s="500">
        <v>1.0</v>
      </c>
      <c r="AC44" s="500">
        <v>2.0</v>
      </c>
      <c r="AD44" s="500">
        <v>0.0</v>
      </c>
      <c r="AE44" s="500">
        <v>0.0</v>
      </c>
      <c r="AF44" s="500">
        <v>0.0</v>
      </c>
      <c r="AG44" s="501">
        <f t="shared" si="38"/>
        <v>45</v>
      </c>
      <c r="AH44" s="502">
        <f t="shared" si="39"/>
        <v>0.1495016611</v>
      </c>
    </row>
    <row r="45" outlineLevel="1">
      <c r="A45" s="539" t="s">
        <v>800</v>
      </c>
      <c r="B45" s="500">
        <v>0.0</v>
      </c>
      <c r="C45" s="500">
        <v>3.0</v>
      </c>
      <c r="D45" s="500">
        <v>2.0</v>
      </c>
      <c r="E45" s="500">
        <v>0.0</v>
      </c>
      <c r="F45" s="500">
        <v>4.0</v>
      </c>
      <c r="G45" s="500">
        <v>1.0</v>
      </c>
      <c r="H45" s="500">
        <v>2.0</v>
      </c>
      <c r="I45" s="500">
        <v>1.0</v>
      </c>
      <c r="J45" s="500">
        <v>0.0</v>
      </c>
      <c r="K45" s="500">
        <v>2.0</v>
      </c>
      <c r="L45" s="500">
        <v>2.0</v>
      </c>
      <c r="M45" s="500">
        <v>1.0</v>
      </c>
      <c r="N45" s="500">
        <v>0.0</v>
      </c>
      <c r="O45" s="500">
        <v>1.0</v>
      </c>
      <c r="P45" s="500">
        <v>1.0</v>
      </c>
      <c r="Q45" s="500">
        <v>0.0</v>
      </c>
      <c r="R45" s="500">
        <v>1.0</v>
      </c>
      <c r="S45" s="500">
        <v>0.0</v>
      </c>
      <c r="T45" s="500">
        <v>1.0</v>
      </c>
      <c r="U45" s="500">
        <v>1.0</v>
      </c>
      <c r="V45" s="500">
        <v>1.0</v>
      </c>
      <c r="W45" s="500">
        <v>0.0</v>
      </c>
      <c r="X45" s="500">
        <v>0.0</v>
      </c>
      <c r="Y45" s="500">
        <v>0.0</v>
      </c>
      <c r="Z45" s="500">
        <v>0.0</v>
      </c>
      <c r="AA45" s="500">
        <v>0.0</v>
      </c>
      <c r="AB45" s="500">
        <v>0.0</v>
      </c>
      <c r="AC45" s="500">
        <v>1.0</v>
      </c>
      <c r="AD45" s="500">
        <v>0.0</v>
      </c>
      <c r="AE45" s="500">
        <v>1.0</v>
      </c>
      <c r="AF45" s="500">
        <v>0.0</v>
      </c>
      <c r="AG45" s="501">
        <f t="shared" si="38"/>
        <v>26</v>
      </c>
      <c r="AH45" s="502">
        <f t="shared" si="39"/>
        <v>0.08637873754</v>
      </c>
    </row>
    <row r="46" outlineLevel="1">
      <c r="A46" s="505" t="s">
        <v>811</v>
      </c>
      <c r="B46" s="506">
        <f t="shared" ref="B46:AE46" si="40">SUM(B43:B45)</f>
        <v>18</v>
      </c>
      <c r="C46" s="506">
        <f t="shared" si="40"/>
        <v>21</v>
      </c>
      <c r="D46" s="506">
        <f t="shared" si="40"/>
        <v>21</v>
      </c>
      <c r="E46" s="506">
        <f t="shared" si="40"/>
        <v>24</v>
      </c>
      <c r="F46" s="506">
        <f t="shared" si="40"/>
        <v>23</v>
      </c>
      <c r="G46" s="506">
        <f t="shared" si="40"/>
        <v>27</v>
      </c>
      <c r="H46" s="506">
        <f t="shared" si="40"/>
        <v>15</v>
      </c>
      <c r="I46" s="506">
        <f t="shared" si="40"/>
        <v>15</v>
      </c>
      <c r="J46" s="506">
        <f t="shared" si="40"/>
        <v>10</v>
      </c>
      <c r="K46" s="506">
        <f t="shared" si="40"/>
        <v>16</v>
      </c>
      <c r="L46" s="506">
        <f t="shared" si="40"/>
        <v>12</v>
      </c>
      <c r="M46" s="506">
        <f t="shared" si="40"/>
        <v>21</v>
      </c>
      <c r="N46" s="506">
        <f t="shared" si="40"/>
        <v>7</v>
      </c>
      <c r="O46" s="506">
        <f t="shared" si="40"/>
        <v>9</v>
      </c>
      <c r="P46" s="506">
        <f t="shared" si="40"/>
        <v>2</v>
      </c>
      <c r="Q46" s="506">
        <f t="shared" si="40"/>
        <v>1</v>
      </c>
      <c r="R46" s="506">
        <f t="shared" si="40"/>
        <v>3</v>
      </c>
      <c r="S46" s="506">
        <f t="shared" si="40"/>
        <v>6</v>
      </c>
      <c r="T46" s="506">
        <f t="shared" si="40"/>
        <v>5</v>
      </c>
      <c r="U46" s="506">
        <f t="shared" si="40"/>
        <v>7</v>
      </c>
      <c r="V46" s="506">
        <f t="shared" si="40"/>
        <v>2</v>
      </c>
      <c r="W46" s="506">
        <f t="shared" si="40"/>
        <v>5</v>
      </c>
      <c r="X46" s="506">
        <f t="shared" si="40"/>
        <v>3</v>
      </c>
      <c r="Y46" s="506">
        <f t="shared" si="40"/>
        <v>6</v>
      </c>
      <c r="Z46" s="506">
        <f t="shared" si="40"/>
        <v>2</v>
      </c>
      <c r="AA46" s="506">
        <f t="shared" si="40"/>
        <v>1</v>
      </c>
      <c r="AB46" s="506">
        <f t="shared" si="40"/>
        <v>4</v>
      </c>
      <c r="AC46" s="506">
        <f t="shared" si="40"/>
        <v>6</v>
      </c>
      <c r="AD46" s="506">
        <f t="shared" si="40"/>
        <v>2</v>
      </c>
      <c r="AE46" s="506">
        <f t="shared" si="40"/>
        <v>6</v>
      </c>
      <c r="AF46" s="506">
        <f>SUM(AF43:AF44)</f>
        <v>1</v>
      </c>
      <c r="AG46" s="507">
        <f t="shared" si="38"/>
        <v>301</v>
      </c>
      <c r="AH46" s="508">
        <f>SUM(AH43:AH45)</f>
        <v>1</v>
      </c>
    </row>
    <row r="47" outlineLevel="1">
      <c r="A47" s="509" t="s">
        <v>816</v>
      </c>
      <c r="B47" s="510"/>
      <c r="C47" s="510"/>
      <c r="D47" s="510"/>
      <c r="E47" s="510"/>
      <c r="F47" s="510"/>
      <c r="G47" s="510"/>
      <c r="H47" s="510"/>
      <c r="I47" s="510"/>
      <c r="J47" s="510"/>
      <c r="K47" s="510"/>
      <c r="L47" s="510"/>
      <c r="M47" s="510"/>
      <c r="N47" s="510"/>
      <c r="O47" s="510"/>
      <c r="P47" s="510"/>
      <c r="Q47" s="510"/>
      <c r="R47" s="510"/>
      <c r="S47" s="510"/>
      <c r="T47" s="510"/>
      <c r="U47" s="510"/>
      <c r="V47" s="510"/>
      <c r="W47" s="510"/>
      <c r="X47" s="510"/>
      <c r="Y47" s="510"/>
      <c r="Z47" s="510"/>
      <c r="AA47" s="510"/>
      <c r="AB47" s="510"/>
      <c r="AC47" s="510"/>
      <c r="AD47" s="510"/>
      <c r="AE47" s="510"/>
      <c r="AF47" s="510"/>
      <c r="AG47" s="511"/>
      <c r="AH47" s="512"/>
    </row>
    <row r="48" outlineLevel="1">
      <c r="A48" s="513" t="s">
        <v>798</v>
      </c>
      <c r="B48" s="514">
        <f t="shared" ref="B48:P48" si="41">iferror(B43/B$46,"")</f>
        <v>0.8888888889</v>
      </c>
      <c r="C48" s="514">
        <f t="shared" si="41"/>
        <v>0.7142857143</v>
      </c>
      <c r="D48" s="514">
        <f t="shared" si="41"/>
        <v>0.7142857143</v>
      </c>
      <c r="E48" s="514">
        <f t="shared" si="41"/>
        <v>0.875</v>
      </c>
      <c r="F48" s="514">
        <f t="shared" si="41"/>
        <v>0.7826086957</v>
      </c>
      <c r="G48" s="514">
        <f t="shared" si="41"/>
        <v>0.8518518519</v>
      </c>
      <c r="H48" s="514">
        <f t="shared" si="41"/>
        <v>0.8</v>
      </c>
      <c r="I48" s="514">
        <f t="shared" si="41"/>
        <v>0.6666666667</v>
      </c>
      <c r="J48" s="514">
        <f t="shared" si="41"/>
        <v>0.7</v>
      </c>
      <c r="K48" s="514">
        <f t="shared" si="41"/>
        <v>0.75</v>
      </c>
      <c r="L48" s="514">
        <f t="shared" si="41"/>
        <v>0.8333333333</v>
      </c>
      <c r="M48" s="514">
        <f t="shared" si="41"/>
        <v>0.8571428571</v>
      </c>
      <c r="N48" s="514">
        <f t="shared" si="41"/>
        <v>0.5714285714</v>
      </c>
      <c r="O48" s="514">
        <f t="shared" si="41"/>
        <v>0.6666666667</v>
      </c>
      <c r="P48" s="514">
        <f t="shared" si="41"/>
        <v>0</v>
      </c>
      <c r="Q48" s="515">
        <v>0.0</v>
      </c>
      <c r="R48" s="514">
        <f t="shared" ref="R48:AF48" si="42">iferror(R43/R$46,"")</f>
        <v>0.6666666667</v>
      </c>
      <c r="S48" s="514">
        <f t="shared" si="42"/>
        <v>0.5</v>
      </c>
      <c r="T48" s="514">
        <f t="shared" si="42"/>
        <v>0.8</v>
      </c>
      <c r="U48" s="514">
        <f t="shared" si="42"/>
        <v>0.8571428571</v>
      </c>
      <c r="V48" s="514">
        <f t="shared" si="42"/>
        <v>0.5</v>
      </c>
      <c r="W48" s="514">
        <f t="shared" si="42"/>
        <v>0.8</v>
      </c>
      <c r="X48" s="514">
        <f t="shared" si="42"/>
        <v>0.3333333333</v>
      </c>
      <c r="Y48" s="514">
        <f t="shared" si="42"/>
        <v>0.8333333333</v>
      </c>
      <c r="Z48" s="514">
        <f t="shared" si="42"/>
        <v>0.5</v>
      </c>
      <c r="AA48" s="514">
        <f t="shared" si="42"/>
        <v>1</v>
      </c>
      <c r="AB48" s="514">
        <f t="shared" si="42"/>
        <v>0.75</v>
      </c>
      <c r="AC48" s="514">
        <f t="shared" si="42"/>
        <v>0.5</v>
      </c>
      <c r="AD48" s="514">
        <f t="shared" si="42"/>
        <v>1</v>
      </c>
      <c r="AE48" s="514">
        <f t="shared" si="42"/>
        <v>0.8333333333</v>
      </c>
      <c r="AF48" s="514">
        <f t="shared" si="42"/>
        <v>1</v>
      </c>
      <c r="AG48" s="516"/>
      <c r="AH48" s="517"/>
    </row>
    <row r="49" outlineLevel="1">
      <c r="A49" s="513" t="s">
        <v>799</v>
      </c>
      <c r="B49" s="514">
        <f t="shared" ref="B49:P49" si="43">iferror(B44/B$46,"")</f>
        <v>0.1111111111</v>
      </c>
      <c r="C49" s="514">
        <f t="shared" si="43"/>
        <v>0.1428571429</v>
      </c>
      <c r="D49" s="514">
        <f t="shared" si="43"/>
        <v>0.1904761905</v>
      </c>
      <c r="E49" s="514">
        <f t="shared" si="43"/>
        <v>0.125</v>
      </c>
      <c r="F49" s="514">
        <f t="shared" si="43"/>
        <v>0.04347826087</v>
      </c>
      <c r="G49" s="514">
        <f t="shared" si="43"/>
        <v>0.1111111111</v>
      </c>
      <c r="H49" s="514">
        <f t="shared" si="43"/>
        <v>0.06666666667</v>
      </c>
      <c r="I49" s="514">
        <f t="shared" si="43"/>
        <v>0.2666666667</v>
      </c>
      <c r="J49" s="514">
        <f t="shared" si="43"/>
        <v>0.3</v>
      </c>
      <c r="K49" s="514">
        <f t="shared" si="43"/>
        <v>0.125</v>
      </c>
      <c r="L49" s="514">
        <f t="shared" si="43"/>
        <v>0</v>
      </c>
      <c r="M49" s="514">
        <f t="shared" si="43"/>
        <v>0.09523809524</v>
      </c>
      <c r="N49" s="514">
        <f t="shared" si="43"/>
        <v>0.4285714286</v>
      </c>
      <c r="O49" s="514">
        <f t="shared" si="43"/>
        <v>0.2222222222</v>
      </c>
      <c r="P49" s="514">
        <f t="shared" si="43"/>
        <v>0.5</v>
      </c>
      <c r="Q49" s="515">
        <v>0.0</v>
      </c>
      <c r="R49" s="514">
        <f t="shared" ref="R49:AF49" si="44">iferror(R44/R$46,"")</f>
        <v>0</v>
      </c>
      <c r="S49" s="514">
        <f t="shared" si="44"/>
        <v>0.5</v>
      </c>
      <c r="T49" s="514">
        <f t="shared" si="44"/>
        <v>0</v>
      </c>
      <c r="U49" s="514">
        <f t="shared" si="44"/>
        <v>0</v>
      </c>
      <c r="V49" s="514">
        <f t="shared" si="44"/>
        <v>0</v>
      </c>
      <c r="W49" s="514">
        <f t="shared" si="44"/>
        <v>0.2</v>
      </c>
      <c r="X49" s="514">
        <f t="shared" si="44"/>
        <v>0.6666666667</v>
      </c>
      <c r="Y49" s="514">
        <f t="shared" si="44"/>
        <v>0.1666666667</v>
      </c>
      <c r="Z49" s="514">
        <f t="shared" si="44"/>
        <v>0.5</v>
      </c>
      <c r="AA49" s="514">
        <f t="shared" si="44"/>
        <v>0</v>
      </c>
      <c r="AB49" s="514">
        <f t="shared" si="44"/>
        <v>0.25</v>
      </c>
      <c r="AC49" s="514">
        <f t="shared" si="44"/>
        <v>0.3333333333</v>
      </c>
      <c r="AD49" s="514">
        <f t="shared" si="44"/>
        <v>0</v>
      </c>
      <c r="AE49" s="514">
        <f t="shared" si="44"/>
        <v>0</v>
      </c>
      <c r="AF49" s="514">
        <f t="shared" si="44"/>
        <v>0</v>
      </c>
      <c r="AG49" s="518"/>
      <c r="AH49" s="517"/>
    </row>
    <row r="50" outlineLevel="1">
      <c r="A50" s="540" t="s">
        <v>800</v>
      </c>
      <c r="B50" s="514">
        <f t="shared" ref="B50:P50" si="45">iferror(B45/B$46,"")</f>
        <v>0</v>
      </c>
      <c r="C50" s="514">
        <f t="shared" si="45"/>
        <v>0.1428571429</v>
      </c>
      <c r="D50" s="514">
        <f t="shared" si="45"/>
        <v>0.09523809524</v>
      </c>
      <c r="E50" s="514">
        <f t="shared" si="45"/>
        <v>0</v>
      </c>
      <c r="F50" s="514">
        <f t="shared" si="45"/>
        <v>0.1739130435</v>
      </c>
      <c r="G50" s="514">
        <f t="shared" si="45"/>
        <v>0.03703703704</v>
      </c>
      <c r="H50" s="514">
        <f t="shared" si="45"/>
        <v>0.1333333333</v>
      </c>
      <c r="I50" s="514">
        <f t="shared" si="45"/>
        <v>0.06666666667</v>
      </c>
      <c r="J50" s="514">
        <f t="shared" si="45"/>
        <v>0</v>
      </c>
      <c r="K50" s="514">
        <f t="shared" si="45"/>
        <v>0.125</v>
      </c>
      <c r="L50" s="514">
        <f t="shared" si="45"/>
        <v>0.1666666667</v>
      </c>
      <c r="M50" s="514">
        <f t="shared" si="45"/>
        <v>0.04761904762</v>
      </c>
      <c r="N50" s="514">
        <f t="shared" si="45"/>
        <v>0</v>
      </c>
      <c r="O50" s="514">
        <f t="shared" si="45"/>
        <v>0.1111111111</v>
      </c>
      <c r="P50" s="514">
        <f t="shared" si="45"/>
        <v>0.5</v>
      </c>
      <c r="Q50" s="515">
        <v>0.0</v>
      </c>
      <c r="R50" s="514">
        <f t="shared" ref="R50:AF50" si="46">iferror(R45/R$46,"")</f>
        <v>0.3333333333</v>
      </c>
      <c r="S50" s="514">
        <f t="shared" si="46"/>
        <v>0</v>
      </c>
      <c r="T50" s="514">
        <f t="shared" si="46"/>
        <v>0.2</v>
      </c>
      <c r="U50" s="514">
        <f t="shared" si="46"/>
        <v>0.1428571429</v>
      </c>
      <c r="V50" s="514">
        <f t="shared" si="46"/>
        <v>0.5</v>
      </c>
      <c r="W50" s="514">
        <f t="shared" si="46"/>
        <v>0</v>
      </c>
      <c r="X50" s="514">
        <f t="shared" si="46"/>
        <v>0</v>
      </c>
      <c r="Y50" s="514">
        <f t="shared" si="46"/>
        <v>0</v>
      </c>
      <c r="Z50" s="514">
        <f t="shared" si="46"/>
        <v>0</v>
      </c>
      <c r="AA50" s="514">
        <f t="shared" si="46"/>
        <v>0</v>
      </c>
      <c r="AB50" s="514">
        <f t="shared" si="46"/>
        <v>0</v>
      </c>
      <c r="AC50" s="514">
        <f t="shared" si="46"/>
        <v>0.1666666667</v>
      </c>
      <c r="AD50" s="514">
        <f t="shared" si="46"/>
        <v>0</v>
      </c>
      <c r="AE50" s="514">
        <f t="shared" si="46"/>
        <v>0.1666666667</v>
      </c>
      <c r="AF50" s="514">
        <f t="shared" si="46"/>
        <v>0</v>
      </c>
      <c r="AG50" s="518"/>
      <c r="AH50" s="517"/>
    </row>
    <row r="51" ht="42.75" customHeight="1">
      <c r="A51" s="541"/>
      <c r="B51" s="542"/>
      <c r="C51" s="542"/>
      <c r="D51" s="542"/>
      <c r="E51" s="542"/>
      <c r="F51" s="542"/>
      <c r="G51" s="542"/>
      <c r="H51" s="542"/>
      <c r="I51" s="542"/>
      <c r="J51" s="542"/>
      <c r="K51" s="542"/>
      <c r="L51" s="542"/>
      <c r="M51" s="542"/>
      <c r="N51" s="542"/>
      <c r="O51" s="542"/>
      <c r="P51" s="542"/>
      <c r="Q51" s="542"/>
      <c r="R51" s="542"/>
      <c r="S51" s="542"/>
      <c r="T51" s="542"/>
      <c r="U51" s="542"/>
      <c r="V51" s="542"/>
      <c r="W51" s="542"/>
      <c r="X51" s="542"/>
      <c r="Y51" s="542"/>
      <c r="Z51" s="542"/>
      <c r="AA51" s="542"/>
      <c r="AB51" s="542"/>
      <c r="AC51" s="542"/>
      <c r="AD51" s="542"/>
      <c r="AE51" s="542"/>
      <c r="AF51" s="542"/>
      <c r="AG51" s="543"/>
      <c r="AH51" s="543"/>
    </row>
    <row r="52">
      <c r="A52" s="523" t="s">
        <v>807</v>
      </c>
      <c r="B52" s="524"/>
      <c r="C52" s="524"/>
      <c r="D52" s="524"/>
      <c r="E52" s="524"/>
      <c r="F52" s="524"/>
      <c r="G52" s="524"/>
      <c r="H52" s="524"/>
      <c r="I52" s="524"/>
      <c r="J52" s="524"/>
      <c r="K52" s="524"/>
      <c r="L52" s="524"/>
      <c r="M52" s="524"/>
      <c r="N52" s="524"/>
      <c r="O52" s="524"/>
      <c r="P52" s="524"/>
      <c r="Q52" s="524"/>
      <c r="R52" s="524"/>
      <c r="S52" s="524"/>
      <c r="T52" s="524"/>
      <c r="U52" s="524"/>
      <c r="V52" s="524"/>
      <c r="W52" s="524"/>
      <c r="X52" s="524"/>
      <c r="Y52" s="524"/>
      <c r="Z52" s="524"/>
      <c r="AA52" s="524"/>
      <c r="AB52" s="524"/>
      <c r="AC52" s="524"/>
      <c r="AD52" s="524"/>
      <c r="AE52" s="524"/>
      <c r="AF52" s="524"/>
      <c r="AG52" s="517"/>
      <c r="AH52" s="517"/>
    </row>
    <row r="53">
      <c r="B53" s="524"/>
      <c r="C53" s="524"/>
      <c r="D53" s="524"/>
      <c r="E53" s="524"/>
      <c r="F53" s="524"/>
      <c r="G53" s="524"/>
      <c r="H53" s="524"/>
      <c r="I53" s="524"/>
      <c r="J53" s="524"/>
      <c r="K53" s="524"/>
      <c r="L53" s="524"/>
      <c r="M53" s="524"/>
      <c r="N53" s="524"/>
      <c r="O53" s="524"/>
      <c r="P53" s="524"/>
      <c r="Q53" s="524"/>
      <c r="R53" s="524"/>
      <c r="S53" s="524"/>
      <c r="T53" s="524"/>
      <c r="U53" s="524"/>
      <c r="V53" s="524"/>
      <c r="W53" s="524"/>
      <c r="X53" s="524"/>
      <c r="Y53" s="524"/>
      <c r="Z53" s="524"/>
      <c r="AA53" s="524"/>
      <c r="AB53" s="524"/>
      <c r="AC53" s="524"/>
      <c r="AD53" s="524"/>
      <c r="AE53" s="524"/>
      <c r="AF53" s="524"/>
      <c r="AG53" s="517"/>
      <c r="AH53" s="517"/>
    </row>
    <row r="54" outlineLevel="1">
      <c r="A54" s="529" t="s">
        <v>791</v>
      </c>
      <c r="B54" s="530"/>
      <c r="C54" s="530"/>
      <c r="D54" s="530"/>
      <c r="E54" s="530"/>
      <c r="F54" s="530"/>
      <c r="G54" s="530"/>
      <c r="H54" s="530"/>
      <c r="I54" s="530"/>
      <c r="J54" s="530"/>
      <c r="K54" s="530"/>
      <c r="L54" s="530"/>
      <c r="M54" s="530"/>
      <c r="N54" s="530"/>
      <c r="O54" s="530"/>
      <c r="P54" s="530"/>
      <c r="Q54" s="530"/>
      <c r="R54" s="530"/>
      <c r="S54" s="530"/>
      <c r="T54" s="530"/>
      <c r="U54" s="530"/>
      <c r="V54" s="530"/>
      <c r="W54" s="530"/>
      <c r="X54" s="530"/>
      <c r="Y54" s="530"/>
      <c r="Z54" s="530"/>
      <c r="AA54" s="530"/>
      <c r="AB54" s="530"/>
      <c r="AC54" s="530"/>
      <c r="AD54" s="530"/>
      <c r="AE54" s="530"/>
      <c r="AF54" s="530"/>
      <c r="AG54" s="531"/>
      <c r="AH54" s="532"/>
    </row>
    <row r="55" outlineLevel="1">
      <c r="A55" s="4" t="s">
        <v>792</v>
      </c>
      <c r="B55" s="499">
        <v>14.0</v>
      </c>
      <c r="C55" s="499">
        <v>14.0</v>
      </c>
      <c r="D55" s="499">
        <v>18.0</v>
      </c>
      <c r="E55" s="499">
        <v>10.0</v>
      </c>
      <c r="F55" s="499">
        <v>8.0</v>
      </c>
      <c r="G55" s="499">
        <v>12.0</v>
      </c>
      <c r="H55" s="499">
        <v>15.0</v>
      </c>
      <c r="I55" s="499">
        <v>12.0</v>
      </c>
      <c r="J55" s="499">
        <v>8.0</v>
      </c>
      <c r="K55" s="499">
        <v>9.0</v>
      </c>
      <c r="L55" s="499">
        <v>14.0</v>
      </c>
      <c r="M55" s="499">
        <v>15.0</v>
      </c>
      <c r="N55" s="499">
        <v>22.0</v>
      </c>
      <c r="O55" s="499">
        <v>12.0</v>
      </c>
      <c r="P55" s="499">
        <v>3.0</v>
      </c>
      <c r="Q55" s="499">
        <v>0.0</v>
      </c>
      <c r="R55" s="499">
        <v>4.0</v>
      </c>
      <c r="S55" s="499">
        <v>7.0</v>
      </c>
      <c r="T55" s="499">
        <v>6.0</v>
      </c>
      <c r="U55" s="499">
        <v>6.0</v>
      </c>
      <c r="V55" s="499">
        <v>14.0</v>
      </c>
      <c r="W55" s="499">
        <v>7.0</v>
      </c>
      <c r="X55" s="499">
        <v>6.0</v>
      </c>
      <c r="Y55" s="500">
        <v>5.0</v>
      </c>
      <c r="Z55" s="500">
        <v>6.0</v>
      </c>
      <c r="AA55" s="500">
        <v>5.0</v>
      </c>
      <c r="AB55" s="500">
        <v>3.0</v>
      </c>
      <c r="AC55" s="500">
        <v>11.0</v>
      </c>
      <c r="AD55" s="500">
        <v>9.0</v>
      </c>
      <c r="AE55" s="500">
        <v>3.0</v>
      </c>
      <c r="AF55" s="500">
        <v>5.0</v>
      </c>
      <c r="AG55" s="501">
        <f t="shared" ref="AG55:AG59" si="47">SUM(B55:AF55)</f>
        <v>283</v>
      </c>
      <c r="AH55" s="502">
        <f t="shared" ref="AH55:AH58" si="48">iferror(AG55/AG$59,"")</f>
        <v>0.2591575092</v>
      </c>
    </row>
    <row r="56" outlineLevel="1">
      <c r="A56" s="498" t="s">
        <v>793</v>
      </c>
      <c r="B56" s="500">
        <v>22.0</v>
      </c>
      <c r="C56" s="500">
        <v>27.0</v>
      </c>
      <c r="D56" s="500">
        <v>23.0</v>
      </c>
      <c r="E56" s="500">
        <v>25.0</v>
      </c>
      <c r="F56" s="500">
        <v>26.0</v>
      </c>
      <c r="G56" s="500">
        <v>33.0</v>
      </c>
      <c r="H56" s="500">
        <v>27.0</v>
      </c>
      <c r="I56" s="500">
        <v>31.0</v>
      </c>
      <c r="J56" s="500">
        <v>20.0</v>
      </c>
      <c r="K56" s="500">
        <v>18.0</v>
      </c>
      <c r="L56" s="500">
        <v>25.0</v>
      </c>
      <c r="M56" s="500">
        <v>25.0</v>
      </c>
      <c r="N56" s="500">
        <v>6.0</v>
      </c>
      <c r="O56" s="500">
        <v>7.0</v>
      </c>
      <c r="P56" s="500">
        <v>4.0</v>
      </c>
      <c r="Q56" s="500">
        <v>0.0</v>
      </c>
      <c r="R56" s="500">
        <v>1.0</v>
      </c>
      <c r="S56" s="500">
        <v>1.0</v>
      </c>
      <c r="T56" s="500">
        <v>6.0</v>
      </c>
      <c r="U56" s="500">
        <v>2.0</v>
      </c>
      <c r="V56" s="500">
        <v>3.0</v>
      </c>
      <c r="W56" s="500">
        <v>3.0</v>
      </c>
      <c r="X56" s="500">
        <v>2.0</v>
      </c>
      <c r="Y56" s="500">
        <v>2.0</v>
      </c>
      <c r="Z56" s="500">
        <v>5.0</v>
      </c>
      <c r="AA56" s="500">
        <v>2.0</v>
      </c>
      <c r="AB56" s="500">
        <v>3.0</v>
      </c>
      <c r="AC56" s="500">
        <v>2.0</v>
      </c>
      <c r="AD56" s="500">
        <v>4.0</v>
      </c>
      <c r="AE56" s="500">
        <v>4.0</v>
      </c>
      <c r="AF56" s="500">
        <v>6.0</v>
      </c>
      <c r="AG56" s="501">
        <f t="shared" si="47"/>
        <v>365</v>
      </c>
      <c r="AH56" s="502">
        <f t="shared" si="48"/>
        <v>0.3342490842</v>
      </c>
    </row>
    <row r="57" outlineLevel="1">
      <c r="A57" s="498" t="s">
        <v>794</v>
      </c>
      <c r="B57" s="500">
        <v>3.0</v>
      </c>
      <c r="C57" s="500">
        <v>10.0</v>
      </c>
      <c r="D57" s="500">
        <v>15.0</v>
      </c>
      <c r="E57" s="500">
        <v>9.0</v>
      </c>
      <c r="F57" s="500">
        <v>8.0</v>
      </c>
      <c r="G57" s="500">
        <v>8.0</v>
      </c>
      <c r="H57" s="500">
        <v>14.0</v>
      </c>
      <c r="I57" s="500">
        <v>8.0</v>
      </c>
      <c r="J57" s="500">
        <v>5.0</v>
      </c>
      <c r="K57" s="500">
        <v>6.0</v>
      </c>
      <c r="L57" s="500">
        <v>12.0</v>
      </c>
      <c r="M57" s="500">
        <v>8.0</v>
      </c>
      <c r="N57" s="500">
        <v>8.0</v>
      </c>
      <c r="O57" s="500">
        <v>9.0</v>
      </c>
      <c r="P57" s="500">
        <v>1.0</v>
      </c>
      <c r="Q57" s="500">
        <v>0.0</v>
      </c>
      <c r="R57" s="500">
        <v>1.0</v>
      </c>
      <c r="S57" s="500">
        <v>3.0</v>
      </c>
      <c r="T57" s="500">
        <v>5.0</v>
      </c>
      <c r="U57" s="500">
        <v>3.0</v>
      </c>
      <c r="V57" s="500">
        <v>7.0</v>
      </c>
      <c r="W57" s="500">
        <v>6.0</v>
      </c>
      <c r="X57" s="500">
        <v>3.0</v>
      </c>
      <c r="Y57" s="500">
        <v>1.0</v>
      </c>
      <c r="Z57" s="500">
        <v>2.0</v>
      </c>
      <c r="AA57" s="500">
        <v>5.0</v>
      </c>
      <c r="AB57" s="500">
        <v>2.0</v>
      </c>
      <c r="AC57" s="500">
        <v>6.0</v>
      </c>
      <c r="AD57" s="500">
        <v>1.0</v>
      </c>
      <c r="AE57" s="500">
        <v>0.0</v>
      </c>
      <c r="AF57" s="500">
        <v>2.0</v>
      </c>
      <c r="AG57" s="501">
        <f t="shared" si="47"/>
        <v>171</v>
      </c>
      <c r="AH57" s="502">
        <f t="shared" si="48"/>
        <v>0.1565934066</v>
      </c>
    </row>
    <row r="58" outlineLevel="1">
      <c r="A58" s="498" t="s">
        <v>795</v>
      </c>
      <c r="B58" s="500">
        <v>10.0</v>
      </c>
      <c r="C58" s="500">
        <v>21.0</v>
      </c>
      <c r="D58" s="500">
        <v>17.0</v>
      </c>
      <c r="E58" s="500">
        <v>16.0</v>
      </c>
      <c r="F58" s="500">
        <v>17.0</v>
      </c>
      <c r="G58" s="500">
        <v>17.0</v>
      </c>
      <c r="H58" s="500">
        <v>14.0</v>
      </c>
      <c r="I58" s="500">
        <v>9.0</v>
      </c>
      <c r="J58" s="500">
        <v>14.0</v>
      </c>
      <c r="K58" s="500">
        <v>9.0</v>
      </c>
      <c r="L58" s="500">
        <v>10.0</v>
      </c>
      <c r="M58" s="500">
        <v>21.0</v>
      </c>
      <c r="N58" s="500">
        <v>13.0</v>
      </c>
      <c r="O58" s="500">
        <v>11.0</v>
      </c>
      <c r="P58" s="500">
        <v>2.0</v>
      </c>
      <c r="Q58" s="500">
        <v>0.0</v>
      </c>
      <c r="R58" s="500">
        <v>6.0</v>
      </c>
      <c r="S58" s="500">
        <v>4.0</v>
      </c>
      <c r="T58" s="500">
        <v>4.0</v>
      </c>
      <c r="U58" s="500">
        <v>3.0</v>
      </c>
      <c r="V58" s="500">
        <v>9.0</v>
      </c>
      <c r="W58" s="500">
        <v>3.0</v>
      </c>
      <c r="X58" s="500">
        <v>4.0</v>
      </c>
      <c r="Y58" s="500">
        <v>4.0</v>
      </c>
      <c r="Z58" s="500">
        <v>6.0</v>
      </c>
      <c r="AA58" s="500">
        <v>3.0</v>
      </c>
      <c r="AB58" s="500">
        <v>7.0</v>
      </c>
      <c r="AC58" s="500">
        <v>5.0</v>
      </c>
      <c r="AD58" s="500">
        <v>8.0</v>
      </c>
      <c r="AE58" s="500">
        <v>3.0</v>
      </c>
      <c r="AF58" s="500">
        <v>3.0</v>
      </c>
      <c r="AG58" s="501">
        <f t="shared" si="47"/>
        <v>273</v>
      </c>
      <c r="AH58" s="502">
        <f t="shared" si="48"/>
        <v>0.25</v>
      </c>
    </row>
    <row r="59" outlineLevel="1">
      <c r="A59" s="525" t="s">
        <v>811</v>
      </c>
      <c r="B59" s="526">
        <f t="shared" ref="B59:AF59" si="49">SUM(B55:B58)</f>
        <v>49</v>
      </c>
      <c r="C59" s="526">
        <f t="shared" si="49"/>
        <v>72</v>
      </c>
      <c r="D59" s="526">
        <f t="shared" si="49"/>
        <v>73</v>
      </c>
      <c r="E59" s="526">
        <f t="shared" si="49"/>
        <v>60</v>
      </c>
      <c r="F59" s="526">
        <f t="shared" si="49"/>
        <v>59</v>
      </c>
      <c r="G59" s="526">
        <f t="shared" si="49"/>
        <v>70</v>
      </c>
      <c r="H59" s="526">
        <f t="shared" si="49"/>
        <v>70</v>
      </c>
      <c r="I59" s="526">
        <f t="shared" si="49"/>
        <v>60</v>
      </c>
      <c r="J59" s="526">
        <f t="shared" si="49"/>
        <v>47</v>
      </c>
      <c r="K59" s="526">
        <f t="shared" si="49"/>
        <v>42</v>
      </c>
      <c r="L59" s="526">
        <f t="shared" si="49"/>
        <v>61</v>
      </c>
      <c r="M59" s="526">
        <f t="shared" si="49"/>
        <v>69</v>
      </c>
      <c r="N59" s="526">
        <f t="shared" si="49"/>
        <v>49</v>
      </c>
      <c r="O59" s="526">
        <f t="shared" si="49"/>
        <v>39</v>
      </c>
      <c r="P59" s="526">
        <f t="shared" si="49"/>
        <v>10</v>
      </c>
      <c r="Q59" s="526">
        <f t="shared" si="49"/>
        <v>0</v>
      </c>
      <c r="R59" s="526">
        <f t="shared" si="49"/>
        <v>12</v>
      </c>
      <c r="S59" s="526">
        <f t="shared" si="49"/>
        <v>15</v>
      </c>
      <c r="T59" s="526">
        <f t="shared" si="49"/>
        <v>21</v>
      </c>
      <c r="U59" s="526">
        <f t="shared" si="49"/>
        <v>14</v>
      </c>
      <c r="V59" s="526">
        <f t="shared" si="49"/>
        <v>33</v>
      </c>
      <c r="W59" s="526">
        <f t="shared" si="49"/>
        <v>19</v>
      </c>
      <c r="X59" s="526">
        <f t="shared" si="49"/>
        <v>15</v>
      </c>
      <c r="Y59" s="526">
        <f t="shared" si="49"/>
        <v>12</v>
      </c>
      <c r="Z59" s="526">
        <f t="shared" si="49"/>
        <v>19</v>
      </c>
      <c r="AA59" s="526">
        <f t="shared" si="49"/>
        <v>15</v>
      </c>
      <c r="AB59" s="526">
        <f t="shared" si="49"/>
        <v>15</v>
      </c>
      <c r="AC59" s="526">
        <f t="shared" si="49"/>
        <v>24</v>
      </c>
      <c r="AD59" s="526">
        <f t="shared" si="49"/>
        <v>22</v>
      </c>
      <c r="AE59" s="526">
        <f t="shared" si="49"/>
        <v>10</v>
      </c>
      <c r="AF59" s="526">
        <f t="shared" si="49"/>
        <v>16</v>
      </c>
      <c r="AG59" s="527">
        <f t="shared" si="47"/>
        <v>1092</v>
      </c>
      <c r="AH59" s="528">
        <f>SUM(AH55:AH58)</f>
        <v>1</v>
      </c>
    </row>
    <row r="60" outlineLevel="1">
      <c r="A60" s="509" t="s">
        <v>813</v>
      </c>
      <c r="B60" s="510"/>
      <c r="C60" s="510"/>
      <c r="D60" s="510"/>
      <c r="E60" s="510"/>
      <c r="F60" s="510"/>
      <c r="G60" s="510"/>
      <c r="H60" s="510"/>
      <c r="I60" s="510"/>
      <c r="J60" s="510"/>
      <c r="K60" s="510"/>
      <c r="L60" s="510"/>
      <c r="M60" s="510"/>
      <c r="N60" s="510"/>
      <c r="O60" s="510"/>
      <c r="P60" s="510"/>
      <c r="Q60" s="510"/>
      <c r="R60" s="510"/>
      <c r="S60" s="510"/>
      <c r="T60" s="510"/>
      <c r="U60" s="510"/>
      <c r="V60" s="510"/>
      <c r="W60" s="510"/>
      <c r="X60" s="510"/>
      <c r="Y60" s="510"/>
      <c r="Z60" s="510"/>
      <c r="AA60" s="510"/>
      <c r="AB60" s="510"/>
      <c r="AC60" s="510"/>
      <c r="AD60" s="510"/>
      <c r="AE60" s="510"/>
      <c r="AF60" s="510"/>
      <c r="AG60" s="516"/>
      <c r="AH60" s="517"/>
    </row>
    <row r="61" outlineLevel="1">
      <c r="A61" s="513" t="s">
        <v>792</v>
      </c>
      <c r="B61" s="514">
        <f t="shared" ref="B61:P61" si="50">iferror(B55/B$59,"")</f>
        <v>0.2857142857</v>
      </c>
      <c r="C61" s="514">
        <f t="shared" si="50"/>
        <v>0.1944444444</v>
      </c>
      <c r="D61" s="514">
        <f t="shared" si="50"/>
        <v>0.2465753425</v>
      </c>
      <c r="E61" s="514">
        <f t="shared" si="50"/>
        <v>0.1666666667</v>
      </c>
      <c r="F61" s="514">
        <f t="shared" si="50"/>
        <v>0.1355932203</v>
      </c>
      <c r="G61" s="514">
        <f t="shared" si="50"/>
        <v>0.1714285714</v>
      </c>
      <c r="H61" s="514">
        <f t="shared" si="50"/>
        <v>0.2142857143</v>
      </c>
      <c r="I61" s="514">
        <f t="shared" si="50"/>
        <v>0.2</v>
      </c>
      <c r="J61" s="514">
        <f t="shared" si="50"/>
        <v>0.170212766</v>
      </c>
      <c r="K61" s="514">
        <f t="shared" si="50"/>
        <v>0.2142857143</v>
      </c>
      <c r="L61" s="514">
        <f t="shared" si="50"/>
        <v>0.2295081967</v>
      </c>
      <c r="M61" s="514">
        <f t="shared" si="50"/>
        <v>0.2173913043</v>
      </c>
      <c r="N61" s="514">
        <f t="shared" si="50"/>
        <v>0.4489795918</v>
      </c>
      <c r="O61" s="514">
        <f t="shared" si="50"/>
        <v>0.3076923077</v>
      </c>
      <c r="P61" s="514">
        <f t="shared" si="50"/>
        <v>0.3</v>
      </c>
      <c r="Q61" s="515">
        <v>0.0</v>
      </c>
      <c r="R61" s="514">
        <f t="shared" ref="R61:AF61" si="51">iferror(R55/R$59,"")</f>
        <v>0.3333333333</v>
      </c>
      <c r="S61" s="514">
        <f t="shared" si="51"/>
        <v>0.4666666667</v>
      </c>
      <c r="T61" s="514">
        <f t="shared" si="51"/>
        <v>0.2857142857</v>
      </c>
      <c r="U61" s="514">
        <f t="shared" si="51"/>
        <v>0.4285714286</v>
      </c>
      <c r="V61" s="514">
        <f t="shared" si="51"/>
        <v>0.4242424242</v>
      </c>
      <c r="W61" s="514">
        <f t="shared" si="51"/>
        <v>0.3684210526</v>
      </c>
      <c r="X61" s="514">
        <f t="shared" si="51"/>
        <v>0.4</v>
      </c>
      <c r="Y61" s="514">
        <f t="shared" si="51"/>
        <v>0.4166666667</v>
      </c>
      <c r="Z61" s="514">
        <f t="shared" si="51"/>
        <v>0.3157894737</v>
      </c>
      <c r="AA61" s="514">
        <f t="shared" si="51"/>
        <v>0.3333333333</v>
      </c>
      <c r="AB61" s="514">
        <f t="shared" si="51"/>
        <v>0.2</v>
      </c>
      <c r="AC61" s="514">
        <f t="shared" si="51"/>
        <v>0.4583333333</v>
      </c>
      <c r="AD61" s="514">
        <f t="shared" si="51"/>
        <v>0.4090909091</v>
      </c>
      <c r="AE61" s="514">
        <f t="shared" si="51"/>
        <v>0.3</v>
      </c>
      <c r="AF61" s="514">
        <f t="shared" si="51"/>
        <v>0.3125</v>
      </c>
      <c r="AG61" s="516"/>
      <c r="AH61" s="517"/>
    </row>
    <row r="62" outlineLevel="1">
      <c r="A62" s="513" t="s">
        <v>793</v>
      </c>
      <c r="B62" s="514">
        <f t="shared" ref="B62:P62" si="52">iferror(B56/B$59,"")</f>
        <v>0.4489795918</v>
      </c>
      <c r="C62" s="514">
        <f t="shared" si="52"/>
        <v>0.375</v>
      </c>
      <c r="D62" s="514">
        <f t="shared" si="52"/>
        <v>0.3150684932</v>
      </c>
      <c r="E62" s="514">
        <f t="shared" si="52"/>
        <v>0.4166666667</v>
      </c>
      <c r="F62" s="514">
        <f t="shared" si="52"/>
        <v>0.4406779661</v>
      </c>
      <c r="G62" s="514">
        <f t="shared" si="52"/>
        <v>0.4714285714</v>
      </c>
      <c r="H62" s="514">
        <f t="shared" si="52"/>
        <v>0.3857142857</v>
      </c>
      <c r="I62" s="514">
        <f t="shared" si="52"/>
        <v>0.5166666667</v>
      </c>
      <c r="J62" s="514">
        <f t="shared" si="52"/>
        <v>0.4255319149</v>
      </c>
      <c r="K62" s="514">
        <f t="shared" si="52"/>
        <v>0.4285714286</v>
      </c>
      <c r="L62" s="514">
        <f t="shared" si="52"/>
        <v>0.4098360656</v>
      </c>
      <c r="M62" s="514">
        <f t="shared" si="52"/>
        <v>0.3623188406</v>
      </c>
      <c r="N62" s="514">
        <f t="shared" si="52"/>
        <v>0.1224489796</v>
      </c>
      <c r="O62" s="514">
        <f t="shared" si="52"/>
        <v>0.1794871795</v>
      </c>
      <c r="P62" s="514">
        <f t="shared" si="52"/>
        <v>0.4</v>
      </c>
      <c r="Q62" s="515">
        <v>0.0</v>
      </c>
      <c r="R62" s="514">
        <f t="shared" ref="R62:AF62" si="53">iferror(R56/R$59,"")</f>
        <v>0.08333333333</v>
      </c>
      <c r="S62" s="514">
        <f t="shared" si="53"/>
        <v>0.06666666667</v>
      </c>
      <c r="T62" s="514">
        <f t="shared" si="53"/>
        <v>0.2857142857</v>
      </c>
      <c r="U62" s="514">
        <f t="shared" si="53"/>
        <v>0.1428571429</v>
      </c>
      <c r="V62" s="514">
        <f t="shared" si="53"/>
        <v>0.09090909091</v>
      </c>
      <c r="W62" s="514">
        <f t="shared" si="53"/>
        <v>0.1578947368</v>
      </c>
      <c r="X62" s="514">
        <f t="shared" si="53"/>
        <v>0.1333333333</v>
      </c>
      <c r="Y62" s="514">
        <f t="shared" si="53"/>
        <v>0.1666666667</v>
      </c>
      <c r="Z62" s="514">
        <f t="shared" si="53"/>
        <v>0.2631578947</v>
      </c>
      <c r="AA62" s="514">
        <f t="shared" si="53"/>
        <v>0.1333333333</v>
      </c>
      <c r="AB62" s="514">
        <f t="shared" si="53"/>
        <v>0.2</v>
      </c>
      <c r="AC62" s="514">
        <f t="shared" si="53"/>
        <v>0.08333333333</v>
      </c>
      <c r="AD62" s="514">
        <f t="shared" si="53"/>
        <v>0.1818181818</v>
      </c>
      <c r="AE62" s="514">
        <f t="shared" si="53"/>
        <v>0.4</v>
      </c>
      <c r="AF62" s="514">
        <f t="shared" si="53"/>
        <v>0.375</v>
      </c>
      <c r="AG62" s="516"/>
      <c r="AH62" s="517"/>
    </row>
    <row r="63" outlineLevel="1">
      <c r="A63" s="513" t="s">
        <v>794</v>
      </c>
      <c r="B63" s="514">
        <f t="shared" ref="B63:P63" si="54">iferror(B57/B$59,"")</f>
        <v>0.0612244898</v>
      </c>
      <c r="C63" s="514">
        <f t="shared" si="54"/>
        <v>0.1388888889</v>
      </c>
      <c r="D63" s="514">
        <f t="shared" si="54"/>
        <v>0.2054794521</v>
      </c>
      <c r="E63" s="514">
        <f t="shared" si="54"/>
        <v>0.15</v>
      </c>
      <c r="F63" s="514">
        <f t="shared" si="54"/>
        <v>0.1355932203</v>
      </c>
      <c r="G63" s="514">
        <f t="shared" si="54"/>
        <v>0.1142857143</v>
      </c>
      <c r="H63" s="514">
        <f t="shared" si="54"/>
        <v>0.2</v>
      </c>
      <c r="I63" s="514">
        <f t="shared" si="54"/>
        <v>0.1333333333</v>
      </c>
      <c r="J63" s="514">
        <f t="shared" si="54"/>
        <v>0.1063829787</v>
      </c>
      <c r="K63" s="514">
        <f t="shared" si="54"/>
        <v>0.1428571429</v>
      </c>
      <c r="L63" s="514">
        <f t="shared" si="54"/>
        <v>0.1967213115</v>
      </c>
      <c r="M63" s="514">
        <f t="shared" si="54"/>
        <v>0.115942029</v>
      </c>
      <c r="N63" s="514">
        <f t="shared" si="54"/>
        <v>0.1632653061</v>
      </c>
      <c r="O63" s="514">
        <f t="shared" si="54"/>
        <v>0.2307692308</v>
      </c>
      <c r="P63" s="514">
        <f t="shared" si="54"/>
        <v>0.1</v>
      </c>
      <c r="Q63" s="515">
        <v>0.0</v>
      </c>
      <c r="R63" s="514">
        <f t="shared" ref="R63:AF63" si="55">iferror(R57/R$59,"")</f>
        <v>0.08333333333</v>
      </c>
      <c r="S63" s="514">
        <f t="shared" si="55"/>
        <v>0.2</v>
      </c>
      <c r="T63" s="514">
        <f t="shared" si="55"/>
        <v>0.2380952381</v>
      </c>
      <c r="U63" s="514">
        <f t="shared" si="55"/>
        <v>0.2142857143</v>
      </c>
      <c r="V63" s="514">
        <f t="shared" si="55"/>
        <v>0.2121212121</v>
      </c>
      <c r="W63" s="514">
        <f t="shared" si="55"/>
        <v>0.3157894737</v>
      </c>
      <c r="X63" s="514">
        <f t="shared" si="55"/>
        <v>0.2</v>
      </c>
      <c r="Y63" s="514">
        <f t="shared" si="55"/>
        <v>0.08333333333</v>
      </c>
      <c r="Z63" s="514">
        <f t="shared" si="55"/>
        <v>0.1052631579</v>
      </c>
      <c r="AA63" s="514">
        <f t="shared" si="55"/>
        <v>0.3333333333</v>
      </c>
      <c r="AB63" s="514">
        <f t="shared" si="55"/>
        <v>0.1333333333</v>
      </c>
      <c r="AC63" s="514">
        <f t="shared" si="55"/>
        <v>0.25</v>
      </c>
      <c r="AD63" s="514">
        <f t="shared" si="55"/>
        <v>0.04545454545</v>
      </c>
      <c r="AE63" s="514">
        <f t="shared" si="55"/>
        <v>0</v>
      </c>
      <c r="AF63" s="514">
        <f t="shared" si="55"/>
        <v>0.125</v>
      </c>
      <c r="AG63" s="516"/>
      <c r="AH63" s="517"/>
    </row>
    <row r="64" outlineLevel="1">
      <c r="A64" s="513" t="s">
        <v>795</v>
      </c>
      <c r="B64" s="514">
        <f t="shared" ref="B64:P64" si="56">iferror(B58/B$59,"")</f>
        <v>0.2040816327</v>
      </c>
      <c r="C64" s="514">
        <f t="shared" si="56"/>
        <v>0.2916666667</v>
      </c>
      <c r="D64" s="514">
        <f t="shared" si="56"/>
        <v>0.2328767123</v>
      </c>
      <c r="E64" s="514">
        <f t="shared" si="56"/>
        <v>0.2666666667</v>
      </c>
      <c r="F64" s="514">
        <f t="shared" si="56"/>
        <v>0.2881355932</v>
      </c>
      <c r="G64" s="514">
        <f t="shared" si="56"/>
        <v>0.2428571429</v>
      </c>
      <c r="H64" s="514">
        <f t="shared" si="56"/>
        <v>0.2</v>
      </c>
      <c r="I64" s="514">
        <f t="shared" si="56"/>
        <v>0.15</v>
      </c>
      <c r="J64" s="514">
        <f t="shared" si="56"/>
        <v>0.2978723404</v>
      </c>
      <c r="K64" s="514">
        <f t="shared" si="56"/>
        <v>0.2142857143</v>
      </c>
      <c r="L64" s="514">
        <f t="shared" si="56"/>
        <v>0.1639344262</v>
      </c>
      <c r="M64" s="514">
        <f t="shared" si="56"/>
        <v>0.3043478261</v>
      </c>
      <c r="N64" s="514">
        <f t="shared" si="56"/>
        <v>0.2653061224</v>
      </c>
      <c r="O64" s="514">
        <f t="shared" si="56"/>
        <v>0.2820512821</v>
      </c>
      <c r="P64" s="514">
        <f t="shared" si="56"/>
        <v>0.2</v>
      </c>
      <c r="Q64" s="515">
        <v>0.0</v>
      </c>
      <c r="R64" s="514">
        <f t="shared" ref="R64:AF64" si="57">iferror(R58/R$59,"")</f>
        <v>0.5</v>
      </c>
      <c r="S64" s="514">
        <f t="shared" si="57"/>
        <v>0.2666666667</v>
      </c>
      <c r="T64" s="514">
        <f t="shared" si="57"/>
        <v>0.1904761905</v>
      </c>
      <c r="U64" s="514">
        <f t="shared" si="57"/>
        <v>0.2142857143</v>
      </c>
      <c r="V64" s="514">
        <f t="shared" si="57"/>
        <v>0.2727272727</v>
      </c>
      <c r="W64" s="514">
        <f t="shared" si="57"/>
        <v>0.1578947368</v>
      </c>
      <c r="X64" s="514">
        <f t="shared" si="57"/>
        <v>0.2666666667</v>
      </c>
      <c r="Y64" s="514">
        <f t="shared" si="57"/>
        <v>0.3333333333</v>
      </c>
      <c r="Z64" s="514">
        <f t="shared" si="57"/>
        <v>0.3157894737</v>
      </c>
      <c r="AA64" s="514">
        <f t="shared" si="57"/>
        <v>0.2</v>
      </c>
      <c r="AB64" s="514">
        <f t="shared" si="57"/>
        <v>0.4666666667</v>
      </c>
      <c r="AC64" s="514">
        <f t="shared" si="57"/>
        <v>0.2083333333</v>
      </c>
      <c r="AD64" s="514">
        <f t="shared" si="57"/>
        <v>0.3636363636</v>
      </c>
      <c r="AE64" s="514">
        <f t="shared" si="57"/>
        <v>0.3</v>
      </c>
      <c r="AF64" s="514">
        <f t="shared" si="57"/>
        <v>0.1875</v>
      </c>
      <c r="AG64" s="516"/>
      <c r="AH64" s="517"/>
    </row>
    <row r="65" outlineLevel="1">
      <c r="A65" s="529" t="s">
        <v>796</v>
      </c>
      <c r="B65" s="530"/>
      <c r="C65" s="530"/>
      <c r="D65" s="530"/>
      <c r="E65" s="530"/>
      <c r="F65" s="530"/>
      <c r="G65" s="530"/>
      <c r="H65" s="530"/>
      <c r="I65" s="530"/>
      <c r="J65" s="530"/>
      <c r="K65" s="530"/>
      <c r="L65" s="530"/>
      <c r="M65" s="530"/>
      <c r="N65" s="530"/>
      <c r="O65" s="530"/>
      <c r="P65" s="530"/>
      <c r="Q65" s="530"/>
      <c r="R65" s="530"/>
      <c r="S65" s="530"/>
      <c r="T65" s="530"/>
      <c r="U65" s="530"/>
      <c r="V65" s="530"/>
      <c r="W65" s="530"/>
      <c r="X65" s="530"/>
      <c r="Y65" s="530"/>
      <c r="Z65" s="530"/>
      <c r="AA65" s="530"/>
      <c r="AB65" s="530"/>
      <c r="AC65" s="530"/>
      <c r="AD65" s="530"/>
      <c r="AE65" s="530"/>
      <c r="AF65" s="530"/>
      <c r="AG65" s="531"/>
      <c r="AH65" s="532"/>
    </row>
    <row r="66" outlineLevel="1">
      <c r="A66" s="4" t="s">
        <v>797</v>
      </c>
      <c r="B66" s="499">
        <v>16.0</v>
      </c>
      <c r="C66" s="499">
        <v>26.0</v>
      </c>
      <c r="D66" s="499">
        <v>19.0</v>
      </c>
      <c r="E66" s="499">
        <v>17.0</v>
      </c>
      <c r="F66" s="499">
        <v>16.0</v>
      </c>
      <c r="G66" s="499">
        <v>18.0</v>
      </c>
      <c r="H66" s="499">
        <v>22.0</v>
      </c>
      <c r="I66" s="499">
        <v>15.0</v>
      </c>
      <c r="J66" s="499">
        <v>12.0</v>
      </c>
      <c r="K66" s="499">
        <v>8.0</v>
      </c>
      <c r="L66" s="499">
        <v>19.0</v>
      </c>
      <c r="M66" s="499">
        <v>19.0</v>
      </c>
      <c r="N66" s="8">
        <v>10.0</v>
      </c>
      <c r="O66" s="500">
        <v>11.0</v>
      </c>
      <c r="P66" s="500">
        <v>4.0</v>
      </c>
      <c r="Q66" s="500">
        <v>0.0</v>
      </c>
      <c r="R66" s="500">
        <v>0.0</v>
      </c>
      <c r="S66" s="500">
        <v>4.0</v>
      </c>
      <c r="T66" s="500">
        <v>6.0</v>
      </c>
      <c r="U66" s="499">
        <v>8.0</v>
      </c>
      <c r="V66" s="499">
        <v>12.0</v>
      </c>
      <c r="W66" s="499">
        <v>5.0</v>
      </c>
      <c r="X66" s="499">
        <v>5.0</v>
      </c>
      <c r="Y66" s="500">
        <v>2.0</v>
      </c>
      <c r="Z66" s="500">
        <v>4.0</v>
      </c>
      <c r="AA66" s="500">
        <v>3.0</v>
      </c>
      <c r="AB66" s="500">
        <v>3.0</v>
      </c>
      <c r="AC66" s="500">
        <v>8.0</v>
      </c>
      <c r="AD66" s="500">
        <v>7.0</v>
      </c>
      <c r="AE66" s="500">
        <v>1.0</v>
      </c>
      <c r="AF66" s="500">
        <v>3.0</v>
      </c>
      <c r="AG66" s="501">
        <f t="shared" ref="AG66:AG74" si="58">SUM(B66:AF66)</f>
        <v>303</v>
      </c>
      <c r="AH66" s="502">
        <f t="shared" ref="AH66:AH73" si="59">iferror(AG66/AG$74,"")</f>
        <v>0.2475490196</v>
      </c>
    </row>
    <row r="67" outlineLevel="1">
      <c r="A67" s="498" t="s">
        <v>801</v>
      </c>
      <c r="B67" s="500">
        <v>27.0</v>
      </c>
      <c r="C67" s="500">
        <v>31.0</v>
      </c>
      <c r="D67" s="500">
        <v>36.0</v>
      </c>
      <c r="E67" s="500">
        <v>27.0</v>
      </c>
      <c r="F67" s="500">
        <v>27.0</v>
      </c>
      <c r="G67" s="500">
        <v>35.0</v>
      </c>
      <c r="H67" s="500">
        <v>34.0</v>
      </c>
      <c r="I67" s="500">
        <v>29.0</v>
      </c>
      <c r="J67" s="500">
        <v>22.0</v>
      </c>
      <c r="K67" s="500">
        <v>25.0</v>
      </c>
      <c r="L67" s="500">
        <v>37.0</v>
      </c>
      <c r="M67" s="500">
        <v>29.0</v>
      </c>
      <c r="N67" s="8">
        <v>27.0</v>
      </c>
      <c r="O67" s="8">
        <v>17.0</v>
      </c>
      <c r="P67" s="8">
        <v>5.0</v>
      </c>
      <c r="Q67" s="500">
        <v>0.0</v>
      </c>
      <c r="R67" s="500">
        <v>7.0</v>
      </c>
      <c r="S67" s="500">
        <v>7.0</v>
      </c>
      <c r="T67" s="500">
        <v>10.0</v>
      </c>
      <c r="U67" s="500">
        <v>4.0</v>
      </c>
      <c r="V67" s="500">
        <v>16.0</v>
      </c>
      <c r="W67" s="500">
        <v>10.0</v>
      </c>
      <c r="X67" s="500">
        <v>8.0</v>
      </c>
      <c r="Y67" s="500">
        <v>5.0</v>
      </c>
      <c r="Z67" s="500">
        <v>12.0</v>
      </c>
      <c r="AA67" s="500">
        <v>9.0</v>
      </c>
      <c r="AB67" s="500">
        <v>8.0</v>
      </c>
      <c r="AC67" s="500">
        <v>13.0</v>
      </c>
      <c r="AD67" s="500">
        <v>10.0</v>
      </c>
      <c r="AE67" s="500">
        <v>6.0</v>
      </c>
      <c r="AF67" s="500">
        <v>8.0</v>
      </c>
      <c r="AG67" s="501">
        <f t="shared" si="58"/>
        <v>541</v>
      </c>
      <c r="AH67" s="502">
        <f t="shared" si="59"/>
        <v>0.4419934641</v>
      </c>
    </row>
    <row r="68" outlineLevel="1">
      <c r="A68" s="498" t="s">
        <v>109</v>
      </c>
      <c r="B68" s="500">
        <v>1.0</v>
      </c>
      <c r="C68" s="500">
        <v>3.0</v>
      </c>
      <c r="D68" s="500">
        <v>0.0</v>
      </c>
      <c r="E68" s="500">
        <v>0.0</v>
      </c>
      <c r="F68" s="500">
        <v>2.0</v>
      </c>
      <c r="G68" s="500">
        <v>5.0</v>
      </c>
      <c r="H68" s="500">
        <v>2.0</v>
      </c>
      <c r="I68" s="500">
        <v>1.0</v>
      </c>
      <c r="J68" s="500">
        <v>2.0</v>
      </c>
      <c r="K68" s="500">
        <v>1.0</v>
      </c>
      <c r="L68" s="500">
        <v>0.0</v>
      </c>
      <c r="M68" s="500">
        <v>1.0</v>
      </c>
      <c r="N68" s="8">
        <v>1.0</v>
      </c>
      <c r="O68" s="8">
        <v>1.0</v>
      </c>
      <c r="P68" s="8">
        <v>0.0</v>
      </c>
      <c r="Q68" s="500">
        <v>0.0</v>
      </c>
      <c r="R68" s="500">
        <v>0.0</v>
      </c>
      <c r="S68" s="500">
        <v>0.0</v>
      </c>
      <c r="T68" s="500">
        <v>0.0</v>
      </c>
      <c r="U68" s="500">
        <v>0.0</v>
      </c>
      <c r="V68" s="500">
        <v>0.0</v>
      </c>
      <c r="W68" s="500">
        <v>0.0</v>
      </c>
      <c r="X68" s="500">
        <v>0.0</v>
      </c>
      <c r="Y68" s="500">
        <v>0.0</v>
      </c>
      <c r="Z68" s="500">
        <v>0.0</v>
      </c>
      <c r="AA68" s="500">
        <v>0.0</v>
      </c>
      <c r="AB68" s="500">
        <v>0.0</v>
      </c>
      <c r="AC68" s="500">
        <v>0.0</v>
      </c>
      <c r="AD68" s="500">
        <v>1.0</v>
      </c>
      <c r="AE68" s="500">
        <v>1.0</v>
      </c>
      <c r="AF68" s="500">
        <v>0.0</v>
      </c>
      <c r="AG68" s="501">
        <f t="shared" si="58"/>
        <v>22</v>
      </c>
      <c r="AH68" s="502">
        <f t="shared" si="59"/>
        <v>0.01797385621</v>
      </c>
    </row>
    <row r="69" outlineLevel="1">
      <c r="A69" s="498" t="s">
        <v>802</v>
      </c>
      <c r="B69" s="500">
        <v>0.0</v>
      </c>
      <c r="C69" s="500">
        <v>0.0</v>
      </c>
      <c r="D69" s="500">
        <v>2.0</v>
      </c>
      <c r="E69" s="500">
        <v>1.0</v>
      </c>
      <c r="F69" s="500">
        <v>1.0</v>
      </c>
      <c r="G69" s="500">
        <v>1.0</v>
      </c>
      <c r="H69" s="500">
        <v>1.0</v>
      </c>
      <c r="I69" s="500">
        <v>3.0</v>
      </c>
      <c r="J69" s="500">
        <v>2.0</v>
      </c>
      <c r="K69" s="500">
        <v>1.0</v>
      </c>
      <c r="L69" s="500">
        <v>0.0</v>
      </c>
      <c r="M69" s="500">
        <v>1.0</v>
      </c>
      <c r="N69" s="8">
        <v>1.0</v>
      </c>
      <c r="O69" s="8">
        <v>1.0</v>
      </c>
      <c r="P69" s="8">
        <v>0.0</v>
      </c>
      <c r="Q69" s="500">
        <v>0.0</v>
      </c>
      <c r="R69" s="500">
        <v>1.0</v>
      </c>
      <c r="S69" s="500">
        <v>1.0</v>
      </c>
      <c r="T69" s="500">
        <v>0.0</v>
      </c>
      <c r="U69" s="500">
        <v>0.0</v>
      </c>
      <c r="V69" s="500">
        <v>0.0</v>
      </c>
      <c r="W69" s="500">
        <v>0.0</v>
      </c>
      <c r="X69" s="500">
        <v>0.0</v>
      </c>
      <c r="Y69" s="500">
        <v>0.0</v>
      </c>
      <c r="Z69" s="500">
        <v>1.0</v>
      </c>
      <c r="AA69" s="500">
        <v>0.0</v>
      </c>
      <c r="AB69" s="500">
        <v>1.0</v>
      </c>
      <c r="AC69" s="500">
        <v>0.0</v>
      </c>
      <c r="AD69" s="500">
        <v>0.0</v>
      </c>
      <c r="AE69" s="500">
        <v>0.0</v>
      </c>
      <c r="AF69" s="500">
        <v>1.0</v>
      </c>
      <c r="AG69" s="501">
        <f t="shared" si="58"/>
        <v>20</v>
      </c>
      <c r="AH69" s="502">
        <f t="shared" si="59"/>
        <v>0.01633986928</v>
      </c>
    </row>
    <row r="70" outlineLevel="1">
      <c r="A70" s="498" t="s">
        <v>803</v>
      </c>
      <c r="B70" s="500">
        <v>1.0</v>
      </c>
      <c r="C70" s="500">
        <v>6.0</v>
      </c>
      <c r="D70" s="500">
        <v>5.0</v>
      </c>
      <c r="E70" s="500">
        <v>4.0</v>
      </c>
      <c r="F70" s="500">
        <v>5.0</v>
      </c>
      <c r="G70" s="500">
        <v>2.0</v>
      </c>
      <c r="H70" s="500">
        <v>4.0</v>
      </c>
      <c r="I70" s="500">
        <v>5.0</v>
      </c>
      <c r="J70" s="500">
        <v>2.0</v>
      </c>
      <c r="K70" s="500">
        <v>1.0</v>
      </c>
      <c r="L70" s="500">
        <v>1.0</v>
      </c>
      <c r="M70" s="500">
        <v>6.0</v>
      </c>
      <c r="N70" s="8">
        <v>1.0</v>
      </c>
      <c r="O70" s="8">
        <v>2.0</v>
      </c>
      <c r="P70" s="8">
        <v>0.0</v>
      </c>
      <c r="Q70" s="500">
        <v>0.0</v>
      </c>
      <c r="R70" s="500">
        <v>2.0</v>
      </c>
      <c r="S70" s="500">
        <v>3.0</v>
      </c>
      <c r="T70" s="500">
        <v>2.0</v>
      </c>
      <c r="U70" s="500">
        <v>2.0</v>
      </c>
      <c r="V70" s="500">
        <v>3.0</v>
      </c>
      <c r="W70" s="500">
        <v>1.0</v>
      </c>
      <c r="X70" s="500">
        <v>0.0</v>
      </c>
      <c r="Y70" s="500">
        <v>2.0</v>
      </c>
      <c r="Z70" s="500">
        <v>0.0</v>
      </c>
      <c r="AA70" s="500">
        <v>1.0</v>
      </c>
      <c r="AB70" s="500">
        <v>0.0</v>
      </c>
      <c r="AC70" s="500">
        <v>2.0</v>
      </c>
      <c r="AD70" s="500">
        <v>3.0</v>
      </c>
      <c r="AE70" s="500">
        <v>0.0</v>
      </c>
      <c r="AF70" s="500">
        <v>2.0</v>
      </c>
      <c r="AG70" s="501">
        <f t="shared" si="58"/>
        <v>68</v>
      </c>
      <c r="AH70" s="502">
        <f t="shared" si="59"/>
        <v>0.05555555556</v>
      </c>
    </row>
    <row r="71" outlineLevel="1">
      <c r="A71" s="533" t="s">
        <v>804</v>
      </c>
      <c r="B71" s="500">
        <v>0.0</v>
      </c>
      <c r="C71" s="8">
        <v>0.0</v>
      </c>
      <c r="D71" s="8">
        <v>1.0</v>
      </c>
      <c r="E71" s="8">
        <v>0.0</v>
      </c>
      <c r="F71" s="8">
        <v>0.0</v>
      </c>
      <c r="G71" s="8">
        <v>1.0</v>
      </c>
      <c r="H71" s="8">
        <v>0.0</v>
      </c>
      <c r="I71" s="8">
        <v>1.0</v>
      </c>
      <c r="J71" s="8">
        <v>0.0</v>
      </c>
      <c r="K71" s="8">
        <v>0.0</v>
      </c>
      <c r="L71" s="8">
        <v>1.0</v>
      </c>
      <c r="M71" s="8">
        <v>0.0</v>
      </c>
      <c r="N71" s="8">
        <v>1.0</v>
      </c>
      <c r="O71" s="8">
        <v>1.0</v>
      </c>
      <c r="P71" s="8">
        <v>0.0</v>
      </c>
      <c r="Q71" s="500">
        <v>0.0</v>
      </c>
      <c r="R71" s="500">
        <v>0.0</v>
      </c>
      <c r="S71" s="500">
        <v>0.0</v>
      </c>
      <c r="T71" s="500">
        <v>0.0</v>
      </c>
      <c r="U71" s="500">
        <v>0.0</v>
      </c>
      <c r="V71" s="500">
        <v>0.0</v>
      </c>
      <c r="W71" s="500">
        <v>0.0</v>
      </c>
      <c r="X71" s="500">
        <v>0.0</v>
      </c>
      <c r="Y71" s="500">
        <v>0.0</v>
      </c>
      <c r="Z71" s="500">
        <v>0.0</v>
      </c>
      <c r="AA71" s="500">
        <v>0.0</v>
      </c>
      <c r="AB71" s="500">
        <v>0.0</v>
      </c>
      <c r="AC71" s="500">
        <v>0.0</v>
      </c>
      <c r="AD71" s="500">
        <v>0.0</v>
      </c>
      <c r="AE71" s="500">
        <v>1.0</v>
      </c>
      <c r="AF71" s="500">
        <v>0.0</v>
      </c>
      <c r="AG71" s="501">
        <f t="shared" si="58"/>
        <v>7</v>
      </c>
      <c r="AH71" s="502">
        <f t="shared" si="59"/>
        <v>0.005718954248</v>
      </c>
    </row>
    <row r="72" outlineLevel="1">
      <c r="A72" s="533" t="s">
        <v>805</v>
      </c>
      <c r="B72" s="8">
        <v>16.0</v>
      </c>
      <c r="C72" s="8">
        <v>26.0</v>
      </c>
      <c r="D72" s="8">
        <v>19.0</v>
      </c>
      <c r="E72" s="8">
        <v>17.0</v>
      </c>
      <c r="F72" s="8">
        <v>16.0</v>
      </c>
      <c r="G72" s="8">
        <v>18.0</v>
      </c>
      <c r="H72" s="8">
        <v>22.0</v>
      </c>
      <c r="I72" s="8">
        <v>15.0</v>
      </c>
      <c r="J72" s="8">
        <v>12.0</v>
      </c>
      <c r="K72" s="8">
        <v>8.0</v>
      </c>
      <c r="L72" s="8">
        <v>19.0</v>
      </c>
      <c r="M72" s="8">
        <v>19.0</v>
      </c>
      <c r="N72" s="8">
        <v>10.0</v>
      </c>
      <c r="O72" s="8">
        <v>11.0</v>
      </c>
      <c r="P72" s="8">
        <v>4.0</v>
      </c>
      <c r="Q72" s="500">
        <v>0.0</v>
      </c>
      <c r="R72" s="500">
        <v>2.0</v>
      </c>
      <c r="S72" s="500">
        <v>0.0</v>
      </c>
      <c r="T72" s="500">
        <v>3.0</v>
      </c>
      <c r="U72" s="500">
        <v>0.0</v>
      </c>
      <c r="V72" s="500">
        <v>2.0</v>
      </c>
      <c r="W72" s="500">
        <v>3.0</v>
      </c>
      <c r="X72" s="500">
        <v>1.0</v>
      </c>
      <c r="Y72" s="500">
        <v>3.0</v>
      </c>
      <c r="Z72" s="500">
        <v>2.0</v>
      </c>
      <c r="AA72" s="500">
        <v>3.0</v>
      </c>
      <c r="AB72" s="500">
        <v>2.0</v>
      </c>
      <c r="AC72" s="500">
        <v>1.0</v>
      </c>
      <c r="AD72" s="500">
        <v>1.0</v>
      </c>
      <c r="AE72" s="500">
        <v>1.0</v>
      </c>
      <c r="AF72" s="500">
        <v>3.0</v>
      </c>
      <c r="AG72" s="501">
        <f t="shared" si="58"/>
        <v>259</v>
      </c>
      <c r="AH72" s="502">
        <f t="shared" si="59"/>
        <v>0.2116013072</v>
      </c>
    </row>
    <row r="73" outlineLevel="1">
      <c r="A73" s="533" t="s">
        <v>806</v>
      </c>
      <c r="B73" s="8">
        <v>0.0</v>
      </c>
      <c r="C73" s="8">
        <v>0.0</v>
      </c>
      <c r="D73" s="8">
        <v>0.0</v>
      </c>
      <c r="E73" s="8">
        <v>0.0</v>
      </c>
      <c r="F73" s="8">
        <v>2.0</v>
      </c>
      <c r="G73" s="8">
        <v>0.0</v>
      </c>
      <c r="H73" s="8">
        <v>0.0</v>
      </c>
      <c r="I73" s="8">
        <v>0.0</v>
      </c>
      <c r="J73" s="8">
        <v>0.0</v>
      </c>
      <c r="K73" s="8">
        <v>0.0</v>
      </c>
      <c r="L73" s="8">
        <v>0.0</v>
      </c>
      <c r="M73" s="8">
        <v>1.0</v>
      </c>
      <c r="N73" s="8">
        <v>0.0</v>
      </c>
      <c r="O73" s="8">
        <v>0.0</v>
      </c>
      <c r="P73" s="8">
        <v>0.0</v>
      </c>
      <c r="Q73" s="500">
        <v>0.0</v>
      </c>
      <c r="R73" s="500">
        <v>0.0</v>
      </c>
      <c r="S73" s="500">
        <v>0.0</v>
      </c>
      <c r="T73" s="500">
        <v>0.0</v>
      </c>
      <c r="U73" s="500">
        <v>0.0</v>
      </c>
      <c r="V73" s="500">
        <v>1.0</v>
      </c>
      <c r="W73" s="500">
        <v>0.0</v>
      </c>
      <c r="X73" s="500">
        <v>0.0</v>
      </c>
      <c r="Y73" s="500">
        <v>0.0</v>
      </c>
      <c r="Z73" s="500">
        <v>0.0</v>
      </c>
      <c r="AA73" s="500">
        <v>0.0</v>
      </c>
      <c r="AB73" s="500">
        <v>0.0</v>
      </c>
      <c r="AC73" s="500">
        <v>0.0</v>
      </c>
      <c r="AD73" s="500">
        <v>0.0</v>
      </c>
      <c r="AE73" s="500">
        <v>0.0</v>
      </c>
      <c r="AF73" s="500">
        <v>0.0</v>
      </c>
      <c r="AG73" s="501">
        <f t="shared" si="58"/>
        <v>4</v>
      </c>
      <c r="AH73" s="502">
        <f t="shared" si="59"/>
        <v>0.003267973856</v>
      </c>
    </row>
    <row r="74" outlineLevel="1">
      <c r="A74" s="525" t="s">
        <v>811</v>
      </c>
      <c r="B74" s="526">
        <f t="shared" ref="B74:AF74" si="60">SUM(B66:B73)</f>
        <v>61</v>
      </c>
      <c r="C74" s="526">
        <f t="shared" si="60"/>
        <v>92</v>
      </c>
      <c r="D74" s="526">
        <f t="shared" si="60"/>
        <v>82</v>
      </c>
      <c r="E74" s="526">
        <f t="shared" si="60"/>
        <v>66</v>
      </c>
      <c r="F74" s="526">
        <f t="shared" si="60"/>
        <v>69</v>
      </c>
      <c r="G74" s="526">
        <f t="shared" si="60"/>
        <v>80</v>
      </c>
      <c r="H74" s="526">
        <f t="shared" si="60"/>
        <v>85</v>
      </c>
      <c r="I74" s="526">
        <f t="shared" si="60"/>
        <v>69</v>
      </c>
      <c r="J74" s="526">
        <f t="shared" si="60"/>
        <v>52</v>
      </c>
      <c r="K74" s="526">
        <f t="shared" si="60"/>
        <v>44</v>
      </c>
      <c r="L74" s="526">
        <f t="shared" si="60"/>
        <v>77</v>
      </c>
      <c r="M74" s="526">
        <f t="shared" si="60"/>
        <v>76</v>
      </c>
      <c r="N74" s="526">
        <f t="shared" si="60"/>
        <v>51</v>
      </c>
      <c r="O74" s="526">
        <f t="shared" si="60"/>
        <v>44</v>
      </c>
      <c r="P74" s="526">
        <f t="shared" si="60"/>
        <v>13</v>
      </c>
      <c r="Q74" s="526">
        <f t="shared" si="60"/>
        <v>0</v>
      </c>
      <c r="R74" s="526">
        <f t="shared" si="60"/>
        <v>12</v>
      </c>
      <c r="S74" s="526">
        <f t="shared" si="60"/>
        <v>15</v>
      </c>
      <c r="T74" s="526">
        <f t="shared" si="60"/>
        <v>21</v>
      </c>
      <c r="U74" s="526">
        <f t="shared" si="60"/>
        <v>14</v>
      </c>
      <c r="V74" s="526">
        <f t="shared" si="60"/>
        <v>34</v>
      </c>
      <c r="W74" s="526">
        <f t="shared" si="60"/>
        <v>19</v>
      </c>
      <c r="X74" s="526">
        <f t="shared" si="60"/>
        <v>14</v>
      </c>
      <c r="Y74" s="526">
        <f t="shared" si="60"/>
        <v>12</v>
      </c>
      <c r="Z74" s="526">
        <f t="shared" si="60"/>
        <v>19</v>
      </c>
      <c r="AA74" s="526">
        <f t="shared" si="60"/>
        <v>16</v>
      </c>
      <c r="AB74" s="526">
        <f t="shared" si="60"/>
        <v>14</v>
      </c>
      <c r="AC74" s="526">
        <f t="shared" si="60"/>
        <v>24</v>
      </c>
      <c r="AD74" s="526">
        <f t="shared" si="60"/>
        <v>22</v>
      </c>
      <c r="AE74" s="526">
        <f t="shared" si="60"/>
        <v>10</v>
      </c>
      <c r="AF74" s="526">
        <f t="shared" si="60"/>
        <v>17</v>
      </c>
      <c r="AG74" s="527">
        <f t="shared" si="58"/>
        <v>1224</v>
      </c>
      <c r="AH74" s="528">
        <f>SUM(AH66:AH73)</f>
        <v>1</v>
      </c>
    </row>
    <row r="75" outlineLevel="1">
      <c r="A75" s="509" t="s">
        <v>814</v>
      </c>
      <c r="B75" s="510"/>
      <c r="C75" s="510"/>
      <c r="D75" s="510"/>
      <c r="E75" s="510"/>
      <c r="F75" s="510"/>
      <c r="G75" s="510"/>
      <c r="H75" s="510"/>
      <c r="I75" s="510"/>
      <c r="J75" s="510"/>
      <c r="K75" s="510"/>
      <c r="L75" s="510"/>
      <c r="M75" s="510"/>
      <c r="N75" s="510"/>
      <c r="O75" s="510"/>
      <c r="P75" s="510"/>
      <c r="Q75" s="510"/>
      <c r="R75" s="510"/>
      <c r="S75" s="510"/>
      <c r="T75" s="510"/>
      <c r="U75" s="510"/>
      <c r="V75" s="510"/>
      <c r="W75" s="510"/>
      <c r="X75" s="510"/>
      <c r="Y75" s="510"/>
      <c r="Z75" s="510"/>
      <c r="AA75" s="510"/>
      <c r="AB75" s="510"/>
      <c r="AC75" s="510"/>
      <c r="AD75" s="510"/>
      <c r="AE75" s="510"/>
      <c r="AF75" s="510"/>
      <c r="AG75" s="516"/>
      <c r="AH75" s="517"/>
    </row>
    <row r="76" outlineLevel="1">
      <c r="A76" s="513" t="s">
        <v>797</v>
      </c>
      <c r="B76" s="514">
        <f t="shared" ref="B76:P76" si="61">iferror(B66/B$74,"")</f>
        <v>0.262295082</v>
      </c>
      <c r="C76" s="514">
        <f t="shared" si="61"/>
        <v>0.2826086957</v>
      </c>
      <c r="D76" s="514">
        <f t="shared" si="61"/>
        <v>0.2317073171</v>
      </c>
      <c r="E76" s="514">
        <f t="shared" si="61"/>
        <v>0.2575757576</v>
      </c>
      <c r="F76" s="514">
        <f t="shared" si="61"/>
        <v>0.231884058</v>
      </c>
      <c r="G76" s="514">
        <f t="shared" si="61"/>
        <v>0.225</v>
      </c>
      <c r="H76" s="514">
        <f t="shared" si="61"/>
        <v>0.2588235294</v>
      </c>
      <c r="I76" s="514">
        <f t="shared" si="61"/>
        <v>0.2173913043</v>
      </c>
      <c r="J76" s="514">
        <f t="shared" si="61"/>
        <v>0.2307692308</v>
      </c>
      <c r="K76" s="514">
        <f t="shared" si="61"/>
        <v>0.1818181818</v>
      </c>
      <c r="L76" s="514">
        <f t="shared" si="61"/>
        <v>0.2467532468</v>
      </c>
      <c r="M76" s="514">
        <f t="shared" si="61"/>
        <v>0.25</v>
      </c>
      <c r="N76" s="514">
        <f t="shared" si="61"/>
        <v>0.1960784314</v>
      </c>
      <c r="O76" s="514">
        <f t="shared" si="61"/>
        <v>0.25</v>
      </c>
      <c r="P76" s="514">
        <f t="shared" si="61"/>
        <v>0.3076923077</v>
      </c>
      <c r="Q76" s="515">
        <v>0.0</v>
      </c>
      <c r="R76" s="514">
        <f t="shared" ref="R76:AF76" si="62">iferror(R66/R$74,"")</f>
        <v>0</v>
      </c>
      <c r="S76" s="514">
        <f t="shared" si="62"/>
        <v>0.2666666667</v>
      </c>
      <c r="T76" s="514">
        <f t="shared" si="62"/>
        <v>0.2857142857</v>
      </c>
      <c r="U76" s="514">
        <f t="shared" si="62"/>
        <v>0.5714285714</v>
      </c>
      <c r="V76" s="514">
        <f t="shared" si="62"/>
        <v>0.3529411765</v>
      </c>
      <c r="W76" s="514">
        <f t="shared" si="62"/>
        <v>0.2631578947</v>
      </c>
      <c r="X76" s="514">
        <f t="shared" si="62"/>
        <v>0.3571428571</v>
      </c>
      <c r="Y76" s="514">
        <f t="shared" si="62"/>
        <v>0.1666666667</v>
      </c>
      <c r="Z76" s="514">
        <f t="shared" si="62"/>
        <v>0.2105263158</v>
      </c>
      <c r="AA76" s="514">
        <f t="shared" si="62"/>
        <v>0.1875</v>
      </c>
      <c r="AB76" s="514">
        <f t="shared" si="62"/>
        <v>0.2142857143</v>
      </c>
      <c r="AC76" s="514">
        <f t="shared" si="62"/>
        <v>0.3333333333</v>
      </c>
      <c r="AD76" s="514">
        <f t="shared" si="62"/>
        <v>0.3181818182</v>
      </c>
      <c r="AE76" s="514">
        <f t="shared" si="62"/>
        <v>0.1</v>
      </c>
      <c r="AF76" s="514">
        <f t="shared" si="62"/>
        <v>0.1764705882</v>
      </c>
      <c r="AG76" s="516"/>
      <c r="AH76" s="517"/>
    </row>
    <row r="77" outlineLevel="1">
      <c r="A77" s="513" t="s">
        <v>801</v>
      </c>
      <c r="B77" s="514">
        <f t="shared" ref="B77:P77" si="63">iferror(B67/B$74,"")</f>
        <v>0.4426229508</v>
      </c>
      <c r="C77" s="514">
        <f t="shared" si="63"/>
        <v>0.3369565217</v>
      </c>
      <c r="D77" s="514">
        <f t="shared" si="63"/>
        <v>0.4390243902</v>
      </c>
      <c r="E77" s="514">
        <f t="shared" si="63"/>
        <v>0.4090909091</v>
      </c>
      <c r="F77" s="514">
        <f t="shared" si="63"/>
        <v>0.3913043478</v>
      </c>
      <c r="G77" s="514">
        <f t="shared" si="63"/>
        <v>0.4375</v>
      </c>
      <c r="H77" s="514">
        <f t="shared" si="63"/>
        <v>0.4</v>
      </c>
      <c r="I77" s="514">
        <f t="shared" si="63"/>
        <v>0.4202898551</v>
      </c>
      <c r="J77" s="514">
        <f t="shared" si="63"/>
        <v>0.4230769231</v>
      </c>
      <c r="K77" s="514">
        <f t="shared" si="63"/>
        <v>0.5681818182</v>
      </c>
      <c r="L77" s="514">
        <f t="shared" si="63"/>
        <v>0.4805194805</v>
      </c>
      <c r="M77" s="514">
        <f t="shared" si="63"/>
        <v>0.3815789474</v>
      </c>
      <c r="N77" s="514">
        <f t="shared" si="63"/>
        <v>0.5294117647</v>
      </c>
      <c r="O77" s="514">
        <f t="shared" si="63"/>
        <v>0.3863636364</v>
      </c>
      <c r="P77" s="514">
        <f t="shared" si="63"/>
        <v>0.3846153846</v>
      </c>
      <c r="Q77" s="515">
        <v>0.0</v>
      </c>
      <c r="R77" s="514">
        <f t="shared" ref="R77:AF77" si="64">iferror(R67/R$74,"")</f>
        <v>0.5833333333</v>
      </c>
      <c r="S77" s="514">
        <f t="shared" si="64"/>
        <v>0.4666666667</v>
      </c>
      <c r="T77" s="514">
        <f t="shared" si="64"/>
        <v>0.4761904762</v>
      </c>
      <c r="U77" s="514">
        <f t="shared" si="64"/>
        <v>0.2857142857</v>
      </c>
      <c r="V77" s="514">
        <f t="shared" si="64"/>
        <v>0.4705882353</v>
      </c>
      <c r="W77" s="514">
        <f t="shared" si="64"/>
        <v>0.5263157895</v>
      </c>
      <c r="X77" s="514">
        <f t="shared" si="64"/>
        <v>0.5714285714</v>
      </c>
      <c r="Y77" s="514">
        <f t="shared" si="64"/>
        <v>0.4166666667</v>
      </c>
      <c r="Z77" s="514">
        <f t="shared" si="64"/>
        <v>0.6315789474</v>
      </c>
      <c r="AA77" s="514">
        <f t="shared" si="64"/>
        <v>0.5625</v>
      </c>
      <c r="AB77" s="514">
        <f t="shared" si="64"/>
        <v>0.5714285714</v>
      </c>
      <c r="AC77" s="514">
        <f t="shared" si="64"/>
        <v>0.5416666667</v>
      </c>
      <c r="AD77" s="514">
        <f t="shared" si="64"/>
        <v>0.4545454545</v>
      </c>
      <c r="AE77" s="514">
        <f t="shared" si="64"/>
        <v>0.6</v>
      </c>
      <c r="AF77" s="514">
        <f t="shared" si="64"/>
        <v>0.4705882353</v>
      </c>
      <c r="AG77" s="516"/>
      <c r="AH77" s="517"/>
    </row>
    <row r="78" outlineLevel="1">
      <c r="A78" s="513" t="s">
        <v>109</v>
      </c>
      <c r="B78" s="514">
        <f t="shared" ref="B78:P78" si="65">iferror(B68/B$74,"")</f>
        <v>0.01639344262</v>
      </c>
      <c r="C78" s="514">
        <f t="shared" si="65"/>
        <v>0.03260869565</v>
      </c>
      <c r="D78" s="514">
        <f t="shared" si="65"/>
        <v>0</v>
      </c>
      <c r="E78" s="514">
        <f t="shared" si="65"/>
        <v>0</v>
      </c>
      <c r="F78" s="514">
        <f t="shared" si="65"/>
        <v>0.02898550725</v>
      </c>
      <c r="G78" s="514">
        <f t="shared" si="65"/>
        <v>0.0625</v>
      </c>
      <c r="H78" s="514">
        <f t="shared" si="65"/>
        <v>0.02352941176</v>
      </c>
      <c r="I78" s="514">
        <f t="shared" si="65"/>
        <v>0.01449275362</v>
      </c>
      <c r="J78" s="514">
        <f t="shared" si="65"/>
        <v>0.03846153846</v>
      </c>
      <c r="K78" s="514">
        <f t="shared" si="65"/>
        <v>0.02272727273</v>
      </c>
      <c r="L78" s="514">
        <f t="shared" si="65"/>
        <v>0</v>
      </c>
      <c r="M78" s="514">
        <f t="shared" si="65"/>
        <v>0.01315789474</v>
      </c>
      <c r="N78" s="514">
        <f t="shared" si="65"/>
        <v>0.01960784314</v>
      </c>
      <c r="O78" s="514">
        <f t="shared" si="65"/>
        <v>0.02272727273</v>
      </c>
      <c r="P78" s="514">
        <f t="shared" si="65"/>
        <v>0</v>
      </c>
      <c r="Q78" s="515">
        <v>0.0</v>
      </c>
      <c r="R78" s="514">
        <f t="shared" ref="R78:AF78" si="66">iferror(R68/R$74,"")</f>
        <v>0</v>
      </c>
      <c r="S78" s="514">
        <f t="shared" si="66"/>
        <v>0</v>
      </c>
      <c r="T78" s="514">
        <f t="shared" si="66"/>
        <v>0</v>
      </c>
      <c r="U78" s="514">
        <f t="shared" si="66"/>
        <v>0</v>
      </c>
      <c r="V78" s="514">
        <f t="shared" si="66"/>
        <v>0</v>
      </c>
      <c r="W78" s="514">
        <f t="shared" si="66"/>
        <v>0</v>
      </c>
      <c r="X78" s="514">
        <f t="shared" si="66"/>
        <v>0</v>
      </c>
      <c r="Y78" s="514">
        <f t="shared" si="66"/>
        <v>0</v>
      </c>
      <c r="Z78" s="514">
        <f t="shared" si="66"/>
        <v>0</v>
      </c>
      <c r="AA78" s="514">
        <f t="shared" si="66"/>
        <v>0</v>
      </c>
      <c r="AB78" s="514">
        <f t="shared" si="66"/>
        <v>0</v>
      </c>
      <c r="AC78" s="514">
        <f t="shared" si="66"/>
        <v>0</v>
      </c>
      <c r="AD78" s="514">
        <f t="shared" si="66"/>
        <v>0.04545454545</v>
      </c>
      <c r="AE78" s="514">
        <f t="shared" si="66"/>
        <v>0.1</v>
      </c>
      <c r="AF78" s="514">
        <f t="shared" si="66"/>
        <v>0</v>
      </c>
      <c r="AG78" s="516"/>
      <c r="AH78" s="517"/>
    </row>
    <row r="79" outlineLevel="1">
      <c r="A79" s="513" t="s">
        <v>802</v>
      </c>
      <c r="B79" s="514">
        <f t="shared" ref="B79:P79" si="67">iferror(B69/B$74,"")</f>
        <v>0</v>
      </c>
      <c r="C79" s="514">
        <f t="shared" si="67"/>
        <v>0</v>
      </c>
      <c r="D79" s="514">
        <f t="shared" si="67"/>
        <v>0.0243902439</v>
      </c>
      <c r="E79" s="514">
        <f t="shared" si="67"/>
        <v>0.01515151515</v>
      </c>
      <c r="F79" s="514">
        <f t="shared" si="67"/>
        <v>0.01449275362</v>
      </c>
      <c r="G79" s="514">
        <f t="shared" si="67"/>
        <v>0.0125</v>
      </c>
      <c r="H79" s="514">
        <f t="shared" si="67"/>
        <v>0.01176470588</v>
      </c>
      <c r="I79" s="514">
        <f t="shared" si="67"/>
        <v>0.04347826087</v>
      </c>
      <c r="J79" s="514">
        <f t="shared" si="67"/>
        <v>0.03846153846</v>
      </c>
      <c r="K79" s="514">
        <f t="shared" si="67"/>
        <v>0.02272727273</v>
      </c>
      <c r="L79" s="514">
        <f t="shared" si="67"/>
        <v>0</v>
      </c>
      <c r="M79" s="514">
        <f t="shared" si="67"/>
        <v>0.01315789474</v>
      </c>
      <c r="N79" s="514">
        <f t="shared" si="67"/>
        <v>0.01960784314</v>
      </c>
      <c r="O79" s="514">
        <f t="shared" si="67"/>
        <v>0.02272727273</v>
      </c>
      <c r="P79" s="514">
        <f t="shared" si="67"/>
        <v>0</v>
      </c>
      <c r="Q79" s="515">
        <v>0.0</v>
      </c>
      <c r="R79" s="514">
        <f t="shared" ref="R79:AF79" si="68">iferror(R69/R$74,"")</f>
        <v>0.08333333333</v>
      </c>
      <c r="S79" s="514">
        <f t="shared" si="68"/>
        <v>0.06666666667</v>
      </c>
      <c r="T79" s="514">
        <f t="shared" si="68"/>
        <v>0</v>
      </c>
      <c r="U79" s="514">
        <f t="shared" si="68"/>
        <v>0</v>
      </c>
      <c r="V79" s="514">
        <f t="shared" si="68"/>
        <v>0</v>
      </c>
      <c r="W79" s="514">
        <f t="shared" si="68"/>
        <v>0</v>
      </c>
      <c r="X79" s="514">
        <f t="shared" si="68"/>
        <v>0</v>
      </c>
      <c r="Y79" s="514">
        <f t="shared" si="68"/>
        <v>0</v>
      </c>
      <c r="Z79" s="514">
        <f t="shared" si="68"/>
        <v>0.05263157895</v>
      </c>
      <c r="AA79" s="514">
        <f t="shared" si="68"/>
        <v>0</v>
      </c>
      <c r="AB79" s="514">
        <f t="shared" si="68"/>
        <v>0.07142857143</v>
      </c>
      <c r="AC79" s="514">
        <f t="shared" si="68"/>
        <v>0</v>
      </c>
      <c r="AD79" s="514">
        <f t="shared" si="68"/>
        <v>0</v>
      </c>
      <c r="AE79" s="514">
        <f t="shared" si="68"/>
        <v>0</v>
      </c>
      <c r="AF79" s="514">
        <f t="shared" si="68"/>
        <v>0.05882352941</v>
      </c>
      <c r="AG79" s="516"/>
      <c r="AH79" s="517"/>
    </row>
    <row r="80" outlineLevel="1">
      <c r="A80" s="513" t="s">
        <v>803</v>
      </c>
      <c r="B80" s="514">
        <f t="shared" ref="B80:P80" si="69">iferror(B70/B$74,"")</f>
        <v>0.01639344262</v>
      </c>
      <c r="C80" s="514">
        <f t="shared" si="69"/>
        <v>0.0652173913</v>
      </c>
      <c r="D80" s="514">
        <f t="shared" si="69"/>
        <v>0.06097560976</v>
      </c>
      <c r="E80" s="514">
        <f t="shared" si="69"/>
        <v>0.06060606061</v>
      </c>
      <c r="F80" s="514">
        <f t="shared" si="69"/>
        <v>0.07246376812</v>
      </c>
      <c r="G80" s="514">
        <f t="shared" si="69"/>
        <v>0.025</v>
      </c>
      <c r="H80" s="514">
        <f t="shared" si="69"/>
        <v>0.04705882353</v>
      </c>
      <c r="I80" s="514">
        <f t="shared" si="69"/>
        <v>0.07246376812</v>
      </c>
      <c r="J80" s="514">
        <f t="shared" si="69"/>
        <v>0.03846153846</v>
      </c>
      <c r="K80" s="514">
        <f t="shared" si="69"/>
        <v>0.02272727273</v>
      </c>
      <c r="L80" s="514">
        <f t="shared" si="69"/>
        <v>0.01298701299</v>
      </c>
      <c r="M80" s="514">
        <f t="shared" si="69"/>
        <v>0.07894736842</v>
      </c>
      <c r="N80" s="514">
        <f t="shared" si="69"/>
        <v>0.01960784314</v>
      </c>
      <c r="O80" s="514">
        <f t="shared" si="69"/>
        <v>0.04545454545</v>
      </c>
      <c r="P80" s="514">
        <f t="shared" si="69"/>
        <v>0</v>
      </c>
      <c r="Q80" s="515">
        <v>0.0</v>
      </c>
      <c r="R80" s="514">
        <f t="shared" ref="R80:AF80" si="70">iferror(R70/R$74,"")</f>
        <v>0.1666666667</v>
      </c>
      <c r="S80" s="514">
        <f t="shared" si="70"/>
        <v>0.2</v>
      </c>
      <c r="T80" s="514">
        <f t="shared" si="70"/>
        <v>0.09523809524</v>
      </c>
      <c r="U80" s="514">
        <f t="shared" si="70"/>
        <v>0.1428571429</v>
      </c>
      <c r="V80" s="514">
        <f t="shared" si="70"/>
        <v>0.08823529412</v>
      </c>
      <c r="W80" s="514">
        <f t="shared" si="70"/>
        <v>0.05263157895</v>
      </c>
      <c r="X80" s="514">
        <f t="shared" si="70"/>
        <v>0</v>
      </c>
      <c r="Y80" s="514">
        <f t="shared" si="70"/>
        <v>0.1666666667</v>
      </c>
      <c r="Z80" s="514">
        <f t="shared" si="70"/>
        <v>0</v>
      </c>
      <c r="AA80" s="514">
        <f t="shared" si="70"/>
        <v>0.0625</v>
      </c>
      <c r="AB80" s="514">
        <f t="shared" si="70"/>
        <v>0</v>
      </c>
      <c r="AC80" s="514">
        <f t="shared" si="70"/>
        <v>0.08333333333</v>
      </c>
      <c r="AD80" s="514">
        <f t="shared" si="70"/>
        <v>0.1363636364</v>
      </c>
      <c r="AE80" s="514">
        <f t="shared" si="70"/>
        <v>0</v>
      </c>
      <c r="AF80" s="514">
        <f t="shared" si="70"/>
        <v>0.1176470588</v>
      </c>
      <c r="AG80" s="516"/>
      <c r="AH80" s="517"/>
    </row>
    <row r="81" outlineLevel="1">
      <c r="A81" s="534" t="s">
        <v>804</v>
      </c>
      <c r="B81" s="514">
        <f t="shared" ref="B81:P81" si="71">iferror(B71/B$74,"")</f>
        <v>0</v>
      </c>
      <c r="C81" s="514">
        <f t="shared" si="71"/>
        <v>0</v>
      </c>
      <c r="D81" s="514">
        <f t="shared" si="71"/>
        <v>0.01219512195</v>
      </c>
      <c r="E81" s="514">
        <f t="shared" si="71"/>
        <v>0</v>
      </c>
      <c r="F81" s="514">
        <f t="shared" si="71"/>
        <v>0</v>
      </c>
      <c r="G81" s="514">
        <f t="shared" si="71"/>
        <v>0.0125</v>
      </c>
      <c r="H81" s="514">
        <f t="shared" si="71"/>
        <v>0</v>
      </c>
      <c r="I81" s="514">
        <f t="shared" si="71"/>
        <v>0.01449275362</v>
      </c>
      <c r="J81" s="514">
        <f t="shared" si="71"/>
        <v>0</v>
      </c>
      <c r="K81" s="514">
        <f t="shared" si="71"/>
        <v>0</v>
      </c>
      <c r="L81" s="514">
        <f t="shared" si="71"/>
        <v>0.01298701299</v>
      </c>
      <c r="M81" s="514">
        <f t="shared" si="71"/>
        <v>0</v>
      </c>
      <c r="N81" s="514">
        <f t="shared" si="71"/>
        <v>0.01960784314</v>
      </c>
      <c r="O81" s="514">
        <f t="shared" si="71"/>
        <v>0.02272727273</v>
      </c>
      <c r="P81" s="514">
        <f t="shared" si="71"/>
        <v>0</v>
      </c>
      <c r="Q81" s="515">
        <v>0.0</v>
      </c>
      <c r="R81" s="514">
        <f t="shared" ref="R81:AF81" si="72">iferror(R71/R$74,"")</f>
        <v>0</v>
      </c>
      <c r="S81" s="514">
        <f t="shared" si="72"/>
        <v>0</v>
      </c>
      <c r="T81" s="514">
        <f t="shared" si="72"/>
        <v>0</v>
      </c>
      <c r="U81" s="514">
        <f t="shared" si="72"/>
        <v>0</v>
      </c>
      <c r="V81" s="514">
        <f t="shared" si="72"/>
        <v>0</v>
      </c>
      <c r="W81" s="514">
        <f t="shared" si="72"/>
        <v>0</v>
      </c>
      <c r="X81" s="514">
        <f t="shared" si="72"/>
        <v>0</v>
      </c>
      <c r="Y81" s="514">
        <f t="shared" si="72"/>
        <v>0</v>
      </c>
      <c r="Z81" s="514">
        <f t="shared" si="72"/>
        <v>0</v>
      </c>
      <c r="AA81" s="514">
        <f t="shared" si="72"/>
        <v>0</v>
      </c>
      <c r="AB81" s="514">
        <f t="shared" si="72"/>
        <v>0</v>
      </c>
      <c r="AC81" s="514">
        <f t="shared" si="72"/>
        <v>0</v>
      </c>
      <c r="AD81" s="514">
        <f t="shared" si="72"/>
        <v>0</v>
      </c>
      <c r="AE81" s="514">
        <f t="shared" si="72"/>
        <v>0.1</v>
      </c>
      <c r="AF81" s="514">
        <f t="shared" si="72"/>
        <v>0</v>
      </c>
      <c r="AG81" s="516"/>
      <c r="AH81" s="517"/>
    </row>
    <row r="82" outlineLevel="1">
      <c r="A82" s="534" t="s">
        <v>805</v>
      </c>
      <c r="B82" s="514">
        <f t="shared" ref="B82:P82" si="73">iferror(B72/B$74,"")</f>
        <v>0.262295082</v>
      </c>
      <c r="C82" s="514">
        <f t="shared" si="73"/>
        <v>0.2826086957</v>
      </c>
      <c r="D82" s="514">
        <f t="shared" si="73"/>
        <v>0.2317073171</v>
      </c>
      <c r="E82" s="514">
        <f t="shared" si="73"/>
        <v>0.2575757576</v>
      </c>
      <c r="F82" s="514">
        <f t="shared" si="73"/>
        <v>0.231884058</v>
      </c>
      <c r="G82" s="514">
        <f t="shared" si="73"/>
        <v>0.225</v>
      </c>
      <c r="H82" s="514">
        <f t="shared" si="73"/>
        <v>0.2588235294</v>
      </c>
      <c r="I82" s="514">
        <f t="shared" si="73"/>
        <v>0.2173913043</v>
      </c>
      <c r="J82" s="514">
        <f t="shared" si="73"/>
        <v>0.2307692308</v>
      </c>
      <c r="K82" s="514">
        <f t="shared" si="73"/>
        <v>0.1818181818</v>
      </c>
      <c r="L82" s="514">
        <f t="shared" si="73"/>
        <v>0.2467532468</v>
      </c>
      <c r="M82" s="514">
        <f t="shared" si="73"/>
        <v>0.25</v>
      </c>
      <c r="N82" s="514">
        <f t="shared" si="73"/>
        <v>0.1960784314</v>
      </c>
      <c r="O82" s="514">
        <f t="shared" si="73"/>
        <v>0.25</v>
      </c>
      <c r="P82" s="514">
        <f t="shared" si="73"/>
        <v>0.3076923077</v>
      </c>
      <c r="Q82" s="515">
        <v>0.0</v>
      </c>
      <c r="R82" s="514">
        <f t="shared" ref="R82:AF82" si="74">iferror(R72/R$74,"")</f>
        <v>0.1666666667</v>
      </c>
      <c r="S82" s="514">
        <f t="shared" si="74"/>
        <v>0</v>
      </c>
      <c r="T82" s="514">
        <f t="shared" si="74"/>
        <v>0.1428571429</v>
      </c>
      <c r="U82" s="514">
        <f t="shared" si="74"/>
        <v>0</v>
      </c>
      <c r="V82" s="514">
        <f t="shared" si="74"/>
        <v>0.05882352941</v>
      </c>
      <c r="W82" s="514">
        <f t="shared" si="74"/>
        <v>0.1578947368</v>
      </c>
      <c r="X82" s="514">
        <f t="shared" si="74"/>
        <v>0.07142857143</v>
      </c>
      <c r="Y82" s="514">
        <f t="shared" si="74"/>
        <v>0.25</v>
      </c>
      <c r="Z82" s="514">
        <f t="shared" si="74"/>
        <v>0.1052631579</v>
      </c>
      <c r="AA82" s="514">
        <f t="shared" si="74"/>
        <v>0.1875</v>
      </c>
      <c r="AB82" s="514">
        <f t="shared" si="74"/>
        <v>0.1428571429</v>
      </c>
      <c r="AC82" s="514">
        <f t="shared" si="74"/>
        <v>0.04166666667</v>
      </c>
      <c r="AD82" s="514">
        <f t="shared" si="74"/>
        <v>0.04545454545</v>
      </c>
      <c r="AE82" s="514">
        <f t="shared" si="74"/>
        <v>0.1</v>
      </c>
      <c r="AF82" s="514">
        <f t="shared" si="74"/>
        <v>0.1764705882</v>
      </c>
      <c r="AG82" s="516"/>
      <c r="AH82" s="517"/>
    </row>
    <row r="83" outlineLevel="1">
      <c r="A83" s="544" t="s">
        <v>806</v>
      </c>
      <c r="B83" s="514">
        <f t="shared" ref="B83:P83" si="75">iferror(B73/B$74,"")</f>
        <v>0</v>
      </c>
      <c r="C83" s="514">
        <f t="shared" si="75"/>
        <v>0</v>
      </c>
      <c r="D83" s="514">
        <f t="shared" si="75"/>
        <v>0</v>
      </c>
      <c r="E83" s="514">
        <f t="shared" si="75"/>
        <v>0</v>
      </c>
      <c r="F83" s="514">
        <f t="shared" si="75"/>
        <v>0.02898550725</v>
      </c>
      <c r="G83" s="514">
        <f t="shared" si="75"/>
        <v>0</v>
      </c>
      <c r="H83" s="514">
        <f t="shared" si="75"/>
        <v>0</v>
      </c>
      <c r="I83" s="514">
        <f t="shared" si="75"/>
        <v>0</v>
      </c>
      <c r="J83" s="514">
        <f t="shared" si="75"/>
        <v>0</v>
      </c>
      <c r="K83" s="514">
        <f t="shared" si="75"/>
        <v>0</v>
      </c>
      <c r="L83" s="514">
        <f t="shared" si="75"/>
        <v>0</v>
      </c>
      <c r="M83" s="514">
        <f t="shared" si="75"/>
        <v>0.01315789474</v>
      </c>
      <c r="N83" s="514">
        <f t="shared" si="75"/>
        <v>0</v>
      </c>
      <c r="O83" s="514">
        <f t="shared" si="75"/>
        <v>0</v>
      </c>
      <c r="P83" s="514">
        <f t="shared" si="75"/>
        <v>0</v>
      </c>
      <c r="Q83" s="515">
        <v>0.0</v>
      </c>
      <c r="R83" s="514">
        <f t="shared" ref="R83:AF83" si="76">iferror(R73/R$74,"")</f>
        <v>0</v>
      </c>
      <c r="S83" s="514">
        <f t="shared" si="76"/>
        <v>0</v>
      </c>
      <c r="T83" s="514">
        <f t="shared" si="76"/>
        <v>0</v>
      </c>
      <c r="U83" s="514">
        <f t="shared" si="76"/>
        <v>0</v>
      </c>
      <c r="V83" s="514">
        <f t="shared" si="76"/>
        <v>0.02941176471</v>
      </c>
      <c r="W83" s="514">
        <f t="shared" si="76"/>
        <v>0</v>
      </c>
      <c r="X83" s="514">
        <f t="shared" si="76"/>
        <v>0</v>
      </c>
      <c r="Y83" s="514">
        <f t="shared" si="76"/>
        <v>0</v>
      </c>
      <c r="Z83" s="514">
        <f t="shared" si="76"/>
        <v>0</v>
      </c>
      <c r="AA83" s="514">
        <f t="shared" si="76"/>
        <v>0</v>
      </c>
      <c r="AB83" s="514">
        <f t="shared" si="76"/>
        <v>0</v>
      </c>
      <c r="AC83" s="514">
        <f t="shared" si="76"/>
        <v>0</v>
      </c>
      <c r="AD83" s="514">
        <f t="shared" si="76"/>
        <v>0</v>
      </c>
      <c r="AE83" s="514">
        <f t="shared" si="76"/>
        <v>0</v>
      </c>
      <c r="AF83" s="514">
        <f t="shared" si="76"/>
        <v>0</v>
      </c>
      <c r="AG83" s="516"/>
      <c r="AH83" s="545"/>
    </row>
    <row r="84" outlineLevel="1">
      <c r="A84" s="529" t="s">
        <v>815</v>
      </c>
      <c r="B84" s="530"/>
      <c r="C84" s="530"/>
      <c r="D84" s="530"/>
      <c r="E84" s="530"/>
      <c r="F84" s="530"/>
      <c r="G84" s="530"/>
      <c r="H84" s="530"/>
      <c r="I84" s="530"/>
      <c r="J84" s="530"/>
      <c r="K84" s="530"/>
      <c r="L84" s="530"/>
      <c r="M84" s="530"/>
      <c r="N84" s="530"/>
      <c r="O84" s="530"/>
      <c r="P84" s="530"/>
      <c r="Q84" s="530"/>
      <c r="R84" s="530"/>
      <c r="S84" s="530"/>
      <c r="T84" s="530"/>
      <c r="U84" s="530"/>
      <c r="V84" s="530"/>
      <c r="W84" s="530"/>
      <c r="X84" s="530"/>
      <c r="Y84" s="530"/>
      <c r="Z84" s="530"/>
      <c r="AA84" s="530"/>
      <c r="AB84" s="530"/>
      <c r="AC84" s="530"/>
      <c r="AD84" s="530"/>
      <c r="AE84" s="530"/>
      <c r="AF84" s="530"/>
      <c r="AG84" s="531"/>
      <c r="AH84" s="532"/>
    </row>
    <row r="85" outlineLevel="1">
      <c r="A85" s="498" t="s">
        <v>798</v>
      </c>
      <c r="B85" s="499">
        <v>11.0</v>
      </c>
      <c r="C85" s="499">
        <v>21.0</v>
      </c>
      <c r="D85" s="499">
        <v>11.0</v>
      </c>
      <c r="E85" s="499">
        <v>13.0</v>
      </c>
      <c r="F85" s="499">
        <v>12.0</v>
      </c>
      <c r="G85" s="499">
        <v>11.0</v>
      </c>
      <c r="H85" s="499">
        <v>17.0</v>
      </c>
      <c r="I85" s="499">
        <v>12.0</v>
      </c>
      <c r="J85" s="499">
        <v>10.0</v>
      </c>
      <c r="K85" s="499">
        <v>6.0</v>
      </c>
      <c r="L85" s="499">
        <v>14.0</v>
      </c>
      <c r="M85" s="499">
        <v>12.0</v>
      </c>
      <c r="N85" s="500">
        <v>6.0</v>
      </c>
      <c r="O85" s="500">
        <v>9.0</v>
      </c>
      <c r="P85" s="500">
        <v>4.0</v>
      </c>
      <c r="Q85" s="500">
        <v>0.0</v>
      </c>
      <c r="R85" s="500">
        <v>0.0</v>
      </c>
      <c r="S85" s="500">
        <v>2.0</v>
      </c>
      <c r="T85" s="500">
        <v>3.0</v>
      </c>
      <c r="U85" s="499">
        <v>5.0</v>
      </c>
      <c r="V85" s="499">
        <v>10.0</v>
      </c>
      <c r="W85" s="499">
        <v>3.0</v>
      </c>
      <c r="X85" s="499">
        <v>4.0</v>
      </c>
      <c r="Y85" s="500">
        <v>2.0</v>
      </c>
      <c r="Z85" s="500">
        <v>3.0</v>
      </c>
      <c r="AA85" s="500">
        <v>2.0</v>
      </c>
      <c r="AB85" s="500">
        <v>2.0</v>
      </c>
      <c r="AC85" s="500">
        <v>7.0</v>
      </c>
      <c r="AD85" s="500">
        <v>7.0</v>
      </c>
      <c r="AE85" s="500">
        <v>1.0</v>
      </c>
      <c r="AF85" s="500">
        <v>2.0</v>
      </c>
      <c r="AG85" s="501">
        <f t="shared" ref="AG85:AG88" si="77">SUM(B85:AF85)</f>
        <v>222</v>
      </c>
      <c r="AH85" s="502">
        <f t="shared" ref="AH85:AH87" si="78">iferror(AG85/AG$88,"")</f>
        <v>0.7350993377</v>
      </c>
    </row>
    <row r="86" outlineLevel="1">
      <c r="A86" s="503" t="s">
        <v>799</v>
      </c>
      <c r="B86" s="500">
        <v>1.0</v>
      </c>
      <c r="C86" s="500">
        <v>1.0</v>
      </c>
      <c r="D86" s="500">
        <v>4.0</v>
      </c>
      <c r="E86" s="500">
        <v>1.0</v>
      </c>
      <c r="F86" s="500">
        <v>1.0</v>
      </c>
      <c r="G86" s="500">
        <v>3.0</v>
      </c>
      <c r="H86" s="500">
        <v>2.0</v>
      </c>
      <c r="I86" s="500">
        <v>2.0</v>
      </c>
      <c r="J86" s="500">
        <v>0.0</v>
      </c>
      <c r="K86" s="500">
        <v>0.0</v>
      </c>
      <c r="L86" s="500">
        <v>2.0</v>
      </c>
      <c r="M86" s="500">
        <v>1.0</v>
      </c>
      <c r="N86" s="500">
        <v>0.0</v>
      </c>
      <c r="O86" s="500">
        <v>0.0</v>
      </c>
      <c r="P86" s="500">
        <v>0.0</v>
      </c>
      <c r="Q86" s="500">
        <v>0.0</v>
      </c>
      <c r="R86" s="500">
        <v>0.0</v>
      </c>
      <c r="S86" s="500">
        <v>1.0</v>
      </c>
      <c r="T86" s="500">
        <v>1.0</v>
      </c>
      <c r="U86" s="500">
        <v>2.0</v>
      </c>
      <c r="V86" s="500">
        <v>1.0</v>
      </c>
      <c r="W86" s="500">
        <v>0.0</v>
      </c>
      <c r="X86" s="500">
        <v>0.0</v>
      </c>
      <c r="Y86" s="500">
        <v>0.0</v>
      </c>
      <c r="Z86" s="500">
        <v>1.0</v>
      </c>
      <c r="AA86" s="500">
        <v>0.0</v>
      </c>
      <c r="AB86" s="500">
        <v>1.0</v>
      </c>
      <c r="AC86" s="500">
        <v>0.0</v>
      </c>
      <c r="AD86" s="500">
        <v>0.0</v>
      </c>
      <c r="AE86" s="500">
        <v>0.0</v>
      </c>
      <c r="AF86" s="500">
        <v>0.0</v>
      </c>
      <c r="AG86" s="501">
        <f t="shared" si="77"/>
        <v>25</v>
      </c>
      <c r="AH86" s="502">
        <f t="shared" si="78"/>
        <v>0.08278145695</v>
      </c>
    </row>
    <row r="87" outlineLevel="1">
      <c r="A87" s="539" t="s">
        <v>800</v>
      </c>
      <c r="B87" s="500">
        <v>4.0</v>
      </c>
      <c r="C87" s="500">
        <v>4.0</v>
      </c>
      <c r="D87" s="500">
        <v>4.0</v>
      </c>
      <c r="E87" s="500">
        <v>3.0</v>
      </c>
      <c r="F87" s="500">
        <v>3.0</v>
      </c>
      <c r="G87" s="500">
        <v>4.0</v>
      </c>
      <c r="H87" s="500">
        <v>3.0</v>
      </c>
      <c r="I87" s="500">
        <v>1.0</v>
      </c>
      <c r="J87" s="500">
        <v>2.0</v>
      </c>
      <c r="K87" s="500">
        <v>2.0</v>
      </c>
      <c r="L87" s="500">
        <v>3.0</v>
      </c>
      <c r="M87" s="500">
        <v>6.0</v>
      </c>
      <c r="N87" s="500">
        <v>4.0</v>
      </c>
      <c r="O87" s="500">
        <v>2.0</v>
      </c>
      <c r="P87" s="500">
        <v>0.0</v>
      </c>
      <c r="Q87" s="500">
        <v>0.0</v>
      </c>
      <c r="R87" s="500">
        <v>0.0</v>
      </c>
      <c r="S87" s="500">
        <v>1.0</v>
      </c>
      <c r="T87" s="500">
        <v>2.0</v>
      </c>
      <c r="U87" s="500">
        <v>1.0</v>
      </c>
      <c r="V87" s="500">
        <v>1.0</v>
      </c>
      <c r="W87" s="500">
        <v>2.0</v>
      </c>
      <c r="X87" s="500">
        <v>1.0</v>
      </c>
      <c r="Y87" s="500">
        <v>0.0</v>
      </c>
      <c r="Z87" s="500">
        <v>0.0</v>
      </c>
      <c r="AA87" s="500">
        <v>1.0</v>
      </c>
      <c r="AB87" s="500">
        <v>0.0</v>
      </c>
      <c r="AC87" s="500">
        <v>1.0</v>
      </c>
      <c r="AD87" s="500">
        <v>0.0</v>
      </c>
      <c r="AE87" s="500">
        <v>0.0</v>
      </c>
      <c r="AF87" s="500">
        <v>1.0</v>
      </c>
      <c r="AG87" s="501">
        <f t="shared" si="77"/>
        <v>56</v>
      </c>
      <c r="AH87" s="502">
        <f t="shared" si="78"/>
        <v>0.1854304636</v>
      </c>
    </row>
    <row r="88" outlineLevel="1">
      <c r="A88" s="505" t="s">
        <v>811</v>
      </c>
      <c r="B88" s="506">
        <f t="shared" ref="B88:AE88" si="79">SUM(B85:B87)</f>
        <v>16</v>
      </c>
      <c r="C88" s="506">
        <f t="shared" si="79"/>
        <v>26</v>
      </c>
      <c r="D88" s="506">
        <f t="shared" si="79"/>
        <v>19</v>
      </c>
      <c r="E88" s="506">
        <f t="shared" si="79"/>
        <v>17</v>
      </c>
      <c r="F88" s="506">
        <f t="shared" si="79"/>
        <v>16</v>
      </c>
      <c r="G88" s="506">
        <f t="shared" si="79"/>
        <v>18</v>
      </c>
      <c r="H88" s="506">
        <f t="shared" si="79"/>
        <v>22</v>
      </c>
      <c r="I88" s="506">
        <f t="shared" si="79"/>
        <v>15</v>
      </c>
      <c r="J88" s="506">
        <f t="shared" si="79"/>
        <v>12</v>
      </c>
      <c r="K88" s="506">
        <f t="shared" si="79"/>
        <v>8</v>
      </c>
      <c r="L88" s="506">
        <f t="shared" si="79"/>
        <v>19</v>
      </c>
      <c r="M88" s="506">
        <f t="shared" si="79"/>
        <v>19</v>
      </c>
      <c r="N88" s="506">
        <f t="shared" si="79"/>
        <v>10</v>
      </c>
      <c r="O88" s="506">
        <f t="shared" si="79"/>
        <v>11</v>
      </c>
      <c r="P88" s="506">
        <f t="shared" si="79"/>
        <v>4</v>
      </c>
      <c r="Q88" s="506">
        <f t="shared" si="79"/>
        <v>0</v>
      </c>
      <c r="R88" s="506">
        <f t="shared" si="79"/>
        <v>0</v>
      </c>
      <c r="S88" s="506">
        <f t="shared" si="79"/>
        <v>4</v>
      </c>
      <c r="T88" s="506">
        <f t="shared" si="79"/>
        <v>6</v>
      </c>
      <c r="U88" s="506">
        <f t="shared" si="79"/>
        <v>8</v>
      </c>
      <c r="V88" s="506">
        <f t="shared" si="79"/>
        <v>12</v>
      </c>
      <c r="W88" s="506">
        <f t="shared" si="79"/>
        <v>5</v>
      </c>
      <c r="X88" s="506">
        <f t="shared" si="79"/>
        <v>5</v>
      </c>
      <c r="Y88" s="506">
        <f t="shared" si="79"/>
        <v>2</v>
      </c>
      <c r="Z88" s="506">
        <f t="shared" si="79"/>
        <v>4</v>
      </c>
      <c r="AA88" s="506">
        <f t="shared" si="79"/>
        <v>3</v>
      </c>
      <c r="AB88" s="506">
        <f t="shared" si="79"/>
        <v>3</v>
      </c>
      <c r="AC88" s="506">
        <f t="shared" si="79"/>
        <v>8</v>
      </c>
      <c r="AD88" s="506">
        <f t="shared" si="79"/>
        <v>7</v>
      </c>
      <c r="AE88" s="506">
        <f t="shared" si="79"/>
        <v>1</v>
      </c>
      <c r="AF88" s="506">
        <f>SUM(AF85:AF86)</f>
        <v>2</v>
      </c>
      <c r="AG88" s="507">
        <f t="shared" si="77"/>
        <v>302</v>
      </c>
      <c r="AH88" s="508">
        <f>SUM(AH85:AH87)</f>
        <v>1.003311258</v>
      </c>
    </row>
    <row r="89" outlineLevel="1">
      <c r="A89" s="509" t="s">
        <v>816</v>
      </c>
      <c r="B89" s="510"/>
      <c r="C89" s="510"/>
      <c r="D89" s="510"/>
      <c r="E89" s="510"/>
      <c r="F89" s="510"/>
      <c r="G89" s="510"/>
      <c r="H89" s="510"/>
      <c r="I89" s="510"/>
      <c r="J89" s="510"/>
      <c r="K89" s="510"/>
      <c r="L89" s="510"/>
      <c r="M89" s="510"/>
      <c r="N89" s="510"/>
      <c r="O89" s="510"/>
      <c r="P89" s="510"/>
      <c r="Q89" s="510"/>
      <c r="R89" s="510"/>
      <c r="S89" s="510"/>
      <c r="T89" s="510"/>
      <c r="U89" s="510"/>
      <c r="V89" s="510"/>
      <c r="W89" s="510"/>
      <c r="X89" s="510"/>
      <c r="Y89" s="510"/>
      <c r="Z89" s="510"/>
      <c r="AA89" s="510"/>
      <c r="AB89" s="510"/>
      <c r="AC89" s="510"/>
      <c r="AD89" s="510"/>
      <c r="AE89" s="510"/>
      <c r="AF89" s="510"/>
      <c r="AG89" s="511"/>
      <c r="AH89" s="512"/>
    </row>
    <row r="90" outlineLevel="1">
      <c r="A90" s="513" t="s">
        <v>798</v>
      </c>
      <c r="B90" s="514">
        <f t="shared" ref="B90:P90" si="80">iferror(B85/B$88,"")</f>
        <v>0.6875</v>
      </c>
      <c r="C90" s="514">
        <f t="shared" si="80"/>
        <v>0.8076923077</v>
      </c>
      <c r="D90" s="514">
        <f t="shared" si="80"/>
        <v>0.5789473684</v>
      </c>
      <c r="E90" s="514">
        <f t="shared" si="80"/>
        <v>0.7647058824</v>
      </c>
      <c r="F90" s="514">
        <f t="shared" si="80"/>
        <v>0.75</v>
      </c>
      <c r="G90" s="514">
        <f t="shared" si="80"/>
        <v>0.6111111111</v>
      </c>
      <c r="H90" s="514">
        <f t="shared" si="80"/>
        <v>0.7727272727</v>
      </c>
      <c r="I90" s="514">
        <f t="shared" si="80"/>
        <v>0.8</v>
      </c>
      <c r="J90" s="514">
        <f t="shared" si="80"/>
        <v>0.8333333333</v>
      </c>
      <c r="K90" s="514">
        <f t="shared" si="80"/>
        <v>0.75</v>
      </c>
      <c r="L90" s="514">
        <f t="shared" si="80"/>
        <v>0.7368421053</v>
      </c>
      <c r="M90" s="514">
        <f t="shared" si="80"/>
        <v>0.6315789474</v>
      </c>
      <c r="N90" s="514">
        <f t="shared" si="80"/>
        <v>0.6</v>
      </c>
      <c r="O90" s="514">
        <f t="shared" si="80"/>
        <v>0.8181818182</v>
      </c>
      <c r="P90" s="514">
        <f t="shared" si="80"/>
        <v>1</v>
      </c>
      <c r="Q90" s="515">
        <v>0.0</v>
      </c>
      <c r="R90" s="515">
        <v>0.0</v>
      </c>
      <c r="S90" s="514">
        <f t="shared" ref="S90:AF90" si="81">iferror(S85/S$88,"")</f>
        <v>0.5</v>
      </c>
      <c r="T90" s="514">
        <f t="shared" si="81"/>
        <v>0.5</v>
      </c>
      <c r="U90" s="514">
        <f t="shared" si="81"/>
        <v>0.625</v>
      </c>
      <c r="V90" s="514">
        <f t="shared" si="81"/>
        <v>0.8333333333</v>
      </c>
      <c r="W90" s="514">
        <f t="shared" si="81"/>
        <v>0.6</v>
      </c>
      <c r="X90" s="514">
        <f t="shared" si="81"/>
        <v>0.8</v>
      </c>
      <c r="Y90" s="514">
        <f t="shared" si="81"/>
        <v>1</v>
      </c>
      <c r="Z90" s="514">
        <f t="shared" si="81"/>
        <v>0.75</v>
      </c>
      <c r="AA90" s="514">
        <f t="shared" si="81"/>
        <v>0.6666666667</v>
      </c>
      <c r="AB90" s="514">
        <f t="shared" si="81"/>
        <v>0.6666666667</v>
      </c>
      <c r="AC90" s="514">
        <f t="shared" si="81"/>
        <v>0.875</v>
      </c>
      <c r="AD90" s="514">
        <f t="shared" si="81"/>
        <v>1</v>
      </c>
      <c r="AE90" s="514">
        <f t="shared" si="81"/>
        <v>1</v>
      </c>
      <c r="AF90" s="514">
        <f t="shared" si="81"/>
        <v>1</v>
      </c>
      <c r="AG90" s="516"/>
      <c r="AH90" s="517"/>
    </row>
    <row r="91" outlineLevel="1">
      <c r="A91" s="513" t="s">
        <v>799</v>
      </c>
      <c r="B91" s="514">
        <f t="shared" ref="B91:P91" si="82">iferror(B86/B$88,"")</f>
        <v>0.0625</v>
      </c>
      <c r="C91" s="514">
        <f t="shared" si="82"/>
        <v>0.03846153846</v>
      </c>
      <c r="D91" s="514">
        <f t="shared" si="82"/>
        <v>0.2105263158</v>
      </c>
      <c r="E91" s="514">
        <f t="shared" si="82"/>
        <v>0.05882352941</v>
      </c>
      <c r="F91" s="514">
        <f t="shared" si="82"/>
        <v>0.0625</v>
      </c>
      <c r="G91" s="514">
        <f t="shared" si="82"/>
        <v>0.1666666667</v>
      </c>
      <c r="H91" s="514">
        <f t="shared" si="82"/>
        <v>0.09090909091</v>
      </c>
      <c r="I91" s="514">
        <f t="shared" si="82"/>
        <v>0.1333333333</v>
      </c>
      <c r="J91" s="514">
        <f t="shared" si="82"/>
        <v>0</v>
      </c>
      <c r="K91" s="514">
        <f t="shared" si="82"/>
        <v>0</v>
      </c>
      <c r="L91" s="514">
        <f t="shared" si="82"/>
        <v>0.1052631579</v>
      </c>
      <c r="M91" s="514">
        <f t="shared" si="82"/>
        <v>0.05263157895</v>
      </c>
      <c r="N91" s="514">
        <f t="shared" si="82"/>
        <v>0</v>
      </c>
      <c r="O91" s="514">
        <f t="shared" si="82"/>
        <v>0</v>
      </c>
      <c r="P91" s="514">
        <f t="shared" si="82"/>
        <v>0</v>
      </c>
      <c r="Q91" s="515">
        <v>0.0</v>
      </c>
      <c r="R91" s="515">
        <v>0.0</v>
      </c>
      <c r="S91" s="514">
        <f t="shared" ref="S91:AF91" si="83">iferror(S86/S$88,"")</f>
        <v>0.25</v>
      </c>
      <c r="T91" s="514">
        <f t="shared" si="83"/>
        <v>0.1666666667</v>
      </c>
      <c r="U91" s="514">
        <f t="shared" si="83"/>
        <v>0.25</v>
      </c>
      <c r="V91" s="514">
        <f t="shared" si="83"/>
        <v>0.08333333333</v>
      </c>
      <c r="W91" s="514">
        <f t="shared" si="83"/>
        <v>0</v>
      </c>
      <c r="X91" s="514">
        <f t="shared" si="83"/>
        <v>0</v>
      </c>
      <c r="Y91" s="514">
        <f t="shared" si="83"/>
        <v>0</v>
      </c>
      <c r="Z91" s="514">
        <f t="shared" si="83"/>
        <v>0.25</v>
      </c>
      <c r="AA91" s="514">
        <f t="shared" si="83"/>
        <v>0</v>
      </c>
      <c r="AB91" s="514">
        <f t="shared" si="83"/>
        <v>0.3333333333</v>
      </c>
      <c r="AC91" s="514">
        <f t="shared" si="83"/>
        <v>0</v>
      </c>
      <c r="AD91" s="514">
        <f t="shared" si="83"/>
        <v>0</v>
      </c>
      <c r="AE91" s="514">
        <f t="shared" si="83"/>
        <v>0</v>
      </c>
      <c r="AF91" s="514">
        <f t="shared" si="83"/>
        <v>0</v>
      </c>
      <c r="AG91" s="518"/>
      <c r="AH91" s="517"/>
    </row>
    <row r="92" outlineLevel="1">
      <c r="A92" s="540" t="s">
        <v>800</v>
      </c>
      <c r="B92" s="514">
        <f t="shared" ref="B92:P92" si="84">iferror(B87/B$88,"")</f>
        <v>0.25</v>
      </c>
      <c r="C92" s="514">
        <f t="shared" si="84"/>
        <v>0.1538461538</v>
      </c>
      <c r="D92" s="514">
        <f t="shared" si="84"/>
        <v>0.2105263158</v>
      </c>
      <c r="E92" s="514">
        <f t="shared" si="84"/>
        <v>0.1764705882</v>
      </c>
      <c r="F92" s="514">
        <f t="shared" si="84"/>
        <v>0.1875</v>
      </c>
      <c r="G92" s="514">
        <f t="shared" si="84"/>
        <v>0.2222222222</v>
      </c>
      <c r="H92" s="514">
        <f t="shared" si="84"/>
        <v>0.1363636364</v>
      </c>
      <c r="I92" s="514">
        <f t="shared" si="84"/>
        <v>0.06666666667</v>
      </c>
      <c r="J92" s="514">
        <f t="shared" si="84"/>
        <v>0.1666666667</v>
      </c>
      <c r="K92" s="514">
        <f t="shared" si="84"/>
        <v>0.25</v>
      </c>
      <c r="L92" s="514">
        <f t="shared" si="84"/>
        <v>0.1578947368</v>
      </c>
      <c r="M92" s="514">
        <f t="shared" si="84"/>
        <v>0.3157894737</v>
      </c>
      <c r="N92" s="514">
        <f t="shared" si="84"/>
        <v>0.4</v>
      </c>
      <c r="O92" s="514">
        <f t="shared" si="84"/>
        <v>0.1818181818</v>
      </c>
      <c r="P92" s="514">
        <f t="shared" si="84"/>
        <v>0</v>
      </c>
      <c r="Q92" s="515">
        <v>0.0</v>
      </c>
      <c r="R92" s="515">
        <v>0.0</v>
      </c>
      <c r="S92" s="514">
        <f t="shared" ref="S92:AF92" si="85">iferror(S87/S$88,"")</f>
        <v>0.25</v>
      </c>
      <c r="T92" s="514">
        <f t="shared" si="85"/>
        <v>0.3333333333</v>
      </c>
      <c r="U92" s="514">
        <f t="shared" si="85"/>
        <v>0.125</v>
      </c>
      <c r="V92" s="514">
        <f t="shared" si="85"/>
        <v>0.08333333333</v>
      </c>
      <c r="W92" s="514">
        <f t="shared" si="85"/>
        <v>0.4</v>
      </c>
      <c r="X92" s="514">
        <f t="shared" si="85"/>
        <v>0.2</v>
      </c>
      <c r="Y92" s="514">
        <f t="shared" si="85"/>
        <v>0</v>
      </c>
      <c r="Z92" s="514">
        <f t="shared" si="85"/>
        <v>0</v>
      </c>
      <c r="AA92" s="514">
        <f t="shared" si="85"/>
        <v>0.3333333333</v>
      </c>
      <c r="AB92" s="514">
        <f t="shared" si="85"/>
        <v>0</v>
      </c>
      <c r="AC92" s="514">
        <f t="shared" si="85"/>
        <v>0.125</v>
      </c>
      <c r="AD92" s="514">
        <f t="shared" si="85"/>
        <v>0</v>
      </c>
      <c r="AE92" s="514">
        <f t="shared" si="85"/>
        <v>0</v>
      </c>
      <c r="AF92" s="514">
        <f t="shared" si="85"/>
        <v>0.5</v>
      </c>
      <c r="AG92" s="518"/>
      <c r="AH92" s="517"/>
    </row>
    <row r="93">
      <c r="A93" s="546"/>
      <c r="B93" s="547"/>
      <c r="C93" s="547"/>
      <c r="D93" s="547"/>
      <c r="E93" s="547"/>
      <c r="F93" s="547"/>
      <c r="G93" s="547"/>
      <c r="H93" s="547"/>
      <c r="I93" s="547"/>
      <c r="J93" s="547"/>
      <c r="K93" s="547"/>
      <c r="L93" s="547"/>
      <c r="M93" s="547"/>
      <c r="N93" s="548"/>
      <c r="O93" s="548"/>
      <c r="P93" s="548"/>
      <c r="Q93" s="548"/>
      <c r="R93" s="548"/>
      <c r="S93" s="548"/>
      <c r="T93" s="548"/>
      <c r="U93" s="548"/>
      <c r="V93" s="548"/>
      <c r="W93" s="548"/>
      <c r="X93" s="548"/>
      <c r="Y93" s="548"/>
      <c r="Z93" s="548"/>
      <c r="AA93" s="548"/>
      <c r="AB93" s="548"/>
      <c r="AC93" s="548"/>
      <c r="AD93" s="548"/>
      <c r="AE93" s="548"/>
      <c r="AF93" s="548"/>
      <c r="AG93" s="549"/>
      <c r="AH93" s="518"/>
    </row>
    <row r="94">
      <c r="A94" s="546"/>
      <c r="B94" s="547"/>
      <c r="C94" s="547"/>
      <c r="D94" s="547"/>
      <c r="E94" s="547"/>
      <c r="F94" s="547"/>
      <c r="G94" s="547"/>
      <c r="H94" s="547"/>
      <c r="I94" s="547"/>
      <c r="J94" s="547"/>
      <c r="K94" s="547"/>
      <c r="L94" s="547"/>
      <c r="M94" s="547"/>
      <c r="N94" s="548"/>
      <c r="O94" s="548"/>
      <c r="P94" s="548"/>
      <c r="Q94" s="548"/>
      <c r="R94" s="548"/>
      <c r="S94" s="548"/>
      <c r="T94" s="548"/>
      <c r="U94" s="548"/>
      <c r="V94" s="548"/>
      <c r="W94" s="548"/>
      <c r="X94" s="548"/>
      <c r="Y94" s="548"/>
      <c r="Z94" s="548"/>
      <c r="AA94" s="548"/>
      <c r="AB94" s="548"/>
      <c r="AC94" s="548"/>
      <c r="AD94" s="548"/>
      <c r="AE94" s="548"/>
      <c r="AF94" s="548"/>
      <c r="AG94" s="549"/>
      <c r="AH94" s="518"/>
    </row>
    <row r="95">
      <c r="A95" s="546"/>
      <c r="B95" s="547"/>
      <c r="C95" s="547"/>
      <c r="D95" s="547"/>
      <c r="E95" s="547"/>
      <c r="F95" s="547"/>
      <c r="G95" s="547"/>
      <c r="H95" s="547"/>
      <c r="I95" s="547"/>
      <c r="J95" s="547"/>
      <c r="K95" s="547"/>
      <c r="L95" s="547"/>
      <c r="M95" s="547"/>
      <c r="N95" s="548"/>
      <c r="O95" s="548"/>
      <c r="P95" s="548"/>
      <c r="Q95" s="548"/>
      <c r="R95" s="548"/>
      <c r="S95" s="548"/>
      <c r="T95" s="548"/>
      <c r="U95" s="548"/>
      <c r="V95" s="548"/>
      <c r="W95" s="548"/>
      <c r="X95" s="548"/>
      <c r="Y95" s="548"/>
      <c r="Z95" s="548"/>
      <c r="AA95" s="548"/>
      <c r="AB95" s="548"/>
      <c r="AC95" s="548"/>
      <c r="AD95" s="548"/>
      <c r="AE95" s="548"/>
      <c r="AF95" s="548"/>
      <c r="AG95" s="549"/>
      <c r="AH95" s="518"/>
    </row>
    <row r="96">
      <c r="A96" s="546"/>
      <c r="B96" s="547"/>
      <c r="C96" s="547"/>
      <c r="D96" s="547"/>
      <c r="E96" s="547"/>
      <c r="F96" s="547"/>
      <c r="G96" s="547"/>
      <c r="H96" s="547"/>
      <c r="I96" s="547"/>
      <c r="J96" s="547"/>
      <c r="K96" s="547"/>
      <c r="L96" s="547"/>
      <c r="M96" s="547"/>
      <c r="N96" s="548"/>
      <c r="O96" s="548"/>
      <c r="P96" s="548"/>
      <c r="Q96" s="548"/>
      <c r="R96" s="548"/>
      <c r="S96" s="548"/>
      <c r="T96" s="548"/>
      <c r="U96" s="548"/>
      <c r="V96" s="548"/>
      <c r="W96" s="548"/>
      <c r="X96" s="548"/>
      <c r="Y96" s="548"/>
      <c r="Z96" s="548"/>
      <c r="AA96" s="548"/>
      <c r="AB96" s="548"/>
      <c r="AC96" s="548"/>
      <c r="AD96" s="548"/>
      <c r="AE96" s="548"/>
      <c r="AF96" s="548"/>
      <c r="AG96" s="549"/>
      <c r="AH96" s="518"/>
    </row>
    <row r="97">
      <c r="A97" s="546"/>
      <c r="B97" s="547"/>
      <c r="C97" s="547"/>
      <c r="D97" s="547"/>
      <c r="E97" s="547"/>
      <c r="F97" s="547"/>
      <c r="G97" s="547"/>
      <c r="H97" s="547"/>
      <c r="I97" s="547"/>
      <c r="J97" s="547"/>
      <c r="K97" s="547"/>
      <c r="L97" s="547"/>
      <c r="M97" s="547"/>
      <c r="N97" s="548"/>
      <c r="O97" s="548"/>
      <c r="P97" s="548"/>
      <c r="Q97" s="548"/>
      <c r="R97" s="548"/>
      <c r="S97" s="548"/>
      <c r="T97" s="548"/>
      <c r="U97" s="548"/>
      <c r="V97" s="548"/>
      <c r="W97" s="548"/>
      <c r="X97" s="548"/>
      <c r="Y97" s="548"/>
      <c r="Z97" s="548"/>
      <c r="AA97" s="548"/>
      <c r="AB97" s="548"/>
      <c r="AC97" s="548"/>
      <c r="AD97" s="548"/>
      <c r="AE97" s="548"/>
      <c r="AF97" s="548"/>
      <c r="AG97" s="549"/>
      <c r="AH97" s="518"/>
    </row>
    <row r="98">
      <c r="A98" s="546"/>
      <c r="B98" s="547"/>
      <c r="C98" s="547"/>
      <c r="D98" s="547"/>
      <c r="E98" s="547"/>
      <c r="F98" s="547"/>
      <c r="G98" s="547"/>
      <c r="H98" s="547"/>
      <c r="I98" s="547"/>
      <c r="J98" s="547"/>
      <c r="K98" s="547"/>
      <c r="L98" s="547"/>
      <c r="M98" s="547"/>
      <c r="N98" s="548"/>
      <c r="O98" s="548"/>
      <c r="P98" s="548"/>
      <c r="Q98" s="548"/>
      <c r="R98" s="548"/>
      <c r="S98" s="548"/>
      <c r="T98" s="548"/>
      <c r="U98" s="548"/>
      <c r="V98" s="548"/>
      <c r="W98" s="548"/>
      <c r="X98" s="548"/>
      <c r="Y98" s="548"/>
      <c r="Z98" s="548"/>
      <c r="AA98" s="548"/>
      <c r="AB98" s="548"/>
      <c r="AC98" s="548"/>
      <c r="AD98" s="548"/>
      <c r="AE98" s="548"/>
      <c r="AF98" s="548"/>
      <c r="AG98" s="549"/>
      <c r="AH98" s="518"/>
    </row>
    <row r="99">
      <c r="A99" s="546"/>
      <c r="B99" s="547"/>
      <c r="C99" s="547"/>
      <c r="D99" s="547"/>
      <c r="E99" s="547"/>
      <c r="F99" s="547"/>
      <c r="G99" s="547"/>
      <c r="H99" s="547"/>
      <c r="I99" s="547"/>
      <c r="J99" s="547"/>
      <c r="K99" s="547"/>
      <c r="L99" s="547"/>
      <c r="M99" s="547"/>
      <c r="N99" s="548"/>
      <c r="O99" s="548"/>
      <c r="P99" s="548"/>
      <c r="Q99" s="548"/>
      <c r="R99" s="548"/>
      <c r="S99" s="548"/>
      <c r="T99" s="548"/>
      <c r="U99" s="548"/>
      <c r="V99" s="548"/>
      <c r="W99" s="548"/>
      <c r="X99" s="548"/>
      <c r="Y99" s="548"/>
      <c r="Z99" s="548"/>
      <c r="AA99" s="548"/>
      <c r="AB99" s="548"/>
      <c r="AC99" s="548"/>
      <c r="AD99" s="548"/>
      <c r="AE99" s="548"/>
      <c r="AF99" s="548"/>
      <c r="AG99" s="549"/>
      <c r="AH99" s="518"/>
    </row>
    <row r="100">
      <c r="A100" s="546"/>
      <c r="B100" s="547"/>
      <c r="C100" s="547"/>
      <c r="D100" s="547"/>
      <c r="E100" s="547"/>
      <c r="F100" s="547"/>
      <c r="G100" s="547"/>
      <c r="H100" s="547"/>
      <c r="I100" s="547"/>
      <c r="J100" s="547"/>
      <c r="K100" s="547"/>
      <c r="L100" s="547"/>
      <c r="M100" s="547"/>
      <c r="N100" s="548"/>
      <c r="O100" s="548"/>
      <c r="P100" s="548"/>
      <c r="Q100" s="548"/>
      <c r="R100" s="548"/>
      <c r="S100" s="548"/>
      <c r="T100" s="548"/>
      <c r="U100" s="548"/>
      <c r="V100" s="548"/>
      <c r="W100" s="548"/>
      <c r="X100" s="548"/>
      <c r="Y100" s="548"/>
      <c r="Z100" s="548"/>
      <c r="AA100" s="548"/>
      <c r="AB100" s="548"/>
      <c r="AC100" s="548"/>
      <c r="AD100" s="548"/>
      <c r="AE100" s="548"/>
      <c r="AF100" s="548"/>
      <c r="AG100" s="549"/>
      <c r="AH100" s="518"/>
    </row>
    <row r="101">
      <c r="A101" s="546"/>
      <c r="B101" s="547"/>
      <c r="C101" s="547"/>
      <c r="D101" s="547"/>
      <c r="E101" s="547"/>
      <c r="F101" s="547"/>
      <c r="G101" s="547"/>
      <c r="H101" s="547"/>
      <c r="I101" s="547"/>
      <c r="J101" s="547"/>
      <c r="K101" s="547"/>
      <c r="L101" s="547"/>
      <c r="M101" s="547"/>
      <c r="N101" s="548"/>
      <c r="O101" s="548"/>
      <c r="P101" s="548"/>
      <c r="Q101" s="548"/>
      <c r="R101" s="548"/>
      <c r="S101" s="548"/>
      <c r="T101" s="548"/>
      <c r="U101" s="548"/>
      <c r="V101" s="548"/>
      <c r="W101" s="548"/>
      <c r="X101" s="548"/>
      <c r="Y101" s="548"/>
      <c r="Z101" s="548"/>
      <c r="AA101" s="548"/>
      <c r="AB101" s="548"/>
      <c r="AC101" s="548"/>
      <c r="AD101" s="548"/>
      <c r="AE101" s="548"/>
      <c r="AF101" s="548"/>
      <c r="AG101" s="549"/>
      <c r="AH101" s="518"/>
    </row>
    <row r="102">
      <c r="A102" s="546"/>
      <c r="B102" s="547"/>
      <c r="C102" s="547"/>
      <c r="D102" s="547"/>
      <c r="E102" s="547"/>
      <c r="F102" s="547"/>
      <c r="G102" s="547"/>
      <c r="H102" s="547"/>
      <c r="I102" s="547"/>
      <c r="J102" s="547"/>
      <c r="K102" s="547"/>
      <c r="L102" s="547"/>
      <c r="M102" s="547"/>
      <c r="N102" s="548"/>
      <c r="O102" s="548"/>
      <c r="P102" s="548"/>
      <c r="Q102" s="548"/>
      <c r="R102" s="548"/>
      <c r="S102" s="548"/>
      <c r="T102" s="548"/>
      <c r="U102" s="548"/>
      <c r="V102" s="548"/>
      <c r="W102" s="548"/>
      <c r="X102" s="548"/>
      <c r="Y102" s="548"/>
      <c r="Z102" s="548"/>
      <c r="AA102" s="548"/>
      <c r="AB102" s="548"/>
      <c r="AC102" s="548"/>
      <c r="AD102" s="548"/>
      <c r="AE102" s="548"/>
      <c r="AF102" s="548"/>
      <c r="AG102" s="549"/>
      <c r="AH102" s="518"/>
    </row>
    <row r="103">
      <c r="A103" s="546"/>
      <c r="B103" s="547"/>
      <c r="C103" s="547"/>
      <c r="D103" s="547"/>
      <c r="E103" s="547"/>
      <c r="F103" s="547"/>
      <c r="G103" s="547"/>
      <c r="H103" s="547"/>
      <c r="I103" s="547"/>
      <c r="J103" s="547"/>
      <c r="K103" s="547"/>
      <c r="L103" s="547"/>
      <c r="M103" s="547"/>
      <c r="N103" s="548"/>
      <c r="O103" s="548"/>
      <c r="P103" s="548"/>
      <c r="Q103" s="548"/>
      <c r="R103" s="548"/>
      <c r="S103" s="548"/>
      <c r="T103" s="548"/>
      <c r="U103" s="548"/>
      <c r="V103" s="548"/>
      <c r="W103" s="548"/>
      <c r="X103" s="548"/>
      <c r="Y103" s="548"/>
      <c r="Z103" s="548"/>
      <c r="AA103" s="548"/>
      <c r="AB103" s="548"/>
      <c r="AC103" s="548"/>
      <c r="AD103" s="548"/>
      <c r="AE103" s="548"/>
      <c r="AF103" s="548"/>
      <c r="AG103" s="549"/>
      <c r="AH103" s="518"/>
    </row>
    <row r="104">
      <c r="A104" s="546"/>
      <c r="B104" s="547"/>
      <c r="C104" s="547"/>
      <c r="D104" s="547"/>
      <c r="E104" s="547"/>
      <c r="F104" s="547"/>
      <c r="G104" s="547"/>
      <c r="H104" s="547"/>
      <c r="I104" s="547"/>
      <c r="J104" s="547"/>
      <c r="K104" s="547"/>
      <c r="L104" s="547"/>
      <c r="M104" s="547"/>
      <c r="N104" s="548"/>
      <c r="O104" s="548"/>
      <c r="P104" s="548"/>
      <c r="Q104" s="548"/>
      <c r="R104" s="548"/>
      <c r="S104" s="548"/>
      <c r="T104" s="548"/>
      <c r="U104" s="548"/>
      <c r="V104" s="548"/>
      <c r="W104" s="548"/>
      <c r="X104" s="548"/>
      <c r="Y104" s="548"/>
      <c r="Z104" s="548"/>
      <c r="AA104" s="548"/>
      <c r="AB104" s="548"/>
      <c r="AC104" s="548"/>
      <c r="AD104" s="548"/>
      <c r="AE104" s="548"/>
      <c r="AF104" s="548"/>
      <c r="AG104" s="549"/>
      <c r="AH104" s="518"/>
    </row>
    <row r="105">
      <c r="A105" s="546"/>
      <c r="B105" s="547"/>
      <c r="C105" s="547"/>
      <c r="D105" s="547"/>
      <c r="E105" s="547"/>
      <c r="F105" s="547"/>
      <c r="G105" s="547"/>
      <c r="H105" s="547"/>
      <c r="I105" s="547"/>
      <c r="J105" s="547"/>
      <c r="K105" s="547"/>
      <c r="L105" s="547"/>
      <c r="M105" s="547"/>
      <c r="N105" s="548"/>
      <c r="O105" s="548"/>
      <c r="P105" s="548"/>
      <c r="Q105" s="548"/>
      <c r="R105" s="548"/>
      <c r="S105" s="548"/>
      <c r="T105" s="548"/>
      <c r="U105" s="548"/>
      <c r="V105" s="548"/>
      <c r="W105" s="548"/>
      <c r="X105" s="548"/>
      <c r="Y105" s="548"/>
      <c r="Z105" s="548"/>
      <c r="AA105" s="548"/>
      <c r="AB105" s="548"/>
      <c r="AC105" s="548"/>
      <c r="AD105" s="548"/>
      <c r="AE105" s="548"/>
      <c r="AF105" s="548"/>
      <c r="AG105" s="549"/>
      <c r="AH105" s="518"/>
    </row>
    <row r="106">
      <c r="A106" s="546"/>
      <c r="B106" s="547"/>
      <c r="C106" s="547"/>
      <c r="D106" s="547"/>
      <c r="E106" s="547"/>
      <c r="F106" s="547"/>
      <c r="G106" s="547"/>
      <c r="H106" s="547"/>
      <c r="I106" s="547"/>
      <c r="J106" s="547"/>
      <c r="K106" s="547"/>
      <c r="L106" s="547"/>
      <c r="M106" s="547"/>
      <c r="N106" s="548"/>
      <c r="O106" s="548"/>
      <c r="P106" s="548"/>
      <c r="Q106" s="548"/>
      <c r="R106" s="548"/>
      <c r="S106" s="548"/>
      <c r="T106" s="548"/>
      <c r="U106" s="548"/>
      <c r="V106" s="548"/>
      <c r="W106" s="548"/>
      <c r="X106" s="548"/>
      <c r="Y106" s="548"/>
      <c r="Z106" s="548"/>
      <c r="AA106" s="548"/>
      <c r="AB106" s="548"/>
      <c r="AC106" s="548"/>
      <c r="AD106" s="548"/>
      <c r="AE106" s="548"/>
      <c r="AF106" s="548"/>
      <c r="AG106" s="549"/>
      <c r="AH106" s="518"/>
    </row>
    <row r="107">
      <c r="A107" s="546"/>
      <c r="B107" s="547"/>
      <c r="C107" s="547"/>
      <c r="D107" s="547"/>
      <c r="E107" s="547"/>
      <c r="F107" s="547"/>
      <c r="G107" s="547"/>
      <c r="H107" s="547"/>
      <c r="I107" s="547"/>
      <c r="J107" s="547"/>
      <c r="K107" s="547"/>
      <c r="L107" s="547"/>
      <c r="M107" s="547"/>
      <c r="N107" s="548"/>
      <c r="O107" s="548"/>
      <c r="P107" s="548"/>
      <c r="Q107" s="548"/>
      <c r="R107" s="548"/>
      <c r="S107" s="548"/>
      <c r="T107" s="548"/>
      <c r="U107" s="548"/>
      <c r="V107" s="548"/>
      <c r="W107" s="548"/>
      <c r="X107" s="548"/>
      <c r="Y107" s="548"/>
      <c r="Z107" s="548"/>
      <c r="AA107" s="548"/>
      <c r="AB107" s="548"/>
      <c r="AC107" s="548"/>
      <c r="AD107" s="548"/>
      <c r="AE107" s="548"/>
      <c r="AF107" s="548"/>
      <c r="AG107" s="549"/>
      <c r="AH107" s="518"/>
    </row>
    <row r="108">
      <c r="A108" s="546"/>
      <c r="B108" s="547"/>
      <c r="C108" s="547"/>
      <c r="D108" s="547"/>
      <c r="E108" s="547"/>
      <c r="F108" s="547"/>
      <c r="G108" s="547"/>
      <c r="H108" s="547"/>
      <c r="I108" s="547"/>
      <c r="J108" s="547"/>
      <c r="K108" s="547"/>
      <c r="L108" s="547"/>
      <c r="M108" s="547"/>
      <c r="N108" s="548"/>
      <c r="O108" s="548"/>
      <c r="P108" s="548"/>
      <c r="Q108" s="548"/>
      <c r="R108" s="548"/>
      <c r="S108" s="548"/>
      <c r="T108" s="548"/>
      <c r="U108" s="548"/>
      <c r="V108" s="548"/>
      <c r="W108" s="548"/>
      <c r="X108" s="548"/>
      <c r="Y108" s="548"/>
      <c r="Z108" s="548"/>
      <c r="AA108" s="548"/>
      <c r="AB108" s="548"/>
      <c r="AC108" s="548"/>
      <c r="AD108" s="548"/>
      <c r="AE108" s="548"/>
      <c r="AF108" s="548"/>
      <c r="AG108" s="549"/>
      <c r="AH108" s="518"/>
    </row>
    <row r="109">
      <c r="A109" s="546"/>
      <c r="B109" s="547"/>
      <c r="C109" s="547"/>
      <c r="D109" s="547"/>
      <c r="E109" s="547"/>
      <c r="F109" s="547"/>
      <c r="G109" s="547"/>
      <c r="H109" s="547"/>
      <c r="I109" s="547"/>
      <c r="J109" s="547"/>
      <c r="K109" s="547"/>
      <c r="L109" s="547"/>
      <c r="M109" s="547"/>
      <c r="N109" s="548"/>
      <c r="O109" s="548"/>
      <c r="P109" s="548"/>
      <c r="Q109" s="548"/>
      <c r="R109" s="548"/>
      <c r="S109" s="548"/>
      <c r="T109" s="548"/>
      <c r="U109" s="548"/>
      <c r="V109" s="548"/>
      <c r="W109" s="548"/>
      <c r="X109" s="548"/>
      <c r="Y109" s="548"/>
      <c r="Z109" s="548"/>
      <c r="AA109" s="548"/>
      <c r="AB109" s="548"/>
      <c r="AC109" s="548"/>
      <c r="AD109" s="548"/>
      <c r="AE109" s="548"/>
      <c r="AF109" s="548"/>
      <c r="AG109" s="549"/>
      <c r="AH109" s="518"/>
    </row>
    <row r="110">
      <c r="A110" s="546"/>
      <c r="B110" s="547"/>
      <c r="C110" s="547"/>
      <c r="D110" s="547"/>
      <c r="E110" s="547"/>
      <c r="F110" s="547"/>
      <c r="G110" s="547"/>
      <c r="H110" s="547"/>
      <c r="I110" s="547"/>
      <c r="J110" s="547"/>
      <c r="K110" s="547"/>
      <c r="L110" s="547"/>
      <c r="M110" s="547"/>
      <c r="N110" s="548"/>
      <c r="O110" s="548"/>
      <c r="P110" s="548"/>
      <c r="Q110" s="548"/>
      <c r="R110" s="548"/>
      <c r="S110" s="548"/>
      <c r="T110" s="548"/>
      <c r="U110" s="548"/>
      <c r="V110" s="548"/>
      <c r="W110" s="548"/>
      <c r="X110" s="548"/>
      <c r="Y110" s="548"/>
      <c r="Z110" s="548"/>
      <c r="AA110" s="548"/>
      <c r="AB110" s="548"/>
      <c r="AC110" s="548"/>
      <c r="AD110" s="548"/>
      <c r="AE110" s="548"/>
      <c r="AF110" s="548"/>
      <c r="AG110" s="549"/>
      <c r="AH110" s="518"/>
    </row>
    <row r="111">
      <c r="A111" s="546"/>
      <c r="B111" s="547"/>
      <c r="C111" s="547"/>
      <c r="D111" s="547"/>
      <c r="E111" s="547"/>
      <c r="F111" s="547"/>
      <c r="G111" s="547"/>
      <c r="H111" s="547"/>
      <c r="I111" s="547"/>
      <c r="J111" s="547"/>
      <c r="K111" s="547"/>
      <c r="L111" s="547"/>
      <c r="M111" s="547"/>
      <c r="N111" s="548"/>
      <c r="O111" s="548"/>
      <c r="P111" s="548"/>
      <c r="Q111" s="548"/>
      <c r="R111" s="548"/>
      <c r="S111" s="548"/>
      <c r="T111" s="548"/>
      <c r="U111" s="548"/>
      <c r="V111" s="548"/>
      <c r="W111" s="548"/>
      <c r="X111" s="548"/>
      <c r="Y111" s="548"/>
      <c r="Z111" s="548"/>
      <c r="AA111" s="548"/>
      <c r="AB111" s="548"/>
      <c r="AC111" s="548"/>
      <c r="AD111" s="548"/>
      <c r="AE111" s="548"/>
      <c r="AF111" s="548"/>
      <c r="AG111" s="549"/>
      <c r="AH111" s="518"/>
    </row>
    <row r="112">
      <c r="A112" s="546"/>
      <c r="B112" s="547"/>
      <c r="C112" s="547"/>
      <c r="D112" s="547"/>
      <c r="E112" s="547"/>
      <c r="F112" s="547"/>
      <c r="G112" s="547"/>
      <c r="H112" s="547"/>
      <c r="I112" s="547"/>
      <c r="J112" s="547"/>
      <c r="K112" s="547"/>
      <c r="L112" s="547"/>
      <c r="M112" s="547"/>
      <c r="N112" s="548"/>
      <c r="O112" s="548"/>
      <c r="P112" s="548"/>
      <c r="Q112" s="548"/>
      <c r="R112" s="548"/>
      <c r="S112" s="548"/>
      <c r="T112" s="548"/>
      <c r="U112" s="548"/>
      <c r="V112" s="548"/>
      <c r="W112" s="548"/>
      <c r="X112" s="548"/>
      <c r="Y112" s="548"/>
      <c r="Z112" s="548"/>
      <c r="AA112" s="548"/>
      <c r="AB112" s="548"/>
      <c r="AC112" s="548"/>
      <c r="AD112" s="548"/>
      <c r="AE112" s="548"/>
      <c r="AF112" s="548"/>
      <c r="AG112" s="549"/>
      <c r="AH112" s="518"/>
    </row>
    <row r="113">
      <c r="A113" s="546"/>
      <c r="B113" s="547"/>
      <c r="C113" s="547"/>
      <c r="D113" s="547"/>
      <c r="E113" s="547"/>
      <c r="F113" s="547"/>
      <c r="G113" s="547"/>
      <c r="H113" s="547"/>
      <c r="I113" s="547"/>
      <c r="J113" s="547"/>
      <c r="K113" s="547"/>
      <c r="L113" s="547"/>
      <c r="M113" s="547"/>
      <c r="N113" s="548"/>
      <c r="O113" s="548"/>
      <c r="P113" s="548"/>
      <c r="Q113" s="548"/>
      <c r="R113" s="548"/>
      <c r="S113" s="548"/>
      <c r="T113" s="548"/>
      <c r="U113" s="548"/>
      <c r="V113" s="548"/>
      <c r="W113" s="548"/>
      <c r="X113" s="548"/>
      <c r="Y113" s="548"/>
      <c r="Z113" s="548"/>
      <c r="AA113" s="548"/>
      <c r="AB113" s="548"/>
      <c r="AC113" s="548"/>
      <c r="AD113" s="548"/>
      <c r="AE113" s="548"/>
      <c r="AF113" s="548"/>
      <c r="AG113" s="549"/>
      <c r="AH113" s="518"/>
    </row>
    <row r="114">
      <c r="A114" s="546"/>
      <c r="B114" s="547"/>
      <c r="C114" s="547"/>
      <c r="D114" s="547"/>
      <c r="E114" s="547"/>
      <c r="F114" s="547"/>
      <c r="G114" s="547"/>
      <c r="H114" s="547"/>
      <c r="I114" s="547"/>
      <c r="J114" s="547"/>
      <c r="K114" s="547"/>
      <c r="L114" s="547"/>
      <c r="M114" s="547"/>
      <c r="N114" s="548"/>
      <c r="O114" s="548"/>
      <c r="P114" s="548"/>
      <c r="Q114" s="548"/>
      <c r="R114" s="548"/>
      <c r="S114" s="548"/>
      <c r="T114" s="548"/>
      <c r="U114" s="548"/>
      <c r="V114" s="548"/>
      <c r="W114" s="548"/>
      <c r="X114" s="548"/>
      <c r="Y114" s="548"/>
      <c r="Z114" s="548"/>
      <c r="AA114" s="548"/>
      <c r="AB114" s="548"/>
      <c r="AC114" s="548"/>
      <c r="AD114" s="548"/>
      <c r="AE114" s="548"/>
      <c r="AF114" s="548"/>
      <c r="AG114" s="549"/>
      <c r="AH114" s="518"/>
    </row>
    <row r="115">
      <c r="A115" s="546"/>
      <c r="B115" s="547"/>
      <c r="C115" s="547"/>
      <c r="D115" s="547"/>
      <c r="E115" s="547"/>
      <c r="F115" s="547"/>
      <c r="G115" s="547"/>
      <c r="H115" s="547"/>
      <c r="I115" s="547"/>
      <c r="J115" s="547"/>
      <c r="K115" s="547"/>
      <c r="L115" s="547"/>
      <c r="M115" s="547"/>
      <c r="N115" s="548"/>
      <c r="O115" s="548"/>
      <c r="P115" s="548"/>
      <c r="Q115" s="548"/>
      <c r="R115" s="548"/>
      <c r="S115" s="548"/>
      <c r="T115" s="548"/>
      <c r="U115" s="548"/>
      <c r="V115" s="548"/>
      <c r="W115" s="548"/>
      <c r="X115" s="548"/>
      <c r="Y115" s="548"/>
      <c r="Z115" s="548"/>
      <c r="AA115" s="548"/>
      <c r="AB115" s="548"/>
      <c r="AC115" s="548"/>
      <c r="AD115" s="548"/>
      <c r="AE115" s="548"/>
      <c r="AF115" s="548"/>
      <c r="AG115" s="549"/>
      <c r="AH115" s="518"/>
    </row>
    <row r="116">
      <c r="A116" s="546"/>
      <c r="B116" s="547"/>
      <c r="C116" s="547"/>
      <c r="D116" s="547"/>
      <c r="E116" s="547"/>
      <c r="F116" s="547"/>
      <c r="G116" s="547"/>
      <c r="H116" s="547"/>
      <c r="I116" s="547"/>
      <c r="J116" s="547"/>
      <c r="K116" s="547"/>
      <c r="L116" s="547"/>
      <c r="M116" s="547"/>
      <c r="N116" s="548"/>
      <c r="O116" s="548"/>
      <c r="P116" s="548"/>
      <c r="Q116" s="548"/>
      <c r="R116" s="548"/>
      <c r="S116" s="548"/>
      <c r="T116" s="548"/>
      <c r="U116" s="548"/>
      <c r="V116" s="548"/>
      <c r="W116" s="548"/>
      <c r="X116" s="548"/>
      <c r="Y116" s="548"/>
      <c r="Z116" s="548"/>
      <c r="AA116" s="548"/>
      <c r="AB116" s="548"/>
      <c r="AC116" s="548"/>
      <c r="AD116" s="548"/>
      <c r="AE116" s="548"/>
      <c r="AF116" s="548"/>
      <c r="AG116" s="549"/>
      <c r="AH116" s="518"/>
    </row>
    <row r="117">
      <c r="A117" s="546"/>
      <c r="B117" s="547"/>
      <c r="C117" s="547"/>
      <c r="D117" s="547"/>
      <c r="E117" s="547"/>
      <c r="F117" s="547"/>
      <c r="G117" s="547"/>
      <c r="H117" s="547"/>
      <c r="I117" s="547"/>
      <c r="J117" s="547"/>
      <c r="K117" s="547"/>
      <c r="L117" s="547"/>
      <c r="M117" s="547"/>
      <c r="N117" s="548"/>
      <c r="O117" s="548"/>
      <c r="P117" s="548"/>
      <c r="Q117" s="548"/>
      <c r="R117" s="548"/>
      <c r="S117" s="548"/>
      <c r="T117" s="548"/>
      <c r="U117" s="548"/>
      <c r="V117" s="548"/>
      <c r="W117" s="548"/>
      <c r="X117" s="548"/>
      <c r="Y117" s="548"/>
      <c r="Z117" s="548"/>
      <c r="AA117" s="548"/>
      <c r="AB117" s="548"/>
      <c r="AC117" s="548"/>
      <c r="AD117" s="548"/>
      <c r="AE117" s="548"/>
      <c r="AF117" s="548"/>
      <c r="AG117" s="549"/>
      <c r="AH117" s="518"/>
    </row>
    <row r="118">
      <c r="A118" s="546"/>
      <c r="B118" s="547"/>
      <c r="C118" s="547"/>
      <c r="D118" s="547"/>
      <c r="E118" s="547"/>
      <c r="F118" s="547"/>
      <c r="G118" s="547"/>
      <c r="H118" s="547"/>
      <c r="I118" s="547"/>
      <c r="J118" s="547"/>
      <c r="K118" s="547"/>
      <c r="L118" s="547"/>
      <c r="M118" s="547"/>
      <c r="N118" s="548"/>
      <c r="O118" s="548"/>
      <c r="P118" s="548"/>
      <c r="Q118" s="548"/>
      <c r="R118" s="548"/>
      <c r="S118" s="548"/>
      <c r="T118" s="548"/>
      <c r="U118" s="548"/>
      <c r="V118" s="548"/>
      <c r="W118" s="548"/>
      <c r="X118" s="548"/>
      <c r="Y118" s="548"/>
      <c r="Z118" s="548"/>
      <c r="AA118" s="548"/>
      <c r="AB118" s="548"/>
      <c r="AC118" s="548"/>
      <c r="AD118" s="548"/>
      <c r="AE118" s="548"/>
      <c r="AF118" s="548"/>
      <c r="AG118" s="549"/>
      <c r="AH118" s="518"/>
    </row>
    <row r="119">
      <c r="A119" s="546"/>
      <c r="B119" s="547"/>
      <c r="C119" s="547"/>
      <c r="D119" s="547"/>
      <c r="E119" s="547"/>
      <c r="F119" s="547"/>
      <c r="G119" s="547"/>
      <c r="H119" s="547"/>
      <c r="I119" s="547"/>
      <c r="J119" s="547"/>
      <c r="K119" s="547"/>
      <c r="L119" s="547"/>
      <c r="M119" s="547"/>
      <c r="N119" s="548"/>
      <c r="O119" s="548"/>
      <c r="P119" s="548"/>
      <c r="Q119" s="548"/>
      <c r="R119" s="548"/>
      <c r="S119" s="548"/>
      <c r="T119" s="548"/>
      <c r="U119" s="548"/>
      <c r="V119" s="548"/>
      <c r="W119" s="548"/>
      <c r="X119" s="548"/>
      <c r="Y119" s="548"/>
      <c r="Z119" s="548"/>
      <c r="AA119" s="548"/>
      <c r="AB119" s="548"/>
      <c r="AC119" s="548"/>
      <c r="AD119" s="548"/>
      <c r="AE119" s="548"/>
      <c r="AF119" s="548"/>
      <c r="AG119" s="549"/>
      <c r="AH119" s="518"/>
    </row>
    <row r="120">
      <c r="A120" s="546"/>
      <c r="B120" s="547"/>
      <c r="C120" s="547"/>
      <c r="D120" s="547"/>
      <c r="E120" s="547"/>
      <c r="F120" s="547"/>
      <c r="G120" s="547"/>
      <c r="H120" s="547"/>
      <c r="I120" s="547"/>
      <c r="J120" s="547"/>
      <c r="K120" s="547"/>
      <c r="L120" s="547"/>
      <c r="M120" s="547"/>
      <c r="N120" s="548"/>
      <c r="O120" s="548"/>
      <c r="P120" s="548"/>
      <c r="Q120" s="548"/>
      <c r="R120" s="548"/>
      <c r="S120" s="548"/>
      <c r="T120" s="548"/>
      <c r="U120" s="548"/>
      <c r="V120" s="548"/>
      <c r="W120" s="548"/>
      <c r="X120" s="548"/>
      <c r="Y120" s="548"/>
      <c r="Z120" s="548"/>
      <c r="AA120" s="548"/>
      <c r="AB120" s="548"/>
      <c r="AC120" s="548"/>
      <c r="AD120" s="548"/>
      <c r="AE120" s="548"/>
      <c r="AF120" s="548"/>
      <c r="AG120" s="549"/>
      <c r="AH120" s="518"/>
    </row>
    <row r="121">
      <c r="A121" s="546"/>
      <c r="B121" s="547"/>
      <c r="C121" s="547"/>
      <c r="D121" s="547"/>
      <c r="E121" s="547"/>
      <c r="F121" s="547"/>
      <c r="G121" s="547"/>
      <c r="H121" s="547"/>
      <c r="I121" s="547"/>
      <c r="J121" s="547"/>
      <c r="K121" s="547"/>
      <c r="L121" s="547"/>
      <c r="M121" s="547"/>
      <c r="N121" s="548"/>
      <c r="O121" s="548"/>
      <c r="P121" s="548"/>
      <c r="Q121" s="548"/>
      <c r="R121" s="548"/>
      <c r="S121" s="548"/>
      <c r="T121" s="548"/>
      <c r="U121" s="548"/>
      <c r="V121" s="548"/>
      <c r="W121" s="548"/>
      <c r="X121" s="548"/>
      <c r="Y121" s="548"/>
      <c r="Z121" s="548"/>
      <c r="AA121" s="548"/>
      <c r="AB121" s="548"/>
      <c r="AC121" s="548"/>
      <c r="AD121" s="548"/>
      <c r="AE121" s="548"/>
      <c r="AF121" s="548"/>
      <c r="AG121" s="549"/>
      <c r="AH121" s="518"/>
    </row>
    <row r="122">
      <c r="A122" s="546"/>
      <c r="B122" s="547"/>
      <c r="C122" s="547"/>
      <c r="D122" s="547"/>
      <c r="E122" s="547"/>
      <c r="F122" s="547"/>
      <c r="G122" s="547"/>
      <c r="H122" s="547"/>
      <c r="I122" s="547"/>
      <c r="J122" s="547"/>
      <c r="K122" s="547"/>
      <c r="L122" s="547"/>
      <c r="M122" s="547"/>
      <c r="N122" s="548"/>
      <c r="O122" s="548"/>
      <c r="P122" s="548"/>
      <c r="Q122" s="548"/>
      <c r="R122" s="548"/>
      <c r="S122" s="548"/>
      <c r="T122" s="548"/>
      <c r="U122" s="548"/>
      <c r="V122" s="548"/>
      <c r="W122" s="548"/>
      <c r="X122" s="548"/>
      <c r="Y122" s="548"/>
      <c r="Z122" s="548"/>
      <c r="AA122" s="548"/>
      <c r="AB122" s="548"/>
      <c r="AC122" s="548"/>
      <c r="AD122" s="548"/>
      <c r="AE122" s="548"/>
      <c r="AF122" s="548"/>
      <c r="AG122" s="549"/>
      <c r="AH122" s="518"/>
    </row>
    <row r="123">
      <c r="A123" s="546"/>
      <c r="B123" s="547"/>
      <c r="C123" s="547"/>
      <c r="D123" s="547"/>
      <c r="E123" s="547"/>
      <c r="F123" s="547"/>
      <c r="G123" s="547"/>
      <c r="H123" s="547"/>
      <c r="I123" s="547"/>
      <c r="J123" s="547"/>
      <c r="K123" s="547"/>
      <c r="L123" s="547"/>
      <c r="M123" s="547"/>
      <c r="N123" s="548"/>
      <c r="O123" s="548"/>
      <c r="P123" s="548"/>
      <c r="Q123" s="548"/>
      <c r="R123" s="548"/>
      <c r="S123" s="548"/>
      <c r="T123" s="548"/>
      <c r="U123" s="548"/>
      <c r="V123" s="548"/>
      <c r="W123" s="548"/>
      <c r="X123" s="548"/>
      <c r="Y123" s="548"/>
      <c r="Z123" s="548"/>
      <c r="AA123" s="548"/>
      <c r="AB123" s="548"/>
      <c r="AC123" s="548"/>
      <c r="AD123" s="548"/>
      <c r="AE123" s="548"/>
      <c r="AF123" s="548"/>
      <c r="AG123" s="549"/>
      <c r="AH123" s="518"/>
    </row>
    <row r="124">
      <c r="A124" s="546"/>
      <c r="B124" s="547"/>
      <c r="C124" s="547"/>
      <c r="D124" s="547"/>
      <c r="E124" s="547"/>
      <c r="F124" s="547"/>
      <c r="G124" s="547"/>
      <c r="H124" s="547"/>
      <c r="I124" s="547"/>
      <c r="J124" s="547"/>
      <c r="K124" s="547"/>
      <c r="L124" s="547"/>
      <c r="M124" s="547"/>
      <c r="N124" s="548"/>
      <c r="O124" s="548"/>
      <c r="P124" s="548"/>
      <c r="Q124" s="548"/>
      <c r="R124" s="548"/>
      <c r="S124" s="548"/>
      <c r="T124" s="548"/>
      <c r="U124" s="548"/>
      <c r="V124" s="548"/>
      <c r="W124" s="548"/>
      <c r="X124" s="548"/>
      <c r="Y124" s="548"/>
      <c r="Z124" s="548"/>
      <c r="AA124" s="548"/>
      <c r="AB124" s="548"/>
      <c r="AC124" s="548"/>
      <c r="AD124" s="548"/>
      <c r="AE124" s="548"/>
      <c r="AF124" s="548"/>
      <c r="AG124" s="549"/>
      <c r="AH124" s="518"/>
    </row>
    <row r="125">
      <c r="A125" s="546"/>
      <c r="B125" s="547"/>
      <c r="C125" s="547"/>
      <c r="D125" s="547"/>
      <c r="E125" s="547"/>
      <c r="F125" s="547"/>
      <c r="G125" s="547"/>
      <c r="H125" s="547"/>
      <c r="I125" s="547"/>
      <c r="J125" s="547"/>
      <c r="K125" s="547"/>
      <c r="L125" s="547"/>
      <c r="M125" s="547"/>
      <c r="N125" s="548"/>
      <c r="O125" s="548"/>
      <c r="P125" s="548"/>
      <c r="Q125" s="548"/>
      <c r="R125" s="548"/>
      <c r="S125" s="548"/>
      <c r="T125" s="548"/>
      <c r="U125" s="548"/>
      <c r="V125" s="548"/>
      <c r="W125" s="548"/>
      <c r="X125" s="548"/>
      <c r="Y125" s="548"/>
      <c r="Z125" s="548"/>
      <c r="AA125" s="548"/>
      <c r="AB125" s="548"/>
      <c r="AC125" s="548"/>
      <c r="AD125" s="548"/>
      <c r="AE125" s="548"/>
      <c r="AF125" s="548"/>
      <c r="AG125" s="549"/>
      <c r="AH125" s="518"/>
    </row>
    <row r="126">
      <c r="A126" s="546"/>
      <c r="B126" s="547"/>
      <c r="C126" s="547"/>
      <c r="D126" s="547"/>
      <c r="E126" s="547"/>
      <c r="F126" s="547"/>
      <c r="G126" s="547"/>
      <c r="H126" s="547"/>
      <c r="I126" s="547"/>
      <c r="J126" s="547"/>
      <c r="K126" s="547"/>
      <c r="L126" s="547"/>
      <c r="M126" s="547"/>
      <c r="N126" s="548"/>
      <c r="O126" s="548"/>
      <c r="P126" s="548"/>
      <c r="Q126" s="548"/>
      <c r="R126" s="548"/>
      <c r="S126" s="548"/>
      <c r="T126" s="548"/>
      <c r="U126" s="548"/>
      <c r="V126" s="548"/>
      <c r="W126" s="548"/>
      <c r="X126" s="548"/>
      <c r="Y126" s="548"/>
      <c r="Z126" s="548"/>
      <c r="AA126" s="548"/>
      <c r="AB126" s="548"/>
      <c r="AC126" s="548"/>
      <c r="AD126" s="548"/>
      <c r="AE126" s="548"/>
      <c r="AF126" s="548"/>
      <c r="AG126" s="549"/>
      <c r="AH126" s="518"/>
    </row>
    <row r="127">
      <c r="A127" s="546"/>
      <c r="B127" s="547"/>
      <c r="C127" s="547"/>
      <c r="D127" s="547"/>
      <c r="E127" s="547"/>
      <c r="F127" s="547"/>
      <c r="G127" s="547"/>
      <c r="H127" s="547"/>
      <c r="I127" s="547"/>
      <c r="J127" s="547"/>
      <c r="K127" s="547"/>
      <c r="L127" s="547"/>
      <c r="M127" s="547"/>
      <c r="N127" s="548"/>
      <c r="O127" s="548"/>
      <c r="P127" s="548"/>
      <c r="Q127" s="548"/>
      <c r="R127" s="548"/>
      <c r="S127" s="548"/>
      <c r="T127" s="548"/>
      <c r="U127" s="548"/>
      <c r="V127" s="548"/>
      <c r="W127" s="548"/>
      <c r="X127" s="548"/>
      <c r="Y127" s="548"/>
      <c r="Z127" s="548"/>
      <c r="AA127" s="548"/>
      <c r="AB127" s="548"/>
      <c r="AC127" s="548"/>
      <c r="AD127" s="548"/>
      <c r="AE127" s="548"/>
      <c r="AF127" s="548"/>
      <c r="AG127" s="549"/>
      <c r="AH127" s="518"/>
    </row>
    <row r="128">
      <c r="A128" s="546"/>
      <c r="B128" s="547"/>
      <c r="C128" s="547"/>
      <c r="D128" s="547"/>
      <c r="E128" s="547"/>
      <c r="F128" s="547"/>
      <c r="G128" s="547"/>
      <c r="H128" s="547"/>
      <c r="I128" s="547"/>
      <c r="J128" s="547"/>
      <c r="K128" s="547"/>
      <c r="L128" s="547"/>
      <c r="M128" s="547"/>
      <c r="N128" s="548"/>
      <c r="O128" s="548"/>
      <c r="P128" s="548"/>
      <c r="Q128" s="548"/>
      <c r="R128" s="548"/>
      <c r="S128" s="548"/>
      <c r="T128" s="548"/>
      <c r="U128" s="548"/>
      <c r="V128" s="548"/>
      <c r="W128" s="548"/>
      <c r="X128" s="548"/>
      <c r="Y128" s="548"/>
      <c r="Z128" s="548"/>
      <c r="AA128" s="548"/>
      <c r="AB128" s="548"/>
      <c r="AC128" s="548"/>
      <c r="AD128" s="548"/>
      <c r="AE128" s="548"/>
      <c r="AF128" s="548"/>
      <c r="AG128" s="549"/>
      <c r="AH128" s="518"/>
    </row>
    <row r="129">
      <c r="A129" s="546"/>
      <c r="B129" s="547"/>
      <c r="C129" s="547"/>
      <c r="D129" s="547"/>
      <c r="E129" s="547"/>
      <c r="F129" s="547"/>
      <c r="G129" s="547"/>
      <c r="H129" s="547"/>
      <c r="I129" s="547"/>
      <c r="J129" s="547"/>
      <c r="K129" s="547"/>
      <c r="L129" s="547"/>
      <c r="M129" s="547"/>
      <c r="N129" s="548"/>
      <c r="O129" s="548"/>
      <c r="P129" s="548"/>
      <c r="Q129" s="548"/>
      <c r="R129" s="548"/>
      <c r="S129" s="548"/>
      <c r="T129" s="548"/>
      <c r="U129" s="548"/>
      <c r="V129" s="548"/>
      <c r="W129" s="548"/>
      <c r="X129" s="548"/>
      <c r="Y129" s="548"/>
      <c r="Z129" s="548"/>
      <c r="AA129" s="548"/>
      <c r="AB129" s="548"/>
      <c r="AC129" s="548"/>
      <c r="AD129" s="548"/>
      <c r="AE129" s="548"/>
      <c r="AF129" s="548"/>
      <c r="AG129" s="549"/>
      <c r="AH129" s="518"/>
    </row>
    <row r="130">
      <c r="A130" s="546"/>
      <c r="B130" s="547"/>
      <c r="C130" s="547"/>
      <c r="D130" s="547"/>
      <c r="E130" s="547"/>
      <c r="F130" s="547"/>
      <c r="G130" s="547"/>
      <c r="H130" s="547"/>
      <c r="I130" s="547"/>
      <c r="J130" s="547"/>
      <c r="K130" s="547"/>
      <c r="L130" s="547"/>
      <c r="M130" s="547"/>
      <c r="N130" s="548"/>
      <c r="O130" s="548"/>
      <c r="P130" s="548"/>
      <c r="Q130" s="548"/>
      <c r="R130" s="548"/>
      <c r="S130" s="548"/>
      <c r="T130" s="548"/>
      <c r="U130" s="548"/>
      <c r="V130" s="548"/>
      <c r="W130" s="548"/>
      <c r="X130" s="548"/>
      <c r="Y130" s="548"/>
      <c r="Z130" s="548"/>
      <c r="AA130" s="548"/>
      <c r="AB130" s="548"/>
      <c r="AC130" s="548"/>
      <c r="AD130" s="548"/>
      <c r="AE130" s="548"/>
      <c r="AF130" s="548"/>
      <c r="AG130" s="549"/>
      <c r="AH130" s="518"/>
    </row>
    <row r="131">
      <c r="A131" s="546"/>
      <c r="B131" s="547"/>
      <c r="C131" s="547"/>
      <c r="D131" s="547"/>
      <c r="E131" s="547"/>
      <c r="F131" s="547"/>
      <c r="G131" s="547"/>
      <c r="H131" s="547"/>
      <c r="I131" s="547"/>
      <c r="J131" s="547"/>
      <c r="K131" s="547"/>
      <c r="L131" s="547"/>
      <c r="M131" s="547"/>
      <c r="N131" s="548"/>
      <c r="O131" s="548"/>
      <c r="P131" s="548"/>
      <c r="Q131" s="548"/>
      <c r="R131" s="548"/>
      <c r="S131" s="548"/>
      <c r="T131" s="548"/>
      <c r="U131" s="548"/>
      <c r="V131" s="548"/>
      <c r="W131" s="548"/>
      <c r="X131" s="548"/>
      <c r="Y131" s="548"/>
      <c r="Z131" s="548"/>
      <c r="AA131" s="548"/>
      <c r="AB131" s="548"/>
      <c r="AC131" s="548"/>
      <c r="AD131" s="548"/>
      <c r="AE131" s="548"/>
      <c r="AF131" s="548"/>
      <c r="AG131" s="549"/>
      <c r="AH131" s="518"/>
    </row>
    <row r="132">
      <c r="A132" s="546"/>
      <c r="B132" s="547"/>
      <c r="C132" s="547"/>
      <c r="D132" s="547"/>
      <c r="E132" s="547"/>
      <c r="F132" s="547"/>
      <c r="G132" s="547"/>
      <c r="H132" s="547"/>
      <c r="I132" s="547"/>
      <c r="J132" s="547"/>
      <c r="K132" s="547"/>
      <c r="L132" s="547"/>
      <c r="M132" s="547"/>
      <c r="N132" s="548"/>
      <c r="O132" s="548"/>
      <c r="P132" s="548"/>
      <c r="Q132" s="548"/>
      <c r="R132" s="548"/>
      <c r="S132" s="548"/>
      <c r="T132" s="548"/>
      <c r="U132" s="548"/>
      <c r="V132" s="548"/>
      <c r="W132" s="548"/>
      <c r="X132" s="548"/>
      <c r="Y132" s="548"/>
      <c r="Z132" s="548"/>
      <c r="AA132" s="548"/>
      <c r="AB132" s="548"/>
      <c r="AC132" s="548"/>
      <c r="AD132" s="548"/>
      <c r="AE132" s="548"/>
      <c r="AF132" s="548"/>
      <c r="AG132" s="549"/>
      <c r="AH132" s="518"/>
    </row>
    <row r="133">
      <c r="A133" s="546"/>
      <c r="B133" s="547"/>
      <c r="C133" s="547"/>
      <c r="D133" s="547"/>
      <c r="E133" s="547"/>
      <c r="F133" s="547"/>
      <c r="G133" s="547"/>
      <c r="H133" s="547"/>
      <c r="I133" s="547"/>
      <c r="J133" s="547"/>
      <c r="K133" s="547"/>
      <c r="L133" s="547"/>
      <c r="M133" s="547"/>
      <c r="N133" s="548"/>
      <c r="O133" s="548"/>
      <c r="P133" s="548"/>
      <c r="Q133" s="548"/>
      <c r="R133" s="548"/>
      <c r="S133" s="548"/>
      <c r="T133" s="548"/>
      <c r="U133" s="548"/>
      <c r="V133" s="548"/>
      <c r="W133" s="548"/>
      <c r="X133" s="548"/>
      <c r="Y133" s="548"/>
      <c r="Z133" s="548"/>
      <c r="AA133" s="548"/>
      <c r="AB133" s="548"/>
      <c r="AC133" s="548"/>
      <c r="AD133" s="548"/>
      <c r="AE133" s="548"/>
      <c r="AF133" s="548"/>
      <c r="AG133" s="549"/>
      <c r="AH133" s="518"/>
    </row>
    <row r="134">
      <c r="A134" s="546"/>
      <c r="B134" s="547"/>
      <c r="C134" s="547"/>
      <c r="D134" s="547"/>
      <c r="E134" s="547"/>
      <c r="F134" s="547"/>
      <c r="G134" s="547"/>
      <c r="H134" s="547"/>
      <c r="I134" s="547"/>
      <c r="J134" s="547"/>
      <c r="K134" s="547"/>
      <c r="L134" s="547"/>
      <c r="M134" s="547"/>
      <c r="N134" s="548"/>
      <c r="O134" s="548"/>
      <c r="P134" s="548"/>
      <c r="Q134" s="548"/>
      <c r="R134" s="548"/>
      <c r="S134" s="548"/>
      <c r="T134" s="548"/>
      <c r="U134" s="548"/>
      <c r="V134" s="548"/>
      <c r="W134" s="548"/>
      <c r="X134" s="548"/>
      <c r="Y134" s="548"/>
      <c r="Z134" s="548"/>
      <c r="AA134" s="548"/>
      <c r="AB134" s="548"/>
      <c r="AC134" s="548"/>
      <c r="AD134" s="548"/>
      <c r="AE134" s="548"/>
      <c r="AF134" s="548"/>
      <c r="AG134" s="549"/>
      <c r="AH134" s="518"/>
    </row>
    <row r="135">
      <c r="A135" s="546"/>
      <c r="B135" s="547"/>
      <c r="C135" s="547"/>
      <c r="D135" s="547"/>
      <c r="E135" s="547"/>
      <c r="F135" s="547"/>
      <c r="G135" s="547"/>
      <c r="H135" s="547"/>
      <c r="I135" s="547"/>
      <c r="J135" s="547"/>
      <c r="K135" s="547"/>
      <c r="L135" s="547"/>
      <c r="M135" s="547"/>
      <c r="N135" s="548"/>
      <c r="O135" s="548"/>
      <c r="P135" s="548"/>
      <c r="Q135" s="548"/>
      <c r="R135" s="548"/>
      <c r="S135" s="548"/>
      <c r="T135" s="548"/>
      <c r="U135" s="548"/>
      <c r="V135" s="548"/>
      <c r="W135" s="548"/>
      <c r="X135" s="548"/>
      <c r="Y135" s="548"/>
      <c r="Z135" s="548"/>
      <c r="AA135" s="548"/>
      <c r="AB135" s="548"/>
      <c r="AC135" s="548"/>
      <c r="AD135" s="548"/>
      <c r="AE135" s="548"/>
      <c r="AF135" s="548"/>
      <c r="AG135" s="549"/>
      <c r="AH135" s="518"/>
    </row>
    <row r="136">
      <c r="A136" s="546"/>
      <c r="B136" s="547"/>
      <c r="C136" s="547"/>
      <c r="D136" s="547"/>
      <c r="E136" s="547"/>
      <c r="F136" s="547"/>
      <c r="G136" s="547"/>
      <c r="H136" s="547"/>
      <c r="I136" s="547"/>
      <c r="J136" s="547"/>
      <c r="K136" s="547"/>
      <c r="L136" s="547"/>
      <c r="M136" s="547"/>
      <c r="N136" s="548"/>
      <c r="O136" s="548"/>
      <c r="P136" s="548"/>
      <c r="Q136" s="548"/>
      <c r="R136" s="548"/>
      <c r="S136" s="548"/>
      <c r="T136" s="548"/>
      <c r="U136" s="548"/>
      <c r="V136" s="548"/>
      <c r="W136" s="548"/>
      <c r="X136" s="548"/>
      <c r="Y136" s="548"/>
      <c r="Z136" s="548"/>
      <c r="AA136" s="548"/>
      <c r="AB136" s="548"/>
      <c r="AC136" s="548"/>
      <c r="AD136" s="548"/>
      <c r="AE136" s="548"/>
      <c r="AF136" s="548"/>
      <c r="AG136" s="549"/>
      <c r="AH136" s="518"/>
    </row>
    <row r="137">
      <c r="A137" s="546"/>
      <c r="B137" s="547"/>
      <c r="C137" s="547"/>
      <c r="D137" s="547"/>
      <c r="E137" s="547"/>
      <c r="F137" s="547"/>
      <c r="G137" s="547"/>
      <c r="H137" s="547"/>
      <c r="I137" s="547"/>
      <c r="J137" s="547"/>
      <c r="K137" s="547"/>
      <c r="L137" s="547"/>
      <c r="M137" s="547"/>
      <c r="N137" s="548"/>
      <c r="O137" s="548"/>
      <c r="P137" s="548"/>
      <c r="Q137" s="548"/>
      <c r="R137" s="548"/>
      <c r="S137" s="548"/>
      <c r="T137" s="548"/>
      <c r="U137" s="548"/>
      <c r="V137" s="548"/>
      <c r="W137" s="548"/>
      <c r="X137" s="548"/>
      <c r="Y137" s="548"/>
      <c r="Z137" s="548"/>
      <c r="AA137" s="548"/>
      <c r="AB137" s="548"/>
      <c r="AC137" s="548"/>
      <c r="AD137" s="548"/>
      <c r="AE137" s="548"/>
      <c r="AF137" s="548"/>
      <c r="AG137" s="549"/>
      <c r="AH137" s="518"/>
    </row>
    <row r="138">
      <c r="A138" s="546"/>
      <c r="B138" s="547"/>
      <c r="C138" s="547"/>
      <c r="D138" s="547"/>
      <c r="E138" s="547"/>
      <c r="F138" s="547"/>
      <c r="G138" s="547"/>
      <c r="H138" s="547"/>
      <c r="I138" s="547"/>
      <c r="J138" s="547"/>
      <c r="K138" s="547"/>
      <c r="L138" s="547"/>
      <c r="M138" s="547"/>
      <c r="N138" s="548"/>
      <c r="O138" s="548"/>
      <c r="P138" s="548"/>
      <c r="Q138" s="548"/>
      <c r="R138" s="548"/>
      <c r="S138" s="548"/>
      <c r="T138" s="548"/>
      <c r="U138" s="548"/>
      <c r="V138" s="548"/>
      <c r="W138" s="548"/>
      <c r="X138" s="548"/>
      <c r="Y138" s="548"/>
      <c r="Z138" s="548"/>
      <c r="AA138" s="548"/>
      <c r="AB138" s="548"/>
      <c r="AC138" s="548"/>
      <c r="AD138" s="548"/>
      <c r="AE138" s="548"/>
      <c r="AF138" s="548"/>
      <c r="AG138" s="549"/>
      <c r="AH138" s="518"/>
    </row>
    <row r="139">
      <c r="A139" s="546"/>
      <c r="B139" s="547"/>
      <c r="C139" s="547"/>
      <c r="D139" s="547"/>
      <c r="E139" s="547"/>
      <c r="F139" s="547"/>
      <c r="G139" s="547"/>
      <c r="H139" s="547"/>
      <c r="I139" s="547"/>
      <c r="J139" s="547"/>
      <c r="K139" s="547"/>
      <c r="L139" s="547"/>
      <c r="M139" s="547"/>
      <c r="N139" s="548"/>
      <c r="O139" s="548"/>
      <c r="P139" s="548"/>
      <c r="Q139" s="548"/>
      <c r="R139" s="548"/>
      <c r="S139" s="548"/>
      <c r="T139" s="548"/>
      <c r="U139" s="548"/>
      <c r="V139" s="548"/>
      <c r="W139" s="548"/>
      <c r="X139" s="548"/>
      <c r="Y139" s="548"/>
      <c r="Z139" s="548"/>
      <c r="AA139" s="548"/>
      <c r="AB139" s="548"/>
      <c r="AC139" s="548"/>
      <c r="AD139" s="548"/>
      <c r="AE139" s="548"/>
      <c r="AF139" s="548"/>
      <c r="AG139" s="549"/>
      <c r="AH139" s="518"/>
    </row>
    <row r="140">
      <c r="A140" s="546"/>
      <c r="B140" s="547"/>
      <c r="C140" s="547"/>
      <c r="D140" s="547"/>
      <c r="E140" s="547"/>
      <c r="F140" s="547"/>
      <c r="G140" s="547"/>
      <c r="H140" s="547"/>
      <c r="I140" s="547"/>
      <c r="J140" s="547"/>
      <c r="K140" s="547"/>
      <c r="L140" s="547"/>
      <c r="M140" s="547"/>
      <c r="N140" s="548"/>
      <c r="O140" s="548"/>
      <c r="P140" s="548"/>
      <c r="Q140" s="548"/>
      <c r="R140" s="548"/>
      <c r="S140" s="548"/>
      <c r="T140" s="548"/>
      <c r="U140" s="548"/>
      <c r="V140" s="548"/>
      <c r="W140" s="548"/>
      <c r="X140" s="548"/>
      <c r="Y140" s="548"/>
      <c r="Z140" s="548"/>
      <c r="AA140" s="548"/>
      <c r="AB140" s="548"/>
      <c r="AC140" s="548"/>
      <c r="AD140" s="548"/>
      <c r="AE140" s="548"/>
      <c r="AF140" s="548"/>
      <c r="AG140" s="549"/>
      <c r="AH140" s="518"/>
    </row>
    <row r="141">
      <c r="A141" s="546"/>
      <c r="B141" s="547"/>
      <c r="C141" s="547"/>
      <c r="D141" s="547"/>
      <c r="E141" s="547"/>
      <c r="F141" s="547"/>
      <c r="G141" s="547"/>
      <c r="H141" s="547"/>
      <c r="I141" s="547"/>
      <c r="J141" s="547"/>
      <c r="K141" s="547"/>
      <c r="L141" s="547"/>
      <c r="M141" s="547"/>
      <c r="N141" s="548"/>
      <c r="O141" s="548"/>
      <c r="P141" s="548"/>
      <c r="Q141" s="548"/>
      <c r="R141" s="548"/>
      <c r="S141" s="548"/>
      <c r="T141" s="548"/>
      <c r="U141" s="548"/>
      <c r="V141" s="548"/>
      <c r="W141" s="548"/>
      <c r="X141" s="548"/>
      <c r="Y141" s="548"/>
      <c r="Z141" s="548"/>
      <c r="AA141" s="548"/>
      <c r="AB141" s="548"/>
      <c r="AC141" s="548"/>
      <c r="AD141" s="548"/>
      <c r="AE141" s="548"/>
      <c r="AF141" s="548"/>
      <c r="AG141" s="549"/>
      <c r="AH141" s="518"/>
    </row>
    <row r="142">
      <c r="A142" s="546"/>
      <c r="B142" s="547"/>
      <c r="C142" s="547"/>
      <c r="D142" s="547"/>
      <c r="E142" s="547"/>
      <c r="F142" s="547"/>
      <c r="G142" s="547"/>
      <c r="H142" s="547"/>
      <c r="I142" s="547"/>
      <c r="J142" s="547"/>
      <c r="K142" s="547"/>
      <c r="L142" s="547"/>
      <c r="M142" s="547"/>
      <c r="N142" s="548"/>
      <c r="O142" s="548"/>
      <c r="P142" s="548"/>
      <c r="Q142" s="548"/>
      <c r="R142" s="548"/>
      <c r="S142" s="548"/>
      <c r="T142" s="548"/>
      <c r="U142" s="548"/>
      <c r="V142" s="548"/>
      <c r="W142" s="548"/>
      <c r="X142" s="548"/>
      <c r="Y142" s="548"/>
      <c r="Z142" s="548"/>
      <c r="AA142" s="548"/>
      <c r="AB142" s="548"/>
      <c r="AC142" s="548"/>
      <c r="AD142" s="548"/>
      <c r="AE142" s="548"/>
      <c r="AF142" s="548"/>
      <c r="AG142" s="549"/>
      <c r="AH142" s="518"/>
    </row>
    <row r="143">
      <c r="A143" s="546"/>
      <c r="B143" s="547"/>
      <c r="C143" s="547"/>
      <c r="D143" s="547"/>
      <c r="E143" s="547"/>
      <c r="F143" s="547"/>
      <c r="G143" s="547"/>
      <c r="H143" s="547"/>
      <c r="I143" s="547"/>
      <c r="J143" s="547"/>
      <c r="K143" s="547"/>
      <c r="L143" s="547"/>
      <c r="M143" s="547"/>
      <c r="N143" s="548"/>
      <c r="O143" s="548"/>
      <c r="P143" s="548"/>
      <c r="Q143" s="548"/>
      <c r="R143" s="548"/>
      <c r="S143" s="548"/>
      <c r="T143" s="548"/>
      <c r="U143" s="548"/>
      <c r="V143" s="548"/>
      <c r="W143" s="548"/>
      <c r="X143" s="548"/>
      <c r="Y143" s="548"/>
      <c r="Z143" s="548"/>
      <c r="AA143" s="548"/>
      <c r="AB143" s="548"/>
      <c r="AC143" s="548"/>
      <c r="AD143" s="548"/>
      <c r="AE143" s="548"/>
      <c r="AF143" s="548"/>
      <c r="AG143" s="549"/>
      <c r="AH143" s="518"/>
    </row>
    <row r="144">
      <c r="A144" s="546"/>
      <c r="B144" s="547"/>
      <c r="C144" s="547"/>
      <c r="D144" s="547"/>
      <c r="E144" s="547"/>
      <c r="F144" s="547"/>
      <c r="G144" s="547"/>
      <c r="H144" s="547"/>
      <c r="I144" s="547"/>
      <c r="J144" s="547"/>
      <c r="K144" s="547"/>
      <c r="L144" s="547"/>
      <c r="M144" s="547"/>
      <c r="N144" s="548"/>
      <c r="O144" s="548"/>
      <c r="P144" s="548"/>
      <c r="Q144" s="548"/>
      <c r="R144" s="548"/>
      <c r="S144" s="548"/>
      <c r="T144" s="548"/>
      <c r="U144" s="548"/>
      <c r="V144" s="548"/>
      <c r="W144" s="548"/>
      <c r="X144" s="548"/>
      <c r="Y144" s="548"/>
      <c r="Z144" s="548"/>
      <c r="AA144" s="548"/>
      <c r="AB144" s="548"/>
      <c r="AC144" s="548"/>
      <c r="AD144" s="548"/>
      <c r="AE144" s="548"/>
      <c r="AF144" s="548"/>
      <c r="AG144" s="549"/>
      <c r="AH144" s="518"/>
    </row>
    <row r="145">
      <c r="A145" s="546"/>
      <c r="B145" s="547"/>
      <c r="C145" s="547"/>
      <c r="D145" s="547"/>
      <c r="E145" s="547"/>
      <c r="F145" s="547"/>
      <c r="G145" s="547"/>
      <c r="H145" s="547"/>
      <c r="I145" s="547"/>
      <c r="J145" s="547"/>
      <c r="K145" s="547"/>
      <c r="L145" s="547"/>
      <c r="M145" s="547"/>
      <c r="N145" s="548"/>
      <c r="O145" s="548"/>
      <c r="P145" s="548"/>
      <c r="Q145" s="548"/>
      <c r="R145" s="548"/>
      <c r="S145" s="548"/>
      <c r="T145" s="548"/>
      <c r="U145" s="548"/>
      <c r="V145" s="548"/>
      <c r="W145" s="548"/>
      <c r="X145" s="548"/>
      <c r="Y145" s="548"/>
      <c r="Z145" s="548"/>
      <c r="AA145" s="548"/>
      <c r="AB145" s="548"/>
      <c r="AC145" s="548"/>
      <c r="AD145" s="548"/>
      <c r="AE145" s="548"/>
      <c r="AF145" s="548"/>
      <c r="AG145" s="549"/>
      <c r="AH145" s="518"/>
    </row>
    <row r="146">
      <c r="A146" s="546"/>
      <c r="B146" s="547"/>
      <c r="C146" s="547"/>
      <c r="D146" s="547"/>
      <c r="E146" s="547"/>
      <c r="F146" s="547"/>
      <c r="G146" s="547"/>
      <c r="H146" s="547"/>
      <c r="I146" s="547"/>
      <c r="J146" s="547"/>
      <c r="K146" s="547"/>
      <c r="L146" s="547"/>
      <c r="M146" s="547"/>
      <c r="N146" s="548"/>
      <c r="O146" s="548"/>
      <c r="P146" s="548"/>
      <c r="Q146" s="548"/>
      <c r="R146" s="548"/>
      <c r="S146" s="548"/>
      <c r="T146" s="548"/>
      <c r="U146" s="548"/>
      <c r="V146" s="548"/>
      <c r="W146" s="548"/>
      <c r="X146" s="548"/>
      <c r="Y146" s="548"/>
      <c r="Z146" s="548"/>
      <c r="AA146" s="548"/>
      <c r="AB146" s="548"/>
      <c r="AC146" s="548"/>
      <c r="AD146" s="548"/>
      <c r="AE146" s="548"/>
      <c r="AF146" s="548"/>
      <c r="AG146" s="549"/>
      <c r="AH146" s="518"/>
    </row>
    <row r="147">
      <c r="A147" s="546"/>
      <c r="B147" s="547"/>
      <c r="C147" s="547"/>
      <c r="D147" s="547"/>
      <c r="E147" s="547"/>
      <c r="F147" s="547"/>
      <c r="G147" s="547"/>
      <c r="H147" s="547"/>
      <c r="I147" s="547"/>
      <c r="J147" s="547"/>
      <c r="K147" s="547"/>
      <c r="L147" s="547"/>
      <c r="M147" s="547"/>
      <c r="N147" s="548"/>
      <c r="O147" s="548"/>
      <c r="P147" s="548"/>
      <c r="Q147" s="548"/>
      <c r="R147" s="548"/>
      <c r="S147" s="548"/>
      <c r="T147" s="548"/>
      <c r="U147" s="548"/>
      <c r="V147" s="548"/>
      <c r="W147" s="548"/>
      <c r="X147" s="548"/>
      <c r="Y147" s="548"/>
      <c r="Z147" s="548"/>
      <c r="AA147" s="548"/>
      <c r="AB147" s="548"/>
      <c r="AC147" s="548"/>
      <c r="AD147" s="548"/>
      <c r="AE147" s="548"/>
      <c r="AF147" s="548"/>
      <c r="AG147" s="549"/>
      <c r="AH147" s="518"/>
    </row>
    <row r="148">
      <c r="A148" s="546"/>
      <c r="B148" s="547"/>
      <c r="C148" s="547"/>
      <c r="D148" s="547"/>
      <c r="E148" s="547"/>
      <c r="F148" s="547"/>
      <c r="G148" s="547"/>
      <c r="H148" s="547"/>
      <c r="I148" s="547"/>
      <c r="J148" s="547"/>
      <c r="K148" s="547"/>
      <c r="L148" s="547"/>
      <c r="M148" s="547"/>
      <c r="N148" s="548"/>
      <c r="O148" s="548"/>
      <c r="P148" s="548"/>
      <c r="Q148" s="548"/>
      <c r="R148" s="548"/>
      <c r="S148" s="548"/>
      <c r="T148" s="548"/>
      <c r="U148" s="548"/>
      <c r="V148" s="548"/>
      <c r="W148" s="548"/>
      <c r="X148" s="548"/>
      <c r="Y148" s="548"/>
      <c r="Z148" s="548"/>
      <c r="AA148" s="548"/>
      <c r="AB148" s="548"/>
      <c r="AC148" s="548"/>
      <c r="AD148" s="548"/>
      <c r="AE148" s="548"/>
      <c r="AF148" s="548"/>
      <c r="AG148" s="549"/>
      <c r="AH148" s="518"/>
    </row>
    <row r="149">
      <c r="A149" s="546"/>
      <c r="B149" s="547"/>
      <c r="C149" s="547"/>
      <c r="D149" s="547"/>
      <c r="E149" s="547"/>
      <c r="F149" s="547"/>
      <c r="G149" s="547"/>
      <c r="H149" s="547"/>
      <c r="I149" s="547"/>
      <c r="J149" s="547"/>
      <c r="K149" s="547"/>
      <c r="L149" s="547"/>
      <c r="M149" s="547"/>
      <c r="N149" s="548"/>
      <c r="O149" s="548"/>
      <c r="P149" s="548"/>
      <c r="Q149" s="548"/>
      <c r="R149" s="548"/>
      <c r="S149" s="548"/>
      <c r="T149" s="548"/>
      <c r="U149" s="548"/>
      <c r="V149" s="548"/>
      <c r="W149" s="548"/>
      <c r="X149" s="548"/>
      <c r="Y149" s="548"/>
      <c r="Z149" s="548"/>
      <c r="AA149" s="548"/>
      <c r="AB149" s="548"/>
      <c r="AC149" s="548"/>
      <c r="AD149" s="548"/>
      <c r="AE149" s="548"/>
      <c r="AF149" s="548"/>
      <c r="AG149" s="549"/>
      <c r="AH149" s="518"/>
    </row>
    <row r="150">
      <c r="A150" s="546"/>
      <c r="B150" s="547"/>
      <c r="C150" s="547"/>
      <c r="D150" s="547"/>
      <c r="E150" s="547"/>
      <c r="F150" s="547"/>
      <c r="G150" s="547"/>
      <c r="H150" s="547"/>
      <c r="I150" s="547"/>
      <c r="J150" s="547"/>
      <c r="K150" s="547"/>
      <c r="L150" s="547"/>
      <c r="M150" s="547"/>
      <c r="N150" s="548"/>
      <c r="O150" s="548"/>
      <c r="P150" s="548"/>
      <c r="Q150" s="548"/>
      <c r="R150" s="548"/>
      <c r="S150" s="548"/>
      <c r="T150" s="548"/>
      <c r="U150" s="548"/>
      <c r="V150" s="548"/>
      <c r="W150" s="548"/>
      <c r="X150" s="548"/>
      <c r="Y150" s="548"/>
      <c r="Z150" s="548"/>
      <c r="AA150" s="548"/>
      <c r="AB150" s="548"/>
      <c r="AC150" s="548"/>
      <c r="AD150" s="548"/>
      <c r="AE150" s="548"/>
      <c r="AF150" s="548"/>
      <c r="AG150" s="549"/>
      <c r="AH150" s="518"/>
    </row>
    <row r="151">
      <c r="A151" s="546"/>
      <c r="B151" s="547"/>
      <c r="C151" s="547"/>
      <c r="D151" s="547"/>
      <c r="E151" s="547"/>
      <c r="F151" s="547"/>
      <c r="G151" s="547"/>
      <c r="H151" s="547"/>
      <c r="I151" s="547"/>
      <c r="J151" s="547"/>
      <c r="K151" s="547"/>
      <c r="L151" s="547"/>
      <c r="M151" s="547"/>
      <c r="N151" s="548"/>
      <c r="O151" s="548"/>
      <c r="P151" s="548"/>
      <c r="Q151" s="548"/>
      <c r="R151" s="548"/>
      <c r="S151" s="548"/>
      <c r="T151" s="548"/>
      <c r="U151" s="548"/>
      <c r="V151" s="548"/>
      <c r="W151" s="548"/>
      <c r="X151" s="548"/>
      <c r="Y151" s="548"/>
      <c r="Z151" s="548"/>
      <c r="AA151" s="548"/>
      <c r="AB151" s="548"/>
      <c r="AC151" s="548"/>
      <c r="AD151" s="548"/>
      <c r="AE151" s="548"/>
      <c r="AF151" s="548"/>
      <c r="AG151" s="549"/>
      <c r="AH151" s="518"/>
    </row>
    <row r="152">
      <c r="A152" s="546"/>
      <c r="B152" s="547"/>
      <c r="C152" s="547"/>
      <c r="D152" s="547"/>
      <c r="E152" s="547"/>
      <c r="F152" s="547"/>
      <c r="G152" s="547"/>
      <c r="H152" s="547"/>
      <c r="I152" s="547"/>
      <c r="J152" s="547"/>
      <c r="K152" s="547"/>
      <c r="L152" s="547"/>
      <c r="M152" s="547"/>
      <c r="N152" s="548"/>
      <c r="O152" s="548"/>
      <c r="P152" s="548"/>
      <c r="Q152" s="548"/>
      <c r="R152" s="548"/>
      <c r="S152" s="548"/>
      <c r="T152" s="548"/>
      <c r="U152" s="548"/>
      <c r="V152" s="548"/>
      <c r="W152" s="548"/>
      <c r="X152" s="548"/>
      <c r="Y152" s="548"/>
      <c r="Z152" s="548"/>
      <c r="AA152" s="548"/>
      <c r="AB152" s="548"/>
      <c r="AC152" s="548"/>
      <c r="AD152" s="548"/>
      <c r="AE152" s="548"/>
      <c r="AF152" s="548"/>
      <c r="AG152" s="549"/>
      <c r="AH152" s="518"/>
    </row>
    <row r="153">
      <c r="A153" s="546"/>
      <c r="B153" s="547"/>
      <c r="C153" s="547"/>
      <c r="D153" s="547"/>
      <c r="E153" s="547"/>
      <c r="F153" s="547"/>
      <c r="G153" s="547"/>
      <c r="H153" s="547"/>
      <c r="I153" s="547"/>
      <c r="J153" s="547"/>
      <c r="K153" s="547"/>
      <c r="L153" s="547"/>
      <c r="M153" s="547"/>
      <c r="N153" s="548"/>
      <c r="O153" s="548"/>
      <c r="P153" s="548"/>
      <c r="Q153" s="548"/>
      <c r="R153" s="548"/>
      <c r="S153" s="548"/>
      <c r="T153" s="548"/>
      <c r="U153" s="548"/>
      <c r="V153" s="548"/>
      <c r="W153" s="548"/>
      <c r="X153" s="548"/>
      <c r="Y153" s="548"/>
      <c r="Z153" s="548"/>
      <c r="AA153" s="548"/>
      <c r="AB153" s="548"/>
      <c r="AC153" s="548"/>
      <c r="AD153" s="548"/>
      <c r="AE153" s="548"/>
      <c r="AF153" s="548"/>
      <c r="AG153" s="549"/>
      <c r="AH153" s="518"/>
    </row>
    <row r="154">
      <c r="A154" s="546"/>
      <c r="B154" s="547"/>
      <c r="C154" s="547"/>
      <c r="D154" s="547"/>
      <c r="E154" s="547"/>
      <c r="F154" s="547"/>
      <c r="G154" s="547"/>
      <c r="H154" s="547"/>
      <c r="I154" s="547"/>
      <c r="J154" s="547"/>
      <c r="K154" s="547"/>
      <c r="L154" s="547"/>
      <c r="M154" s="547"/>
      <c r="N154" s="548"/>
      <c r="O154" s="548"/>
      <c r="P154" s="548"/>
      <c r="Q154" s="548"/>
      <c r="R154" s="548"/>
      <c r="S154" s="548"/>
      <c r="T154" s="548"/>
      <c r="U154" s="548"/>
      <c r="V154" s="548"/>
      <c r="W154" s="548"/>
      <c r="X154" s="548"/>
      <c r="Y154" s="548"/>
      <c r="Z154" s="548"/>
      <c r="AA154" s="548"/>
      <c r="AB154" s="548"/>
      <c r="AC154" s="548"/>
      <c r="AD154" s="548"/>
      <c r="AE154" s="548"/>
      <c r="AF154" s="548"/>
      <c r="AG154" s="549"/>
      <c r="AH154" s="518"/>
    </row>
    <row r="155">
      <c r="A155" s="546"/>
      <c r="B155" s="547"/>
      <c r="C155" s="547"/>
      <c r="D155" s="547"/>
      <c r="E155" s="547"/>
      <c r="F155" s="547"/>
      <c r="G155" s="547"/>
      <c r="H155" s="547"/>
      <c r="I155" s="547"/>
      <c r="J155" s="547"/>
      <c r="K155" s="547"/>
      <c r="L155" s="547"/>
      <c r="M155" s="547"/>
      <c r="N155" s="548"/>
      <c r="O155" s="548"/>
      <c r="P155" s="548"/>
      <c r="Q155" s="548"/>
      <c r="R155" s="548"/>
      <c r="S155" s="548"/>
      <c r="T155" s="548"/>
      <c r="U155" s="548"/>
      <c r="V155" s="548"/>
      <c r="W155" s="548"/>
      <c r="X155" s="548"/>
      <c r="Y155" s="548"/>
      <c r="Z155" s="548"/>
      <c r="AA155" s="548"/>
      <c r="AB155" s="548"/>
      <c r="AC155" s="548"/>
      <c r="AD155" s="548"/>
      <c r="AE155" s="548"/>
      <c r="AF155" s="548"/>
      <c r="AG155" s="549"/>
      <c r="AH155" s="518"/>
    </row>
    <row r="156">
      <c r="A156" s="546"/>
      <c r="B156" s="547"/>
      <c r="C156" s="547"/>
      <c r="D156" s="547"/>
      <c r="E156" s="547"/>
      <c r="F156" s="547"/>
      <c r="G156" s="547"/>
      <c r="H156" s="547"/>
      <c r="I156" s="547"/>
      <c r="J156" s="547"/>
      <c r="K156" s="547"/>
      <c r="L156" s="547"/>
      <c r="M156" s="547"/>
      <c r="N156" s="548"/>
      <c r="O156" s="548"/>
      <c r="P156" s="548"/>
      <c r="Q156" s="548"/>
      <c r="R156" s="548"/>
      <c r="S156" s="548"/>
      <c r="T156" s="548"/>
      <c r="U156" s="548"/>
      <c r="V156" s="548"/>
      <c r="W156" s="548"/>
      <c r="X156" s="548"/>
      <c r="Y156" s="548"/>
      <c r="Z156" s="548"/>
      <c r="AA156" s="548"/>
      <c r="AB156" s="548"/>
      <c r="AC156" s="548"/>
      <c r="AD156" s="548"/>
      <c r="AE156" s="548"/>
      <c r="AF156" s="548"/>
      <c r="AG156" s="549"/>
      <c r="AH156" s="518"/>
    </row>
    <row r="157">
      <c r="A157" s="546"/>
      <c r="B157" s="547"/>
      <c r="C157" s="547"/>
      <c r="D157" s="547"/>
      <c r="E157" s="547"/>
      <c r="F157" s="547"/>
      <c r="G157" s="547"/>
      <c r="H157" s="547"/>
      <c r="I157" s="547"/>
      <c r="J157" s="547"/>
      <c r="K157" s="547"/>
      <c r="L157" s="547"/>
      <c r="M157" s="547"/>
      <c r="N157" s="548"/>
      <c r="O157" s="548"/>
      <c r="P157" s="548"/>
      <c r="Q157" s="548"/>
      <c r="R157" s="548"/>
      <c r="S157" s="548"/>
      <c r="T157" s="548"/>
      <c r="U157" s="548"/>
      <c r="V157" s="548"/>
      <c r="W157" s="548"/>
      <c r="X157" s="548"/>
      <c r="Y157" s="548"/>
      <c r="Z157" s="548"/>
      <c r="AA157" s="548"/>
      <c r="AB157" s="548"/>
      <c r="AC157" s="548"/>
      <c r="AD157" s="548"/>
      <c r="AE157" s="548"/>
      <c r="AF157" s="548"/>
      <c r="AG157" s="549"/>
      <c r="AH157" s="518"/>
    </row>
    <row r="158">
      <c r="A158" s="546"/>
      <c r="B158" s="547"/>
      <c r="C158" s="547"/>
      <c r="D158" s="547"/>
      <c r="E158" s="547"/>
      <c r="F158" s="547"/>
      <c r="G158" s="547"/>
      <c r="H158" s="547"/>
      <c r="I158" s="547"/>
      <c r="J158" s="547"/>
      <c r="K158" s="547"/>
      <c r="L158" s="547"/>
      <c r="M158" s="547"/>
      <c r="N158" s="548"/>
      <c r="O158" s="548"/>
      <c r="P158" s="548"/>
      <c r="Q158" s="548"/>
      <c r="R158" s="548"/>
      <c r="S158" s="548"/>
      <c r="T158" s="548"/>
      <c r="U158" s="548"/>
      <c r="V158" s="548"/>
      <c r="W158" s="548"/>
      <c r="X158" s="548"/>
      <c r="Y158" s="548"/>
      <c r="Z158" s="548"/>
      <c r="AA158" s="548"/>
      <c r="AB158" s="548"/>
      <c r="AC158" s="548"/>
      <c r="AD158" s="548"/>
      <c r="AE158" s="548"/>
      <c r="AF158" s="548"/>
      <c r="AG158" s="549"/>
      <c r="AH158" s="518"/>
    </row>
    <row r="159">
      <c r="A159" s="546"/>
      <c r="B159" s="547"/>
      <c r="C159" s="547"/>
      <c r="D159" s="547"/>
      <c r="E159" s="547"/>
      <c r="F159" s="547"/>
      <c r="G159" s="547"/>
      <c r="H159" s="547"/>
      <c r="I159" s="547"/>
      <c r="J159" s="547"/>
      <c r="K159" s="547"/>
      <c r="L159" s="547"/>
      <c r="M159" s="547"/>
      <c r="N159" s="548"/>
      <c r="O159" s="548"/>
      <c r="P159" s="548"/>
      <c r="Q159" s="548"/>
      <c r="R159" s="548"/>
      <c r="S159" s="548"/>
      <c r="T159" s="548"/>
      <c r="U159" s="548"/>
      <c r="V159" s="548"/>
      <c r="W159" s="548"/>
      <c r="X159" s="548"/>
      <c r="Y159" s="548"/>
      <c r="Z159" s="548"/>
      <c r="AA159" s="548"/>
      <c r="AB159" s="548"/>
      <c r="AC159" s="548"/>
      <c r="AD159" s="548"/>
      <c r="AE159" s="548"/>
      <c r="AF159" s="548"/>
      <c r="AG159" s="549"/>
      <c r="AH159" s="518"/>
    </row>
    <row r="160">
      <c r="A160" s="546"/>
      <c r="B160" s="547"/>
      <c r="C160" s="547"/>
      <c r="D160" s="547"/>
      <c r="E160" s="547"/>
      <c r="F160" s="547"/>
      <c r="G160" s="547"/>
      <c r="H160" s="547"/>
      <c r="I160" s="547"/>
      <c r="J160" s="547"/>
      <c r="K160" s="547"/>
      <c r="L160" s="547"/>
      <c r="M160" s="547"/>
      <c r="N160" s="548"/>
      <c r="O160" s="548"/>
      <c r="P160" s="548"/>
      <c r="Q160" s="548"/>
      <c r="R160" s="548"/>
      <c r="S160" s="548"/>
      <c r="T160" s="548"/>
      <c r="U160" s="548"/>
      <c r="V160" s="548"/>
      <c r="W160" s="548"/>
      <c r="X160" s="548"/>
      <c r="Y160" s="548"/>
      <c r="Z160" s="548"/>
      <c r="AA160" s="548"/>
      <c r="AB160" s="548"/>
      <c r="AC160" s="548"/>
      <c r="AD160" s="548"/>
      <c r="AE160" s="548"/>
      <c r="AF160" s="548"/>
      <c r="AG160" s="549"/>
      <c r="AH160" s="518"/>
    </row>
    <row r="161">
      <c r="A161" s="546"/>
      <c r="B161" s="547"/>
      <c r="C161" s="547"/>
      <c r="D161" s="547"/>
      <c r="E161" s="547"/>
      <c r="F161" s="547"/>
      <c r="G161" s="547"/>
      <c r="H161" s="547"/>
      <c r="I161" s="547"/>
      <c r="J161" s="547"/>
      <c r="K161" s="547"/>
      <c r="L161" s="547"/>
      <c r="M161" s="547"/>
      <c r="N161" s="548"/>
      <c r="O161" s="548"/>
      <c r="P161" s="548"/>
      <c r="Q161" s="548"/>
      <c r="R161" s="548"/>
      <c r="S161" s="548"/>
      <c r="T161" s="548"/>
      <c r="U161" s="548"/>
      <c r="V161" s="548"/>
      <c r="W161" s="548"/>
      <c r="X161" s="548"/>
      <c r="Y161" s="548"/>
      <c r="Z161" s="548"/>
      <c r="AA161" s="548"/>
      <c r="AB161" s="548"/>
      <c r="AC161" s="548"/>
      <c r="AD161" s="548"/>
      <c r="AE161" s="548"/>
      <c r="AF161" s="548"/>
      <c r="AG161" s="549"/>
      <c r="AH161" s="518"/>
    </row>
    <row r="162">
      <c r="A162" s="546"/>
      <c r="B162" s="547"/>
      <c r="C162" s="547"/>
      <c r="D162" s="547"/>
      <c r="E162" s="547"/>
      <c r="F162" s="547"/>
      <c r="G162" s="547"/>
      <c r="H162" s="547"/>
      <c r="I162" s="547"/>
      <c r="J162" s="547"/>
      <c r="K162" s="547"/>
      <c r="L162" s="547"/>
      <c r="M162" s="547"/>
      <c r="N162" s="548"/>
      <c r="O162" s="548"/>
      <c r="P162" s="548"/>
      <c r="Q162" s="548"/>
      <c r="R162" s="548"/>
      <c r="S162" s="548"/>
      <c r="T162" s="548"/>
      <c r="U162" s="548"/>
      <c r="V162" s="548"/>
      <c r="W162" s="548"/>
      <c r="X162" s="548"/>
      <c r="Y162" s="548"/>
      <c r="Z162" s="548"/>
      <c r="AA162" s="548"/>
      <c r="AB162" s="548"/>
      <c r="AC162" s="548"/>
      <c r="AD162" s="548"/>
      <c r="AE162" s="548"/>
      <c r="AF162" s="548"/>
      <c r="AG162" s="549"/>
      <c r="AH162" s="518"/>
    </row>
    <row r="163">
      <c r="A163" s="546"/>
      <c r="B163" s="547"/>
      <c r="C163" s="547"/>
      <c r="D163" s="547"/>
      <c r="E163" s="547"/>
      <c r="F163" s="547"/>
      <c r="G163" s="547"/>
      <c r="H163" s="547"/>
      <c r="I163" s="547"/>
      <c r="J163" s="547"/>
      <c r="K163" s="547"/>
      <c r="L163" s="547"/>
      <c r="M163" s="547"/>
      <c r="N163" s="548"/>
      <c r="O163" s="548"/>
      <c r="P163" s="548"/>
      <c r="Q163" s="548"/>
      <c r="R163" s="548"/>
      <c r="S163" s="548"/>
      <c r="T163" s="548"/>
      <c r="U163" s="548"/>
      <c r="V163" s="548"/>
      <c r="W163" s="548"/>
      <c r="X163" s="548"/>
      <c r="Y163" s="548"/>
      <c r="Z163" s="548"/>
      <c r="AA163" s="548"/>
      <c r="AB163" s="548"/>
      <c r="AC163" s="548"/>
      <c r="AD163" s="548"/>
      <c r="AE163" s="548"/>
      <c r="AF163" s="548"/>
      <c r="AG163" s="549"/>
      <c r="AH163" s="518"/>
    </row>
    <row r="164">
      <c r="A164" s="546"/>
      <c r="B164" s="547"/>
      <c r="C164" s="547"/>
      <c r="D164" s="547"/>
      <c r="E164" s="547"/>
      <c r="F164" s="547"/>
      <c r="G164" s="547"/>
      <c r="H164" s="547"/>
      <c r="I164" s="547"/>
      <c r="J164" s="547"/>
      <c r="K164" s="547"/>
      <c r="L164" s="547"/>
      <c r="M164" s="547"/>
      <c r="N164" s="548"/>
      <c r="O164" s="548"/>
      <c r="P164" s="548"/>
      <c r="Q164" s="548"/>
      <c r="R164" s="548"/>
      <c r="S164" s="548"/>
      <c r="T164" s="548"/>
      <c r="U164" s="548"/>
      <c r="V164" s="548"/>
      <c r="W164" s="548"/>
      <c r="X164" s="548"/>
      <c r="Y164" s="548"/>
      <c r="Z164" s="548"/>
      <c r="AA164" s="548"/>
      <c r="AB164" s="548"/>
      <c r="AC164" s="548"/>
      <c r="AD164" s="548"/>
      <c r="AE164" s="548"/>
      <c r="AF164" s="548"/>
      <c r="AG164" s="549"/>
      <c r="AH164" s="518"/>
    </row>
    <row r="165">
      <c r="A165" s="546"/>
      <c r="B165" s="547"/>
      <c r="C165" s="547"/>
      <c r="D165" s="547"/>
      <c r="E165" s="547"/>
      <c r="F165" s="547"/>
      <c r="G165" s="547"/>
      <c r="H165" s="547"/>
      <c r="I165" s="547"/>
      <c r="J165" s="547"/>
      <c r="K165" s="547"/>
      <c r="L165" s="547"/>
      <c r="M165" s="547"/>
      <c r="N165" s="548"/>
      <c r="O165" s="548"/>
      <c r="P165" s="548"/>
      <c r="Q165" s="548"/>
      <c r="R165" s="548"/>
      <c r="S165" s="548"/>
      <c r="T165" s="548"/>
      <c r="U165" s="548"/>
      <c r="V165" s="548"/>
      <c r="W165" s="548"/>
      <c r="X165" s="548"/>
      <c r="Y165" s="548"/>
      <c r="Z165" s="548"/>
      <c r="AA165" s="548"/>
      <c r="AB165" s="548"/>
      <c r="AC165" s="548"/>
      <c r="AD165" s="548"/>
      <c r="AE165" s="548"/>
      <c r="AF165" s="548"/>
      <c r="AG165" s="549"/>
      <c r="AH165" s="518"/>
    </row>
    <row r="166">
      <c r="A166" s="546"/>
      <c r="B166" s="547"/>
      <c r="C166" s="547"/>
      <c r="D166" s="547"/>
      <c r="E166" s="547"/>
      <c r="F166" s="547"/>
      <c r="G166" s="547"/>
      <c r="H166" s="547"/>
      <c r="I166" s="547"/>
      <c r="J166" s="547"/>
      <c r="K166" s="547"/>
      <c r="L166" s="547"/>
      <c r="M166" s="547"/>
      <c r="N166" s="548"/>
      <c r="O166" s="548"/>
      <c r="P166" s="548"/>
      <c r="Q166" s="548"/>
      <c r="R166" s="548"/>
      <c r="S166" s="548"/>
      <c r="T166" s="548"/>
      <c r="U166" s="548"/>
      <c r="V166" s="548"/>
      <c r="W166" s="548"/>
      <c r="X166" s="548"/>
      <c r="Y166" s="548"/>
      <c r="Z166" s="548"/>
      <c r="AA166" s="548"/>
      <c r="AB166" s="548"/>
      <c r="AC166" s="548"/>
      <c r="AD166" s="548"/>
      <c r="AE166" s="548"/>
      <c r="AF166" s="548"/>
      <c r="AG166" s="549"/>
      <c r="AH166" s="518"/>
    </row>
    <row r="167">
      <c r="A167" s="546"/>
      <c r="B167" s="547"/>
      <c r="C167" s="547"/>
      <c r="D167" s="547"/>
      <c r="E167" s="547"/>
      <c r="F167" s="547"/>
      <c r="G167" s="547"/>
      <c r="H167" s="547"/>
      <c r="I167" s="547"/>
      <c r="J167" s="547"/>
      <c r="K167" s="547"/>
      <c r="L167" s="547"/>
      <c r="M167" s="547"/>
      <c r="N167" s="548"/>
      <c r="O167" s="548"/>
      <c r="P167" s="548"/>
      <c r="Q167" s="548"/>
      <c r="R167" s="548"/>
      <c r="S167" s="548"/>
      <c r="T167" s="548"/>
      <c r="U167" s="548"/>
      <c r="V167" s="548"/>
      <c r="W167" s="548"/>
      <c r="X167" s="548"/>
      <c r="Y167" s="548"/>
      <c r="Z167" s="548"/>
      <c r="AA167" s="548"/>
      <c r="AB167" s="548"/>
      <c r="AC167" s="548"/>
      <c r="AD167" s="548"/>
      <c r="AE167" s="548"/>
      <c r="AF167" s="548"/>
      <c r="AG167" s="549"/>
      <c r="AH167" s="518"/>
    </row>
    <row r="168">
      <c r="A168" s="546"/>
      <c r="B168" s="547"/>
      <c r="C168" s="547"/>
      <c r="D168" s="547"/>
      <c r="E168" s="547"/>
      <c r="F168" s="547"/>
      <c r="G168" s="547"/>
      <c r="H168" s="547"/>
      <c r="I168" s="547"/>
      <c r="J168" s="547"/>
      <c r="K168" s="547"/>
      <c r="L168" s="547"/>
      <c r="M168" s="547"/>
      <c r="N168" s="548"/>
      <c r="O168" s="548"/>
      <c r="P168" s="548"/>
      <c r="Q168" s="548"/>
      <c r="R168" s="548"/>
      <c r="S168" s="548"/>
      <c r="T168" s="548"/>
      <c r="U168" s="548"/>
      <c r="V168" s="548"/>
      <c r="W168" s="548"/>
      <c r="X168" s="548"/>
      <c r="Y168" s="548"/>
      <c r="Z168" s="548"/>
      <c r="AA168" s="548"/>
      <c r="AB168" s="548"/>
      <c r="AC168" s="548"/>
      <c r="AD168" s="548"/>
      <c r="AE168" s="548"/>
      <c r="AF168" s="548"/>
      <c r="AG168" s="549"/>
      <c r="AH168" s="518"/>
    </row>
    <row r="169">
      <c r="A169" s="546"/>
      <c r="B169" s="547"/>
      <c r="C169" s="547"/>
      <c r="D169" s="547"/>
      <c r="E169" s="547"/>
      <c r="F169" s="547"/>
      <c r="G169" s="547"/>
      <c r="H169" s="547"/>
      <c r="I169" s="547"/>
      <c r="J169" s="547"/>
      <c r="K169" s="547"/>
      <c r="L169" s="547"/>
      <c r="M169" s="547"/>
      <c r="N169" s="548"/>
      <c r="O169" s="548"/>
      <c r="P169" s="548"/>
      <c r="Q169" s="548"/>
      <c r="R169" s="548"/>
      <c r="S169" s="548"/>
      <c r="T169" s="548"/>
      <c r="U169" s="548"/>
      <c r="V169" s="548"/>
      <c r="W169" s="548"/>
      <c r="X169" s="548"/>
      <c r="Y169" s="548"/>
      <c r="Z169" s="548"/>
      <c r="AA169" s="548"/>
      <c r="AB169" s="548"/>
      <c r="AC169" s="548"/>
      <c r="AD169" s="548"/>
      <c r="AE169" s="548"/>
      <c r="AF169" s="548"/>
      <c r="AG169" s="549"/>
      <c r="AH169" s="518"/>
    </row>
    <row r="170">
      <c r="A170" s="546"/>
      <c r="B170" s="547"/>
      <c r="C170" s="547"/>
      <c r="D170" s="547"/>
      <c r="E170" s="547"/>
      <c r="F170" s="547"/>
      <c r="G170" s="547"/>
      <c r="H170" s="547"/>
      <c r="I170" s="547"/>
      <c r="J170" s="547"/>
      <c r="K170" s="547"/>
      <c r="L170" s="547"/>
      <c r="M170" s="547"/>
      <c r="N170" s="548"/>
      <c r="O170" s="548"/>
      <c r="P170" s="548"/>
      <c r="Q170" s="548"/>
      <c r="R170" s="548"/>
      <c r="S170" s="548"/>
      <c r="T170" s="548"/>
      <c r="U170" s="548"/>
      <c r="V170" s="548"/>
      <c r="W170" s="548"/>
      <c r="X170" s="548"/>
      <c r="Y170" s="548"/>
      <c r="Z170" s="548"/>
      <c r="AA170" s="548"/>
      <c r="AB170" s="548"/>
      <c r="AC170" s="548"/>
      <c r="AD170" s="548"/>
      <c r="AE170" s="548"/>
      <c r="AF170" s="548"/>
      <c r="AG170" s="549"/>
      <c r="AH170" s="518"/>
    </row>
    <row r="171">
      <c r="A171" s="546"/>
      <c r="B171" s="547"/>
      <c r="C171" s="547"/>
      <c r="D171" s="547"/>
      <c r="E171" s="547"/>
      <c r="F171" s="547"/>
      <c r="G171" s="547"/>
      <c r="H171" s="547"/>
      <c r="I171" s="547"/>
      <c r="J171" s="547"/>
      <c r="K171" s="547"/>
      <c r="L171" s="547"/>
      <c r="M171" s="547"/>
      <c r="N171" s="548"/>
      <c r="O171" s="548"/>
      <c r="P171" s="548"/>
      <c r="Q171" s="548"/>
      <c r="R171" s="548"/>
      <c r="S171" s="548"/>
      <c r="T171" s="548"/>
      <c r="U171" s="548"/>
      <c r="V171" s="548"/>
      <c r="W171" s="548"/>
      <c r="X171" s="548"/>
      <c r="Y171" s="548"/>
      <c r="Z171" s="548"/>
      <c r="AA171" s="548"/>
      <c r="AB171" s="548"/>
      <c r="AC171" s="548"/>
      <c r="AD171" s="548"/>
      <c r="AE171" s="548"/>
      <c r="AF171" s="548"/>
      <c r="AG171" s="549"/>
      <c r="AH171" s="518"/>
    </row>
    <row r="172">
      <c r="A172" s="546"/>
      <c r="B172" s="547"/>
      <c r="C172" s="547"/>
      <c r="D172" s="547"/>
      <c r="E172" s="547"/>
      <c r="F172" s="547"/>
      <c r="G172" s="547"/>
      <c r="H172" s="547"/>
      <c r="I172" s="547"/>
      <c r="J172" s="547"/>
      <c r="K172" s="547"/>
      <c r="L172" s="547"/>
      <c r="M172" s="547"/>
      <c r="N172" s="548"/>
      <c r="O172" s="548"/>
      <c r="P172" s="548"/>
      <c r="Q172" s="548"/>
      <c r="R172" s="548"/>
      <c r="S172" s="548"/>
      <c r="T172" s="548"/>
      <c r="U172" s="548"/>
      <c r="V172" s="548"/>
      <c r="W172" s="548"/>
      <c r="X172" s="548"/>
      <c r="Y172" s="548"/>
      <c r="Z172" s="548"/>
      <c r="AA172" s="548"/>
      <c r="AB172" s="548"/>
      <c r="AC172" s="548"/>
      <c r="AD172" s="548"/>
      <c r="AE172" s="548"/>
      <c r="AF172" s="548"/>
      <c r="AG172" s="549"/>
      <c r="AH172" s="518"/>
    </row>
    <row r="173">
      <c r="A173" s="546"/>
      <c r="B173" s="547"/>
      <c r="C173" s="547"/>
      <c r="D173" s="547"/>
      <c r="E173" s="547"/>
      <c r="F173" s="547"/>
      <c r="G173" s="547"/>
      <c r="H173" s="547"/>
      <c r="I173" s="547"/>
      <c r="J173" s="547"/>
      <c r="K173" s="547"/>
      <c r="L173" s="547"/>
      <c r="M173" s="547"/>
      <c r="N173" s="548"/>
      <c r="O173" s="548"/>
      <c r="P173" s="548"/>
      <c r="Q173" s="548"/>
      <c r="R173" s="548"/>
      <c r="S173" s="548"/>
      <c r="T173" s="548"/>
      <c r="U173" s="548"/>
      <c r="V173" s="548"/>
      <c r="W173" s="548"/>
      <c r="X173" s="548"/>
      <c r="Y173" s="548"/>
      <c r="Z173" s="548"/>
      <c r="AA173" s="548"/>
      <c r="AB173" s="548"/>
      <c r="AC173" s="548"/>
      <c r="AD173" s="548"/>
      <c r="AE173" s="548"/>
      <c r="AF173" s="548"/>
      <c r="AG173" s="549"/>
      <c r="AH173" s="518"/>
    </row>
    <row r="174">
      <c r="A174" s="546"/>
      <c r="B174" s="547"/>
      <c r="C174" s="547"/>
      <c r="D174" s="547"/>
      <c r="E174" s="547"/>
      <c r="F174" s="547"/>
      <c r="G174" s="547"/>
      <c r="H174" s="547"/>
      <c r="I174" s="547"/>
      <c r="J174" s="547"/>
      <c r="K174" s="547"/>
      <c r="L174" s="547"/>
      <c r="M174" s="547"/>
      <c r="N174" s="548"/>
      <c r="O174" s="548"/>
      <c r="P174" s="548"/>
      <c r="Q174" s="548"/>
      <c r="R174" s="548"/>
      <c r="S174" s="548"/>
      <c r="T174" s="548"/>
      <c r="U174" s="548"/>
      <c r="V174" s="548"/>
      <c r="W174" s="548"/>
      <c r="X174" s="548"/>
      <c r="Y174" s="548"/>
      <c r="Z174" s="548"/>
      <c r="AA174" s="548"/>
      <c r="AB174" s="548"/>
      <c r="AC174" s="548"/>
      <c r="AD174" s="548"/>
      <c r="AE174" s="548"/>
      <c r="AF174" s="548"/>
      <c r="AG174" s="549"/>
      <c r="AH174" s="518"/>
    </row>
    <row r="175">
      <c r="A175" s="546"/>
      <c r="B175" s="547"/>
      <c r="C175" s="547"/>
      <c r="D175" s="547"/>
      <c r="E175" s="547"/>
      <c r="F175" s="547"/>
      <c r="G175" s="547"/>
      <c r="H175" s="547"/>
      <c r="I175" s="547"/>
      <c r="J175" s="547"/>
      <c r="K175" s="547"/>
      <c r="L175" s="547"/>
      <c r="M175" s="547"/>
      <c r="N175" s="548"/>
      <c r="O175" s="548"/>
      <c r="P175" s="548"/>
      <c r="Q175" s="548"/>
      <c r="R175" s="548"/>
      <c r="S175" s="548"/>
      <c r="T175" s="548"/>
      <c r="U175" s="548"/>
      <c r="V175" s="548"/>
      <c r="W175" s="548"/>
      <c r="X175" s="548"/>
      <c r="Y175" s="548"/>
      <c r="Z175" s="548"/>
      <c r="AA175" s="548"/>
      <c r="AB175" s="548"/>
      <c r="AC175" s="548"/>
      <c r="AD175" s="548"/>
      <c r="AE175" s="548"/>
      <c r="AF175" s="548"/>
      <c r="AG175" s="549"/>
      <c r="AH175" s="518"/>
    </row>
    <row r="176">
      <c r="A176" s="546"/>
      <c r="B176" s="547"/>
      <c r="C176" s="547"/>
      <c r="D176" s="547"/>
      <c r="E176" s="547"/>
      <c r="F176" s="547"/>
      <c r="G176" s="547"/>
      <c r="H176" s="547"/>
      <c r="I176" s="547"/>
      <c r="J176" s="547"/>
      <c r="K176" s="547"/>
      <c r="L176" s="547"/>
      <c r="M176" s="547"/>
      <c r="N176" s="548"/>
      <c r="O176" s="548"/>
      <c r="P176" s="548"/>
      <c r="Q176" s="548"/>
      <c r="R176" s="548"/>
      <c r="S176" s="548"/>
      <c r="T176" s="548"/>
      <c r="U176" s="548"/>
      <c r="V176" s="548"/>
      <c r="W176" s="548"/>
      <c r="X176" s="548"/>
      <c r="Y176" s="548"/>
      <c r="Z176" s="548"/>
      <c r="AA176" s="548"/>
      <c r="AB176" s="548"/>
      <c r="AC176" s="548"/>
      <c r="AD176" s="548"/>
      <c r="AE176" s="548"/>
      <c r="AF176" s="548"/>
      <c r="AG176" s="549"/>
      <c r="AH176" s="518"/>
    </row>
    <row r="177">
      <c r="A177" s="546"/>
      <c r="B177" s="547"/>
      <c r="C177" s="547"/>
      <c r="D177" s="547"/>
      <c r="E177" s="547"/>
      <c r="F177" s="547"/>
      <c r="G177" s="547"/>
      <c r="H177" s="547"/>
      <c r="I177" s="547"/>
      <c r="J177" s="547"/>
      <c r="K177" s="547"/>
      <c r="L177" s="547"/>
      <c r="M177" s="547"/>
      <c r="N177" s="548"/>
      <c r="O177" s="548"/>
      <c r="P177" s="548"/>
      <c r="Q177" s="548"/>
      <c r="R177" s="548"/>
      <c r="S177" s="548"/>
      <c r="T177" s="548"/>
      <c r="U177" s="548"/>
      <c r="V177" s="548"/>
      <c r="W177" s="548"/>
      <c r="X177" s="548"/>
      <c r="Y177" s="548"/>
      <c r="Z177" s="548"/>
      <c r="AA177" s="548"/>
      <c r="AB177" s="548"/>
      <c r="AC177" s="548"/>
      <c r="AD177" s="548"/>
      <c r="AE177" s="548"/>
      <c r="AF177" s="548"/>
      <c r="AG177" s="549"/>
      <c r="AH177" s="518"/>
    </row>
    <row r="178">
      <c r="A178" s="546"/>
      <c r="B178" s="547"/>
      <c r="C178" s="547"/>
      <c r="D178" s="547"/>
      <c r="E178" s="547"/>
      <c r="F178" s="547"/>
      <c r="G178" s="547"/>
      <c r="H178" s="547"/>
      <c r="I178" s="547"/>
      <c r="J178" s="547"/>
      <c r="K178" s="547"/>
      <c r="L178" s="547"/>
      <c r="M178" s="547"/>
      <c r="N178" s="548"/>
      <c r="O178" s="548"/>
      <c r="P178" s="548"/>
      <c r="Q178" s="548"/>
      <c r="R178" s="548"/>
      <c r="S178" s="548"/>
      <c r="T178" s="548"/>
      <c r="U178" s="548"/>
      <c r="V178" s="548"/>
      <c r="W178" s="548"/>
      <c r="X178" s="548"/>
      <c r="Y178" s="548"/>
      <c r="Z178" s="548"/>
      <c r="AA178" s="548"/>
      <c r="AB178" s="548"/>
      <c r="AC178" s="548"/>
      <c r="AD178" s="548"/>
      <c r="AE178" s="548"/>
      <c r="AF178" s="548"/>
      <c r="AG178" s="549"/>
      <c r="AH178" s="518"/>
    </row>
    <row r="179">
      <c r="A179" s="546"/>
      <c r="B179" s="547"/>
      <c r="C179" s="547"/>
      <c r="D179" s="547"/>
      <c r="E179" s="547"/>
      <c r="F179" s="547"/>
      <c r="G179" s="547"/>
      <c r="H179" s="547"/>
      <c r="I179" s="547"/>
      <c r="J179" s="547"/>
      <c r="K179" s="547"/>
      <c r="L179" s="547"/>
      <c r="M179" s="547"/>
      <c r="N179" s="548"/>
      <c r="O179" s="548"/>
      <c r="P179" s="548"/>
      <c r="Q179" s="548"/>
      <c r="R179" s="548"/>
      <c r="S179" s="548"/>
      <c r="T179" s="548"/>
      <c r="U179" s="548"/>
      <c r="V179" s="548"/>
      <c r="W179" s="548"/>
      <c r="X179" s="548"/>
      <c r="Y179" s="548"/>
      <c r="Z179" s="548"/>
      <c r="AA179" s="548"/>
      <c r="AB179" s="548"/>
      <c r="AC179" s="548"/>
      <c r="AD179" s="548"/>
      <c r="AE179" s="548"/>
      <c r="AF179" s="548"/>
      <c r="AG179" s="549"/>
      <c r="AH179" s="518"/>
    </row>
    <row r="180">
      <c r="A180" s="546"/>
      <c r="B180" s="547"/>
      <c r="C180" s="547"/>
      <c r="D180" s="547"/>
      <c r="E180" s="547"/>
      <c r="F180" s="547"/>
      <c r="G180" s="547"/>
      <c r="H180" s="547"/>
      <c r="I180" s="547"/>
      <c r="J180" s="547"/>
      <c r="K180" s="547"/>
      <c r="L180" s="547"/>
      <c r="M180" s="547"/>
      <c r="N180" s="548"/>
      <c r="O180" s="548"/>
      <c r="P180" s="548"/>
      <c r="Q180" s="548"/>
      <c r="R180" s="548"/>
      <c r="S180" s="548"/>
      <c r="T180" s="548"/>
      <c r="U180" s="548"/>
      <c r="V180" s="548"/>
      <c r="W180" s="548"/>
      <c r="X180" s="548"/>
      <c r="Y180" s="548"/>
      <c r="Z180" s="548"/>
      <c r="AA180" s="548"/>
      <c r="AB180" s="548"/>
      <c r="AC180" s="548"/>
      <c r="AD180" s="548"/>
      <c r="AE180" s="548"/>
      <c r="AF180" s="548"/>
      <c r="AG180" s="549"/>
      <c r="AH180" s="518"/>
    </row>
    <row r="181">
      <c r="A181" s="546"/>
      <c r="B181" s="547"/>
      <c r="C181" s="547"/>
      <c r="D181" s="547"/>
      <c r="E181" s="547"/>
      <c r="F181" s="547"/>
      <c r="G181" s="547"/>
      <c r="H181" s="547"/>
      <c r="I181" s="547"/>
      <c r="J181" s="547"/>
      <c r="K181" s="547"/>
      <c r="L181" s="547"/>
      <c r="M181" s="547"/>
      <c r="N181" s="548"/>
      <c r="O181" s="548"/>
      <c r="P181" s="548"/>
      <c r="Q181" s="548"/>
      <c r="R181" s="548"/>
      <c r="S181" s="548"/>
      <c r="T181" s="548"/>
      <c r="U181" s="548"/>
      <c r="V181" s="548"/>
      <c r="W181" s="548"/>
      <c r="X181" s="548"/>
      <c r="Y181" s="548"/>
      <c r="Z181" s="548"/>
      <c r="AA181" s="548"/>
      <c r="AB181" s="548"/>
      <c r="AC181" s="548"/>
      <c r="AD181" s="548"/>
      <c r="AE181" s="548"/>
      <c r="AF181" s="548"/>
      <c r="AG181" s="549"/>
      <c r="AH181" s="518"/>
    </row>
    <row r="182">
      <c r="A182" s="546"/>
      <c r="B182" s="547"/>
      <c r="C182" s="547"/>
      <c r="D182" s="547"/>
      <c r="E182" s="547"/>
      <c r="F182" s="547"/>
      <c r="G182" s="547"/>
      <c r="H182" s="547"/>
      <c r="I182" s="547"/>
      <c r="J182" s="547"/>
      <c r="K182" s="547"/>
      <c r="L182" s="547"/>
      <c r="M182" s="547"/>
      <c r="N182" s="548"/>
      <c r="O182" s="548"/>
      <c r="P182" s="548"/>
      <c r="Q182" s="548"/>
      <c r="R182" s="548"/>
      <c r="S182" s="548"/>
      <c r="T182" s="548"/>
      <c r="U182" s="548"/>
      <c r="V182" s="548"/>
      <c r="W182" s="548"/>
      <c r="X182" s="548"/>
      <c r="Y182" s="548"/>
      <c r="Z182" s="548"/>
      <c r="AA182" s="548"/>
      <c r="AB182" s="548"/>
      <c r="AC182" s="548"/>
      <c r="AD182" s="548"/>
      <c r="AE182" s="548"/>
      <c r="AF182" s="548"/>
      <c r="AG182" s="549"/>
      <c r="AH182" s="518"/>
    </row>
    <row r="183">
      <c r="A183" s="546"/>
      <c r="B183" s="547"/>
      <c r="C183" s="547"/>
      <c r="D183" s="547"/>
      <c r="E183" s="547"/>
      <c r="F183" s="547"/>
      <c r="G183" s="547"/>
      <c r="H183" s="547"/>
      <c r="I183" s="547"/>
      <c r="J183" s="547"/>
      <c r="K183" s="547"/>
      <c r="L183" s="547"/>
      <c r="M183" s="547"/>
      <c r="N183" s="548"/>
      <c r="O183" s="548"/>
      <c r="P183" s="548"/>
      <c r="Q183" s="548"/>
      <c r="R183" s="548"/>
      <c r="S183" s="548"/>
      <c r="T183" s="548"/>
      <c r="U183" s="548"/>
      <c r="V183" s="548"/>
      <c r="W183" s="548"/>
      <c r="X183" s="548"/>
      <c r="Y183" s="548"/>
      <c r="Z183" s="548"/>
      <c r="AA183" s="548"/>
      <c r="AB183" s="548"/>
      <c r="AC183" s="548"/>
      <c r="AD183" s="548"/>
      <c r="AE183" s="548"/>
      <c r="AF183" s="548"/>
      <c r="AG183" s="549"/>
      <c r="AH183" s="518"/>
    </row>
    <row r="184">
      <c r="A184" s="546"/>
      <c r="B184" s="547"/>
      <c r="C184" s="547"/>
      <c r="D184" s="547"/>
      <c r="E184" s="547"/>
      <c r="F184" s="547"/>
      <c r="G184" s="547"/>
      <c r="H184" s="547"/>
      <c r="I184" s="547"/>
      <c r="J184" s="547"/>
      <c r="K184" s="547"/>
      <c r="L184" s="547"/>
      <c r="M184" s="547"/>
      <c r="N184" s="548"/>
      <c r="O184" s="548"/>
      <c r="P184" s="548"/>
      <c r="Q184" s="548"/>
      <c r="R184" s="548"/>
      <c r="S184" s="548"/>
      <c r="T184" s="548"/>
      <c r="U184" s="548"/>
      <c r="V184" s="548"/>
      <c r="W184" s="548"/>
      <c r="X184" s="548"/>
      <c r="Y184" s="548"/>
      <c r="Z184" s="548"/>
      <c r="AA184" s="548"/>
      <c r="AB184" s="548"/>
      <c r="AC184" s="548"/>
      <c r="AD184" s="548"/>
      <c r="AE184" s="548"/>
      <c r="AF184" s="548"/>
      <c r="AG184" s="549"/>
      <c r="AH184" s="518"/>
    </row>
    <row r="185">
      <c r="A185" s="546"/>
      <c r="B185" s="547"/>
      <c r="C185" s="547"/>
      <c r="D185" s="547"/>
      <c r="E185" s="547"/>
      <c r="F185" s="547"/>
      <c r="G185" s="547"/>
      <c r="H185" s="547"/>
      <c r="I185" s="547"/>
      <c r="J185" s="547"/>
      <c r="K185" s="547"/>
      <c r="L185" s="547"/>
      <c r="M185" s="547"/>
      <c r="N185" s="548"/>
      <c r="O185" s="548"/>
      <c r="P185" s="548"/>
      <c r="Q185" s="548"/>
      <c r="R185" s="548"/>
      <c r="S185" s="548"/>
      <c r="T185" s="548"/>
      <c r="U185" s="548"/>
      <c r="V185" s="548"/>
      <c r="W185" s="548"/>
      <c r="X185" s="548"/>
      <c r="Y185" s="548"/>
      <c r="Z185" s="548"/>
      <c r="AA185" s="548"/>
      <c r="AB185" s="548"/>
      <c r="AC185" s="548"/>
      <c r="AD185" s="548"/>
      <c r="AE185" s="548"/>
      <c r="AF185" s="548"/>
      <c r="AG185" s="549"/>
      <c r="AH185" s="518"/>
    </row>
    <row r="186">
      <c r="A186" s="546"/>
      <c r="B186" s="547"/>
      <c r="C186" s="547"/>
      <c r="D186" s="547"/>
      <c r="E186" s="547"/>
      <c r="F186" s="547"/>
      <c r="G186" s="547"/>
      <c r="H186" s="547"/>
      <c r="I186" s="547"/>
      <c r="J186" s="547"/>
      <c r="K186" s="547"/>
      <c r="L186" s="547"/>
      <c r="M186" s="547"/>
      <c r="N186" s="548"/>
      <c r="O186" s="548"/>
      <c r="P186" s="548"/>
      <c r="Q186" s="548"/>
      <c r="R186" s="548"/>
      <c r="S186" s="548"/>
      <c r="T186" s="548"/>
      <c r="U186" s="548"/>
      <c r="V186" s="548"/>
      <c r="W186" s="548"/>
      <c r="X186" s="548"/>
      <c r="Y186" s="548"/>
      <c r="Z186" s="548"/>
      <c r="AA186" s="548"/>
      <c r="AB186" s="548"/>
      <c r="AC186" s="548"/>
      <c r="AD186" s="548"/>
      <c r="AE186" s="548"/>
      <c r="AF186" s="548"/>
      <c r="AG186" s="549"/>
      <c r="AH186" s="518"/>
    </row>
    <row r="187">
      <c r="A187" s="546"/>
      <c r="B187" s="547"/>
      <c r="C187" s="547"/>
      <c r="D187" s="547"/>
      <c r="E187" s="547"/>
      <c r="F187" s="547"/>
      <c r="G187" s="547"/>
      <c r="H187" s="547"/>
      <c r="I187" s="547"/>
      <c r="J187" s="547"/>
      <c r="K187" s="547"/>
      <c r="L187" s="547"/>
      <c r="M187" s="547"/>
      <c r="N187" s="548"/>
      <c r="O187" s="548"/>
      <c r="P187" s="548"/>
      <c r="Q187" s="548"/>
      <c r="R187" s="548"/>
      <c r="S187" s="548"/>
      <c r="T187" s="548"/>
      <c r="U187" s="548"/>
      <c r="V187" s="548"/>
      <c r="W187" s="548"/>
      <c r="X187" s="548"/>
      <c r="Y187" s="548"/>
      <c r="Z187" s="548"/>
      <c r="AA187" s="548"/>
      <c r="AB187" s="548"/>
      <c r="AC187" s="548"/>
      <c r="AD187" s="548"/>
      <c r="AE187" s="548"/>
      <c r="AF187" s="548"/>
      <c r="AG187" s="549"/>
      <c r="AH187" s="518"/>
    </row>
    <row r="188">
      <c r="A188" s="546"/>
      <c r="B188" s="547"/>
      <c r="C188" s="547"/>
      <c r="D188" s="547"/>
      <c r="E188" s="547"/>
      <c r="F188" s="547"/>
      <c r="G188" s="547"/>
      <c r="H188" s="547"/>
      <c r="I188" s="547"/>
      <c r="J188" s="547"/>
      <c r="K188" s="547"/>
      <c r="L188" s="547"/>
      <c r="M188" s="547"/>
      <c r="N188" s="548"/>
      <c r="O188" s="548"/>
      <c r="P188" s="548"/>
      <c r="Q188" s="548"/>
      <c r="R188" s="548"/>
      <c r="S188" s="548"/>
      <c r="T188" s="548"/>
      <c r="U188" s="548"/>
      <c r="V188" s="548"/>
      <c r="W188" s="548"/>
      <c r="X188" s="548"/>
      <c r="Y188" s="548"/>
      <c r="Z188" s="548"/>
      <c r="AA188" s="548"/>
      <c r="AB188" s="548"/>
      <c r="AC188" s="548"/>
      <c r="AD188" s="548"/>
      <c r="AE188" s="548"/>
      <c r="AF188" s="548"/>
      <c r="AG188" s="549"/>
      <c r="AH188" s="518"/>
    </row>
    <row r="189">
      <c r="A189" s="546"/>
      <c r="B189" s="547"/>
      <c r="C189" s="547"/>
      <c r="D189" s="547"/>
      <c r="E189" s="547"/>
      <c r="F189" s="547"/>
      <c r="G189" s="547"/>
      <c r="H189" s="547"/>
      <c r="I189" s="547"/>
      <c r="J189" s="547"/>
      <c r="K189" s="547"/>
      <c r="L189" s="547"/>
      <c r="M189" s="547"/>
      <c r="N189" s="548"/>
      <c r="O189" s="548"/>
      <c r="P189" s="548"/>
      <c r="Q189" s="548"/>
      <c r="R189" s="548"/>
      <c r="S189" s="548"/>
      <c r="T189" s="548"/>
      <c r="U189" s="548"/>
      <c r="V189" s="548"/>
      <c r="W189" s="548"/>
      <c r="X189" s="548"/>
      <c r="Y189" s="548"/>
      <c r="Z189" s="548"/>
      <c r="AA189" s="548"/>
      <c r="AB189" s="548"/>
      <c r="AC189" s="548"/>
      <c r="AD189" s="548"/>
      <c r="AE189" s="548"/>
      <c r="AF189" s="548"/>
      <c r="AG189" s="549"/>
      <c r="AH189" s="518"/>
    </row>
    <row r="190">
      <c r="A190" s="546"/>
      <c r="B190" s="547"/>
      <c r="C190" s="547"/>
      <c r="D190" s="547"/>
      <c r="E190" s="547"/>
      <c r="F190" s="547"/>
      <c r="G190" s="547"/>
      <c r="H190" s="547"/>
      <c r="I190" s="547"/>
      <c r="J190" s="547"/>
      <c r="K190" s="547"/>
      <c r="L190" s="547"/>
      <c r="M190" s="547"/>
      <c r="N190" s="548"/>
      <c r="O190" s="548"/>
      <c r="P190" s="548"/>
      <c r="Q190" s="548"/>
      <c r="R190" s="548"/>
      <c r="S190" s="548"/>
      <c r="T190" s="548"/>
      <c r="U190" s="548"/>
      <c r="V190" s="548"/>
      <c r="W190" s="548"/>
      <c r="X190" s="548"/>
      <c r="Y190" s="548"/>
      <c r="Z190" s="548"/>
      <c r="AA190" s="548"/>
      <c r="AB190" s="548"/>
      <c r="AC190" s="548"/>
      <c r="AD190" s="548"/>
      <c r="AE190" s="548"/>
      <c r="AF190" s="548"/>
      <c r="AG190" s="549"/>
      <c r="AH190" s="518"/>
    </row>
    <row r="191">
      <c r="A191" s="546"/>
      <c r="B191" s="547"/>
      <c r="C191" s="547"/>
      <c r="D191" s="547"/>
      <c r="E191" s="547"/>
      <c r="F191" s="547"/>
      <c r="G191" s="547"/>
      <c r="H191" s="547"/>
      <c r="I191" s="547"/>
      <c r="J191" s="547"/>
      <c r="K191" s="547"/>
      <c r="L191" s="547"/>
      <c r="M191" s="547"/>
      <c r="N191" s="548"/>
      <c r="O191" s="548"/>
      <c r="P191" s="548"/>
      <c r="Q191" s="548"/>
      <c r="R191" s="548"/>
      <c r="S191" s="548"/>
      <c r="T191" s="548"/>
      <c r="U191" s="548"/>
      <c r="V191" s="548"/>
      <c r="W191" s="548"/>
      <c r="X191" s="548"/>
      <c r="Y191" s="548"/>
      <c r="Z191" s="548"/>
      <c r="AA191" s="548"/>
      <c r="AB191" s="548"/>
      <c r="AC191" s="548"/>
      <c r="AD191" s="548"/>
      <c r="AE191" s="548"/>
      <c r="AF191" s="548"/>
      <c r="AG191" s="549"/>
      <c r="AH191" s="518"/>
    </row>
    <row r="192">
      <c r="A192" s="546"/>
      <c r="B192" s="547"/>
      <c r="C192" s="547"/>
      <c r="D192" s="547"/>
      <c r="E192" s="547"/>
      <c r="F192" s="547"/>
      <c r="G192" s="547"/>
      <c r="H192" s="547"/>
      <c r="I192" s="547"/>
      <c r="J192" s="547"/>
      <c r="K192" s="547"/>
      <c r="L192" s="547"/>
      <c r="M192" s="547"/>
      <c r="N192" s="548"/>
      <c r="O192" s="548"/>
      <c r="P192" s="548"/>
      <c r="Q192" s="548"/>
      <c r="R192" s="548"/>
      <c r="S192" s="548"/>
      <c r="T192" s="548"/>
      <c r="U192" s="548"/>
      <c r="V192" s="548"/>
      <c r="W192" s="548"/>
      <c r="X192" s="548"/>
      <c r="Y192" s="548"/>
      <c r="Z192" s="548"/>
      <c r="AA192" s="548"/>
      <c r="AB192" s="548"/>
      <c r="AC192" s="548"/>
      <c r="AD192" s="548"/>
      <c r="AE192" s="548"/>
      <c r="AF192" s="548"/>
      <c r="AG192" s="549"/>
      <c r="AH192" s="518"/>
    </row>
    <row r="193">
      <c r="A193" s="546"/>
      <c r="B193" s="547"/>
      <c r="C193" s="547"/>
      <c r="D193" s="547"/>
      <c r="E193" s="547"/>
      <c r="F193" s="547"/>
      <c r="G193" s="547"/>
      <c r="H193" s="547"/>
      <c r="I193" s="547"/>
      <c r="J193" s="547"/>
      <c r="K193" s="547"/>
      <c r="L193" s="547"/>
      <c r="M193" s="547"/>
      <c r="N193" s="548"/>
      <c r="O193" s="548"/>
      <c r="P193" s="548"/>
      <c r="Q193" s="548"/>
      <c r="R193" s="548"/>
      <c r="S193" s="548"/>
      <c r="T193" s="548"/>
      <c r="U193" s="548"/>
      <c r="V193" s="548"/>
      <c r="W193" s="548"/>
      <c r="X193" s="548"/>
      <c r="Y193" s="548"/>
      <c r="Z193" s="548"/>
      <c r="AA193" s="548"/>
      <c r="AB193" s="548"/>
      <c r="AC193" s="548"/>
      <c r="AD193" s="548"/>
      <c r="AE193" s="548"/>
      <c r="AF193" s="548"/>
      <c r="AG193" s="549"/>
      <c r="AH193" s="518"/>
    </row>
    <row r="194">
      <c r="A194" s="546"/>
      <c r="B194" s="547"/>
      <c r="C194" s="547"/>
      <c r="D194" s="547"/>
      <c r="E194" s="547"/>
      <c r="F194" s="547"/>
      <c r="G194" s="547"/>
      <c r="H194" s="547"/>
      <c r="I194" s="547"/>
      <c r="J194" s="547"/>
      <c r="K194" s="547"/>
      <c r="L194" s="547"/>
      <c r="M194" s="547"/>
      <c r="N194" s="548"/>
      <c r="O194" s="548"/>
      <c r="P194" s="548"/>
      <c r="Q194" s="548"/>
      <c r="R194" s="548"/>
      <c r="S194" s="548"/>
      <c r="T194" s="548"/>
      <c r="U194" s="548"/>
      <c r="V194" s="548"/>
      <c r="W194" s="548"/>
      <c r="X194" s="548"/>
      <c r="Y194" s="548"/>
      <c r="Z194" s="548"/>
      <c r="AA194" s="548"/>
      <c r="AB194" s="548"/>
      <c r="AC194" s="548"/>
      <c r="AD194" s="548"/>
      <c r="AE194" s="548"/>
      <c r="AF194" s="548"/>
      <c r="AG194" s="549"/>
      <c r="AH194" s="518"/>
    </row>
    <row r="195">
      <c r="A195" s="546"/>
      <c r="B195" s="547"/>
      <c r="C195" s="547"/>
      <c r="D195" s="547"/>
      <c r="E195" s="547"/>
      <c r="F195" s="547"/>
      <c r="G195" s="547"/>
      <c r="H195" s="547"/>
      <c r="I195" s="547"/>
      <c r="J195" s="547"/>
      <c r="K195" s="547"/>
      <c r="L195" s="547"/>
      <c r="M195" s="547"/>
      <c r="N195" s="548"/>
      <c r="O195" s="548"/>
      <c r="P195" s="548"/>
      <c r="Q195" s="548"/>
      <c r="R195" s="548"/>
      <c r="S195" s="548"/>
      <c r="T195" s="548"/>
      <c r="U195" s="548"/>
      <c r="V195" s="548"/>
      <c r="W195" s="548"/>
      <c r="X195" s="548"/>
      <c r="Y195" s="548"/>
      <c r="Z195" s="548"/>
      <c r="AA195" s="548"/>
      <c r="AB195" s="548"/>
      <c r="AC195" s="548"/>
      <c r="AD195" s="548"/>
      <c r="AE195" s="548"/>
      <c r="AF195" s="548"/>
      <c r="AG195" s="549"/>
      <c r="AH195" s="518"/>
    </row>
    <row r="196">
      <c r="A196" s="546"/>
      <c r="B196" s="547"/>
      <c r="C196" s="547"/>
      <c r="D196" s="547"/>
      <c r="E196" s="547"/>
      <c r="F196" s="547"/>
      <c r="G196" s="547"/>
      <c r="H196" s="547"/>
      <c r="I196" s="547"/>
      <c r="J196" s="547"/>
      <c r="K196" s="547"/>
      <c r="L196" s="547"/>
      <c r="M196" s="547"/>
      <c r="N196" s="548"/>
      <c r="O196" s="548"/>
      <c r="P196" s="548"/>
      <c r="Q196" s="548"/>
      <c r="R196" s="548"/>
      <c r="S196" s="548"/>
      <c r="T196" s="548"/>
      <c r="U196" s="548"/>
      <c r="V196" s="548"/>
      <c r="W196" s="548"/>
      <c r="X196" s="548"/>
      <c r="Y196" s="548"/>
      <c r="Z196" s="548"/>
      <c r="AA196" s="548"/>
      <c r="AB196" s="548"/>
      <c r="AC196" s="548"/>
      <c r="AD196" s="548"/>
      <c r="AE196" s="548"/>
      <c r="AF196" s="548"/>
      <c r="AG196" s="549"/>
      <c r="AH196" s="518"/>
    </row>
    <row r="197">
      <c r="A197" s="546"/>
      <c r="B197" s="547"/>
      <c r="C197" s="547"/>
      <c r="D197" s="547"/>
      <c r="E197" s="547"/>
      <c r="F197" s="547"/>
      <c r="G197" s="547"/>
      <c r="H197" s="547"/>
      <c r="I197" s="547"/>
      <c r="J197" s="547"/>
      <c r="K197" s="547"/>
      <c r="L197" s="547"/>
      <c r="M197" s="547"/>
      <c r="N197" s="548"/>
      <c r="O197" s="548"/>
      <c r="P197" s="548"/>
      <c r="Q197" s="548"/>
      <c r="R197" s="548"/>
      <c r="S197" s="548"/>
      <c r="T197" s="548"/>
      <c r="U197" s="548"/>
      <c r="V197" s="548"/>
      <c r="W197" s="548"/>
      <c r="X197" s="548"/>
      <c r="Y197" s="548"/>
      <c r="Z197" s="548"/>
      <c r="AA197" s="548"/>
      <c r="AB197" s="548"/>
      <c r="AC197" s="548"/>
      <c r="AD197" s="548"/>
      <c r="AE197" s="548"/>
      <c r="AF197" s="548"/>
      <c r="AG197" s="549"/>
      <c r="AH197" s="518"/>
    </row>
    <row r="198">
      <c r="A198" s="546"/>
      <c r="B198" s="547"/>
      <c r="C198" s="547"/>
      <c r="D198" s="547"/>
      <c r="E198" s="547"/>
      <c r="F198" s="547"/>
      <c r="G198" s="547"/>
      <c r="H198" s="547"/>
      <c r="I198" s="547"/>
      <c r="J198" s="547"/>
      <c r="K198" s="547"/>
      <c r="L198" s="547"/>
      <c r="M198" s="547"/>
      <c r="N198" s="548"/>
      <c r="O198" s="548"/>
      <c r="P198" s="548"/>
      <c r="Q198" s="548"/>
      <c r="R198" s="548"/>
      <c r="S198" s="548"/>
      <c r="T198" s="548"/>
      <c r="U198" s="548"/>
      <c r="V198" s="548"/>
      <c r="W198" s="548"/>
      <c r="X198" s="548"/>
      <c r="Y198" s="548"/>
      <c r="Z198" s="548"/>
      <c r="AA198" s="548"/>
      <c r="AB198" s="548"/>
      <c r="AC198" s="548"/>
      <c r="AD198" s="548"/>
      <c r="AE198" s="548"/>
      <c r="AF198" s="548"/>
      <c r="AG198" s="549"/>
      <c r="AH198" s="518"/>
    </row>
    <row r="199">
      <c r="A199" s="546"/>
      <c r="B199" s="547"/>
      <c r="C199" s="547"/>
      <c r="D199" s="547"/>
      <c r="E199" s="547"/>
      <c r="F199" s="547"/>
      <c r="G199" s="547"/>
      <c r="H199" s="547"/>
      <c r="I199" s="547"/>
      <c r="J199" s="547"/>
      <c r="K199" s="547"/>
      <c r="L199" s="547"/>
      <c r="M199" s="547"/>
      <c r="N199" s="548"/>
      <c r="O199" s="548"/>
      <c r="P199" s="548"/>
      <c r="Q199" s="548"/>
      <c r="R199" s="548"/>
      <c r="S199" s="548"/>
      <c r="T199" s="548"/>
      <c r="U199" s="548"/>
      <c r="V199" s="548"/>
      <c r="W199" s="548"/>
      <c r="X199" s="548"/>
      <c r="Y199" s="548"/>
      <c r="Z199" s="548"/>
      <c r="AA199" s="548"/>
      <c r="AB199" s="548"/>
      <c r="AC199" s="548"/>
      <c r="AD199" s="548"/>
      <c r="AE199" s="548"/>
      <c r="AF199" s="548"/>
      <c r="AG199" s="549"/>
      <c r="AH199" s="518"/>
    </row>
    <row r="200">
      <c r="A200" s="546"/>
      <c r="B200" s="547"/>
      <c r="C200" s="547"/>
      <c r="D200" s="547"/>
      <c r="E200" s="547"/>
      <c r="F200" s="547"/>
      <c r="G200" s="547"/>
      <c r="H200" s="547"/>
      <c r="I200" s="547"/>
      <c r="J200" s="547"/>
      <c r="K200" s="547"/>
      <c r="L200" s="547"/>
      <c r="M200" s="547"/>
      <c r="N200" s="548"/>
      <c r="O200" s="548"/>
      <c r="P200" s="548"/>
      <c r="Q200" s="548"/>
      <c r="R200" s="548"/>
      <c r="S200" s="548"/>
      <c r="T200" s="548"/>
      <c r="U200" s="548"/>
      <c r="V200" s="548"/>
      <c r="W200" s="548"/>
      <c r="X200" s="548"/>
      <c r="Y200" s="548"/>
      <c r="Z200" s="548"/>
      <c r="AA200" s="548"/>
      <c r="AB200" s="548"/>
      <c r="AC200" s="548"/>
      <c r="AD200" s="548"/>
      <c r="AE200" s="548"/>
      <c r="AF200" s="548"/>
      <c r="AG200" s="549"/>
      <c r="AH200" s="518"/>
    </row>
    <row r="201">
      <c r="A201" s="546"/>
      <c r="B201" s="547"/>
      <c r="C201" s="547"/>
      <c r="D201" s="547"/>
      <c r="E201" s="547"/>
      <c r="F201" s="547"/>
      <c r="G201" s="547"/>
      <c r="H201" s="547"/>
      <c r="I201" s="547"/>
      <c r="J201" s="547"/>
      <c r="K201" s="547"/>
      <c r="L201" s="547"/>
      <c r="M201" s="547"/>
      <c r="N201" s="548"/>
      <c r="O201" s="548"/>
      <c r="P201" s="548"/>
      <c r="Q201" s="548"/>
      <c r="R201" s="548"/>
      <c r="S201" s="548"/>
      <c r="T201" s="548"/>
      <c r="U201" s="548"/>
      <c r="V201" s="548"/>
      <c r="W201" s="548"/>
      <c r="X201" s="548"/>
      <c r="Y201" s="548"/>
      <c r="Z201" s="548"/>
      <c r="AA201" s="548"/>
      <c r="AB201" s="548"/>
      <c r="AC201" s="548"/>
      <c r="AD201" s="548"/>
      <c r="AE201" s="548"/>
      <c r="AF201" s="548"/>
      <c r="AG201" s="549"/>
      <c r="AH201" s="518"/>
    </row>
    <row r="202">
      <c r="A202" s="546"/>
      <c r="B202" s="547"/>
      <c r="C202" s="547"/>
      <c r="D202" s="547"/>
      <c r="E202" s="547"/>
      <c r="F202" s="547"/>
      <c r="G202" s="547"/>
      <c r="H202" s="547"/>
      <c r="I202" s="547"/>
      <c r="J202" s="547"/>
      <c r="K202" s="547"/>
      <c r="L202" s="547"/>
      <c r="M202" s="547"/>
      <c r="N202" s="548"/>
      <c r="O202" s="548"/>
      <c r="P202" s="548"/>
      <c r="Q202" s="548"/>
      <c r="R202" s="548"/>
      <c r="S202" s="548"/>
      <c r="T202" s="548"/>
      <c r="U202" s="548"/>
      <c r="V202" s="548"/>
      <c r="W202" s="548"/>
      <c r="X202" s="548"/>
      <c r="Y202" s="548"/>
      <c r="Z202" s="548"/>
      <c r="AA202" s="548"/>
      <c r="AB202" s="548"/>
      <c r="AC202" s="548"/>
      <c r="AD202" s="548"/>
      <c r="AE202" s="548"/>
      <c r="AF202" s="548"/>
      <c r="AG202" s="549"/>
      <c r="AH202" s="518"/>
    </row>
    <row r="203">
      <c r="A203" s="546"/>
      <c r="B203" s="547"/>
      <c r="C203" s="547"/>
      <c r="D203" s="547"/>
      <c r="E203" s="547"/>
      <c r="F203" s="547"/>
      <c r="G203" s="547"/>
      <c r="H203" s="547"/>
      <c r="I203" s="547"/>
      <c r="J203" s="547"/>
      <c r="K203" s="547"/>
      <c r="L203" s="547"/>
      <c r="M203" s="547"/>
      <c r="N203" s="548"/>
      <c r="O203" s="548"/>
      <c r="P203" s="548"/>
      <c r="Q203" s="548"/>
      <c r="R203" s="548"/>
      <c r="S203" s="548"/>
      <c r="T203" s="548"/>
      <c r="U203" s="548"/>
      <c r="V203" s="548"/>
      <c r="W203" s="548"/>
      <c r="X203" s="548"/>
      <c r="Y203" s="548"/>
      <c r="Z203" s="548"/>
      <c r="AA203" s="548"/>
      <c r="AB203" s="548"/>
      <c r="AC203" s="548"/>
      <c r="AD203" s="548"/>
      <c r="AE203" s="548"/>
      <c r="AF203" s="548"/>
      <c r="AG203" s="549"/>
      <c r="AH203" s="518"/>
    </row>
    <row r="204">
      <c r="A204" s="546"/>
      <c r="B204" s="547"/>
      <c r="C204" s="547"/>
      <c r="D204" s="547"/>
      <c r="E204" s="547"/>
      <c r="F204" s="547"/>
      <c r="G204" s="547"/>
      <c r="H204" s="547"/>
      <c r="I204" s="547"/>
      <c r="J204" s="547"/>
      <c r="K204" s="547"/>
      <c r="L204" s="547"/>
      <c r="M204" s="547"/>
      <c r="N204" s="548"/>
      <c r="O204" s="548"/>
      <c r="P204" s="548"/>
      <c r="Q204" s="548"/>
      <c r="R204" s="548"/>
      <c r="S204" s="548"/>
      <c r="T204" s="548"/>
      <c r="U204" s="548"/>
      <c r="V204" s="548"/>
      <c r="W204" s="548"/>
      <c r="X204" s="548"/>
      <c r="Y204" s="548"/>
      <c r="Z204" s="548"/>
      <c r="AA204" s="548"/>
      <c r="AB204" s="548"/>
      <c r="AC204" s="548"/>
      <c r="AD204" s="548"/>
      <c r="AE204" s="548"/>
      <c r="AF204" s="548"/>
      <c r="AG204" s="549"/>
      <c r="AH204" s="518"/>
    </row>
    <row r="205">
      <c r="A205" s="546"/>
      <c r="B205" s="547"/>
      <c r="C205" s="547"/>
      <c r="D205" s="547"/>
      <c r="E205" s="547"/>
      <c r="F205" s="547"/>
      <c r="G205" s="547"/>
      <c r="H205" s="547"/>
      <c r="I205" s="547"/>
      <c r="J205" s="547"/>
      <c r="K205" s="547"/>
      <c r="L205" s="547"/>
      <c r="M205" s="547"/>
      <c r="N205" s="548"/>
      <c r="O205" s="548"/>
      <c r="P205" s="548"/>
      <c r="Q205" s="548"/>
      <c r="R205" s="548"/>
      <c r="S205" s="548"/>
      <c r="T205" s="548"/>
      <c r="U205" s="548"/>
      <c r="V205" s="548"/>
      <c r="W205" s="548"/>
      <c r="X205" s="548"/>
      <c r="Y205" s="548"/>
      <c r="Z205" s="548"/>
      <c r="AA205" s="548"/>
      <c r="AB205" s="548"/>
      <c r="AC205" s="548"/>
      <c r="AD205" s="548"/>
      <c r="AE205" s="548"/>
      <c r="AF205" s="548"/>
      <c r="AG205" s="549"/>
      <c r="AH205" s="518"/>
    </row>
    <row r="206">
      <c r="A206" s="546"/>
      <c r="B206" s="547"/>
      <c r="C206" s="547"/>
      <c r="D206" s="547"/>
      <c r="E206" s="547"/>
      <c r="F206" s="547"/>
      <c r="G206" s="547"/>
      <c r="H206" s="547"/>
      <c r="I206" s="547"/>
      <c r="J206" s="547"/>
      <c r="K206" s="547"/>
      <c r="L206" s="547"/>
      <c r="M206" s="547"/>
      <c r="N206" s="548"/>
      <c r="O206" s="548"/>
      <c r="P206" s="548"/>
      <c r="Q206" s="548"/>
      <c r="R206" s="548"/>
      <c r="S206" s="548"/>
      <c r="T206" s="548"/>
      <c r="U206" s="548"/>
      <c r="V206" s="548"/>
      <c r="W206" s="548"/>
      <c r="X206" s="548"/>
      <c r="Y206" s="548"/>
      <c r="Z206" s="548"/>
      <c r="AA206" s="548"/>
      <c r="AB206" s="548"/>
      <c r="AC206" s="548"/>
      <c r="AD206" s="548"/>
      <c r="AE206" s="548"/>
      <c r="AF206" s="548"/>
      <c r="AG206" s="549"/>
      <c r="AH206" s="518"/>
    </row>
    <row r="207">
      <c r="A207" s="546"/>
      <c r="B207" s="547"/>
      <c r="C207" s="547"/>
      <c r="D207" s="547"/>
      <c r="E207" s="547"/>
      <c r="F207" s="547"/>
      <c r="G207" s="547"/>
      <c r="H207" s="547"/>
      <c r="I207" s="547"/>
      <c r="J207" s="547"/>
      <c r="K207" s="547"/>
      <c r="L207" s="547"/>
      <c r="M207" s="547"/>
      <c r="N207" s="548"/>
      <c r="O207" s="548"/>
      <c r="P207" s="548"/>
      <c r="Q207" s="548"/>
      <c r="R207" s="548"/>
      <c r="S207" s="548"/>
      <c r="T207" s="548"/>
      <c r="U207" s="548"/>
      <c r="V207" s="548"/>
      <c r="W207" s="548"/>
      <c r="X207" s="548"/>
      <c r="Y207" s="548"/>
      <c r="Z207" s="548"/>
      <c r="AA207" s="548"/>
      <c r="AB207" s="548"/>
      <c r="AC207" s="548"/>
      <c r="AD207" s="548"/>
      <c r="AE207" s="548"/>
      <c r="AF207" s="548"/>
      <c r="AG207" s="549"/>
      <c r="AH207" s="518"/>
    </row>
    <row r="208">
      <c r="A208" s="546"/>
      <c r="B208" s="547"/>
      <c r="C208" s="547"/>
      <c r="D208" s="547"/>
      <c r="E208" s="547"/>
      <c r="F208" s="547"/>
      <c r="G208" s="547"/>
      <c r="H208" s="547"/>
      <c r="I208" s="547"/>
      <c r="J208" s="547"/>
      <c r="K208" s="547"/>
      <c r="L208" s="547"/>
      <c r="M208" s="547"/>
      <c r="N208" s="548"/>
      <c r="O208" s="548"/>
      <c r="P208" s="548"/>
      <c r="Q208" s="548"/>
      <c r="R208" s="548"/>
      <c r="S208" s="548"/>
      <c r="T208" s="548"/>
      <c r="U208" s="548"/>
      <c r="V208" s="548"/>
      <c r="W208" s="548"/>
      <c r="X208" s="548"/>
      <c r="Y208" s="548"/>
      <c r="Z208" s="548"/>
      <c r="AA208" s="548"/>
      <c r="AB208" s="548"/>
      <c r="AC208" s="548"/>
      <c r="AD208" s="548"/>
      <c r="AE208" s="548"/>
      <c r="AF208" s="548"/>
      <c r="AG208" s="549"/>
      <c r="AH208" s="518"/>
    </row>
    <row r="209">
      <c r="A209" s="546"/>
      <c r="B209" s="547"/>
      <c r="C209" s="547"/>
      <c r="D209" s="547"/>
      <c r="E209" s="547"/>
      <c r="F209" s="547"/>
      <c r="G209" s="547"/>
      <c r="H209" s="547"/>
      <c r="I209" s="547"/>
      <c r="J209" s="547"/>
      <c r="K209" s="547"/>
      <c r="L209" s="547"/>
      <c r="M209" s="547"/>
      <c r="N209" s="548"/>
      <c r="O209" s="548"/>
      <c r="P209" s="548"/>
      <c r="Q209" s="548"/>
      <c r="R209" s="548"/>
      <c r="S209" s="548"/>
      <c r="T209" s="548"/>
      <c r="U209" s="548"/>
      <c r="V209" s="548"/>
      <c r="W209" s="548"/>
      <c r="X209" s="548"/>
      <c r="Y209" s="548"/>
      <c r="Z209" s="548"/>
      <c r="AA209" s="548"/>
      <c r="AB209" s="548"/>
      <c r="AC209" s="548"/>
      <c r="AD209" s="548"/>
      <c r="AE209" s="548"/>
      <c r="AF209" s="548"/>
      <c r="AG209" s="549"/>
      <c r="AH209" s="518"/>
    </row>
    <row r="210">
      <c r="A210" s="546"/>
      <c r="B210" s="547"/>
      <c r="C210" s="547"/>
      <c r="D210" s="547"/>
      <c r="E210" s="547"/>
      <c r="F210" s="547"/>
      <c r="G210" s="547"/>
      <c r="H210" s="547"/>
      <c r="I210" s="547"/>
      <c r="J210" s="547"/>
      <c r="K210" s="547"/>
      <c r="L210" s="547"/>
      <c r="M210" s="547"/>
      <c r="N210" s="548"/>
      <c r="O210" s="548"/>
      <c r="P210" s="548"/>
      <c r="Q210" s="548"/>
      <c r="R210" s="548"/>
      <c r="S210" s="548"/>
      <c r="T210" s="548"/>
      <c r="U210" s="548"/>
      <c r="V210" s="548"/>
      <c r="W210" s="548"/>
      <c r="X210" s="548"/>
      <c r="Y210" s="548"/>
      <c r="Z210" s="548"/>
      <c r="AA210" s="548"/>
      <c r="AB210" s="548"/>
      <c r="AC210" s="548"/>
      <c r="AD210" s="548"/>
      <c r="AE210" s="548"/>
      <c r="AF210" s="548"/>
      <c r="AG210" s="549"/>
      <c r="AH210" s="518"/>
    </row>
    <row r="211">
      <c r="A211" s="546"/>
      <c r="B211" s="547"/>
      <c r="C211" s="547"/>
      <c r="D211" s="547"/>
      <c r="E211" s="547"/>
      <c r="F211" s="547"/>
      <c r="G211" s="547"/>
      <c r="H211" s="547"/>
      <c r="I211" s="547"/>
      <c r="J211" s="547"/>
      <c r="K211" s="547"/>
      <c r="L211" s="547"/>
      <c r="M211" s="547"/>
      <c r="N211" s="548"/>
      <c r="O211" s="548"/>
      <c r="P211" s="548"/>
      <c r="Q211" s="548"/>
      <c r="R211" s="548"/>
      <c r="S211" s="548"/>
      <c r="T211" s="548"/>
      <c r="U211" s="548"/>
      <c r="V211" s="548"/>
      <c r="W211" s="548"/>
      <c r="X211" s="548"/>
      <c r="Y211" s="548"/>
      <c r="Z211" s="548"/>
      <c r="AA211" s="548"/>
      <c r="AB211" s="548"/>
      <c r="AC211" s="548"/>
      <c r="AD211" s="548"/>
      <c r="AE211" s="548"/>
      <c r="AF211" s="548"/>
      <c r="AG211" s="549"/>
      <c r="AH211" s="518"/>
    </row>
    <row r="212">
      <c r="A212" s="546"/>
      <c r="B212" s="547"/>
      <c r="C212" s="547"/>
      <c r="D212" s="547"/>
      <c r="E212" s="547"/>
      <c r="F212" s="547"/>
      <c r="G212" s="547"/>
      <c r="H212" s="547"/>
      <c r="I212" s="547"/>
      <c r="J212" s="547"/>
      <c r="K212" s="547"/>
      <c r="L212" s="547"/>
      <c r="M212" s="547"/>
      <c r="N212" s="548"/>
      <c r="O212" s="548"/>
      <c r="P212" s="548"/>
      <c r="Q212" s="548"/>
      <c r="R212" s="548"/>
      <c r="S212" s="548"/>
      <c r="T212" s="548"/>
      <c r="U212" s="548"/>
      <c r="V212" s="548"/>
      <c r="W212" s="548"/>
      <c r="X212" s="548"/>
      <c r="Y212" s="548"/>
      <c r="Z212" s="548"/>
      <c r="AA212" s="548"/>
      <c r="AB212" s="548"/>
      <c r="AC212" s="548"/>
      <c r="AD212" s="548"/>
      <c r="AE212" s="548"/>
      <c r="AF212" s="548"/>
      <c r="AG212" s="549"/>
      <c r="AH212" s="518"/>
    </row>
    <row r="213">
      <c r="A213" s="546"/>
      <c r="B213" s="547"/>
      <c r="C213" s="547"/>
      <c r="D213" s="547"/>
      <c r="E213" s="547"/>
      <c r="F213" s="547"/>
      <c r="G213" s="547"/>
      <c r="H213" s="547"/>
      <c r="I213" s="547"/>
      <c r="J213" s="547"/>
      <c r="K213" s="547"/>
      <c r="L213" s="547"/>
      <c r="M213" s="547"/>
      <c r="N213" s="548"/>
      <c r="O213" s="548"/>
      <c r="P213" s="548"/>
      <c r="Q213" s="548"/>
      <c r="R213" s="548"/>
      <c r="S213" s="548"/>
      <c r="T213" s="548"/>
      <c r="U213" s="548"/>
      <c r="V213" s="548"/>
      <c r="W213" s="548"/>
      <c r="X213" s="548"/>
      <c r="Y213" s="548"/>
      <c r="Z213" s="548"/>
      <c r="AA213" s="548"/>
      <c r="AB213" s="548"/>
      <c r="AC213" s="548"/>
      <c r="AD213" s="548"/>
      <c r="AE213" s="548"/>
      <c r="AF213" s="548"/>
      <c r="AG213" s="549"/>
      <c r="AH213" s="518"/>
    </row>
    <row r="214">
      <c r="A214" s="546"/>
      <c r="B214" s="547"/>
      <c r="C214" s="547"/>
      <c r="D214" s="547"/>
      <c r="E214" s="547"/>
      <c r="F214" s="547"/>
      <c r="G214" s="547"/>
      <c r="H214" s="547"/>
      <c r="I214" s="547"/>
      <c r="J214" s="547"/>
      <c r="K214" s="547"/>
      <c r="L214" s="547"/>
      <c r="M214" s="547"/>
      <c r="N214" s="548"/>
      <c r="O214" s="548"/>
      <c r="P214" s="548"/>
      <c r="Q214" s="548"/>
      <c r="R214" s="548"/>
      <c r="S214" s="548"/>
      <c r="T214" s="548"/>
      <c r="U214" s="548"/>
      <c r="V214" s="548"/>
      <c r="W214" s="548"/>
      <c r="X214" s="548"/>
      <c r="Y214" s="548"/>
      <c r="Z214" s="548"/>
      <c r="AA214" s="548"/>
      <c r="AB214" s="548"/>
      <c r="AC214" s="548"/>
      <c r="AD214" s="548"/>
      <c r="AE214" s="548"/>
      <c r="AF214" s="548"/>
      <c r="AG214" s="549"/>
      <c r="AH214" s="518"/>
    </row>
    <row r="215">
      <c r="A215" s="546"/>
      <c r="B215" s="547"/>
      <c r="C215" s="547"/>
      <c r="D215" s="547"/>
      <c r="E215" s="547"/>
      <c r="F215" s="547"/>
      <c r="G215" s="547"/>
      <c r="H215" s="547"/>
      <c r="I215" s="547"/>
      <c r="J215" s="547"/>
      <c r="K215" s="547"/>
      <c r="L215" s="547"/>
      <c r="M215" s="547"/>
      <c r="N215" s="548"/>
      <c r="O215" s="548"/>
      <c r="P215" s="548"/>
      <c r="Q215" s="548"/>
      <c r="R215" s="548"/>
      <c r="S215" s="548"/>
      <c r="T215" s="548"/>
      <c r="U215" s="548"/>
      <c r="V215" s="548"/>
      <c r="W215" s="548"/>
      <c r="X215" s="548"/>
      <c r="Y215" s="548"/>
      <c r="Z215" s="548"/>
      <c r="AA215" s="548"/>
      <c r="AB215" s="548"/>
      <c r="AC215" s="548"/>
      <c r="AD215" s="548"/>
      <c r="AE215" s="548"/>
      <c r="AF215" s="548"/>
      <c r="AG215" s="549"/>
      <c r="AH215" s="518"/>
    </row>
    <row r="216">
      <c r="A216" s="546"/>
      <c r="B216" s="547"/>
      <c r="C216" s="547"/>
      <c r="D216" s="547"/>
      <c r="E216" s="547"/>
      <c r="F216" s="547"/>
      <c r="G216" s="547"/>
      <c r="H216" s="547"/>
      <c r="I216" s="547"/>
      <c r="J216" s="547"/>
      <c r="K216" s="547"/>
      <c r="L216" s="547"/>
      <c r="M216" s="547"/>
      <c r="N216" s="548"/>
      <c r="O216" s="548"/>
      <c r="P216" s="548"/>
      <c r="Q216" s="548"/>
      <c r="R216" s="548"/>
      <c r="S216" s="548"/>
      <c r="T216" s="548"/>
      <c r="U216" s="548"/>
      <c r="V216" s="548"/>
      <c r="W216" s="548"/>
      <c r="X216" s="548"/>
      <c r="Y216" s="548"/>
      <c r="Z216" s="548"/>
      <c r="AA216" s="548"/>
      <c r="AB216" s="548"/>
      <c r="AC216" s="548"/>
      <c r="AD216" s="548"/>
      <c r="AE216" s="548"/>
      <c r="AF216" s="548"/>
      <c r="AG216" s="549"/>
      <c r="AH216" s="518"/>
    </row>
    <row r="217">
      <c r="A217" s="546"/>
      <c r="B217" s="547"/>
      <c r="C217" s="547"/>
      <c r="D217" s="547"/>
      <c r="E217" s="547"/>
      <c r="F217" s="547"/>
      <c r="G217" s="547"/>
      <c r="H217" s="547"/>
      <c r="I217" s="547"/>
      <c r="J217" s="547"/>
      <c r="K217" s="547"/>
      <c r="L217" s="547"/>
      <c r="M217" s="547"/>
      <c r="N217" s="548"/>
      <c r="O217" s="548"/>
      <c r="P217" s="548"/>
      <c r="Q217" s="548"/>
      <c r="R217" s="548"/>
      <c r="S217" s="548"/>
      <c r="T217" s="548"/>
      <c r="U217" s="548"/>
      <c r="V217" s="548"/>
      <c r="W217" s="548"/>
      <c r="X217" s="548"/>
      <c r="Y217" s="548"/>
      <c r="Z217" s="548"/>
      <c r="AA217" s="548"/>
      <c r="AB217" s="548"/>
      <c r="AC217" s="548"/>
      <c r="AD217" s="548"/>
      <c r="AE217" s="548"/>
      <c r="AF217" s="548"/>
      <c r="AG217" s="549"/>
      <c r="AH217" s="518"/>
    </row>
    <row r="218">
      <c r="A218" s="546"/>
      <c r="B218" s="547"/>
      <c r="C218" s="547"/>
      <c r="D218" s="547"/>
      <c r="E218" s="547"/>
      <c r="F218" s="547"/>
      <c r="G218" s="547"/>
      <c r="H218" s="547"/>
      <c r="I218" s="547"/>
      <c r="J218" s="547"/>
      <c r="K218" s="547"/>
      <c r="L218" s="547"/>
      <c r="M218" s="547"/>
      <c r="N218" s="548"/>
      <c r="O218" s="548"/>
      <c r="P218" s="548"/>
      <c r="Q218" s="548"/>
      <c r="R218" s="548"/>
      <c r="S218" s="548"/>
      <c r="T218" s="548"/>
      <c r="U218" s="548"/>
      <c r="V218" s="548"/>
      <c r="W218" s="548"/>
      <c r="X218" s="548"/>
      <c r="Y218" s="548"/>
      <c r="Z218" s="548"/>
      <c r="AA218" s="548"/>
      <c r="AB218" s="548"/>
      <c r="AC218" s="548"/>
      <c r="AD218" s="548"/>
      <c r="AE218" s="548"/>
      <c r="AF218" s="548"/>
      <c r="AG218" s="549"/>
      <c r="AH218" s="518"/>
    </row>
    <row r="219">
      <c r="A219" s="546"/>
      <c r="B219" s="547"/>
      <c r="C219" s="547"/>
      <c r="D219" s="547"/>
      <c r="E219" s="547"/>
      <c r="F219" s="547"/>
      <c r="G219" s="547"/>
      <c r="H219" s="547"/>
      <c r="I219" s="547"/>
      <c r="J219" s="547"/>
      <c r="K219" s="547"/>
      <c r="L219" s="547"/>
      <c r="M219" s="547"/>
      <c r="N219" s="548"/>
      <c r="O219" s="548"/>
      <c r="P219" s="548"/>
      <c r="Q219" s="548"/>
      <c r="R219" s="548"/>
      <c r="S219" s="548"/>
      <c r="T219" s="548"/>
      <c r="U219" s="548"/>
      <c r="V219" s="548"/>
      <c r="W219" s="548"/>
      <c r="X219" s="548"/>
      <c r="Y219" s="548"/>
      <c r="Z219" s="548"/>
      <c r="AA219" s="548"/>
      <c r="AB219" s="548"/>
      <c r="AC219" s="548"/>
      <c r="AD219" s="548"/>
      <c r="AE219" s="548"/>
      <c r="AF219" s="548"/>
      <c r="AG219" s="549"/>
      <c r="AH219" s="518"/>
    </row>
    <row r="220">
      <c r="A220" s="546"/>
      <c r="B220" s="547"/>
      <c r="C220" s="547"/>
      <c r="D220" s="547"/>
      <c r="E220" s="547"/>
      <c r="F220" s="547"/>
      <c r="G220" s="547"/>
      <c r="H220" s="547"/>
      <c r="I220" s="547"/>
      <c r="J220" s="547"/>
      <c r="K220" s="547"/>
      <c r="L220" s="547"/>
      <c r="M220" s="547"/>
      <c r="N220" s="548"/>
      <c r="O220" s="548"/>
      <c r="P220" s="548"/>
      <c r="Q220" s="548"/>
      <c r="R220" s="548"/>
      <c r="S220" s="548"/>
      <c r="T220" s="548"/>
      <c r="U220" s="548"/>
      <c r="V220" s="548"/>
      <c r="W220" s="548"/>
      <c r="X220" s="548"/>
      <c r="Y220" s="548"/>
      <c r="Z220" s="548"/>
      <c r="AA220" s="548"/>
      <c r="AB220" s="548"/>
      <c r="AC220" s="548"/>
      <c r="AD220" s="548"/>
      <c r="AE220" s="548"/>
      <c r="AF220" s="548"/>
      <c r="AG220" s="549"/>
      <c r="AH220" s="518"/>
    </row>
    <row r="221">
      <c r="A221" s="546"/>
      <c r="B221" s="547"/>
      <c r="C221" s="547"/>
      <c r="D221" s="547"/>
      <c r="E221" s="547"/>
      <c r="F221" s="547"/>
      <c r="G221" s="547"/>
      <c r="H221" s="547"/>
      <c r="I221" s="547"/>
      <c r="J221" s="547"/>
      <c r="K221" s="547"/>
      <c r="L221" s="547"/>
      <c r="M221" s="547"/>
      <c r="N221" s="548"/>
      <c r="O221" s="548"/>
      <c r="P221" s="548"/>
      <c r="Q221" s="548"/>
      <c r="R221" s="548"/>
      <c r="S221" s="548"/>
      <c r="T221" s="548"/>
      <c r="U221" s="548"/>
      <c r="V221" s="548"/>
      <c r="W221" s="548"/>
      <c r="X221" s="548"/>
      <c r="Y221" s="548"/>
      <c r="Z221" s="548"/>
      <c r="AA221" s="548"/>
      <c r="AB221" s="548"/>
      <c r="AC221" s="548"/>
      <c r="AD221" s="548"/>
      <c r="AE221" s="548"/>
      <c r="AF221" s="548"/>
      <c r="AG221" s="549"/>
      <c r="AH221" s="518"/>
    </row>
    <row r="222">
      <c r="A222" s="546"/>
      <c r="B222" s="547"/>
      <c r="C222" s="547"/>
      <c r="D222" s="547"/>
      <c r="E222" s="547"/>
      <c r="F222" s="547"/>
      <c r="G222" s="547"/>
      <c r="H222" s="547"/>
      <c r="I222" s="547"/>
      <c r="J222" s="547"/>
      <c r="K222" s="547"/>
      <c r="L222" s="547"/>
      <c r="M222" s="547"/>
      <c r="N222" s="548"/>
      <c r="O222" s="548"/>
      <c r="P222" s="548"/>
      <c r="Q222" s="548"/>
      <c r="R222" s="548"/>
      <c r="S222" s="548"/>
      <c r="T222" s="548"/>
      <c r="U222" s="548"/>
      <c r="V222" s="548"/>
      <c r="W222" s="548"/>
      <c r="X222" s="548"/>
      <c r="Y222" s="548"/>
      <c r="Z222" s="548"/>
      <c r="AA222" s="548"/>
      <c r="AB222" s="548"/>
      <c r="AC222" s="548"/>
      <c r="AD222" s="548"/>
      <c r="AE222" s="548"/>
      <c r="AF222" s="548"/>
      <c r="AG222" s="549"/>
      <c r="AH222" s="518"/>
    </row>
    <row r="223">
      <c r="A223" s="546"/>
      <c r="B223" s="547"/>
      <c r="C223" s="547"/>
      <c r="D223" s="547"/>
      <c r="E223" s="547"/>
      <c r="F223" s="547"/>
      <c r="G223" s="547"/>
      <c r="H223" s="547"/>
      <c r="I223" s="547"/>
      <c r="J223" s="547"/>
      <c r="K223" s="547"/>
      <c r="L223" s="547"/>
      <c r="M223" s="547"/>
      <c r="N223" s="548"/>
      <c r="O223" s="548"/>
      <c r="P223" s="548"/>
      <c r="Q223" s="548"/>
      <c r="R223" s="548"/>
      <c r="S223" s="548"/>
      <c r="T223" s="548"/>
      <c r="U223" s="548"/>
      <c r="V223" s="548"/>
      <c r="W223" s="548"/>
      <c r="X223" s="548"/>
      <c r="Y223" s="548"/>
      <c r="Z223" s="548"/>
      <c r="AA223" s="548"/>
      <c r="AB223" s="548"/>
      <c r="AC223" s="548"/>
      <c r="AD223" s="548"/>
      <c r="AE223" s="548"/>
      <c r="AF223" s="548"/>
      <c r="AG223" s="549"/>
      <c r="AH223" s="518"/>
    </row>
    <row r="224">
      <c r="A224" s="546"/>
      <c r="B224" s="547"/>
      <c r="C224" s="547"/>
      <c r="D224" s="547"/>
      <c r="E224" s="547"/>
      <c r="F224" s="547"/>
      <c r="G224" s="547"/>
      <c r="H224" s="547"/>
      <c r="I224" s="547"/>
      <c r="J224" s="547"/>
      <c r="K224" s="547"/>
      <c r="L224" s="547"/>
      <c r="M224" s="547"/>
      <c r="N224" s="548"/>
      <c r="O224" s="548"/>
      <c r="P224" s="548"/>
      <c r="Q224" s="548"/>
      <c r="R224" s="548"/>
      <c r="S224" s="548"/>
      <c r="T224" s="548"/>
      <c r="U224" s="548"/>
      <c r="V224" s="548"/>
      <c r="W224" s="548"/>
      <c r="X224" s="548"/>
      <c r="Y224" s="548"/>
      <c r="Z224" s="548"/>
      <c r="AA224" s="548"/>
      <c r="AB224" s="548"/>
      <c r="AC224" s="548"/>
      <c r="AD224" s="548"/>
      <c r="AE224" s="548"/>
      <c r="AF224" s="548"/>
      <c r="AG224" s="549"/>
      <c r="AH224" s="518"/>
    </row>
    <row r="225">
      <c r="A225" s="546"/>
      <c r="B225" s="547"/>
      <c r="C225" s="547"/>
      <c r="D225" s="547"/>
      <c r="E225" s="547"/>
      <c r="F225" s="547"/>
      <c r="G225" s="547"/>
      <c r="H225" s="547"/>
      <c r="I225" s="547"/>
      <c r="J225" s="547"/>
      <c r="K225" s="547"/>
      <c r="L225" s="547"/>
      <c r="M225" s="547"/>
      <c r="N225" s="548"/>
      <c r="O225" s="548"/>
      <c r="P225" s="548"/>
      <c r="Q225" s="548"/>
      <c r="R225" s="548"/>
      <c r="S225" s="548"/>
      <c r="T225" s="548"/>
      <c r="U225" s="548"/>
      <c r="V225" s="548"/>
      <c r="W225" s="548"/>
      <c r="X225" s="548"/>
      <c r="Y225" s="548"/>
      <c r="Z225" s="548"/>
      <c r="AA225" s="548"/>
      <c r="AB225" s="548"/>
      <c r="AC225" s="548"/>
      <c r="AD225" s="548"/>
      <c r="AE225" s="548"/>
      <c r="AF225" s="548"/>
      <c r="AG225" s="549"/>
      <c r="AH225" s="518"/>
    </row>
    <row r="226">
      <c r="A226" s="546"/>
      <c r="B226" s="547"/>
      <c r="C226" s="547"/>
      <c r="D226" s="547"/>
      <c r="E226" s="547"/>
      <c r="F226" s="547"/>
      <c r="G226" s="547"/>
      <c r="H226" s="547"/>
      <c r="I226" s="547"/>
      <c r="J226" s="547"/>
      <c r="K226" s="547"/>
      <c r="L226" s="547"/>
      <c r="M226" s="547"/>
      <c r="N226" s="548"/>
      <c r="O226" s="548"/>
      <c r="P226" s="548"/>
      <c r="Q226" s="548"/>
      <c r="R226" s="548"/>
      <c r="S226" s="548"/>
      <c r="T226" s="548"/>
      <c r="U226" s="548"/>
      <c r="V226" s="548"/>
      <c r="W226" s="548"/>
      <c r="X226" s="548"/>
      <c r="Y226" s="548"/>
      <c r="Z226" s="548"/>
      <c r="AA226" s="548"/>
      <c r="AB226" s="548"/>
      <c r="AC226" s="548"/>
      <c r="AD226" s="548"/>
      <c r="AE226" s="548"/>
      <c r="AF226" s="548"/>
      <c r="AG226" s="549"/>
      <c r="AH226" s="518"/>
    </row>
    <row r="227">
      <c r="A227" s="546"/>
      <c r="B227" s="547"/>
      <c r="C227" s="547"/>
      <c r="D227" s="547"/>
      <c r="E227" s="547"/>
      <c r="F227" s="547"/>
      <c r="G227" s="547"/>
      <c r="H227" s="547"/>
      <c r="I227" s="547"/>
      <c r="J227" s="547"/>
      <c r="K227" s="547"/>
      <c r="L227" s="547"/>
      <c r="M227" s="547"/>
      <c r="N227" s="548"/>
      <c r="O227" s="548"/>
      <c r="P227" s="548"/>
      <c r="Q227" s="548"/>
      <c r="R227" s="548"/>
      <c r="S227" s="548"/>
      <c r="T227" s="548"/>
      <c r="U227" s="548"/>
      <c r="V227" s="548"/>
      <c r="W227" s="548"/>
      <c r="X227" s="548"/>
      <c r="Y227" s="548"/>
      <c r="Z227" s="548"/>
      <c r="AA227" s="548"/>
      <c r="AB227" s="548"/>
      <c r="AC227" s="548"/>
      <c r="AD227" s="548"/>
      <c r="AE227" s="548"/>
      <c r="AF227" s="548"/>
      <c r="AG227" s="549"/>
      <c r="AH227" s="518"/>
    </row>
    <row r="228">
      <c r="A228" s="546"/>
      <c r="B228" s="547"/>
      <c r="C228" s="547"/>
      <c r="D228" s="547"/>
      <c r="E228" s="547"/>
      <c r="F228" s="547"/>
      <c r="G228" s="547"/>
      <c r="H228" s="547"/>
      <c r="I228" s="547"/>
      <c r="J228" s="547"/>
      <c r="K228" s="547"/>
      <c r="L228" s="547"/>
      <c r="M228" s="547"/>
      <c r="N228" s="548"/>
      <c r="O228" s="548"/>
      <c r="P228" s="548"/>
      <c r="Q228" s="548"/>
      <c r="R228" s="548"/>
      <c r="S228" s="548"/>
      <c r="T228" s="548"/>
      <c r="U228" s="548"/>
      <c r="V228" s="548"/>
      <c r="W228" s="548"/>
      <c r="X228" s="548"/>
      <c r="Y228" s="548"/>
      <c r="Z228" s="548"/>
      <c r="AA228" s="548"/>
      <c r="AB228" s="548"/>
      <c r="AC228" s="548"/>
      <c r="AD228" s="548"/>
      <c r="AE228" s="548"/>
      <c r="AF228" s="548"/>
      <c r="AG228" s="549"/>
      <c r="AH228" s="518"/>
    </row>
    <row r="229">
      <c r="A229" s="546"/>
      <c r="B229" s="547"/>
      <c r="C229" s="547"/>
      <c r="D229" s="547"/>
      <c r="E229" s="547"/>
      <c r="F229" s="547"/>
      <c r="G229" s="547"/>
      <c r="H229" s="547"/>
      <c r="I229" s="547"/>
      <c r="J229" s="547"/>
      <c r="K229" s="547"/>
      <c r="L229" s="547"/>
      <c r="M229" s="547"/>
      <c r="N229" s="548"/>
      <c r="O229" s="548"/>
      <c r="P229" s="548"/>
      <c r="Q229" s="548"/>
      <c r="R229" s="548"/>
      <c r="S229" s="548"/>
      <c r="T229" s="548"/>
      <c r="U229" s="548"/>
      <c r="V229" s="548"/>
      <c r="W229" s="548"/>
      <c r="X229" s="548"/>
      <c r="Y229" s="548"/>
      <c r="Z229" s="548"/>
      <c r="AA229" s="548"/>
      <c r="AB229" s="548"/>
      <c r="AC229" s="548"/>
      <c r="AD229" s="548"/>
      <c r="AE229" s="548"/>
      <c r="AF229" s="548"/>
      <c r="AG229" s="549"/>
      <c r="AH229" s="518"/>
    </row>
    <row r="230">
      <c r="A230" s="546"/>
      <c r="B230" s="547"/>
      <c r="C230" s="547"/>
      <c r="D230" s="547"/>
      <c r="E230" s="547"/>
      <c r="F230" s="547"/>
      <c r="G230" s="547"/>
      <c r="H230" s="547"/>
      <c r="I230" s="547"/>
      <c r="J230" s="547"/>
      <c r="K230" s="547"/>
      <c r="L230" s="547"/>
      <c r="M230" s="547"/>
      <c r="N230" s="548"/>
      <c r="O230" s="548"/>
      <c r="P230" s="548"/>
      <c r="Q230" s="548"/>
      <c r="R230" s="548"/>
      <c r="S230" s="548"/>
      <c r="T230" s="548"/>
      <c r="U230" s="548"/>
      <c r="V230" s="548"/>
      <c r="W230" s="548"/>
      <c r="X230" s="548"/>
      <c r="Y230" s="548"/>
      <c r="Z230" s="548"/>
      <c r="AA230" s="548"/>
      <c r="AB230" s="548"/>
      <c r="AC230" s="548"/>
      <c r="AD230" s="548"/>
      <c r="AE230" s="548"/>
      <c r="AF230" s="548"/>
      <c r="AG230" s="549"/>
      <c r="AH230" s="518"/>
    </row>
    <row r="231">
      <c r="A231" s="546"/>
      <c r="B231" s="547"/>
      <c r="C231" s="547"/>
      <c r="D231" s="547"/>
      <c r="E231" s="547"/>
      <c r="F231" s="547"/>
      <c r="G231" s="547"/>
      <c r="H231" s="547"/>
      <c r="I231" s="547"/>
      <c r="J231" s="547"/>
      <c r="K231" s="547"/>
      <c r="L231" s="547"/>
      <c r="M231" s="547"/>
      <c r="N231" s="548"/>
      <c r="O231" s="548"/>
      <c r="P231" s="548"/>
      <c r="Q231" s="548"/>
      <c r="R231" s="548"/>
      <c r="S231" s="548"/>
      <c r="T231" s="548"/>
      <c r="U231" s="548"/>
      <c r="V231" s="548"/>
      <c r="W231" s="548"/>
      <c r="X231" s="548"/>
      <c r="Y231" s="548"/>
      <c r="Z231" s="548"/>
      <c r="AA231" s="548"/>
      <c r="AB231" s="548"/>
      <c r="AC231" s="548"/>
      <c r="AD231" s="548"/>
      <c r="AE231" s="548"/>
      <c r="AF231" s="548"/>
      <c r="AG231" s="549"/>
      <c r="AH231" s="518"/>
    </row>
    <row r="232">
      <c r="A232" s="546"/>
      <c r="B232" s="547"/>
      <c r="C232" s="547"/>
      <c r="D232" s="547"/>
      <c r="E232" s="547"/>
      <c r="F232" s="547"/>
      <c r="G232" s="547"/>
      <c r="H232" s="547"/>
      <c r="I232" s="547"/>
      <c r="J232" s="547"/>
      <c r="K232" s="547"/>
      <c r="L232" s="547"/>
      <c r="M232" s="547"/>
      <c r="N232" s="548"/>
      <c r="O232" s="548"/>
      <c r="P232" s="548"/>
      <c r="Q232" s="548"/>
      <c r="R232" s="548"/>
      <c r="S232" s="548"/>
      <c r="T232" s="548"/>
      <c r="U232" s="548"/>
      <c r="V232" s="548"/>
      <c r="W232" s="548"/>
      <c r="X232" s="548"/>
      <c r="Y232" s="548"/>
      <c r="Z232" s="548"/>
      <c r="AA232" s="548"/>
      <c r="AB232" s="548"/>
      <c r="AC232" s="548"/>
      <c r="AD232" s="548"/>
      <c r="AE232" s="548"/>
      <c r="AF232" s="548"/>
      <c r="AG232" s="549"/>
      <c r="AH232" s="518"/>
    </row>
    <row r="233">
      <c r="A233" s="546"/>
      <c r="B233" s="547"/>
      <c r="C233" s="547"/>
      <c r="D233" s="547"/>
      <c r="E233" s="547"/>
      <c r="F233" s="547"/>
      <c r="G233" s="547"/>
      <c r="H233" s="547"/>
      <c r="I233" s="547"/>
      <c r="J233" s="547"/>
      <c r="K233" s="547"/>
      <c r="L233" s="547"/>
      <c r="M233" s="547"/>
      <c r="N233" s="548"/>
      <c r="O233" s="548"/>
      <c r="P233" s="548"/>
      <c r="Q233" s="548"/>
      <c r="R233" s="548"/>
      <c r="S233" s="548"/>
      <c r="T233" s="548"/>
      <c r="U233" s="548"/>
      <c r="V233" s="548"/>
      <c r="W233" s="548"/>
      <c r="X233" s="548"/>
      <c r="Y233" s="548"/>
      <c r="Z233" s="548"/>
      <c r="AA233" s="548"/>
      <c r="AB233" s="548"/>
      <c r="AC233" s="548"/>
      <c r="AD233" s="548"/>
      <c r="AE233" s="548"/>
      <c r="AF233" s="548"/>
      <c r="AG233" s="549"/>
      <c r="AH233" s="518"/>
    </row>
    <row r="234">
      <c r="A234" s="546"/>
      <c r="B234" s="547"/>
      <c r="C234" s="547"/>
      <c r="D234" s="547"/>
      <c r="E234" s="547"/>
      <c r="F234" s="547"/>
      <c r="G234" s="547"/>
      <c r="H234" s="547"/>
      <c r="I234" s="547"/>
      <c r="J234" s="547"/>
      <c r="K234" s="547"/>
      <c r="L234" s="547"/>
      <c r="M234" s="547"/>
      <c r="N234" s="548"/>
      <c r="O234" s="548"/>
      <c r="P234" s="548"/>
      <c r="Q234" s="548"/>
      <c r="R234" s="548"/>
      <c r="S234" s="548"/>
      <c r="T234" s="548"/>
      <c r="U234" s="548"/>
      <c r="V234" s="548"/>
      <c r="W234" s="548"/>
      <c r="X234" s="548"/>
      <c r="Y234" s="548"/>
      <c r="Z234" s="548"/>
      <c r="AA234" s="548"/>
      <c r="AB234" s="548"/>
      <c r="AC234" s="548"/>
      <c r="AD234" s="548"/>
      <c r="AE234" s="548"/>
      <c r="AF234" s="548"/>
      <c r="AG234" s="549"/>
      <c r="AH234" s="518"/>
    </row>
    <row r="235">
      <c r="A235" s="546"/>
      <c r="B235" s="547"/>
      <c r="C235" s="547"/>
      <c r="D235" s="547"/>
      <c r="E235" s="547"/>
      <c r="F235" s="547"/>
      <c r="G235" s="547"/>
      <c r="H235" s="547"/>
      <c r="I235" s="547"/>
      <c r="J235" s="547"/>
      <c r="K235" s="547"/>
      <c r="L235" s="547"/>
      <c r="M235" s="547"/>
      <c r="N235" s="548"/>
      <c r="O235" s="548"/>
      <c r="P235" s="548"/>
      <c r="Q235" s="548"/>
      <c r="R235" s="548"/>
      <c r="S235" s="548"/>
      <c r="T235" s="548"/>
      <c r="U235" s="548"/>
      <c r="V235" s="548"/>
      <c r="W235" s="548"/>
      <c r="X235" s="548"/>
      <c r="Y235" s="548"/>
      <c r="Z235" s="548"/>
      <c r="AA235" s="548"/>
      <c r="AB235" s="548"/>
      <c r="AC235" s="548"/>
      <c r="AD235" s="548"/>
      <c r="AE235" s="548"/>
      <c r="AF235" s="548"/>
      <c r="AG235" s="549"/>
      <c r="AH235" s="518"/>
    </row>
    <row r="236">
      <c r="A236" s="546"/>
      <c r="B236" s="547"/>
      <c r="C236" s="547"/>
      <c r="D236" s="547"/>
      <c r="E236" s="547"/>
      <c r="F236" s="547"/>
      <c r="G236" s="547"/>
      <c r="H236" s="547"/>
      <c r="I236" s="547"/>
      <c r="J236" s="547"/>
      <c r="K236" s="547"/>
      <c r="L236" s="547"/>
      <c r="M236" s="547"/>
      <c r="N236" s="548"/>
      <c r="O236" s="548"/>
      <c r="P236" s="548"/>
      <c r="Q236" s="548"/>
      <c r="R236" s="548"/>
      <c r="S236" s="548"/>
      <c r="T236" s="548"/>
      <c r="U236" s="548"/>
      <c r="V236" s="548"/>
      <c r="W236" s="548"/>
      <c r="X236" s="548"/>
      <c r="Y236" s="548"/>
      <c r="Z236" s="548"/>
      <c r="AA236" s="548"/>
      <c r="AB236" s="548"/>
      <c r="AC236" s="548"/>
      <c r="AD236" s="548"/>
      <c r="AE236" s="548"/>
      <c r="AF236" s="548"/>
      <c r="AG236" s="549"/>
      <c r="AH236" s="518"/>
    </row>
    <row r="237">
      <c r="A237" s="546"/>
      <c r="B237" s="547"/>
      <c r="C237" s="547"/>
      <c r="D237" s="547"/>
      <c r="E237" s="547"/>
      <c r="F237" s="547"/>
      <c r="G237" s="547"/>
      <c r="H237" s="547"/>
      <c r="I237" s="547"/>
      <c r="J237" s="547"/>
      <c r="K237" s="547"/>
      <c r="L237" s="547"/>
      <c r="M237" s="547"/>
      <c r="N237" s="548"/>
      <c r="O237" s="548"/>
      <c r="P237" s="548"/>
      <c r="Q237" s="548"/>
      <c r="R237" s="548"/>
      <c r="S237" s="548"/>
      <c r="T237" s="548"/>
      <c r="U237" s="548"/>
      <c r="V237" s="548"/>
      <c r="W237" s="548"/>
      <c r="X237" s="548"/>
      <c r="Y237" s="548"/>
      <c r="Z237" s="548"/>
      <c r="AA237" s="548"/>
      <c r="AB237" s="548"/>
      <c r="AC237" s="548"/>
      <c r="AD237" s="548"/>
      <c r="AE237" s="548"/>
      <c r="AF237" s="548"/>
      <c r="AG237" s="549"/>
      <c r="AH237" s="518"/>
    </row>
    <row r="238">
      <c r="A238" s="546"/>
      <c r="B238" s="547"/>
      <c r="C238" s="547"/>
      <c r="D238" s="547"/>
      <c r="E238" s="547"/>
      <c r="F238" s="547"/>
      <c r="G238" s="547"/>
      <c r="H238" s="547"/>
      <c r="I238" s="547"/>
      <c r="J238" s="547"/>
      <c r="K238" s="547"/>
      <c r="L238" s="547"/>
      <c r="M238" s="547"/>
      <c r="N238" s="548"/>
      <c r="O238" s="548"/>
      <c r="P238" s="548"/>
      <c r="Q238" s="548"/>
      <c r="R238" s="548"/>
      <c r="S238" s="548"/>
      <c r="T238" s="548"/>
      <c r="U238" s="548"/>
      <c r="V238" s="548"/>
      <c r="W238" s="548"/>
      <c r="X238" s="548"/>
      <c r="Y238" s="548"/>
      <c r="Z238" s="548"/>
      <c r="AA238" s="548"/>
      <c r="AB238" s="548"/>
      <c r="AC238" s="548"/>
      <c r="AD238" s="548"/>
      <c r="AE238" s="548"/>
      <c r="AF238" s="548"/>
      <c r="AG238" s="549"/>
      <c r="AH238" s="518"/>
    </row>
    <row r="239">
      <c r="A239" s="546"/>
      <c r="B239" s="547"/>
      <c r="C239" s="547"/>
      <c r="D239" s="547"/>
      <c r="E239" s="547"/>
      <c r="F239" s="547"/>
      <c r="G239" s="547"/>
      <c r="H239" s="547"/>
      <c r="I239" s="547"/>
      <c r="J239" s="547"/>
      <c r="K239" s="547"/>
      <c r="L239" s="547"/>
      <c r="M239" s="547"/>
      <c r="N239" s="548"/>
      <c r="O239" s="548"/>
      <c r="P239" s="548"/>
      <c r="Q239" s="548"/>
      <c r="R239" s="548"/>
      <c r="S239" s="548"/>
      <c r="T239" s="548"/>
      <c r="U239" s="548"/>
      <c r="V239" s="548"/>
      <c r="W239" s="548"/>
      <c r="X239" s="548"/>
      <c r="Y239" s="548"/>
      <c r="Z239" s="548"/>
      <c r="AA239" s="548"/>
      <c r="AB239" s="548"/>
      <c r="AC239" s="548"/>
      <c r="AD239" s="548"/>
      <c r="AE239" s="548"/>
      <c r="AF239" s="548"/>
      <c r="AG239" s="549"/>
      <c r="AH239" s="518"/>
    </row>
    <row r="240">
      <c r="A240" s="546"/>
      <c r="B240" s="547"/>
      <c r="C240" s="547"/>
      <c r="D240" s="547"/>
      <c r="E240" s="547"/>
      <c r="F240" s="547"/>
      <c r="G240" s="547"/>
      <c r="H240" s="547"/>
      <c r="I240" s="547"/>
      <c r="J240" s="547"/>
      <c r="K240" s="547"/>
      <c r="L240" s="547"/>
      <c r="M240" s="547"/>
      <c r="N240" s="548"/>
      <c r="O240" s="548"/>
      <c r="P240" s="548"/>
      <c r="Q240" s="548"/>
      <c r="R240" s="548"/>
      <c r="S240" s="548"/>
      <c r="T240" s="548"/>
      <c r="U240" s="548"/>
      <c r="V240" s="548"/>
      <c r="W240" s="548"/>
      <c r="X240" s="548"/>
      <c r="Y240" s="548"/>
      <c r="Z240" s="548"/>
      <c r="AA240" s="548"/>
      <c r="AB240" s="548"/>
      <c r="AC240" s="548"/>
      <c r="AD240" s="548"/>
      <c r="AE240" s="548"/>
      <c r="AF240" s="548"/>
      <c r="AG240" s="549"/>
      <c r="AH240" s="518"/>
    </row>
    <row r="241">
      <c r="A241" s="546"/>
      <c r="B241" s="547"/>
      <c r="C241" s="547"/>
      <c r="D241" s="547"/>
      <c r="E241" s="547"/>
      <c r="F241" s="547"/>
      <c r="G241" s="547"/>
      <c r="H241" s="547"/>
      <c r="I241" s="547"/>
      <c r="J241" s="547"/>
      <c r="K241" s="547"/>
      <c r="L241" s="547"/>
      <c r="M241" s="547"/>
      <c r="N241" s="548"/>
      <c r="O241" s="548"/>
      <c r="P241" s="548"/>
      <c r="Q241" s="548"/>
      <c r="R241" s="548"/>
      <c r="S241" s="548"/>
      <c r="T241" s="548"/>
      <c r="U241" s="548"/>
      <c r="V241" s="548"/>
      <c r="W241" s="548"/>
      <c r="X241" s="548"/>
      <c r="Y241" s="548"/>
      <c r="Z241" s="548"/>
      <c r="AA241" s="548"/>
      <c r="AB241" s="548"/>
      <c r="AC241" s="548"/>
      <c r="AD241" s="548"/>
      <c r="AE241" s="548"/>
      <c r="AF241" s="548"/>
      <c r="AG241" s="549"/>
      <c r="AH241" s="518"/>
    </row>
    <row r="242">
      <c r="A242" s="546"/>
      <c r="B242" s="547"/>
      <c r="C242" s="547"/>
      <c r="D242" s="547"/>
      <c r="E242" s="547"/>
      <c r="F242" s="547"/>
      <c r="G242" s="547"/>
      <c r="H242" s="547"/>
      <c r="I242" s="547"/>
      <c r="J242" s="547"/>
      <c r="K242" s="547"/>
      <c r="L242" s="547"/>
      <c r="M242" s="547"/>
      <c r="N242" s="548"/>
      <c r="O242" s="548"/>
      <c r="P242" s="548"/>
      <c r="Q242" s="548"/>
      <c r="R242" s="548"/>
      <c r="S242" s="548"/>
      <c r="T242" s="548"/>
      <c r="U242" s="548"/>
      <c r="V242" s="548"/>
      <c r="W242" s="548"/>
      <c r="X242" s="548"/>
      <c r="Y242" s="548"/>
      <c r="Z242" s="548"/>
      <c r="AA242" s="548"/>
      <c r="AB242" s="548"/>
      <c r="AC242" s="548"/>
      <c r="AD242" s="548"/>
      <c r="AE242" s="548"/>
      <c r="AF242" s="548"/>
      <c r="AG242" s="549"/>
      <c r="AH242" s="518"/>
    </row>
    <row r="243">
      <c r="A243" s="546"/>
      <c r="B243" s="547"/>
      <c r="C243" s="547"/>
      <c r="D243" s="547"/>
      <c r="E243" s="547"/>
      <c r="F243" s="547"/>
      <c r="G243" s="547"/>
      <c r="H243" s="547"/>
      <c r="I243" s="547"/>
      <c r="J243" s="547"/>
      <c r="K243" s="547"/>
      <c r="L243" s="547"/>
      <c r="M243" s="547"/>
      <c r="N243" s="548"/>
      <c r="O243" s="548"/>
      <c r="P243" s="548"/>
      <c r="Q243" s="548"/>
      <c r="R243" s="548"/>
      <c r="S243" s="548"/>
      <c r="T243" s="548"/>
      <c r="U243" s="548"/>
      <c r="V243" s="548"/>
      <c r="W243" s="548"/>
      <c r="X243" s="548"/>
      <c r="Y243" s="548"/>
      <c r="Z243" s="548"/>
      <c r="AA243" s="548"/>
      <c r="AB243" s="548"/>
      <c r="AC243" s="548"/>
      <c r="AD243" s="548"/>
      <c r="AE243" s="548"/>
      <c r="AF243" s="548"/>
      <c r="AG243" s="549"/>
      <c r="AH243" s="518"/>
    </row>
    <row r="244">
      <c r="A244" s="546"/>
      <c r="B244" s="547"/>
      <c r="C244" s="547"/>
      <c r="D244" s="547"/>
      <c r="E244" s="547"/>
      <c r="F244" s="547"/>
      <c r="G244" s="547"/>
      <c r="H244" s="547"/>
      <c r="I244" s="547"/>
      <c r="J244" s="547"/>
      <c r="K244" s="547"/>
      <c r="L244" s="547"/>
      <c r="M244" s="547"/>
      <c r="N244" s="548"/>
      <c r="O244" s="548"/>
      <c r="P244" s="548"/>
      <c r="Q244" s="548"/>
      <c r="R244" s="548"/>
      <c r="S244" s="548"/>
      <c r="T244" s="548"/>
      <c r="U244" s="548"/>
      <c r="V244" s="548"/>
      <c r="W244" s="548"/>
      <c r="X244" s="548"/>
      <c r="Y244" s="548"/>
      <c r="Z244" s="548"/>
      <c r="AA244" s="548"/>
      <c r="AB244" s="548"/>
      <c r="AC244" s="548"/>
      <c r="AD244" s="548"/>
      <c r="AE244" s="548"/>
      <c r="AF244" s="548"/>
      <c r="AG244" s="549"/>
      <c r="AH244" s="518"/>
    </row>
    <row r="245">
      <c r="A245" s="546"/>
      <c r="B245" s="547"/>
      <c r="C245" s="547"/>
      <c r="D245" s="547"/>
      <c r="E245" s="547"/>
      <c r="F245" s="547"/>
      <c r="G245" s="547"/>
      <c r="H245" s="547"/>
      <c r="I245" s="547"/>
      <c r="J245" s="547"/>
      <c r="K245" s="547"/>
      <c r="L245" s="547"/>
      <c r="M245" s="547"/>
      <c r="N245" s="548"/>
      <c r="O245" s="548"/>
      <c r="P245" s="548"/>
      <c r="Q245" s="548"/>
      <c r="R245" s="548"/>
      <c r="S245" s="548"/>
      <c r="T245" s="548"/>
      <c r="U245" s="548"/>
      <c r="V245" s="548"/>
      <c r="W245" s="548"/>
      <c r="X245" s="548"/>
      <c r="Y245" s="548"/>
      <c r="Z245" s="548"/>
      <c r="AA245" s="548"/>
      <c r="AB245" s="548"/>
      <c r="AC245" s="548"/>
      <c r="AD245" s="548"/>
      <c r="AE245" s="548"/>
      <c r="AF245" s="548"/>
      <c r="AG245" s="549"/>
      <c r="AH245" s="518"/>
    </row>
    <row r="246">
      <c r="A246" s="546"/>
      <c r="B246" s="547"/>
      <c r="C246" s="547"/>
      <c r="D246" s="547"/>
      <c r="E246" s="547"/>
      <c r="F246" s="547"/>
      <c r="G246" s="547"/>
      <c r="H246" s="547"/>
      <c r="I246" s="547"/>
      <c r="J246" s="547"/>
      <c r="K246" s="547"/>
      <c r="L246" s="547"/>
      <c r="M246" s="547"/>
      <c r="N246" s="548"/>
      <c r="O246" s="548"/>
      <c r="P246" s="548"/>
      <c r="Q246" s="548"/>
      <c r="R246" s="548"/>
      <c r="S246" s="548"/>
      <c r="T246" s="548"/>
      <c r="U246" s="548"/>
      <c r="V246" s="548"/>
      <c r="W246" s="548"/>
      <c r="X246" s="548"/>
      <c r="Y246" s="548"/>
      <c r="Z246" s="548"/>
      <c r="AA246" s="548"/>
      <c r="AB246" s="548"/>
      <c r="AC246" s="548"/>
      <c r="AD246" s="548"/>
      <c r="AE246" s="548"/>
      <c r="AF246" s="548"/>
      <c r="AG246" s="549"/>
      <c r="AH246" s="518"/>
    </row>
    <row r="247">
      <c r="A247" s="546"/>
      <c r="B247" s="547"/>
      <c r="C247" s="547"/>
      <c r="D247" s="547"/>
      <c r="E247" s="547"/>
      <c r="F247" s="547"/>
      <c r="G247" s="547"/>
      <c r="H247" s="547"/>
      <c r="I247" s="547"/>
      <c r="J247" s="547"/>
      <c r="K247" s="547"/>
      <c r="L247" s="547"/>
      <c r="M247" s="547"/>
      <c r="N247" s="548"/>
      <c r="O247" s="548"/>
      <c r="P247" s="548"/>
      <c r="Q247" s="548"/>
      <c r="R247" s="548"/>
      <c r="S247" s="548"/>
      <c r="T247" s="548"/>
      <c r="U247" s="548"/>
      <c r="V247" s="548"/>
      <c r="W247" s="548"/>
      <c r="X247" s="548"/>
      <c r="Y247" s="548"/>
      <c r="Z247" s="548"/>
      <c r="AA247" s="548"/>
      <c r="AB247" s="548"/>
      <c r="AC247" s="548"/>
      <c r="AD247" s="548"/>
      <c r="AE247" s="548"/>
      <c r="AF247" s="548"/>
      <c r="AG247" s="549"/>
      <c r="AH247" s="518"/>
    </row>
    <row r="248">
      <c r="A248" s="546"/>
      <c r="B248" s="547"/>
      <c r="C248" s="547"/>
      <c r="D248" s="547"/>
      <c r="E248" s="547"/>
      <c r="F248" s="547"/>
      <c r="G248" s="547"/>
      <c r="H248" s="547"/>
      <c r="I248" s="547"/>
      <c r="J248" s="547"/>
      <c r="K248" s="547"/>
      <c r="L248" s="547"/>
      <c r="M248" s="547"/>
      <c r="N248" s="548"/>
      <c r="O248" s="548"/>
      <c r="P248" s="548"/>
      <c r="Q248" s="548"/>
      <c r="R248" s="548"/>
      <c r="S248" s="548"/>
      <c r="T248" s="548"/>
      <c r="U248" s="548"/>
      <c r="V248" s="548"/>
      <c r="W248" s="548"/>
      <c r="X248" s="548"/>
      <c r="Y248" s="548"/>
      <c r="Z248" s="548"/>
      <c r="AA248" s="548"/>
      <c r="AB248" s="548"/>
      <c r="AC248" s="548"/>
      <c r="AD248" s="548"/>
      <c r="AE248" s="548"/>
      <c r="AF248" s="548"/>
      <c r="AG248" s="549"/>
      <c r="AH248" s="518"/>
    </row>
    <row r="249">
      <c r="A249" s="546"/>
      <c r="B249" s="547"/>
      <c r="C249" s="547"/>
      <c r="D249" s="547"/>
      <c r="E249" s="547"/>
      <c r="F249" s="547"/>
      <c r="G249" s="547"/>
      <c r="H249" s="547"/>
      <c r="I249" s="547"/>
      <c r="J249" s="547"/>
      <c r="K249" s="547"/>
      <c r="L249" s="547"/>
      <c r="M249" s="547"/>
      <c r="N249" s="548"/>
      <c r="O249" s="548"/>
      <c r="P249" s="548"/>
      <c r="Q249" s="548"/>
      <c r="R249" s="548"/>
      <c r="S249" s="548"/>
      <c r="T249" s="548"/>
      <c r="U249" s="548"/>
      <c r="V249" s="548"/>
      <c r="W249" s="548"/>
      <c r="X249" s="548"/>
      <c r="Y249" s="548"/>
      <c r="Z249" s="548"/>
      <c r="AA249" s="548"/>
      <c r="AB249" s="548"/>
      <c r="AC249" s="548"/>
      <c r="AD249" s="548"/>
      <c r="AE249" s="548"/>
      <c r="AF249" s="548"/>
      <c r="AG249" s="549"/>
      <c r="AH249" s="518"/>
    </row>
    <row r="250">
      <c r="A250" s="546"/>
      <c r="B250" s="547"/>
      <c r="C250" s="547"/>
      <c r="D250" s="547"/>
      <c r="E250" s="547"/>
      <c r="F250" s="547"/>
      <c r="G250" s="547"/>
      <c r="H250" s="547"/>
      <c r="I250" s="547"/>
      <c r="J250" s="547"/>
      <c r="K250" s="547"/>
      <c r="L250" s="547"/>
      <c r="M250" s="547"/>
      <c r="N250" s="548"/>
      <c r="O250" s="548"/>
      <c r="P250" s="548"/>
      <c r="Q250" s="548"/>
      <c r="R250" s="548"/>
      <c r="S250" s="548"/>
      <c r="T250" s="548"/>
      <c r="U250" s="548"/>
      <c r="V250" s="548"/>
      <c r="W250" s="548"/>
      <c r="X250" s="548"/>
      <c r="Y250" s="548"/>
      <c r="Z250" s="548"/>
      <c r="AA250" s="548"/>
      <c r="AB250" s="548"/>
      <c r="AC250" s="548"/>
      <c r="AD250" s="548"/>
      <c r="AE250" s="548"/>
      <c r="AF250" s="548"/>
      <c r="AG250" s="549"/>
      <c r="AH250" s="518"/>
    </row>
    <row r="251">
      <c r="A251" s="546"/>
      <c r="B251" s="547"/>
      <c r="C251" s="547"/>
      <c r="D251" s="547"/>
      <c r="E251" s="547"/>
      <c r="F251" s="547"/>
      <c r="G251" s="547"/>
      <c r="H251" s="547"/>
      <c r="I251" s="547"/>
      <c r="J251" s="547"/>
      <c r="K251" s="547"/>
      <c r="L251" s="547"/>
      <c r="M251" s="547"/>
      <c r="N251" s="548"/>
      <c r="O251" s="548"/>
      <c r="P251" s="548"/>
      <c r="Q251" s="548"/>
      <c r="R251" s="548"/>
      <c r="S251" s="548"/>
      <c r="T251" s="548"/>
      <c r="U251" s="548"/>
      <c r="V251" s="548"/>
      <c r="W251" s="548"/>
      <c r="X251" s="548"/>
      <c r="Y251" s="548"/>
      <c r="Z251" s="548"/>
      <c r="AA251" s="548"/>
      <c r="AB251" s="548"/>
      <c r="AC251" s="548"/>
      <c r="AD251" s="548"/>
      <c r="AE251" s="548"/>
      <c r="AF251" s="548"/>
      <c r="AG251" s="549"/>
      <c r="AH251" s="518"/>
    </row>
    <row r="252">
      <c r="A252" s="546"/>
      <c r="B252" s="547"/>
      <c r="C252" s="547"/>
      <c r="D252" s="547"/>
      <c r="E252" s="547"/>
      <c r="F252" s="547"/>
      <c r="G252" s="547"/>
      <c r="H252" s="547"/>
      <c r="I252" s="547"/>
      <c r="J252" s="547"/>
      <c r="K252" s="547"/>
      <c r="L252" s="547"/>
      <c r="M252" s="547"/>
      <c r="N252" s="548"/>
      <c r="O252" s="548"/>
      <c r="P252" s="548"/>
      <c r="Q252" s="548"/>
      <c r="R252" s="548"/>
      <c r="S252" s="548"/>
      <c r="T252" s="548"/>
      <c r="U252" s="548"/>
      <c r="V252" s="548"/>
      <c r="W252" s="548"/>
      <c r="X252" s="548"/>
      <c r="Y252" s="548"/>
      <c r="Z252" s="548"/>
      <c r="AA252" s="548"/>
      <c r="AB252" s="548"/>
      <c r="AC252" s="548"/>
      <c r="AD252" s="548"/>
      <c r="AE252" s="548"/>
      <c r="AF252" s="548"/>
      <c r="AG252" s="549"/>
      <c r="AH252" s="518"/>
    </row>
    <row r="253">
      <c r="A253" s="546"/>
      <c r="B253" s="547"/>
      <c r="C253" s="547"/>
      <c r="D253" s="547"/>
      <c r="E253" s="547"/>
      <c r="F253" s="547"/>
      <c r="G253" s="547"/>
      <c r="H253" s="547"/>
      <c r="I253" s="547"/>
      <c r="J253" s="547"/>
      <c r="K253" s="547"/>
      <c r="L253" s="547"/>
      <c r="M253" s="547"/>
      <c r="N253" s="548"/>
      <c r="O253" s="548"/>
      <c r="P253" s="548"/>
      <c r="Q253" s="548"/>
      <c r="R253" s="548"/>
      <c r="S253" s="548"/>
      <c r="T253" s="548"/>
      <c r="U253" s="548"/>
      <c r="V253" s="548"/>
      <c r="W253" s="548"/>
      <c r="X253" s="548"/>
      <c r="Y253" s="548"/>
      <c r="Z253" s="548"/>
      <c r="AA253" s="548"/>
      <c r="AB253" s="548"/>
      <c r="AC253" s="548"/>
      <c r="AD253" s="548"/>
      <c r="AE253" s="548"/>
      <c r="AF253" s="548"/>
      <c r="AG253" s="549"/>
      <c r="AH253" s="518"/>
    </row>
    <row r="254">
      <c r="A254" s="546"/>
      <c r="B254" s="547"/>
      <c r="C254" s="547"/>
      <c r="D254" s="547"/>
      <c r="E254" s="547"/>
      <c r="F254" s="547"/>
      <c r="G254" s="547"/>
      <c r="H254" s="547"/>
      <c r="I254" s="547"/>
      <c r="J254" s="547"/>
      <c r="K254" s="547"/>
      <c r="L254" s="547"/>
      <c r="M254" s="547"/>
      <c r="N254" s="548"/>
      <c r="O254" s="548"/>
      <c r="P254" s="548"/>
      <c r="Q254" s="548"/>
      <c r="R254" s="548"/>
      <c r="S254" s="548"/>
      <c r="T254" s="548"/>
      <c r="U254" s="548"/>
      <c r="V254" s="548"/>
      <c r="W254" s="548"/>
      <c r="X254" s="548"/>
      <c r="Y254" s="548"/>
      <c r="Z254" s="548"/>
      <c r="AA254" s="548"/>
      <c r="AB254" s="548"/>
      <c r="AC254" s="548"/>
      <c r="AD254" s="548"/>
      <c r="AE254" s="548"/>
      <c r="AF254" s="548"/>
      <c r="AG254" s="549"/>
      <c r="AH254" s="518"/>
    </row>
    <row r="255">
      <c r="A255" s="546"/>
      <c r="B255" s="547"/>
      <c r="C255" s="547"/>
      <c r="D255" s="547"/>
      <c r="E255" s="547"/>
      <c r="F255" s="547"/>
      <c r="G255" s="547"/>
      <c r="H255" s="547"/>
      <c r="I255" s="547"/>
      <c r="J255" s="547"/>
      <c r="K255" s="547"/>
      <c r="L255" s="547"/>
      <c r="M255" s="547"/>
      <c r="N255" s="548"/>
      <c r="O255" s="548"/>
      <c r="P255" s="548"/>
      <c r="Q255" s="548"/>
      <c r="R255" s="548"/>
      <c r="S255" s="548"/>
      <c r="T255" s="548"/>
      <c r="U255" s="548"/>
      <c r="V255" s="548"/>
      <c r="W255" s="548"/>
      <c r="X255" s="548"/>
      <c r="Y255" s="548"/>
      <c r="Z255" s="548"/>
      <c r="AA255" s="548"/>
      <c r="AB255" s="548"/>
      <c r="AC255" s="548"/>
      <c r="AD255" s="548"/>
      <c r="AE255" s="548"/>
      <c r="AF255" s="548"/>
      <c r="AG255" s="549"/>
      <c r="AH255" s="518"/>
    </row>
    <row r="256">
      <c r="A256" s="546"/>
      <c r="B256" s="547"/>
      <c r="C256" s="547"/>
      <c r="D256" s="547"/>
      <c r="E256" s="547"/>
      <c r="F256" s="547"/>
      <c r="G256" s="547"/>
      <c r="H256" s="547"/>
      <c r="I256" s="547"/>
      <c r="J256" s="547"/>
      <c r="K256" s="547"/>
      <c r="L256" s="547"/>
      <c r="M256" s="547"/>
      <c r="N256" s="548"/>
      <c r="O256" s="548"/>
      <c r="P256" s="548"/>
      <c r="Q256" s="548"/>
      <c r="R256" s="548"/>
      <c r="S256" s="548"/>
      <c r="T256" s="548"/>
      <c r="U256" s="548"/>
      <c r="V256" s="548"/>
      <c r="W256" s="548"/>
      <c r="X256" s="548"/>
      <c r="Y256" s="548"/>
      <c r="Z256" s="548"/>
      <c r="AA256" s="548"/>
      <c r="AB256" s="548"/>
      <c r="AC256" s="548"/>
      <c r="AD256" s="548"/>
      <c r="AE256" s="548"/>
      <c r="AF256" s="548"/>
      <c r="AG256" s="549"/>
      <c r="AH256" s="518"/>
    </row>
    <row r="257">
      <c r="A257" s="546"/>
      <c r="B257" s="547"/>
      <c r="C257" s="547"/>
      <c r="D257" s="547"/>
      <c r="E257" s="547"/>
      <c r="F257" s="547"/>
      <c r="G257" s="547"/>
      <c r="H257" s="547"/>
      <c r="I257" s="547"/>
      <c r="J257" s="547"/>
      <c r="K257" s="547"/>
      <c r="L257" s="547"/>
      <c r="M257" s="547"/>
      <c r="N257" s="548"/>
      <c r="O257" s="548"/>
      <c r="P257" s="548"/>
      <c r="Q257" s="548"/>
      <c r="R257" s="548"/>
      <c r="S257" s="548"/>
      <c r="T257" s="548"/>
      <c r="U257" s="548"/>
      <c r="V257" s="548"/>
      <c r="W257" s="548"/>
      <c r="X257" s="548"/>
      <c r="Y257" s="548"/>
      <c r="Z257" s="548"/>
      <c r="AA257" s="548"/>
      <c r="AB257" s="548"/>
      <c r="AC257" s="548"/>
      <c r="AD257" s="548"/>
      <c r="AE257" s="548"/>
      <c r="AF257" s="548"/>
      <c r="AG257" s="549"/>
      <c r="AH257" s="518"/>
    </row>
    <row r="258">
      <c r="A258" s="546"/>
      <c r="B258" s="547"/>
      <c r="C258" s="547"/>
      <c r="D258" s="547"/>
      <c r="E258" s="547"/>
      <c r="F258" s="547"/>
      <c r="G258" s="547"/>
      <c r="H258" s="547"/>
      <c r="I258" s="547"/>
      <c r="J258" s="547"/>
      <c r="K258" s="547"/>
      <c r="L258" s="547"/>
      <c r="M258" s="547"/>
      <c r="N258" s="548"/>
      <c r="O258" s="548"/>
      <c r="P258" s="548"/>
      <c r="Q258" s="548"/>
      <c r="R258" s="548"/>
      <c r="S258" s="548"/>
      <c r="T258" s="548"/>
      <c r="U258" s="548"/>
      <c r="V258" s="548"/>
      <c r="W258" s="548"/>
      <c r="X258" s="548"/>
      <c r="Y258" s="548"/>
      <c r="Z258" s="548"/>
      <c r="AA258" s="548"/>
      <c r="AB258" s="548"/>
      <c r="AC258" s="548"/>
      <c r="AD258" s="548"/>
      <c r="AE258" s="548"/>
      <c r="AF258" s="548"/>
      <c r="AG258" s="549"/>
      <c r="AH258" s="518"/>
    </row>
    <row r="259">
      <c r="A259" s="546"/>
      <c r="B259" s="547"/>
      <c r="C259" s="547"/>
      <c r="D259" s="547"/>
      <c r="E259" s="547"/>
      <c r="F259" s="547"/>
      <c r="G259" s="547"/>
      <c r="H259" s="547"/>
      <c r="I259" s="547"/>
      <c r="J259" s="547"/>
      <c r="K259" s="547"/>
      <c r="L259" s="547"/>
      <c r="M259" s="547"/>
      <c r="N259" s="548"/>
      <c r="O259" s="548"/>
      <c r="P259" s="548"/>
      <c r="Q259" s="548"/>
      <c r="R259" s="548"/>
      <c r="S259" s="548"/>
      <c r="T259" s="548"/>
      <c r="U259" s="548"/>
      <c r="V259" s="548"/>
      <c r="W259" s="548"/>
      <c r="X259" s="548"/>
      <c r="Y259" s="548"/>
      <c r="Z259" s="548"/>
      <c r="AA259" s="548"/>
      <c r="AB259" s="548"/>
      <c r="AC259" s="548"/>
      <c r="AD259" s="548"/>
      <c r="AE259" s="548"/>
      <c r="AF259" s="548"/>
      <c r="AG259" s="549"/>
      <c r="AH259" s="518"/>
    </row>
    <row r="260">
      <c r="A260" s="546"/>
      <c r="B260" s="547"/>
      <c r="C260" s="547"/>
      <c r="D260" s="547"/>
      <c r="E260" s="547"/>
      <c r="F260" s="547"/>
      <c r="G260" s="547"/>
      <c r="H260" s="547"/>
      <c r="I260" s="547"/>
      <c r="J260" s="547"/>
      <c r="K260" s="547"/>
      <c r="L260" s="547"/>
      <c r="M260" s="547"/>
      <c r="N260" s="548"/>
      <c r="O260" s="548"/>
      <c r="P260" s="548"/>
      <c r="Q260" s="548"/>
      <c r="R260" s="548"/>
      <c r="S260" s="548"/>
      <c r="T260" s="548"/>
      <c r="U260" s="548"/>
      <c r="V260" s="548"/>
      <c r="W260" s="548"/>
      <c r="X260" s="548"/>
      <c r="Y260" s="548"/>
      <c r="Z260" s="548"/>
      <c r="AA260" s="548"/>
      <c r="AB260" s="548"/>
      <c r="AC260" s="548"/>
      <c r="AD260" s="548"/>
      <c r="AE260" s="548"/>
      <c r="AF260" s="548"/>
      <c r="AG260" s="549"/>
      <c r="AH260" s="518"/>
    </row>
    <row r="261">
      <c r="A261" s="546"/>
      <c r="B261" s="547"/>
      <c r="C261" s="547"/>
      <c r="D261" s="547"/>
      <c r="E261" s="547"/>
      <c r="F261" s="547"/>
      <c r="G261" s="547"/>
      <c r="H261" s="547"/>
      <c r="I261" s="547"/>
      <c r="J261" s="547"/>
      <c r="K261" s="547"/>
      <c r="L261" s="547"/>
      <c r="M261" s="547"/>
      <c r="N261" s="548"/>
      <c r="O261" s="548"/>
      <c r="P261" s="548"/>
      <c r="Q261" s="548"/>
      <c r="R261" s="548"/>
      <c r="S261" s="548"/>
      <c r="T261" s="548"/>
      <c r="U261" s="548"/>
      <c r="V261" s="548"/>
      <c r="W261" s="548"/>
      <c r="X261" s="548"/>
      <c r="Y261" s="548"/>
      <c r="Z261" s="548"/>
      <c r="AA261" s="548"/>
      <c r="AB261" s="548"/>
      <c r="AC261" s="548"/>
      <c r="AD261" s="548"/>
      <c r="AE261" s="548"/>
      <c r="AF261" s="548"/>
      <c r="AG261" s="549"/>
      <c r="AH261" s="518"/>
    </row>
    <row r="262">
      <c r="A262" s="546"/>
      <c r="B262" s="547"/>
      <c r="C262" s="547"/>
      <c r="D262" s="547"/>
      <c r="E262" s="547"/>
      <c r="F262" s="547"/>
      <c r="G262" s="547"/>
      <c r="H262" s="547"/>
      <c r="I262" s="547"/>
      <c r="J262" s="547"/>
      <c r="K262" s="547"/>
      <c r="L262" s="547"/>
      <c r="M262" s="547"/>
      <c r="N262" s="548"/>
      <c r="O262" s="548"/>
      <c r="P262" s="548"/>
      <c r="Q262" s="548"/>
      <c r="R262" s="548"/>
      <c r="S262" s="548"/>
      <c r="T262" s="548"/>
      <c r="U262" s="548"/>
      <c r="V262" s="548"/>
      <c r="W262" s="548"/>
      <c r="X262" s="548"/>
      <c r="Y262" s="548"/>
      <c r="Z262" s="548"/>
      <c r="AA262" s="548"/>
      <c r="AB262" s="548"/>
      <c r="AC262" s="548"/>
      <c r="AD262" s="548"/>
      <c r="AE262" s="548"/>
      <c r="AF262" s="548"/>
      <c r="AG262" s="549"/>
      <c r="AH262" s="518"/>
    </row>
    <row r="263">
      <c r="A263" s="546"/>
      <c r="B263" s="547"/>
      <c r="C263" s="547"/>
      <c r="D263" s="547"/>
      <c r="E263" s="547"/>
      <c r="F263" s="547"/>
      <c r="G263" s="547"/>
      <c r="H263" s="547"/>
      <c r="I263" s="547"/>
      <c r="J263" s="547"/>
      <c r="K263" s="547"/>
      <c r="L263" s="547"/>
      <c r="M263" s="547"/>
      <c r="N263" s="548"/>
      <c r="O263" s="548"/>
      <c r="P263" s="548"/>
      <c r="Q263" s="548"/>
      <c r="R263" s="548"/>
      <c r="S263" s="548"/>
      <c r="T263" s="548"/>
      <c r="U263" s="548"/>
      <c r="V263" s="548"/>
      <c r="W263" s="548"/>
      <c r="X263" s="548"/>
      <c r="Y263" s="548"/>
      <c r="Z263" s="548"/>
      <c r="AA263" s="548"/>
      <c r="AB263" s="548"/>
      <c r="AC263" s="548"/>
      <c r="AD263" s="548"/>
      <c r="AE263" s="548"/>
      <c r="AF263" s="548"/>
      <c r="AG263" s="549"/>
      <c r="AH263" s="518"/>
    </row>
    <row r="264">
      <c r="A264" s="546"/>
      <c r="B264" s="547"/>
      <c r="C264" s="547"/>
      <c r="D264" s="547"/>
      <c r="E264" s="547"/>
      <c r="F264" s="547"/>
      <c r="G264" s="547"/>
      <c r="H264" s="547"/>
      <c r="I264" s="547"/>
      <c r="J264" s="547"/>
      <c r="K264" s="547"/>
      <c r="L264" s="547"/>
      <c r="M264" s="547"/>
      <c r="N264" s="548"/>
      <c r="O264" s="548"/>
      <c r="P264" s="548"/>
      <c r="Q264" s="548"/>
      <c r="R264" s="548"/>
      <c r="S264" s="548"/>
      <c r="T264" s="548"/>
      <c r="U264" s="548"/>
      <c r="V264" s="548"/>
      <c r="W264" s="548"/>
      <c r="X264" s="548"/>
      <c r="Y264" s="548"/>
      <c r="Z264" s="548"/>
      <c r="AA264" s="548"/>
      <c r="AB264" s="548"/>
      <c r="AC264" s="548"/>
      <c r="AD264" s="548"/>
      <c r="AE264" s="548"/>
      <c r="AF264" s="548"/>
      <c r="AG264" s="549"/>
      <c r="AH264" s="518"/>
    </row>
    <row r="265">
      <c r="A265" s="546"/>
      <c r="B265" s="547"/>
      <c r="C265" s="547"/>
      <c r="D265" s="547"/>
      <c r="E265" s="547"/>
      <c r="F265" s="547"/>
      <c r="G265" s="547"/>
      <c r="H265" s="547"/>
      <c r="I265" s="547"/>
      <c r="J265" s="547"/>
      <c r="K265" s="547"/>
      <c r="L265" s="547"/>
      <c r="M265" s="547"/>
      <c r="N265" s="548"/>
      <c r="O265" s="548"/>
      <c r="P265" s="548"/>
      <c r="Q265" s="548"/>
      <c r="R265" s="548"/>
      <c r="S265" s="548"/>
      <c r="T265" s="548"/>
      <c r="U265" s="548"/>
      <c r="V265" s="548"/>
      <c r="W265" s="548"/>
      <c r="X265" s="548"/>
      <c r="Y265" s="548"/>
      <c r="Z265" s="548"/>
      <c r="AA265" s="548"/>
      <c r="AB265" s="548"/>
      <c r="AC265" s="548"/>
      <c r="AD265" s="548"/>
      <c r="AE265" s="548"/>
      <c r="AF265" s="548"/>
      <c r="AG265" s="549"/>
      <c r="AH265" s="518"/>
    </row>
    <row r="266">
      <c r="A266" s="546"/>
      <c r="B266" s="547"/>
      <c r="C266" s="547"/>
      <c r="D266" s="547"/>
      <c r="E266" s="547"/>
      <c r="F266" s="547"/>
      <c r="G266" s="547"/>
      <c r="H266" s="547"/>
      <c r="I266" s="547"/>
      <c r="J266" s="547"/>
      <c r="K266" s="547"/>
      <c r="L266" s="547"/>
      <c r="M266" s="547"/>
      <c r="N266" s="548"/>
      <c r="O266" s="548"/>
      <c r="P266" s="548"/>
      <c r="Q266" s="548"/>
      <c r="R266" s="548"/>
      <c r="S266" s="548"/>
      <c r="T266" s="548"/>
      <c r="U266" s="548"/>
      <c r="V266" s="548"/>
      <c r="W266" s="548"/>
      <c r="X266" s="548"/>
      <c r="Y266" s="548"/>
      <c r="Z266" s="548"/>
      <c r="AA266" s="548"/>
      <c r="AB266" s="548"/>
      <c r="AC266" s="548"/>
      <c r="AD266" s="548"/>
      <c r="AE266" s="548"/>
      <c r="AF266" s="548"/>
      <c r="AG266" s="549"/>
      <c r="AH266" s="518"/>
    </row>
    <row r="267">
      <c r="A267" s="546"/>
      <c r="B267" s="547"/>
      <c r="C267" s="547"/>
      <c r="D267" s="547"/>
      <c r="E267" s="547"/>
      <c r="F267" s="547"/>
      <c r="G267" s="547"/>
      <c r="H267" s="547"/>
      <c r="I267" s="547"/>
      <c r="J267" s="547"/>
      <c r="K267" s="547"/>
      <c r="L267" s="547"/>
      <c r="M267" s="547"/>
      <c r="N267" s="548"/>
      <c r="O267" s="548"/>
      <c r="P267" s="548"/>
      <c r="Q267" s="548"/>
      <c r="R267" s="548"/>
      <c r="S267" s="548"/>
      <c r="T267" s="548"/>
      <c r="U267" s="548"/>
      <c r="V267" s="548"/>
      <c r="W267" s="548"/>
      <c r="X267" s="548"/>
      <c r="Y267" s="548"/>
      <c r="Z267" s="548"/>
      <c r="AA267" s="548"/>
      <c r="AB267" s="548"/>
      <c r="AC267" s="548"/>
      <c r="AD267" s="548"/>
      <c r="AE267" s="548"/>
      <c r="AF267" s="548"/>
      <c r="AG267" s="549"/>
      <c r="AH267" s="518"/>
    </row>
    <row r="268">
      <c r="A268" s="546"/>
      <c r="B268" s="547"/>
      <c r="C268" s="547"/>
      <c r="D268" s="547"/>
      <c r="E268" s="547"/>
      <c r="F268" s="547"/>
      <c r="G268" s="547"/>
      <c r="H268" s="547"/>
      <c r="I268" s="547"/>
      <c r="J268" s="547"/>
      <c r="K268" s="547"/>
      <c r="L268" s="547"/>
      <c r="M268" s="547"/>
      <c r="N268" s="548"/>
      <c r="O268" s="548"/>
      <c r="P268" s="548"/>
      <c r="Q268" s="548"/>
      <c r="R268" s="548"/>
      <c r="S268" s="548"/>
      <c r="T268" s="548"/>
      <c r="U268" s="548"/>
      <c r="V268" s="548"/>
      <c r="W268" s="548"/>
      <c r="X268" s="548"/>
      <c r="Y268" s="548"/>
      <c r="Z268" s="548"/>
      <c r="AA268" s="548"/>
      <c r="AB268" s="548"/>
      <c r="AC268" s="548"/>
      <c r="AD268" s="548"/>
      <c r="AE268" s="548"/>
      <c r="AF268" s="548"/>
      <c r="AG268" s="549"/>
      <c r="AH268" s="518"/>
    </row>
    <row r="269">
      <c r="A269" s="546"/>
      <c r="B269" s="547"/>
      <c r="C269" s="547"/>
      <c r="D269" s="547"/>
      <c r="E269" s="547"/>
      <c r="F269" s="547"/>
      <c r="G269" s="547"/>
      <c r="H269" s="547"/>
      <c r="I269" s="547"/>
      <c r="J269" s="547"/>
      <c r="K269" s="547"/>
      <c r="L269" s="547"/>
      <c r="M269" s="547"/>
      <c r="N269" s="548"/>
      <c r="O269" s="548"/>
      <c r="P269" s="548"/>
      <c r="Q269" s="548"/>
      <c r="R269" s="548"/>
      <c r="S269" s="548"/>
      <c r="T269" s="548"/>
      <c r="U269" s="548"/>
      <c r="V269" s="548"/>
      <c r="W269" s="548"/>
      <c r="X269" s="548"/>
      <c r="Y269" s="548"/>
      <c r="Z269" s="548"/>
      <c r="AA269" s="548"/>
      <c r="AB269" s="548"/>
      <c r="AC269" s="548"/>
      <c r="AD269" s="548"/>
      <c r="AE269" s="548"/>
      <c r="AF269" s="548"/>
      <c r="AG269" s="549"/>
      <c r="AH269" s="518"/>
    </row>
    <row r="270">
      <c r="A270" s="546"/>
      <c r="B270" s="547"/>
      <c r="C270" s="547"/>
      <c r="D270" s="547"/>
      <c r="E270" s="547"/>
      <c r="F270" s="547"/>
      <c r="G270" s="547"/>
      <c r="H270" s="547"/>
      <c r="I270" s="547"/>
      <c r="J270" s="547"/>
      <c r="K270" s="547"/>
      <c r="L270" s="547"/>
      <c r="M270" s="547"/>
      <c r="N270" s="548"/>
      <c r="O270" s="548"/>
      <c r="P270" s="548"/>
      <c r="Q270" s="548"/>
      <c r="R270" s="548"/>
      <c r="S270" s="548"/>
      <c r="T270" s="548"/>
      <c r="U270" s="548"/>
      <c r="V270" s="548"/>
      <c r="W270" s="548"/>
      <c r="X270" s="548"/>
      <c r="Y270" s="548"/>
      <c r="Z270" s="548"/>
      <c r="AA270" s="548"/>
      <c r="AB270" s="548"/>
      <c r="AC270" s="548"/>
      <c r="AD270" s="548"/>
      <c r="AE270" s="548"/>
      <c r="AF270" s="548"/>
      <c r="AG270" s="549"/>
      <c r="AH270" s="518"/>
    </row>
    <row r="271">
      <c r="A271" s="546"/>
      <c r="B271" s="547"/>
      <c r="C271" s="547"/>
      <c r="D271" s="547"/>
      <c r="E271" s="547"/>
      <c r="F271" s="547"/>
      <c r="G271" s="547"/>
      <c r="H271" s="547"/>
      <c r="I271" s="547"/>
      <c r="J271" s="547"/>
      <c r="K271" s="547"/>
      <c r="L271" s="547"/>
      <c r="M271" s="547"/>
      <c r="N271" s="548"/>
      <c r="O271" s="548"/>
      <c r="P271" s="548"/>
      <c r="Q271" s="548"/>
      <c r="R271" s="548"/>
      <c r="S271" s="548"/>
      <c r="T271" s="548"/>
      <c r="U271" s="548"/>
      <c r="V271" s="548"/>
      <c r="W271" s="548"/>
      <c r="X271" s="548"/>
      <c r="Y271" s="548"/>
      <c r="Z271" s="548"/>
      <c r="AA271" s="548"/>
      <c r="AB271" s="548"/>
      <c r="AC271" s="548"/>
      <c r="AD271" s="548"/>
      <c r="AE271" s="548"/>
      <c r="AF271" s="548"/>
      <c r="AG271" s="549"/>
      <c r="AH271" s="518"/>
    </row>
    <row r="272">
      <c r="A272" s="546"/>
      <c r="B272" s="547"/>
      <c r="C272" s="547"/>
      <c r="D272" s="547"/>
      <c r="E272" s="547"/>
      <c r="F272" s="547"/>
      <c r="G272" s="547"/>
      <c r="H272" s="547"/>
      <c r="I272" s="547"/>
      <c r="J272" s="547"/>
      <c r="K272" s="547"/>
      <c r="L272" s="547"/>
      <c r="M272" s="547"/>
      <c r="N272" s="548"/>
      <c r="O272" s="548"/>
      <c r="P272" s="548"/>
      <c r="Q272" s="548"/>
      <c r="R272" s="548"/>
      <c r="S272" s="548"/>
      <c r="T272" s="548"/>
      <c r="U272" s="548"/>
      <c r="V272" s="548"/>
      <c r="W272" s="548"/>
      <c r="X272" s="548"/>
      <c r="Y272" s="548"/>
      <c r="Z272" s="548"/>
      <c r="AA272" s="548"/>
      <c r="AB272" s="548"/>
      <c r="AC272" s="548"/>
      <c r="AD272" s="548"/>
      <c r="AE272" s="548"/>
      <c r="AF272" s="548"/>
      <c r="AG272" s="549"/>
      <c r="AH272" s="518"/>
    </row>
    <row r="273">
      <c r="A273" s="546"/>
      <c r="B273" s="547"/>
      <c r="C273" s="547"/>
      <c r="D273" s="547"/>
      <c r="E273" s="547"/>
      <c r="F273" s="547"/>
      <c r="G273" s="547"/>
      <c r="H273" s="547"/>
      <c r="I273" s="547"/>
      <c r="J273" s="547"/>
      <c r="K273" s="547"/>
      <c r="L273" s="547"/>
      <c r="M273" s="547"/>
      <c r="N273" s="548"/>
      <c r="O273" s="548"/>
      <c r="P273" s="548"/>
      <c r="Q273" s="548"/>
      <c r="R273" s="548"/>
      <c r="S273" s="548"/>
      <c r="T273" s="548"/>
      <c r="U273" s="548"/>
      <c r="V273" s="548"/>
      <c r="W273" s="548"/>
      <c r="X273" s="548"/>
      <c r="Y273" s="548"/>
      <c r="Z273" s="548"/>
      <c r="AA273" s="548"/>
      <c r="AB273" s="548"/>
      <c r="AC273" s="548"/>
      <c r="AD273" s="548"/>
      <c r="AE273" s="548"/>
      <c r="AF273" s="548"/>
      <c r="AG273" s="549"/>
      <c r="AH273" s="518"/>
    </row>
    <row r="274">
      <c r="A274" s="546"/>
      <c r="B274" s="547"/>
      <c r="C274" s="547"/>
      <c r="D274" s="547"/>
      <c r="E274" s="547"/>
      <c r="F274" s="547"/>
      <c r="G274" s="547"/>
      <c r="H274" s="547"/>
      <c r="I274" s="547"/>
      <c r="J274" s="547"/>
      <c r="K274" s="547"/>
      <c r="L274" s="547"/>
      <c r="M274" s="547"/>
      <c r="N274" s="548"/>
      <c r="O274" s="548"/>
      <c r="P274" s="548"/>
      <c r="Q274" s="548"/>
      <c r="R274" s="548"/>
      <c r="S274" s="548"/>
      <c r="T274" s="548"/>
      <c r="U274" s="548"/>
      <c r="V274" s="548"/>
      <c r="W274" s="548"/>
      <c r="X274" s="548"/>
      <c r="Y274" s="548"/>
      <c r="Z274" s="548"/>
      <c r="AA274" s="548"/>
      <c r="AB274" s="548"/>
      <c r="AC274" s="548"/>
      <c r="AD274" s="548"/>
      <c r="AE274" s="548"/>
      <c r="AF274" s="548"/>
      <c r="AG274" s="549"/>
      <c r="AH274" s="518"/>
    </row>
    <row r="275">
      <c r="A275" s="546"/>
      <c r="B275" s="547"/>
      <c r="C275" s="547"/>
      <c r="D275" s="547"/>
      <c r="E275" s="547"/>
      <c r="F275" s="547"/>
      <c r="G275" s="547"/>
      <c r="H275" s="547"/>
      <c r="I275" s="547"/>
      <c r="J275" s="547"/>
      <c r="K275" s="547"/>
      <c r="L275" s="547"/>
      <c r="M275" s="547"/>
      <c r="N275" s="548"/>
      <c r="O275" s="548"/>
      <c r="P275" s="548"/>
      <c r="Q275" s="548"/>
      <c r="R275" s="548"/>
      <c r="S275" s="548"/>
      <c r="T275" s="548"/>
      <c r="U275" s="548"/>
      <c r="V275" s="548"/>
      <c r="W275" s="548"/>
      <c r="X275" s="548"/>
      <c r="Y275" s="548"/>
      <c r="Z275" s="548"/>
      <c r="AA275" s="548"/>
      <c r="AB275" s="548"/>
      <c r="AC275" s="548"/>
      <c r="AD275" s="548"/>
      <c r="AE275" s="548"/>
      <c r="AF275" s="548"/>
      <c r="AG275" s="549"/>
      <c r="AH275" s="518"/>
    </row>
    <row r="276">
      <c r="A276" s="546"/>
      <c r="B276" s="547"/>
      <c r="C276" s="547"/>
      <c r="D276" s="547"/>
      <c r="E276" s="547"/>
      <c r="F276" s="547"/>
      <c r="G276" s="547"/>
      <c r="H276" s="547"/>
      <c r="I276" s="547"/>
      <c r="J276" s="547"/>
      <c r="K276" s="547"/>
      <c r="L276" s="547"/>
      <c r="M276" s="547"/>
      <c r="N276" s="548"/>
      <c r="O276" s="548"/>
      <c r="P276" s="548"/>
      <c r="Q276" s="548"/>
      <c r="R276" s="548"/>
      <c r="S276" s="548"/>
      <c r="T276" s="548"/>
      <c r="U276" s="548"/>
      <c r="V276" s="548"/>
      <c r="W276" s="548"/>
      <c r="X276" s="548"/>
      <c r="Y276" s="548"/>
      <c r="Z276" s="548"/>
      <c r="AA276" s="548"/>
      <c r="AB276" s="548"/>
      <c r="AC276" s="548"/>
      <c r="AD276" s="548"/>
      <c r="AE276" s="548"/>
      <c r="AF276" s="548"/>
      <c r="AG276" s="549"/>
      <c r="AH276" s="518"/>
    </row>
    <row r="277">
      <c r="A277" s="546"/>
      <c r="B277" s="547"/>
      <c r="C277" s="547"/>
      <c r="D277" s="547"/>
      <c r="E277" s="547"/>
      <c r="F277" s="547"/>
      <c r="G277" s="547"/>
      <c r="H277" s="547"/>
      <c r="I277" s="547"/>
      <c r="J277" s="547"/>
      <c r="K277" s="547"/>
      <c r="L277" s="547"/>
      <c r="M277" s="547"/>
      <c r="N277" s="548"/>
      <c r="O277" s="548"/>
      <c r="P277" s="548"/>
      <c r="Q277" s="548"/>
      <c r="R277" s="548"/>
      <c r="S277" s="548"/>
      <c r="T277" s="548"/>
      <c r="U277" s="548"/>
      <c r="V277" s="548"/>
      <c r="W277" s="548"/>
      <c r="X277" s="548"/>
      <c r="Y277" s="548"/>
      <c r="Z277" s="548"/>
      <c r="AA277" s="548"/>
      <c r="AB277" s="548"/>
      <c r="AC277" s="548"/>
      <c r="AD277" s="548"/>
      <c r="AE277" s="548"/>
      <c r="AF277" s="548"/>
      <c r="AG277" s="549"/>
      <c r="AH277" s="518"/>
    </row>
    <row r="278">
      <c r="A278" s="546"/>
      <c r="B278" s="547"/>
      <c r="C278" s="547"/>
      <c r="D278" s="547"/>
      <c r="E278" s="547"/>
      <c r="F278" s="547"/>
      <c r="G278" s="547"/>
      <c r="H278" s="547"/>
      <c r="I278" s="547"/>
      <c r="J278" s="547"/>
      <c r="K278" s="547"/>
      <c r="L278" s="547"/>
      <c r="M278" s="547"/>
      <c r="N278" s="548"/>
      <c r="O278" s="548"/>
      <c r="P278" s="548"/>
      <c r="Q278" s="548"/>
      <c r="R278" s="548"/>
      <c r="S278" s="548"/>
      <c r="T278" s="548"/>
      <c r="U278" s="548"/>
      <c r="V278" s="548"/>
      <c r="W278" s="548"/>
      <c r="X278" s="548"/>
      <c r="Y278" s="548"/>
      <c r="Z278" s="548"/>
      <c r="AA278" s="548"/>
      <c r="AB278" s="548"/>
      <c r="AC278" s="548"/>
      <c r="AD278" s="548"/>
      <c r="AE278" s="548"/>
      <c r="AF278" s="548"/>
      <c r="AG278" s="549"/>
      <c r="AH278" s="518"/>
    </row>
    <row r="279">
      <c r="A279" s="546"/>
      <c r="B279" s="547"/>
      <c r="C279" s="547"/>
      <c r="D279" s="547"/>
      <c r="E279" s="547"/>
      <c r="F279" s="547"/>
      <c r="G279" s="547"/>
      <c r="H279" s="547"/>
      <c r="I279" s="547"/>
      <c r="J279" s="547"/>
      <c r="K279" s="547"/>
      <c r="L279" s="547"/>
      <c r="M279" s="547"/>
      <c r="N279" s="548"/>
      <c r="O279" s="548"/>
      <c r="P279" s="548"/>
      <c r="Q279" s="548"/>
      <c r="R279" s="548"/>
      <c r="S279" s="548"/>
      <c r="T279" s="548"/>
      <c r="U279" s="548"/>
      <c r="V279" s="548"/>
      <c r="W279" s="548"/>
      <c r="X279" s="548"/>
      <c r="Y279" s="548"/>
      <c r="Z279" s="548"/>
      <c r="AA279" s="548"/>
      <c r="AB279" s="548"/>
      <c r="AC279" s="548"/>
      <c r="AD279" s="548"/>
      <c r="AE279" s="548"/>
      <c r="AF279" s="548"/>
      <c r="AG279" s="549"/>
      <c r="AH279" s="518"/>
    </row>
    <row r="280">
      <c r="A280" s="546"/>
      <c r="B280" s="547"/>
      <c r="C280" s="547"/>
      <c r="D280" s="547"/>
      <c r="E280" s="547"/>
      <c r="F280" s="547"/>
      <c r="G280" s="547"/>
      <c r="H280" s="547"/>
      <c r="I280" s="547"/>
      <c r="J280" s="547"/>
      <c r="K280" s="547"/>
      <c r="L280" s="547"/>
      <c r="M280" s="547"/>
      <c r="N280" s="548"/>
      <c r="O280" s="548"/>
      <c r="P280" s="548"/>
      <c r="Q280" s="548"/>
      <c r="R280" s="548"/>
      <c r="S280" s="548"/>
      <c r="T280" s="548"/>
      <c r="U280" s="548"/>
      <c r="V280" s="548"/>
      <c r="W280" s="548"/>
      <c r="X280" s="548"/>
      <c r="Y280" s="548"/>
      <c r="Z280" s="548"/>
      <c r="AA280" s="548"/>
      <c r="AB280" s="548"/>
      <c r="AC280" s="548"/>
      <c r="AD280" s="548"/>
      <c r="AE280" s="548"/>
      <c r="AF280" s="548"/>
      <c r="AG280" s="549"/>
      <c r="AH280" s="518"/>
    </row>
    <row r="281">
      <c r="A281" s="546"/>
      <c r="B281" s="547"/>
      <c r="C281" s="547"/>
      <c r="D281" s="547"/>
      <c r="E281" s="547"/>
      <c r="F281" s="547"/>
      <c r="G281" s="547"/>
      <c r="H281" s="547"/>
      <c r="I281" s="547"/>
      <c r="J281" s="547"/>
      <c r="K281" s="547"/>
      <c r="L281" s="547"/>
      <c r="M281" s="547"/>
      <c r="N281" s="548"/>
      <c r="O281" s="548"/>
      <c r="P281" s="548"/>
      <c r="Q281" s="548"/>
      <c r="R281" s="548"/>
      <c r="S281" s="548"/>
      <c r="T281" s="548"/>
      <c r="U281" s="548"/>
      <c r="V281" s="548"/>
      <c r="W281" s="548"/>
      <c r="X281" s="548"/>
      <c r="Y281" s="548"/>
      <c r="Z281" s="548"/>
      <c r="AA281" s="548"/>
      <c r="AB281" s="548"/>
      <c r="AC281" s="548"/>
      <c r="AD281" s="548"/>
      <c r="AE281" s="548"/>
      <c r="AF281" s="548"/>
      <c r="AG281" s="549"/>
      <c r="AH281" s="518"/>
    </row>
    <row r="282">
      <c r="A282" s="546"/>
      <c r="B282" s="547"/>
      <c r="C282" s="547"/>
      <c r="D282" s="547"/>
      <c r="E282" s="547"/>
      <c r="F282" s="547"/>
      <c r="G282" s="547"/>
      <c r="H282" s="547"/>
      <c r="I282" s="547"/>
      <c r="J282" s="547"/>
      <c r="K282" s="547"/>
      <c r="L282" s="547"/>
      <c r="M282" s="547"/>
      <c r="N282" s="548"/>
      <c r="O282" s="548"/>
      <c r="P282" s="548"/>
      <c r="Q282" s="548"/>
      <c r="R282" s="548"/>
      <c r="S282" s="548"/>
      <c r="T282" s="548"/>
      <c r="U282" s="548"/>
      <c r="V282" s="548"/>
      <c r="W282" s="548"/>
      <c r="X282" s="548"/>
      <c r="Y282" s="548"/>
      <c r="Z282" s="548"/>
      <c r="AA282" s="548"/>
      <c r="AB282" s="548"/>
      <c r="AC282" s="548"/>
      <c r="AD282" s="548"/>
      <c r="AE282" s="548"/>
      <c r="AF282" s="548"/>
      <c r="AG282" s="549"/>
      <c r="AH282" s="518"/>
    </row>
    <row r="283">
      <c r="A283" s="546"/>
      <c r="B283" s="547"/>
      <c r="C283" s="547"/>
      <c r="D283" s="547"/>
      <c r="E283" s="547"/>
      <c r="F283" s="547"/>
      <c r="G283" s="547"/>
      <c r="H283" s="547"/>
      <c r="I283" s="547"/>
      <c r="J283" s="547"/>
      <c r="K283" s="547"/>
      <c r="L283" s="547"/>
      <c r="M283" s="547"/>
      <c r="N283" s="548"/>
      <c r="O283" s="548"/>
      <c r="P283" s="548"/>
      <c r="Q283" s="548"/>
      <c r="R283" s="548"/>
      <c r="S283" s="548"/>
      <c r="T283" s="548"/>
      <c r="U283" s="548"/>
      <c r="V283" s="548"/>
      <c r="W283" s="548"/>
      <c r="X283" s="548"/>
      <c r="Y283" s="548"/>
      <c r="Z283" s="548"/>
      <c r="AA283" s="548"/>
      <c r="AB283" s="548"/>
      <c r="AC283" s="548"/>
      <c r="AD283" s="548"/>
      <c r="AE283" s="548"/>
      <c r="AF283" s="548"/>
      <c r="AG283" s="549"/>
      <c r="AH283" s="518"/>
    </row>
    <row r="284">
      <c r="A284" s="546"/>
      <c r="B284" s="547"/>
      <c r="C284" s="547"/>
      <c r="D284" s="547"/>
      <c r="E284" s="547"/>
      <c r="F284" s="547"/>
      <c r="G284" s="547"/>
      <c r="H284" s="547"/>
      <c r="I284" s="547"/>
      <c r="J284" s="547"/>
      <c r="K284" s="547"/>
      <c r="L284" s="547"/>
      <c r="M284" s="547"/>
      <c r="N284" s="548"/>
      <c r="O284" s="548"/>
      <c r="P284" s="548"/>
      <c r="Q284" s="548"/>
      <c r="R284" s="548"/>
      <c r="S284" s="548"/>
      <c r="T284" s="548"/>
      <c r="U284" s="548"/>
      <c r="V284" s="548"/>
      <c r="W284" s="548"/>
      <c r="X284" s="548"/>
      <c r="Y284" s="548"/>
      <c r="Z284" s="548"/>
      <c r="AA284" s="548"/>
      <c r="AB284" s="548"/>
      <c r="AC284" s="548"/>
      <c r="AD284" s="548"/>
      <c r="AE284" s="548"/>
      <c r="AF284" s="548"/>
      <c r="AG284" s="549"/>
      <c r="AH284" s="518"/>
    </row>
    <row r="285">
      <c r="A285" s="546"/>
      <c r="B285" s="547"/>
      <c r="C285" s="547"/>
      <c r="D285" s="547"/>
      <c r="E285" s="547"/>
      <c r="F285" s="547"/>
      <c r="G285" s="547"/>
      <c r="H285" s="547"/>
      <c r="I285" s="547"/>
      <c r="J285" s="547"/>
      <c r="K285" s="547"/>
      <c r="L285" s="547"/>
      <c r="M285" s="547"/>
      <c r="N285" s="548"/>
      <c r="O285" s="548"/>
      <c r="P285" s="548"/>
      <c r="Q285" s="548"/>
      <c r="R285" s="548"/>
      <c r="S285" s="548"/>
      <c r="T285" s="548"/>
      <c r="U285" s="548"/>
      <c r="V285" s="548"/>
      <c r="W285" s="548"/>
      <c r="X285" s="548"/>
      <c r="Y285" s="548"/>
      <c r="Z285" s="548"/>
      <c r="AA285" s="548"/>
      <c r="AB285" s="548"/>
      <c r="AC285" s="548"/>
      <c r="AD285" s="548"/>
      <c r="AE285" s="548"/>
      <c r="AF285" s="548"/>
      <c r="AG285" s="549"/>
      <c r="AH285" s="518"/>
    </row>
    <row r="286">
      <c r="A286" s="546"/>
      <c r="B286" s="547"/>
      <c r="C286" s="547"/>
      <c r="D286" s="547"/>
      <c r="E286" s="547"/>
      <c r="F286" s="547"/>
      <c r="G286" s="547"/>
      <c r="H286" s="547"/>
      <c r="I286" s="547"/>
      <c r="J286" s="547"/>
      <c r="K286" s="547"/>
      <c r="L286" s="547"/>
      <c r="M286" s="547"/>
      <c r="N286" s="548"/>
      <c r="O286" s="548"/>
      <c r="P286" s="548"/>
      <c r="Q286" s="548"/>
      <c r="R286" s="548"/>
      <c r="S286" s="548"/>
      <c r="T286" s="548"/>
      <c r="U286" s="548"/>
      <c r="V286" s="548"/>
      <c r="W286" s="548"/>
      <c r="X286" s="548"/>
      <c r="Y286" s="548"/>
      <c r="Z286" s="548"/>
      <c r="AA286" s="548"/>
      <c r="AB286" s="548"/>
      <c r="AC286" s="548"/>
      <c r="AD286" s="548"/>
      <c r="AE286" s="548"/>
      <c r="AF286" s="548"/>
      <c r="AG286" s="549"/>
      <c r="AH286" s="518"/>
    </row>
    <row r="287">
      <c r="A287" s="546"/>
      <c r="B287" s="547"/>
      <c r="C287" s="547"/>
      <c r="D287" s="547"/>
      <c r="E287" s="547"/>
      <c r="F287" s="547"/>
      <c r="G287" s="547"/>
      <c r="H287" s="547"/>
      <c r="I287" s="547"/>
      <c r="J287" s="547"/>
      <c r="K287" s="547"/>
      <c r="L287" s="547"/>
      <c r="M287" s="547"/>
      <c r="N287" s="548"/>
      <c r="O287" s="548"/>
      <c r="P287" s="548"/>
      <c r="Q287" s="548"/>
      <c r="R287" s="548"/>
      <c r="S287" s="548"/>
      <c r="T287" s="548"/>
      <c r="U287" s="548"/>
      <c r="V287" s="548"/>
      <c r="W287" s="548"/>
      <c r="X287" s="548"/>
      <c r="Y287" s="548"/>
      <c r="Z287" s="548"/>
      <c r="AA287" s="548"/>
      <c r="AB287" s="548"/>
      <c r="AC287" s="548"/>
      <c r="AD287" s="548"/>
      <c r="AE287" s="548"/>
      <c r="AF287" s="548"/>
      <c r="AG287" s="549"/>
      <c r="AH287" s="518"/>
    </row>
    <row r="288">
      <c r="A288" s="546"/>
      <c r="B288" s="547"/>
      <c r="C288" s="547"/>
      <c r="D288" s="547"/>
      <c r="E288" s="547"/>
      <c r="F288" s="547"/>
      <c r="G288" s="547"/>
      <c r="H288" s="547"/>
      <c r="I288" s="547"/>
      <c r="J288" s="547"/>
      <c r="K288" s="547"/>
      <c r="L288" s="547"/>
      <c r="M288" s="547"/>
      <c r="N288" s="548"/>
      <c r="O288" s="548"/>
      <c r="P288" s="548"/>
      <c r="Q288" s="548"/>
      <c r="R288" s="548"/>
      <c r="S288" s="548"/>
      <c r="T288" s="548"/>
      <c r="U288" s="548"/>
      <c r="V288" s="548"/>
      <c r="W288" s="548"/>
      <c r="X288" s="548"/>
      <c r="Y288" s="548"/>
      <c r="Z288" s="548"/>
      <c r="AA288" s="548"/>
      <c r="AB288" s="548"/>
      <c r="AC288" s="548"/>
      <c r="AD288" s="548"/>
      <c r="AE288" s="548"/>
      <c r="AF288" s="548"/>
      <c r="AG288" s="549"/>
      <c r="AH288" s="518"/>
    </row>
    <row r="289">
      <c r="A289" s="546"/>
      <c r="B289" s="547"/>
      <c r="C289" s="547"/>
      <c r="D289" s="547"/>
      <c r="E289" s="547"/>
      <c r="F289" s="547"/>
      <c r="G289" s="547"/>
      <c r="H289" s="547"/>
      <c r="I289" s="547"/>
      <c r="J289" s="547"/>
      <c r="K289" s="547"/>
      <c r="L289" s="547"/>
      <c r="M289" s="547"/>
      <c r="N289" s="548"/>
      <c r="O289" s="548"/>
      <c r="P289" s="548"/>
      <c r="Q289" s="548"/>
      <c r="R289" s="548"/>
      <c r="S289" s="548"/>
      <c r="T289" s="548"/>
      <c r="U289" s="548"/>
      <c r="V289" s="548"/>
      <c r="W289" s="548"/>
      <c r="X289" s="548"/>
      <c r="Y289" s="548"/>
      <c r="Z289" s="548"/>
      <c r="AA289" s="548"/>
      <c r="AB289" s="548"/>
      <c r="AC289" s="548"/>
      <c r="AD289" s="548"/>
      <c r="AE289" s="548"/>
      <c r="AF289" s="548"/>
      <c r="AG289" s="549"/>
      <c r="AH289" s="518"/>
    </row>
    <row r="290">
      <c r="A290" s="546"/>
      <c r="B290" s="547"/>
      <c r="C290" s="547"/>
      <c r="D290" s="547"/>
      <c r="E290" s="547"/>
      <c r="F290" s="547"/>
      <c r="G290" s="547"/>
      <c r="H290" s="547"/>
      <c r="I290" s="547"/>
      <c r="J290" s="547"/>
      <c r="K290" s="547"/>
      <c r="L290" s="547"/>
      <c r="M290" s="547"/>
      <c r="N290" s="548"/>
      <c r="O290" s="548"/>
      <c r="P290" s="548"/>
      <c r="Q290" s="548"/>
      <c r="R290" s="548"/>
      <c r="S290" s="548"/>
      <c r="T290" s="548"/>
      <c r="U290" s="548"/>
      <c r="V290" s="548"/>
      <c r="W290" s="548"/>
      <c r="X290" s="548"/>
      <c r="Y290" s="548"/>
      <c r="Z290" s="548"/>
      <c r="AA290" s="548"/>
      <c r="AB290" s="548"/>
      <c r="AC290" s="548"/>
      <c r="AD290" s="548"/>
      <c r="AE290" s="548"/>
      <c r="AF290" s="548"/>
      <c r="AG290" s="549"/>
      <c r="AH290" s="518"/>
    </row>
    <row r="291">
      <c r="A291" s="546"/>
      <c r="B291" s="547"/>
      <c r="C291" s="547"/>
      <c r="D291" s="547"/>
      <c r="E291" s="547"/>
      <c r="F291" s="547"/>
      <c r="G291" s="547"/>
      <c r="H291" s="547"/>
      <c r="I291" s="547"/>
      <c r="J291" s="547"/>
      <c r="K291" s="547"/>
      <c r="L291" s="547"/>
      <c r="M291" s="547"/>
      <c r="N291" s="548"/>
      <c r="O291" s="548"/>
      <c r="P291" s="548"/>
      <c r="Q291" s="548"/>
      <c r="R291" s="548"/>
      <c r="S291" s="548"/>
      <c r="T291" s="548"/>
      <c r="U291" s="548"/>
      <c r="V291" s="548"/>
      <c r="W291" s="548"/>
      <c r="X291" s="548"/>
      <c r="Y291" s="548"/>
      <c r="Z291" s="548"/>
      <c r="AA291" s="548"/>
      <c r="AB291" s="548"/>
      <c r="AC291" s="548"/>
      <c r="AD291" s="548"/>
      <c r="AE291" s="548"/>
      <c r="AF291" s="548"/>
      <c r="AG291" s="549"/>
      <c r="AH291" s="518"/>
    </row>
    <row r="292">
      <c r="A292" s="546"/>
      <c r="B292" s="547"/>
      <c r="C292" s="547"/>
      <c r="D292" s="547"/>
      <c r="E292" s="547"/>
      <c r="F292" s="547"/>
      <c r="G292" s="547"/>
      <c r="H292" s="547"/>
      <c r="I292" s="547"/>
      <c r="J292" s="547"/>
      <c r="K292" s="547"/>
      <c r="L292" s="547"/>
      <c r="M292" s="547"/>
      <c r="N292" s="548"/>
      <c r="O292" s="548"/>
      <c r="P292" s="548"/>
      <c r="Q292" s="548"/>
      <c r="R292" s="548"/>
      <c r="S292" s="548"/>
      <c r="T292" s="548"/>
      <c r="U292" s="548"/>
      <c r="V292" s="548"/>
      <c r="W292" s="548"/>
      <c r="X292" s="548"/>
      <c r="Y292" s="548"/>
      <c r="Z292" s="548"/>
      <c r="AA292" s="548"/>
      <c r="AB292" s="548"/>
      <c r="AC292" s="548"/>
      <c r="AD292" s="548"/>
      <c r="AE292" s="548"/>
      <c r="AF292" s="548"/>
      <c r="AG292" s="549"/>
      <c r="AH292" s="518"/>
    </row>
    <row r="293">
      <c r="A293" s="546"/>
      <c r="B293" s="547"/>
      <c r="C293" s="547"/>
      <c r="D293" s="547"/>
      <c r="E293" s="547"/>
      <c r="F293" s="547"/>
      <c r="G293" s="547"/>
      <c r="H293" s="547"/>
      <c r="I293" s="547"/>
      <c r="J293" s="547"/>
      <c r="K293" s="547"/>
      <c r="L293" s="547"/>
      <c r="M293" s="547"/>
      <c r="N293" s="548"/>
      <c r="O293" s="548"/>
      <c r="P293" s="548"/>
      <c r="Q293" s="548"/>
      <c r="R293" s="548"/>
      <c r="S293" s="548"/>
      <c r="T293" s="548"/>
      <c r="U293" s="548"/>
      <c r="V293" s="548"/>
      <c r="W293" s="548"/>
      <c r="X293" s="548"/>
      <c r="Y293" s="548"/>
      <c r="Z293" s="548"/>
      <c r="AA293" s="548"/>
      <c r="AB293" s="548"/>
      <c r="AC293" s="548"/>
      <c r="AD293" s="548"/>
      <c r="AE293" s="548"/>
      <c r="AF293" s="548"/>
      <c r="AG293" s="549"/>
      <c r="AH293" s="518"/>
    </row>
    <row r="294">
      <c r="A294" s="546"/>
      <c r="B294" s="547"/>
      <c r="C294" s="547"/>
      <c r="D294" s="547"/>
      <c r="E294" s="547"/>
      <c r="F294" s="547"/>
      <c r="G294" s="547"/>
      <c r="H294" s="547"/>
      <c r="I294" s="547"/>
      <c r="J294" s="547"/>
      <c r="K294" s="547"/>
      <c r="L294" s="547"/>
      <c r="M294" s="547"/>
      <c r="N294" s="548"/>
      <c r="O294" s="548"/>
      <c r="P294" s="548"/>
      <c r="Q294" s="548"/>
      <c r="R294" s="548"/>
      <c r="S294" s="548"/>
      <c r="T294" s="548"/>
      <c r="U294" s="548"/>
      <c r="V294" s="548"/>
      <c r="W294" s="548"/>
      <c r="X294" s="548"/>
      <c r="Y294" s="548"/>
      <c r="Z294" s="548"/>
      <c r="AA294" s="548"/>
      <c r="AB294" s="548"/>
      <c r="AC294" s="548"/>
      <c r="AD294" s="548"/>
      <c r="AE294" s="548"/>
      <c r="AF294" s="548"/>
      <c r="AG294" s="549"/>
      <c r="AH294" s="518"/>
    </row>
    <row r="295">
      <c r="A295" s="546"/>
      <c r="B295" s="547"/>
      <c r="C295" s="547"/>
      <c r="D295" s="547"/>
      <c r="E295" s="547"/>
      <c r="F295" s="547"/>
      <c r="G295" s="547"/>
      <c r="H295" s="547"/>
      <c r="I295" s="547"/>
      <c r="J295" s="547"/>
      <c r="K295" s="547"/>
      <c r="L295" s="547"/>
      <c r="M295" s="547"/>
      <c r="N295" s="548"/>
      <c r="O295" s="548"/>
      <c r="P295" s="548"/>
      <c r="Q295" s="548"/>
      <c r="R295" s="548"/>
      <c r="S295" s="548"/>
      <c r="T295" s="548"/>
      <c r="U295" s="548"/>
      <c r="V295" s="548"/>
      <c r="W295" s="548"/>
      <c r="X295" s="548"/>
      <c r="Y295" s="548"/>
      <c r="Z295" s="548"/>
      <c r="AA295" s="548"/>
      <c r="AB295" s="548"/>
      <c r="AC295" s="548"/>
      <c r="AD295" s="548"/>
      <c r="AE295" s="548"/>
      <c r="AF295" s="548"/>
      <c r="AG295" s="549"/>
      <c r="AH295" s="518"/>
    </row>
    <row r="296">
      <c r="A296" s="546"/>
      <c r="B296" s="547"/>
      <c r="C296" s="547"/>
      <c r="D296" s="547"/>
      <c r="E296" s="547"/>
      <c r="F296" s="547"/>
      <c r="G296" s="547"/>
      <c r="H296" s="547"/>
      <c r="I296" s="547"/>
      <c r="J296" s="547"/>
      <c r="K296" s="547"/>
      <c r="L296" s="547"/>
      <c r="M296" s="547"/>
      <c r="N296" s="548"/>
      <c r="O296" s="548"/>
      <c r="P296" s="548"/>
      <c r="Q296" s="548"/>
      <c r="R296" s="548"/>
      <c r="S296" s="548"/>
      <c r="T296" s="548"/>
      <c r="U296" s="548"/>
      <c r="V296" s="548"/>
      <c r="W296" s="548"/>
      <c r="X296" s="548"/>
      <c r="Y296" s="548"/>
      <c r="Z296" s="548"/>
      <c r="AA296" s="548"/>
      <c r="AB296" s="548"/>
      <c r="AC296" s="548"/>
      <c r="AD296" s="548"/>
      <c r="AE296" s="548"/>
      <c r="AF296" s="548"/>
      <c r="AG296" s="549"/>
      <c r="AH296" s="518"/>
    </row>
    <row r="297">
      <c r="A297" s="546"/>
      <c r="B297" s="547"/>
      <c r="C297" s="547"/>
      <c r="D297" s="547"/>
      <c r="E297" s="547"/>
      <c r="F297" s="547"/>
      <c r="G297" s="547"/>
      <c r="H297" s="547"/>
      <c r="I297" s="547"/>
      <c r="J297" s="547"/>
      <c r="K297" s="547"/>
      <c r="L297" s="547"/>
      <c r="M297" s="547"/>
      <c r="N297" s="548"/>
      <c r="O297" s="548"/>
      <c r="P297" s="548"/>
      <c r="Q297" s="548"/>
      <c r="R297" s="548"/>
      <c r="S297" s="548"/>
      <c r="T297" s="548"/>
      <c r="U297" s="548"/>
      <c r="V297" s="548"/>
      <c r="W297" s="548"/>
      <c r="X297" s="548"/>
      <c r="Y297" s="548"/>
      <c r="Z297" s="548"/>
      <c r="AA297" s="548"/>
      <c r="AB297" s="548"/>
      <c r="AC297" s="548"/>
      <c r="AD297" s="548"/>
      <c r="AE297" s="548"/>
      <c r="AF297" s="548"/>
      <c r="AG297" s="549"/>
      <c r="AH297" s="518"/>
    </row>
    <row r="298">
      <c r="A298" s="546"/>
      <c r="B298" s="547"/>
      <c r="C298" s="547"/>
      <c r="D298" s="547"/>
      <c r="E298" s="547"/>
      <c r="F298" s="547"/>
      <c r="G298" s="547"/>
      <c r="H298" s="547"/>
      <c r="I298" s="547"/>
      <c r="J298" s="547"/>
      <c r="K298" s="547"/>
      <c r="L298" s="547"/>
      <c r="M298" s="547"/>
      <c r="N298" s="548"/>
      <c r="O298" s="548"/>
      <c r="P298" s="548"/>
      <c r="Q298" s="548"/>
      <c r="R298" s="548"/>
      <c r="S298" s="548"/>
      <c r="T298" s="548"/>
      <c r="U298" s="548"/>
      <c r="V298" s="548"/>
      <c r="W298" s="548"/>
      <c r="X298" s="548"/>
      <c r="Y298" s="548"/>
      <c r="Z298" s="548"/>
      <c r="AA298" s="548"/>
      <c r="AB298" s="548"/>
      <c r="AC298" s="548"/>
      <c r="AD298" s="548"/>
      <c r="AE298" s="548"/>
      <c r="AF298" s="548"/>
      <c r="AG298" s="549"/>
      <c r="AH298" s="518"/>
    </row>
    <row r="299">
      <c r="A299" s="546"/>
      <c r="B299" s="547"/>
      <c r="C299" s="547"/>
      <c r="D299" s="547"/>
      <c r="E299" s="547"/>
      <c r="F299" s="547"/>
      <c r="G299" s="547"/>
      <c r="H299" s="547"/>
      <c r="I299" s="547"/>
      <c r="J299" s="547"/>
      <c r="K299" s="547"/>
      <c r="L299" s="547"/>
      <c r="M299" s="547"/>
      <c r="N299" s="548"/>
      <c r="O299" s="548"/>
      <c r="P299" s="548"/>
      <c r="Q299" s="548"/>
      <c r="R299" s="548"/>
      <c r="S299" s="548"/>
      <c r="T299" s="548"/>
      <c r="U299" s="548"/>
      <c r="V299" s="548"/>
      <c r="W299" s="548"/>
      <c r="X299" s="548"/>
      <c r="Y299" s="548"/>
      <c r="Z299" s="548"/>
      <c r="AA299" s="548"/>
      <c r="AB299" s="548"/>
      <c r="AC299" s="548"/>
      <c r="AD299" s="548"/>
      <c r="AE299" s="548"/>
      <c r="AF299" s="548"/>
      <c r="AG299" s="549"/>
      <c r="AH299" s="518"/>
    </row>
    <row r="300">
      <c r="A300" s="546"/>
      <c r="B300" s="547"/>
      <c r="C300" s="547"/>
      <c r="D300" s="547"/>
      <c r="E300" s="547"/>
      <c r="F300" s="547"/>
      <c r="G300" s="547"/>
      <c r="H300" s="547"/>
      <c r="I300" s="547"/>
      <c r="J300" s="547"/>
      <c r="K300" s="547"/>
      <c r="L300" s="547"/>
      <c r="M300" s="547"/>
      <c r="N300" s="548"/>
      <c r="O300" s="548"/>
      <c r="P300" s="548"/>
      <c r="Q300" s="548"/>
      <c r="R300" s="548"/>
      <c r="S300" s="548"/>
      <c r="T300" s="548"/>
      <c r="U300" s="548"/>
      <c r="V300" s="548"/>
      <c r="W300" s="548"/>
      <c r="X300" s="548"/>
      <c r="Y300" s="548"/>
      <c r="Z300" s="548"/>
      <c r="AA300" s="548"/>
      <c r="AB300" s="548"/>
      <c r="AC300" s="548"/>
      <c r="AD300" s="548"/>
      <c r="AE300" s="548"/>
      <c r="AF300" s="548"/>
      <c r="AG300" s="549"/>
      <c r="AH300" s="518"/>
    </row>
    <row r="301">
      <c r="A301" s="546"/>
      <c r="B301" s="547"/>
      <c r="C301" s="547"/>
      <c r="D301" s="547"/>
      <c r="E301" s="547"/>
      <c r="F301" s="547"/>
      <c r="G301" s="547"/>
      <c r="H301" s="547"/>
      <c r="I301" s="547"/>
      <c r="J301" s="547"/>
      <c r="K301" s="547"/>
      <c r="L301" s="547"/>
      <c r="M301" s="547"/>
      <c r="N301" s="548"/>
      <c r="O301" s="548"/>
      <c r="P301" s="548"/>
      <c r="Q301" s="548"/>
      <c r="R301" s="548"/>
      <c r="S301" s="548"/>
      <c r="T301" s="548"/>
      <c r="U301" s="548"/>
      <c r="V301" s="548"/>
      <c r="W301" s="548"/>
      <c r="X301" s="548"/>
      <c r="Y301" s="548"/>
      <c r="Z301" s="548"/>
      <c r="AA301" s="548"/>
      <c r="AB301" s="548"/>
      <c r="AC301" s="548"/>
      <c r="AD301" s="548"/>
      <c r="AE301" s="548"/>
      <c r="AF301" s="548"/>
      <c r="AG301" s="549"/>
      <c r="AH301" s="518"/>
    </row>
    <row r="302">
      <c r="A302" s="546"/>
      <c r="B302" s="547"/>
      <c r="C302" s="547"/>
      <c r="D302" s="547"/>
      <c r="E302" s="547"/>
      <c r="F302" s="547"/>
      <c r="G302" s="547"/>
      <c r="H302" s="547"/>
      <c r="I302" s="547"/>
      <c r="J302" s="547"/>
      <c r="K302" s="547"/>
      <c r="L302" s="547"/>
      <c r="M302" s="547"/>
      <c r="N302" s="548"/>
      <c r="O302" s="548"/>
      <c r="P302" s="548"/>
      <c r="Q302" s="548"/>
      <c r="R302" s="548"/>
      <c r="S302" s="548"/>
      <c r="T302" s="548"/>
      <c r="U302" s="548"/>
      <c r="V302" s="548"/>
      <c r="W302" s="548"/>
      <c r="X302" s="548"/>
      <c r="Y302" s="548"/>
      <c r="Z302" s="548"/>
      <c r="AA302" s="548"/>
      <c r="AB302" s="548"/>
      <c r="AC302" s="548"/>
      <c r="AD302" s="548"/>
      <c r="AE302" s="548"/>
      <c r="AF302" s="548"/>
      <c r="AG302" s="549"/>
      <c r="AH302" s="518"/>
    </row>
    <row r="303">
      <c r="A303" s="546"/>
      <c r="B303" s="547"/>
      <c r="C303" s="547"/>
      <c r="D303" s="547"/>
      <c r="E303" s="547"/>
      <c r="F303" s="547"/>
      <c r="G303" s="547"/>
      <c r="H303" s="547"/>
      <c r="I303" s="547"/>
      <c r="J303" s="547"/>
      <c r="K303" s="547"/>
      <c r="L303" s="547"/>
      <c r="M303" s="547"/>
      <c r="N303" s="548"/>
      <c r="O303" s="548"/>
      <c r="P303" s="548"/>
      <c r="Q303" s="548"/>
      <c r="R303" s="548"/>
      <c r="S303" s="548"/>
      <c r="T303" s="548"/>
      <c r="U303" s="548"/>
      <c r="V303" s="548"/>
      <c r="W303" s="548"/>
      <c r="X303" s="548"/>
      <c r="Y303" s="548"/>
      <c r="Z303" s="548"/>
      <c r="AA303" s="548"/>
      <c r="AB303" s="548"/>
      <c r="AC303" s="548"/>
      <c r="AD303" s="548"/>
      <c r="AE303" s="548"/>
      <c r="AF303" s="548"/>
      <c r="AG303" s="549"/>
      <c r="AH303" s="518"/>
    </row>
    <row r="304">
      <c r="A304" s="546"/>
      <c r="B304" s="547"/>
      <c r="C304" s="547"/>
      <c r="D304" s="547"/>
      <c r="E304" s="547"/>
      <c r="F304" s="547"/>
      <c r="G304" s="547"/>
      <c r="H304" s="547"/>
      <c r="I304" s="547"/>
      <c r="J304" s="547"/>
      <c r="K304" s="547"/>
      <c r="L304" s="547"/>
      <c r="M304" s="547"/>
      <c r="N304" s="548"/>
      <c r="O304" s="548"/>
      <c r="P304" s="548"/>
      <c r="Q304" s="548"/>
      <c r="R304" s="548"/>
      <c r="S304" s="548"/>
      <c r="T304" s="548"/>
      <c r="U304" s="548"/>
      <c r="V304" s="548"/>
      <c r="W304" s="548"/>
      <c r="X304" s="548"/>
      <c r="Y304" s="548"/>
      <c r="Z304" s="548"/>
      <c r="AA304" s="548"/>
      <c r="AB304" s="548"/>
      <c r="AC304" s="548"/>
      <c r="AD304" s="548"/>
      <c r="AE304" s="548"/>
      <c r="AF304" s="548"/>
      <c r="AG304" s="549"/>
      <c r="AH304" s="518"/>
    </row>
    <row r="305">
      <c r="A305" s="546"/>
      <c r="B305" s="547"/>
      <c r="C305" s="547"/>
      <c r="D305" s="547"/>
      <c r="E305" s="547"/>
      <c r="F305" s="547"/>
      <c r="G305" s="547"/>
      <c r="H305" s="547"/>
      <c r="I305" s="547"/>
      <c r="J305" s="547"/>
      <c r="K305" s="547"/>
      <c r="L305" s="547"/>
      <c r="M305" s="547"/>
      <c r="N305" s="548"/>
      <c r="O305" s="548"/>
      <c r="P305" s="548"/>
      <c r="Q305" s="548"/>
      <c r="R305" s="548"/>
      <c r="S305" s="548"/>
      <c r="T305" s="548"/>
      <c r="U305" s="548"/>
      <c r="V305" s="548"/>
      <c r="W305" s="548"/>
      <c r="X305" s="548"/>
      <c r="Y305" s="548"/>
      <c r="Z305" s="548"/>
      <c r="AA305" s="548"/>
      <c r="AB305" s="548"/>
      <c r="AC305" s="548"/>
      <c r="AD305" s="548"/>
      <c r="AE305" s="548"/>
      <c r="AF305" s="548"/>
      <c r="AG305" s="549"/>
      <c r="AH305" s="518"/>
    </row>
    <row r="306">
      <c r="A306" s="546"/>
      <c r="B306" s="547"/>
      <c r="C306" s="547"/>
      <c r="D306" s="547"/>
      <c r="E306" s="547"/>
      <c r="F306" s="547"/>
      <c r="G306" s="547"/>
      <c r="H306" s="547"/>
      <c r="I306" s="547"/>
      <c r="J306" s="547"/>
      <c r="K306" s="547"/>
      <c r="L306" s="547"/>
      <c r="M306" s="547"/>
      <c r="N306" s="548"/>
      <c r="O306" s="548"/>
      <c r="P306" s="548"/>
      <c r="Q306" s="548"/>
      <c r="R306" s="548"/>
      <c r="S306" s="548"/>
      <c r="T306" s="548"/>
      <c r="U306" s="548"/>
      <c r="V306" s="548"/>
      <c r="W306" s="548"/>
      <c r="X306" s="548"/>
      <c r="Y306" s="548"/>
      <c r="Z306" s="548"/>
      <c r="AA306" s="548"/>
      <c r="AB306" s="548"/>
      <c r="AC306" s="548"/>
      <c r="AD306" s="548"/>
      <c r="AE306" s="548"/>
      <c r="AF306" s="548"/>
      <c r="AG306" s="549"/>
      <c r="AH306" s="518"/>
    </row>
    <row r="307">
      <c r="A307" s="546"/>
      <c r="B307" s="547"/>
      <c r="C307" s="547"/>
      <c r="D307" s="547"/>
      <c r="E307" s="547"/>
      <c r="F307" s="547"/>
      <c r="G307" s="547"/>
      <c r="H307" s="547"/>
      <c r="I307" s="547"/>
      <c r="J307" s="547"/>
      <c r="K307" s="547"/>
      <c r="L307" s="547"/>
      <c r="M307" s="547"/>
      <c r="N307" s="548"/>
      <c r="O307" s="548"/>
      <c r="P307" s="548"/>
      <c r="Q307" s="548"/>
      <c r="R307" s="548"/>
      <c r="S307" s="548"/>
      <c r="T307" s="548"/>
      <c r="U307" s="548"/>
      <c r="V307" s="548"/>
      <c r="W307" s="548"/>
      <c r="X307" s="548"/>
      <c r="Y307" s="548"/>
      <c r="Z307" s="548"/>
      <c r="AA307" s="548"/>
      <c r="AB307" s="548"/>
      <c r="AC307" s="548"/>
      <c r="AD307" s="548"/>
      <c r="AE307" s="548"/>
      <c r="AF307" s="548"/>
      <c r="AG307" s="549"/>
      <c r="AH307" s="518"/>
    </row>
    <row r="308">
      <c r="A308" s="546"/>
      <c r="B308" s="547"/>
      <c r="C308" s="547"/>
      <c r="D308" s="547"/>
      <c r="E308" s="547"/>
      <c r="F308" s="547"/>
      <c r="G308" s="547"/>
      <c r="H308" s="547"/>
      <c r="I308" s="547"/>
      <c r="J308" s="547"/>
      <c r="K308" s="547"/>
      <c r="L308" s="547"/>
      <c r="M308" s="547"/>
      <c r="N308" s="548"/>
      <c r="O308" s="548"/>
      <c r="P308" s="548"/>
      <c r="Q308" s="548"/>
      <c r="R308" s="548"/>
      <c r="S308" s="548"/>
      <c r="T308" s="548"/>
      <c r="U308" s="548"/>
      <c r="V308" s="548"/>
      <c r="W308" s="548"/>
      <c r="X308" s="548"/>
      <c r="Y308" s="548"/>
      <c r="Z308" s="548"/>
      <c r="AA308" s="548"/>
      <c r="AB308" s="548"/>
      <c r="AC308" s="548"/>
      <c r="AD308" s="548"/>
      <c r="AE308" s="548"/>
      <c r="AF308" s="548"/>
      <c r="AG308" s="549"/>
      <c r="AH308" s="518"/>
    </row>
    <row r="309">
      <c r="A309" s="546"/>
      <c r="B309" s="547"/>
      <c r="C309" s="547"/>
      <c r="D309" s="547"/>
      <c r="E309" s="547"/>
      <c r="F309" s="547"/>
      <c r="G309" s="547"/>
      <c r="H309" s="547"/>
      <c r="I309" s="547"/>
      <c r="J309" s="547"/>
      <c r="K309" s="547"/>
      <c r="L309" s="547"/>
      <c r="M309" s="547"/>
      <c r="N309" s="548"/>
      <c r="O309" s="548"/>
      <c r="P309" s="548"/>
      <c r="Q309" s="548"/>
      <c r="R309" s="548"/>
      <c r="S309" s="548"/>
      <c r="T309" s="548"/>
      <c r="U309" s="548"/>
      <c r="V309" s="548"/>
      <c r="W309" s="548"/>
      <c r="X309" s="548"/>
      <c r="Y309" s="548"/>
      <c r="Z309" s="548"/>
      <c r="AA309" s="548"/>
      <c r="AB309" s="548"/>
      <c r="AC309" s="548"/>
      <c r="AD309" s="548"/>
      <c r="AE309" s="548"/>
      <c r="AF309" s="548"/>
      <c r="AG309" s="549"/>
      <c r="AH309" s="518"/>
    </row>
    <row r="310">
      <c r="A310" s="546"/>
      <c r="B310" s="547"/>
      <c r="C310" s="547"/>
      <c r="D310" s="547"/>
      <c r="E310" s="547"/>
      <c r="F310" s="547"/>
      <c r="G310" s="547"/>
      <c r="H310" s="547"/>
      <c r="I310" s="547"/>
      <c r="J310" s="547"/>
      <c r="K310" s="547"/>
      <c r="L310" s="547"/>
      <c r="M310" s="547"/>
      <c r="N310" s="548"/>
      <c r="O310" s="548"/>
      <c r="P310" s="548"/>
      <c r="Q310" s="548"/>
      <c r="R310" s="548"/>
      <c r="S310" s="548"/>
      <c r="T310" s="548"/>
      <c r="U310" s="548"/>
      <c r="V310" s="548"/>
      <c r="W310" s="548"/>
      <c r="X310" s="548"/>
      <c r="Y310" s="548"/>
      <c r="Z310" s="548"/>
      <c r="AA310" s="548"/>
      <c r="AB310" s="548"/>
      <c r="AC310" s="548"/>
      <c r="AD310" s="548"/>
      <c r="AE310" s="548"/>
      <c r="AF310" s="548"/>
      <c r="AG310" s="549"/>
      <c r="AH310" s="518"/>
    </row>
    <row r="311">
      <c r="A311" s="546"/>
      <c r="B311" s="547"/>
      <c r="C311" s="547"/>
      <c r="D311" s="547"/>
      <c r="E311" s="547"/>
      <c r="F311" s="547"/>
      <c r="G311" s="547"/>
      <c r="H311" s="547"/>
      <c r="I311" s="547"/>
      <c r="J311" s="547"/>
      <c r="K311" s="547"/>
      <c r="L311" s="547"/>
      <c r="M311" s="547"/>
      <c r="N311" s="548"/>
      <c r="O311" s="548"/>
      <c r="P311" s="548"/>
      <c r="Q311" s="548"/>
      <c r="R311" s="548"/>
      <c r="S311" s="548"/>
      <c r="T311" s="548"/>
      <c r="U311" s="548"/>
      <c r="V311" s="548"/>
      <c r="W311" s="548"/>
      <c r="X311" s="548"/>
      <c r="Y311" s="548"/>
      <c r="Z311" s="548"/>
      <c r="AA311" s="548"/>
      <c r="AB311" s="548"/>
      <c r="AC311" s="548"/>
      <c r="AD311" s="548"/>
      <c r="AE311" s="548"/>
      <c r="AF311" s="548"/>
      <c r="AG311" s="549"/>
      <c r="AH311" s="518"/>
    </row>
    <row r="312">
      <c r="A312" s="546"/>
      <c r="B312" s="547"/>
      <c r="C312" s="547"/>
      <c r="D312" s="547"/>
      <c r="E312" s="547"/>
      <c r="F312" s="547"/>
      <c r="G312" s="547"/>
      <c r="H312" s="547"/>
      <c r="I312" s="547"/>
      <c r="J312" s="547"/>
      <c r="K312" s="547"/>
      <c r="L312" s="547"/>
      <c r="M312" s="547"/>
      <c r="N312" s="548"/>
      <c r="O312" s="548"/>
      <c r="P312" s="548"/>
      <c r="Q312" s="548"/>
      <c r="R312" s="548"/>
      <c r="S312" s="548"/>
      <c r="T312" s="548"/>
      <c r="U312" s="548"/>
      <c r="V312" s="548"/>
      <c r="W312" s="548"/>
      <c r="X312" s="548"/>
      <c r="Y312" s="548"/>
      <c r="Z312" s="548"/>
      <c r="AA312" s="548"/>
      <c r="AB312" s="548"/>
      <c r="AC312" s="548"/>
      <c r="AD312" s="548"/>
      <c r="AE312" s="548"/>
      <c r="AF312" s="548"/>
      <c r="AG312" s="549"/>
      <c r="AH312" s="518"/>
    </row>
    <row r="313">
      <c r="A313" s="546"/>
      <c r="B313" s="547"/>
      <c r="C313" s="547"/>
      <c r="D313" s="547"/>
      <c r="E313" s="547"/>
      <c r="F313" s="547"/>
      <c r="G313" s="547"/>
      <c r="H313" s="547"/>
      <c r="I313" s="547"/>
      <c r="J313" s="547"/>
      <c r="K313" s="547"/>
      <c r="L313" s="547"/>
      <c r="M313" s="547"/>
      <c r="N313" s="548"/>
      <c r="O313" s="548"/>
      <c r="P313" s="548"/>
      <c r="Q313" s="548"/>
      <c r="R313" s="548"/>
      <c r="S313" s="548"/>
      <c r="T313" s="548"/>
      <c r="U313" s="548"/>
      <c r="V313" s="548"/>
      <c r="W313" s="548"/>
      <c r="X313" s="548"/>
      <c r="Y313" s="548"/>
      <c r="Z313" s="548"/>
      <c r="AA313" s="548"/>
      <c r="AB313" s="548"/>
      <c r="AC313" s="548"/>
      <c r="AD313" s="548"/>
      <c r="AE313" s="548"/>
      <c r="AF313" s="548"/>
      <c r="AG313" s="549"/>
      <c r="AH313" s="518"/>
    </row>
    <row r="314">
      <c r="A314" s="546"/>
      <c r="B314" s="547"/>
      <c r="C314" s="547"/>
      <c r="D314" s="547"/>
      <c r="E314" s="547"/>
      <c r="F314" s="547"/>
      <c r="G314" s="547"/>
      <c r="H314" s="547"/>
      <c r="I314" s="547"/>
      <c r="J314" s="547"/>
      <c r="K314" s="547"/>
      <c r="L314" s="547"/>
      <c r="M314" s="547"/>
      <c r="N314" s="548"/>
      <c r="O314" s="548"/>
      <c r="P314" s="548"/>
      <c r="Q314" s="548"/>
      <c r="R314" s="548"/>
      <c r="S314" s="548"/>
      <c r="T314" s="548"/>
      <c r="U314" s="548"/>
      <c r="V314" s="548"/>
      <c r="W314" s="548"/>
      <c r="X314" s="548"/>
      <c r="Y314" s="548"/>
      <c r="Z314" s="548"/>
      <c r="AA314" s="548"/>
      <c r="AB314" s="548"/>
      <c r="AC314" s="548"/>
      <c r="AD314" s="548"/>
      <c r="AE314" s="548"/>
      <c r="AF314" s="548"/>
      <c r="AG314" s="549"/>
      <c r="AH314" s="518"/>
    </row>
    <row r="315">
      <c r="A315" s="546"/>
      <c r="B315" s="547"/>
      <c r="C315" s="547"/>
      <c r="D315" s="547"/>
      <c r="E315" s="547"/>
      <c r="F315" s="547"/>
      <c r="G315" s="547"/>
      <c r="H315" s="547"/>
      <c r="I315" s="547"/>
      <c r="J315" s="547"/>
      <c r="K315" s="547"/>
      <c r="L315" s="547"/>
      <c r="M315" s="547"/>
      <c r="N315" s="548"/>
      <c r="O315" s="548"/>
      <c r="P315" s="548"/>
      <c r="Q315" s="548"/>
      <c r="R315" s="548"/>
      <c r="S315" s="548"/>
      <c r="T315" s="548"/>
      <c r="U315" s="548"/>
      <c r="V315" s="548"/>
      <c r="W315" s="548"/>
      <c r="X315" s="548"/>
      <c r="Y315" s="548"/>
      <c r="Z315" s="548"/>
      <c r="AA315" s="548"/>
      <c r="AB315" s="548"/>
      <c r="AC315" s="548"/>
      <c r="AD315" s="548"/>
      <c r="AE315" s="548"/>
      <c r="AF315" s="548"/>
      <c r="AG315" s="549"/>
      <c r="AH315" s="518"/>
    </row>
    <row r="316">
      <c r="A316" s="546"/>
      <c r="B316" s="547"/>
      <c r="C316" s="547"/>
      <c r="D316" s="547"/>
      <c r="E316" s="547"/>
      <c r="F316" s="547"/>
      <c r="G316" s="547"/>
      <c r="H316" s="547"/>
      <c r="I316" s="547"/>
      <c r="J316" s="547"/>
      <c r="K316" s="547"/>
      <c r="L316" s="547"/>
      <c r="M316" s="547"/>
      <c r="N316" s="548"/>
      <c r="O316" s="548"/>
      <c r="P316" s="548"/>
      <c r="Q316" s="548"/>
      <c r="R316" s="548"/>
      <c r="S316" s="548"/>
      <c r="T316" s="548"/>
      <c r="U316" s="548"/>
      <c r="V316" s="548"/>
      <c r="W316" s="548"/>
      <c r="X316" s="548"/>
      <c r="Y316" s="548"/>
      <c r="Z316" s="548"/>
      <c r="AA316" s="548"/>
      <c r="AB316" s="548"/>
      <c r="AC316" s="548"/>
      <c r="AD316" s="548"/>
      <c r="AE316" s="548"/>
      <c r="AF316" s="548"/>
      <c r="AG316" s="549"/>
      <c r="AH316" s="518"/>
    </row>
    <row r="317">
      <c r="A317" s="546"/>
      <c r="B317" s="547"/>
      <c r="C317" s="547"/>
      <c r="D317" s="547"/>
      <c r="E317" s="547"/>
      <c r="F317" s="547"/>
      <c r="G317" s="547"/>
      <c r="H317" s="547"/>
      <c r="I317" s="547"/>
      <c r="J317" s="547"/>
      <c r="K317" s="547"/>
      <c r="L317" s="547"/>
      <c r="M317" s="547"/>
      <c r="N317" s="548"/>
      <c r="O317" s="548"/>
      <c r="P317" s="548"/>
      <c r="Q317" s="548"/>
      <c r="R317" s="548"/>
      <c r="S317" s="548"/>
      <c r="T317" s="548"/>
      <c r="U317" s="548"/>
      <c r="V317" s="548"/>
      <c r="W317" s="548"/>
      <c r="X317" s="548"/>
      <c r="Y317" s="548"/>
      <c r="Z317" s="548"/>
      <c r="AA317" s="548"/>
      <c r="AB317" s="548"/>
      <c r="AC317" s="548"/>
      <c r="AD317" s="548"/>
      <c r="AE317" s="548"/>
      <c r="AF317" s="548"/>
      <c r="AG317" s="549"/>
      <c r="AH317" s="518"/>
    </row>
    <row r="318">
      <c r="A318" s="546"/>
      <c r="B318" s="547"/>
      <c r="C318" s="547"/>
      <c r="D318" s="547"/>
      <c r="E318" s="547"/>
      <c r="F318" s="547"/>
      <c r="G318" s="547"/>
      <c r="H318" s="547"/>
      <c r="I318" s="547"/>
      <c r="J318" s="547"/>
      <c r="K318" s="547"/>
      <c r="L318" s="547"/>
      <c r="M318" s="547"/>
      <c r="N318" s="548"/>
      <c r="O318" s="548"/>
      <c r="P318" s="548"/>
      <c r="Q318" s="548"/>
      <c r="R318" s="548"/>
      <c r="S318" s="548"/>
      <c r="T318" s="548"/>
      <c r="U318" s="548"/>
      <c r="V318" s="548"/>
      <c r="W318" s="548"/>
      <c r="X318" s="548"/>
      <c r="Y318" s="548"/>
      <c r="Z318" s="548"/>
      <c r="AA318" s="548"/>
      <c r="AB318" s="548"/>
      <c r="AC318" s="548"/>
      <c r="AD318" s="548"/>
      <c r="AE318" s="548"/>
      <c r="AF318" s="548"/>
      <c r="AG318" s="549"/>
      <c r="AH318" s="518"/>
    </row>
    <row r="319">
      <c r="A319" s="546"/>
      <c r="B319" s="547"/>
      <c r="C319" s="547"/>
      <c r="D319" s="547"/>
      <c r="E319" s="547"/>
      <c r="F319" s="547"/>
      <c r="G319" s="547"/>
      <c r="H319" s="547"/>
      <c r="I319" s="547"/>
      <c r="J319" s="547"/>
      <c r="K319" s="547"/>
      <c r="L319" s="547"/>
      <c r="M319" s="547"/>
      <c r="N319" s="548"/>
      <c r="O319" s="548"/>
      <c r="P319" s="548"/>
      <c r="Q319" s="548"/>
      <c r="R319" s="548"/>
      <c r="S319" s="548"/>
      <c r="T319" s="548"/>
      <c r="U319" s="548"/>
      <c r="V319" s="548"/>
      <c r="W319" s="548"/>
      <c r="X319" s="548"/>
      <c r="Y319" s="548"/>
      <c r="Z319" s="548"/>
      <c r="AA319" s="548"/>
      <c r="AB319" s="548"/>
      <c r="AC319" s="548"/>
      <c r="AD319" s="548"/>
      <c r="AE319" s="548"/>
      <c r="AF319" s="548"/>
      <c r="AG319" s="549"/>
      <c r="AH319" s="518"/>
    </row>
    <row r="320">
      <c r="A320" s="546"/>
      <c r="B320" s="547"/>
      <c r="C320" s="547"/>
      <c r="D320" s="547"/>
      <c r="E320" s="547"/>
      <c r="F320" s="547"/>
      <c r="G320" s="547"/>
      <c r="H320" s="547"/>
      <c r="I320" s="547"/>
      <c r="J320" s="547"/>
      <c r="K320" s="547"/>
      <c r="L320" s="547"/>
      <c r="M320" s="547"/>
      <c r="N320" s="548"/>
      <c r="O320" s="548"/>
      <c r="P320" s="548"/>
      <c r="Q320" s="548"/>
      <c r="R320" s="548"/>
      <c r="S320" s="548"/>
      <c r="T320" s="548"/>
      <c r="U320" s="548"/>
      <c r="V320" s="548"/>
      <c r="W320" s="548"/>
      <c r="X320" s="548"/>
      <c r="Y320" s="548"/>
      <c r="Z320" s="548"/>
      <c r="AA320" s="548"/>
      <c r="AB320" s="548"/>
      <c r="AC320" s="548"/>
      <c r="AD320" s="548"/>
      <c r="AE320" s="548"/>
      <c r="AF320" s="548"/>
      <c r="AG320" s="549"/>
      <c r="AH320" s="518"/>
    </row>
    <row r="321">
      <c r="A321" s="546"/>
      <c r="B321" s="547"/>
      <c r="C321" s="547"/>
      <c r="D321" s="547"/>
      <c r="E321" s="547"/>
      <c r="F321" s="547"/>
      <c r="G321" s="547"/>
      <c r="H321" s="547"/>
      <c r="I321" s="547"/>
      <c r="J321" s="547"/>
      <c r="K321" s="547"/>
      <c r="L321" s="547"/>
      <c r="M321" s="547"/>
      <c r="N321" s="548"/>
      <c r="O321" s="548"/>
      <c r="P321" s="548"/>
      <c r="Q321" s="548"/>
      <c r="R321" s="548"/>
      <c r="S321" s="548"/>
      <c r="T321" s="548"/>
      <c r="U321" s="548"/>
      <c r="V321" s="548"/>
      <c r="W321" s="548"/>
      <c r="X321" s="548"/>
      <c r="Y321" s="548"/>
      <c r="Z321" s="548"/>
      <c r="AA321" s="548"/>
      <c r="AB321" s="548"/>
      <c r="AC321" s="548"/>
      <c r="AD321" s="548"/>
      <c r="AE321" s="548"/>
      <c r="AF321" s="548"/>
      <c r="AG321" s="549"/>
      <c r="AH321" s="518"/>
    </row>
    <row r="322">
      <c r="A322" s="546"/>
      <c r="B322" s="547"/>
      <c r="C322" s="547"/>
      <c r="D322" s="547"/>
      <c r="E322" s="547"/>
      <c r="F322" s="547"/>
      <c r="G322" s="547"/>
      <c r="H322" s="547"/>
      <c r="I322" s="547"/>
      <c r="J322" s="547"/>
      <c r="K322" s="547"/>
      <c r="L322" s="547"/>
      <c r="M322" s="547"/>
      <c r="N322" s="548"/>
      <c r="O322" s="548"/>
      <c r="P322" s="548"/>
      <c r="Q322" s="548"/>
      <c r="R322" s="548"/>
      <c r="S322" s="548"/>
      <c r="T322" s="548"/>
      <c r="U322" s="548"/>
      <c r="V322" s="548"/>
      <c r="W322" s="548"/>
      <c r="X322" s="548"/>
      <c r="Y322" s="548"/>
      <c r="Z322" s="548"/>
      <c r="AA322" s="548"/>
      <c r="AB322" s="548"/>
      <c r="AC322" s="548"/>
      <c r="AD322" s="548"/>
      <c r="AE322" s="548"/>
      <c r="AF322" s="548"/>
      <c r="AG322" s="549"/>
      <c r="AH322" s="518"/>
    </row>
    <row r="323">
      <c r="A323" s="546"/>
      <c r="B323" s="547"/>
      <c r="C323" s="547"/>
      <c r="D323" s="547"/>
      <c r="E323" s="547"/>
      <c r="F323" s="547"/>
      <c r="G323" s="547"/>
      <c r="H323" s="547"/>
      <c r="I323" s="547"/>
      <c r="J323" s="547"/>
      <c r="K323" s="547"/>
      <c r="L323" s="547"/>
      <c r="M323" s="547"/>
      <c r="N323" s="548"/>
      <c r="O323" s="548"/>
      <c r="P323" s="548"/>
      <c r="Q323" s="548"/>
      <c r="R323" s="548"/>
      <c r="S323" s="548"/>
      <c r="T323" s="548"/>
      <c r="U323" s="548"/>
      <c r="V323" s="548"/>
      <c r="W323" s="548"/>
      <c r="X323" s="548"/>
      <c r="Y323" s="548"/>
      <c r="Z323" s="548"/>
      <c r="AA323" s="548"/>
      <c r="AB323" s="548"/>
      <c r="AC323" s="548"/>
      <c r="AD323" s="548"/>
      <c r="AE323" s="548"/>
      <c r="AF323" s="548"/>
      <c r="AG323" s="549"/>
      <c r="AH323" s="518"/>
    </row>
    <row r="324">
      <c r="A324" s="546"/>
      <c r="B324" s="547"/>
      <c r="C324" s="547"/>
      <c r="D324" s="547"/>
      <c r="E324" s="547"/>
      <c r="F324" s="547"/>
      <c r="G324" s="547"/>
      <c r="H324" s="547"/>
      <c r="I324" s="547"/>
      <c r="J324" s="547"/>
      <c r="K324" s="547"/>
      <c r="L324" s="547"/>
      <c r="M324" s="547"/>
      <c r="N324" s="548"/>
      <c r="O324" s="548"/>
      <c r="P324" s="548"/>
      <c r="Q324" s="548"/>
      <c r="R324" s="548"/>
      <c r="S324" s="548"/>
      <c r="T324" s="548"/>
      <c r="U324" s="548"/>
      <c r="V324" s="548"/>
      <c r="W324" s="548"/>
      <c r="X324" s="548"/>
      <c r="Y324" s="548"/>
      <c r="Z324" s="548"/>
      <c r="AA324" s="548"/>
      <c r="AB324" s="548"/>
      <c r="AC324" s="548"/>
      <c r="AD324" s="548"/>
      <c r="AE324" s="548"/>
      <c r="AF324" s="548"/>
      <c r="AG324" s="549"/>
      <c r="AH324" s="518"/>
    </row>
    <row r="325">
      <c r="A325" s="546"/>
      <c r="B325" s="547"/>
      <c r="C325" s="547"/>
      <c r="D325" s="547"/>
      <c r="E325" s="547"/>
      <c r="F325" s="547"/>
      <c r="G325" s="547"/>
      <c r="H325" s="547"/>
      <c r="I325" s="547"/>
      <c r="J325" s="547"/>
      <c r="K325" s="547"/>
      <c r="L325" s="547"/>
      <c r="M325" s="547"/>
      <c r="N325" s="548"/>
      <c r="O325" s="548"/>
      <c r="P325" s="548"/>
      <c r="Q325" s="548"/>
      <c r="R325" s="548"/>
      <c r="S325" s="548"/>
      <c r="T325" s="548"/>
      <c r="U325" s="548"/>
      <c r="V325" s="548"/>
      <c r="W325" s="548"/>
      <c r="X325" s="548"/>
      <c r="Y325" s="548"/>
      <c r="Z325" s="548"/>
      <c r="AA325" s="548"/>
      <c r="AB325" s="548"/>
      <c r="AC325" s="548"/>
      <c r="AD325" s="548"/>
      <c r="AE325" s="548"/>
      <c r="AF325" s="548"/>
      <c r="AG325" s="549"/>
      <c r="AH325" s="518"/>
    </row>
    <row r="326">
      <c r="A326" s="546"/>
      <c r="B326" s="547"/>
      <c r="C326" s="547"/>
      <c r="D326" s="547"/>
      <c r="E326" s="547"/>
      <c r="F326" s="547"/>
      <c r="G326" s="547"/>
      <c r="H326" s="547"/>
      <c r="I326" s="547"/>
      <c r="J326" s="547"/>
      <c r="K326" s="547"/>
      <c r="L326" s="547"/>
      <c r="M326" s="547"/>
      <c r="N326" s="548"/>
      <c r="O326" s="548"/>
      <c r="P326" s="548"/>
      <c r="Q326" s="548"/>
      <c r="R326" s="548"/>
      <c r="S326" s="548"/>
      <c r="T326" s="548"/>
      <c r="U326" s="548"/>
      <c r="V326" s="548"/>
      <c r="W326" s="548"/>
      <c r="X326" s="548"/>
      <c r="Y326" s="548"/>
      <c r="Z326" s="548"/>
      <c r="AA326" s="548"/>
      <c r="AB326" s="548"/>
      <c r="AC326" s="548"/>
      <c r="AD326" s="548"/>
      <c r="AE326" s="548"/>
      <c r="AF326" s="548"/>
      <c r="AG326" s="549"/>
      <c r="AH326" s="518"/>
    </row>
    <row r="327">
      <c r="A327" s="546"/>
      <c r="B327" s="547"/>
      <c r="C327" s="547"/>
      <c r="D327" s="547"/>
      <c r="E327" s="547"/>
      <c r="F327" s="547"/>
      <c r="G327" s="547"/>
      <c r="H327" s="547"/>
      <c r="I327" s="547"/>
      <c r="J327" s="547"/>
      <c r="K327" s="547"/>
      <c r="L327" s="547"/>
      <c r="M327" s="547"/>
      <c r="N327" s="548"/>
      <c r="O327" s="548"/>
      <c r="P327" s="548"/>
      <c r="Q327" s="548"/>
      <c r="R327" s="548"/>
      <c r="S327" s="548"/>
      <c r="T327" s="548"/>
      <c r="U327" s="548"/>
      <c r="V327" s="548"/>
      <c r="W327" s="548"/>
      <c r="X327" s="548"/>
      <c r="Y327" s="548"/>
      <c r="Z327" s="548"/>
      <c r="AA327" s="548"/>
      <c r="AB327" s="548"/>
      <c r="AC327" s="548"/>
      <c r="AD327" s="548"/>
      <c r="AE327" s="548"/>
      <c r="AF327" s="548"/>
      <c r="AG327" s="549"/>
      <c r="AH327" s="518"/>
    </row>
    <row r="328">
      <c r="A328" s="546"/>
      <c r="B328" s="547"/>
      <c r="C328" s="547"/>
      <c r="D328" s="547"/>
      <c r="E328" s="547"/>
      <c r="F328" s="547"/>
      <c r="G328" s="547"/>
      <c r="H328" s="547"/>
      <c r="I328" s="547"/>
      <c r="J328" s="547"/>
      <c r="K328" s="547"/>
      <c r="L328" s="547"/>
      <c r="M328" s="547"/>
      <c r="N328" s="548"/>
      <c r="O328" s="548"/>
      <c r="P328" s="548"/>
      <c r="Q328" s="548"/>
      <c r="R328" s="548"/>
      <c r="S328" s="548"/>
      <c r="T328" s="548"/>
      <c r="U328" s="548"/>
      <c r="V328" s="548"/>
      <c r="W328" s="548"/>
      <c r="X328" s="548"/>
      <c r="Y328" s="548"/>
      <c r="Z328" s="548"/>
      <c r="AA328" s="548"/>
      <c r="AB328" s="548"/>
      <c r="AC328" s="548"/>
      <c r="AD328" s="548"/>
      <c r="AE328" s="548"/>
      <c r="AF328" s="548"/>
      <c r="AG328" s="549"/>
      <c r="AH328" s="518"/>
    </row>
    <row r="329">
      <c r="A329" s="546"/>
      <c r="B329" s="547"/>
      <c r="C329" s="547"/>
      <c r="D329" s="547"/>
      <c r="E329" s="547"/>
      <c r="F329" s="547"/>
      <c r="G329" s="547"/>
      <c r="H329" s="547"/>
      <c r="I329" s="547"/>
      <c r="J329" s="547"/>
      <c r="K329" s="547"/>
      <c r="L329" s="547"/>
      <c r="M329" s="547"/>
      <c r="N329" s="548"/>
      <c r="O329" s="548"/>
      <c r="P329" s="548"/>
      <c r="Q329" s="548"/>
      <c r="R329" s="548"/>
      <c r="S329" s="548"/>
      <c r="T329" s="548"/>
      <c r="U329" s="548"/>
      <c r="V329" s="548"/>
      <c r="W329" s="548"/>
      <c r="X329" s="548"/>
      <c r="Y329" s="548"/>
      <c r="Z329" s="548"/>
      <c r="AA329" s="548"/>
      <c r="AB329" s="548"/>
      <c r="AC329" s="548"/>
      <c r="AD329" s="548"/>
      <c r="AE329" s="548"/>
      <c r="AF329" s="548"/>
      <c r="AG329" s="549"/>
      <c r="AH329" s="518"/>
    </row>
    <row r="330">
      <c r="A330" s="546"/>
      <c r="B330" s="547"/>
      <c r="C330" s="547"/>
      <c r="D330" s="547"/>
      <c r="E330" s="547"/>
      <c r="F330" s="547"/>
      <c r="G330" s="547"/>
      <c r="H330" s="547"/>
      <c r="I330" s="547"/>
      <c r="J330" s="547"/>
      <c r="K330" s="547"/>
      <c r="L330" s="547"/>
      <c r="M330" s="547"/>
      <c r="N330" s="548"/>
      <c r="O330" s="548"/>
      <c r="P330" s="548"/>
      <c r="Q330" s="548"/>
      <c r="R330" s="548"/>
      <c r="S330" s="548"/>
      <c r="T330" s="548"/>
      <c r="U330" s="548"/>
      <c r="V330" s="548"/>
      <c r="W330" s="548"/>
      <c r="X330" s="548"/>
      <c r="Y330" s="548"/>
      <c r="Z330" s="548"/>
      <c r="AA330" s="548"/>
      <c r="AB330" s="548"/>
      <c r="AC330" s="548"/>
      <c r="AD330" s="548"/>
      <c r="AE330" s="548"/>
      <c r="AF330" s="548"/>
      <c r="AG330" s="549"/>
      <c r="AH330" s="518"/>
    </row>
    <row r="331">
      <c r="A331" s="546"/>
      <c r="B331" s="547"/>
      <c r="C331" s="547"/>
      <c r="D331" s="547"/>
      <c r="E331" s="547"/>
      <c r="F331" s="547"/>
      <c r="G331" s="547"/>
      <c r="H331" s="547"/>
      <c r="I331" s="547"/>
      <c r="J331" s="547"/>
      <c r="K331" s="547"/>
      <c r="L331" s="547"/>
      <c r="M331" s="547"/>
      <c r="N331" s="548"/>
      <c r="O331" s="548"/>
      <c r="P331" s="548"/>
      <c r="Q331" s="548"/>
      <c r="R331" s="548"/>
      <c r="S331" s="548"/>
      <c r="T331" s="548"/>
      <c r="U331" s="548"/>
      <c r="V331" s="548"/>
      <c r="W331" s="548"/>
      <c r="X331" s="548"/>
      <c r="Y331" s="548"/>
      <c r="Z331" s="548"/>
      <c r="AA331" s="548"/>
      <c r="AB331" s="548"/>
      <c r="AC331" s="548"/>
      <c r="AD331" s="548"/>
      <c r="AE331" s="548"/>
      <c r="AF331" s="548"/>
      <c r="AG331" s="549"/>
      <c r="AH331" s="518"/>
    </row>
    <row r="332">
      <c r="A332" s="546"/>
      <c r="B332" s="547"/>
      <c r="C332" s="547"/>
      <c r="D332" s="547"/>
      <c r="E332" s="547"/>
      <c r="F332" s="547"/>
      <c r="G332" s="547"/>
      <c r="H332" s="547"/>
      <c r="I332" s="547"/>
      <c r="J332" s="547"/>
      <c r="K332" s="547"/>
      <c r="L332" s="547"/>
      <c r="M332" s="547"/>
      <c r="N332" s="548"/>
      <c r="O332" s="548"/>
      <c r="P332" s="548"/>
      <c r="Q332" s="548"/>
      <c r="R332" s="548"/>
      <c r="S332" s="548"/>
      <c r="T332" s="548"/>
      <c r="U332" s="548"/>
      <c r="V332" s="548"/>
      <c r="W332" s="548"/>
      <c r="X332" s="548"/>
      <c r="Y332" s="548"/>
      <c r="Z332" s="548"/>
      <c r="AA332" s="548"/>
      <c r="AB332" s="548"/>
      <c r="AC332" s="548"/>
      <c r="AD332" s="548"/>
      <c r="AE332" s="548"/>
      <c r="AF332" s="548"/>
      <c r="AG332" s="549"/>
      <c r="AH332" s="518"/>
    </row>
    <row r="333">
      <c r="A333" s="546"/>
      <c r="B333" s="547"/>
      <c r="C333" s="547"/>
      <c r="D333" s="547"/>
      <c r="E333" s="547"/>
      <c r="F333" s="547"/>
      <c r="G333" s="547"/>
      <c r="H333" s="547"/>
      <c r="I333" s="547"/>
      <c r="J333" s="547"/>
      <c r="K333" s="547"/>
      <c r="L333" s="547"/>
      <c r="M333" s="547"/>
      <c r="N333" s="548"/>
      <c r="O333" s="548"/>
      <c r="P333" s="548"/>
      <c r="Q333" s="548"/>
      <c r="R333" s="548"/>
      <c r="S333" s="548"/>
      <c r="T333" s="548"/>
      <c r="U333" s="548"/>
      <c r="V333" s="548"/>
      <c r="W333" s="548"/>
      <c r="X333" s="548"/>
      <c r="Y333" s="548"/>
      <c r="Z333" s="548"/>
      <c r="AA333" s="548"/>
      <c r="AB333" s="548"/>
      <c r="AC333" s="548"/>
      <c r="AD333" s="548"/>
      <c r="AE333" s="548"/>
      <c r="AF333" s="548"/>
      <c r="AG333" s="549"/>
      <c r="AH333" s="518"/>
    </row>
    <row r="334">
      <c r="A334" s="546"/>
      <c r="B334" s="547"/>
      <c r="C334" s="547"/>
      <c r="D334" s="547"/>
      <c r="E334" s="547"/>
      <c r="F334" s="547"/>
      <c r="G334" s="547"/>
      <c r="H334" s="547"/>
      <c r="I334" s="547"/>
      <c r="J334" s="547"/>
      <c r="K334" s="547"/>
      <c r="L334" s="547"/>
      <c r="M334" s="547"/>
      <c r="N334" s="548"/>
      <c r="O334" s="548"/>
      <c r="P334" s="548"/>
      <c r="Q334" s="548"/>
      <c r="R334" s="548"/>
      <c r="S334" s="548"/>
      <c r="T334" s="548"/>
      <c r="U334" s="548"/>
      <c r="V334" s="548"/>
      <c r="W334" s="548"/>
      <c r="X334" s="548"/>
      <c r="Y334" s="548"/>
      <c r="Z334" s="548"/>
      <c r="AA334" s="548"/>
      <c r="AB334" s="548"/>
      <c r="AC334" s="548"/>
      <c r="AD334" s="548"/>
      <c r="AE334" s="548"/>
      <c r="AF334" s="548"/>
      <c r="AG334" s="549"/>
      <c r="AH334" s="518"/>
    </row>
    <row r="335">
      <c r="A335" s="546"/>
      <c r="B335" s="547"/>
      <c r="C335" s="547"/>
      <c r="D335" s="547"/>
      <c r="E335" s="547"/>
      <c r="F335" s="547"/>
      <c r="G335" s="547"/>
      <c r="H335" s="547"/>
      <c r="I335" s="547"/>
      <c r="J335" s="547"/>
      <c r="K335" s="547"/>
      <c r="L335" s="547"/>
      <c r="M335" s="547"/>
      <c r="N335" s="548"/>
      <c r="O335" s="548"/>
      <c r="P335" s="548"/>
      <c r="Q335" s="548"/>
      <c r="R335" s="548"/>
      <c r="S335" s="548"/>
      <c r="T335" s="548"/>
      <c r="U335" s="548"/>
      <c r="V335" s="548"/>
      <c r="W335" s="548"/>
      <c r="X335" s="548"/>
      <c r="Y335" s="548"/>
      <c r="Z335" s="548"/>
      <c r="AA335" s="548"/>
      <c r="AB335" s="548"/>
      <c r="AC335" s="548"/>
      <c r="AD335" s="548"/>
      <c r="AE335" s="548"/>
      <c r="AF335" s="548"/>
      <c r="AG335" s="549"/>
      <c r="AH335" s="518"/>
    </row>
    <row r="336">
      <c r="A336" s="546"/>
      <c r="B336" s="547"/>
      <c r="C336" s="547"/>
      <c r="D336" s="547"/>
      <c r="E336" s="547"/>
      <c r="F336" s="547"/>
      <c r="G336" s="547"/>
      <c r="H336" s="547"/>
      <c r="I336" s="547"/>
      <c r="J336" s="547"/>
      <c r="K336" s="547"/>
      <c r="L336" s="547"/>
      <c r="M336" s="547"/>
      <c r="N336" s="548"/>
      <c r="O336" s="548"/>
      <c r="P336" s="548"/>
      <c r="Q336" s="548"/>
      <c r="R336" s="548"/>
      <c r="S336" s="548"/>
      <c r="T336" s="548"/>
      <c r="U336" s="548"/>
      <c r="V336" s="548"/>
      <c r="W336" s="548"/>
      <c r="X336" s="548"/>
      <c r="Y336" s="548"/>
      <c r="Z336" s="548"/>
      <c r="AA336" s="548"/>
      <c r="AB336" s="548"/>
      <c r="AC336" s="548"/>
      <c r="AD336" s="548"/>
      <c r="AE336" s="548"/>
      <c r="AF336" s="548"/>
      <c r="AG336" s="549"/>
      <c r="AH336" s="518"/>
    </row>
    <row r="337">
      <c r="A337" s="546"/>
      <c r="B337" s="547"/>
      <c r="C337" s="547"/>
      <c r="D337" s="547"/>
      <c r="E337" s="547"/>
      <c r="F337" s="547"/>
      <c r="G337" s="547"/>
      <c r="H337" s="547"/>
      <c r="I337" s="547"/>
      <c r="J337" s="547"/>
      <c r="K337" s="547"/>
      <c r="L337" s="547"/>
      <c r="M337" s="547"/>
      <c r="N337" s="548"/>
      <c r="O337" s="548"/>
      <c r="P337" s="548"/>
      <c r="Q337" s="548"/>
      <c r="R337" s="548"/>
      <c r="S337" s="548"/>
      <c r="T337" s="548"/>
      <c r="U337" s="548"/>
      <c r="V337" s="548"/>
      <c r="W337" s="548"/>
      <c r="X337" s="548"/>
      <c r="Y337" s="548"/>
      <c r="Z337" s="548"/>
      <c r="AA337" s="548"/>
      <c r="AB337" s="548"/>
      <c r="AC337" s="548"/>
      <c r="AD337" s="548"/>
      <c r="AE337" s="548"/>
      <c r="AF337" s="548"/>
      <c r="AG337" s="549"/>
      <c r="AH337" s="518"/>
    </row>
    <row r="338">
      <c r="A338" s="546"/>
      <c r="B338" s="547"/>
      <c r="C338" s="547"/>
      <c r="D338" s="547"/>
      <c r="E338" s="547"/>
      <c r="F338" s="547"/>
      <c r="G338" s="547"/>
      <c r="H338" s="547"/>
      <c r="I338" s="547"/>
      <c r="J338" s="547"/>
      <c r="K338" s="547"/>
      <c r="L338" s="547"/>
      <c r="M338" s="547"/>
      <c r="N338" s="548"/>
      <c r="O338" s="548"/>
      <c r="P338" s="548"/>
      <c r="Q338" s="548"/>
      <c r="R338" s="548"/>
      <c r="S338" s="548"/>
      <c r="T338" s="548"/>
      <c r="U338" s="548"/>
      <c r="V338" s="548"/>
      <c r="W338" s="548"/>
      <c r="X338" s="548"/>
      <c r="Y338" s="548"/>
      <c r="Z338" s="548"/>
      <c r="AA338" s="548"/>
      <c r="AB338" s="548"/>
      <c r="AC338" s="548"/>
      <c r="AD338" s="548"/>
      <c r="AE338" s="548"/>
      <c r="AF338" s="548"/>
      <c r="AG338" s="549"/>
      <c r="AH338" s="518"/>
    </row>
    <row r="339">
      <c r="A339" s="546"/>
      <c r="B339" s="547"/>
      <c r="C339" s="547"/>
      <c r="D339" s="547"/>
      <c r="E339" s="547"/>
      <c r="F339" s="547"/>
      <c r="G339" s="547"/>
      <c r="H339" s="547"/>
      <c r="I339" s="547"/>
      <c r="J339" s="547"/>
      <c r="K339" s="547"/>
      <c r="L339" s="547"/>
      <c r="M339" s="547"/>
      <c r="N339" s="548"/>
      <c r="O339" s="548"/>
      <c r="P339" s="548"/>
      <c r="Q339" s="548"/>
      <c r="R339" s="548"/>
      <c r="S339" s="548"/>
      <c r="T339" s="548"/>
      <c r="U339" s="548"/>
      <c r="V339" s="548"/>
      <c r="W339" s="548"/>
      <c r="X339" s="548"/>
      <c r="Y339" s="548"/>
      <c r="Z339" s="548"/>
      <c r="AA339" s="548"/>
      <c r="AB339" s="548"/>
      <c r="AC339" s="548"/>
      <c r="AD339" s="548"/>
      <c r="AE339" s="548"/>
      <c r="AF339" s="548"/>
      <c r="AG339" s="549"/>
      <c r="AH339" s="518"/>
    </row>
    <row r="340">
      <c r="A340" s="546"/>
      <c r="B340" s="547"/>
      <c r="C340" s="547"/>
      <c r="D340" s="547"/>
      <c r="E340" s="547"/>
      <c r="F340" s="547"/>
      <c r="G340" s="547"/>
      <c r="H340" s="547"/>
      <c r="I340" s="547"/>
      <c r="J340" s="547"/>
      <c r="K340" s="547"/>
      <c r="L340" s="547"/>
      <c r="M340" s="547"/>
      <c r="N340" s="548"/>
      <c r="O340" s="548"/>
      <c r="P340" s="548"/>
      <c r="Q340" s="548"/>
      <c r="R340" s="548"/>
      <c r="S340" s="548"/>
      <c r="T340" s="548"/>
      <c r="U340" s="548"/>
      <c r="V340" s="548"/>
      <c r="W340" s="548"/>
      <c r="X340" s="548"/>
      <c r="Y340" s="548"/>
      <c r="Z340" s="548"/>
      <c r="AA340" s="548"/>
      <c r="AB340" s="548"/>
      <c r="AC340" s="548"/>
      <c r="AD340" s="548"/>
      <c r="AE340" s="548"/>
      <c r="AF340" s="548"/>
      <c r="AG340" s="549"/>
      <c r="AH340" s="518"/>
    </row>
    <row r="341">
      <c r="A341" s="546"/>
      <c r="B341" s="547"/>
      <c r="C341" s="547"/>
      <c r="D341" s="547"/>
      <c r="E341" s="547"/>
      <c r="F341" s="547"/>
      <c r="G341" s="547"/>
      <c r="H341" s="547"/>
      <c r="I341" s="547"/>
      <c r="J341" s="547"/>
      <c r="K341" s="547"/>
      <c r="L341" s="547"/>
      <c r="M341" s="547"/>
      <c r="N341" s="548"/>
      <c r="O341" s="548"/>
      <c r="P341" s="548"/>
      <c r="Q341" s="548"/>
      <c r="R341" s="548"/>
      <c r="S341" s="548"/>
      <c r="T341" s="548"/>
      <c r="U341" s="548"/>
      <c r="V341" s="548"/>
      <c r="W341" s="548"/>
      <c r="X341" s="548"/>
      <c r="Y341" s="548"/>
      <c r="Z341" s="548"/>
      <c r="AA341" s="548"/>
      <c r="AB341" s="548"/>
      <c r="AC341" s="548"/>
      <c r="AD341" s="548"/>
      <c r="AE341" s="548"/>
      <c r="AF341" s="548"/>
      <c r="AG341" s="549"/>
      <c r="AH341" s="518"/>
    </row>
    <row r="342">
      <c r="A342" s="546"/>
      <c r="B342" s="547"/>
      <c r="C342" s="547"/>
      <c r="D342" s="547"/>
      <c r="E342" s="547"/>
      <c r="F342" s="547"/>
      <c r="G342" s="547"/>
      <c r="H342" s="547"/>
      <c r="I342" s="547"/>
      <c r="J342" s="547"/>
      <c r="K342" s="547"/>
      <c r="L342" s="547"/>
      <c r="M342" s="547"/>
      <c r="N342" s="548"/>
      <c r="O342" s="548"/>
      <c r="P342" s="548"/>
      <c r="Q342" s="548"/>
      <c r="R342" s="548"/>
      <c r="S342" s="548"/>
      <c r="T342" s="548"/>
      <c r="U342" s="548"/>
      <c r="V342" s="548"/>
      <c r="W342" s="548"/>
      <c r="X342" s="548"/>
      <c r="Y342" s="548"/>
      <c r="Z342" s="548"/>
      <c r="AA342" s="548"/>
      <c r="AB342" s="548"/>
      <c r="AC342" s="548"/>
      <c r="AD342" s="548"/>
      <c r="AE342" s="548"/>
      <c r="AF342" s="548"/>
      <c r="AG342" s="549"/>
      <c r="AH342" s="518"/>
    </row>
    <row r="343">
      <c r="A343" s="546"/>
      <c r="B343" s="547"/>
      <c r="C343" s="547"/>
      <c r="D343" s="547"/>
      <c r="E343" s="547"/>
      <c r="F343" s="547"/>
      <c r="G343" s="547"/>
      <c r="H343" s="547"/>
      <c r="I343" s="547"/>
      <c r="J343" s="547"/>
      <c r="K343" s="547"/>
      <c r="L343" s="547"/>
      <c r="M343" s="547"/>
      <c r="N343" s="548"/>
      <c r="O343" s="548"/>
      <c r="P343" s="548"/>
      <c r="Q343" s="548"/>
      <c r="R343" s="548"/>
      <c r="S343" s="548"/>
      <c r="T343" s="548"/>
      <c r="U343" s="548"/>
      <c r="V343" s="548"/>
      <c r="W343" s="548"/>
      <c r="X343" s="548"/>
      <c r="Y343" s="548"/>
      <c r="Z343" s="548"/>
      <c r="AA343" s="548"/>
      <c r="AB343" s="548"/>
      <c r="AC343" s="548"/>
      <c r="AD343" s="548"/>
      <c r="AE343" s="548"/>
      <c r="AF343" s="548"/>
      <c r="AG343" s="549"/>
      <c r="AH343" s="518"/>
    </row>
    <row r="344">
      <c r="A344" s="546"/>
      <c r="B344" s="547"/>
      <c r="C344" s="547"/>
      <c r="D344" s="547"/>
      <c r="E344" s="547"/>
      <c r="F344" s="547"/>
      <c r="G344" s="547"/>
      <c r="H344" s="547"/>
      <c r="I344" s="547"/>
      <c r="J344" s="547"/>
      <c r="K344" s="547"/>
      <c r="L344" s="547"/>
      <c r="M344" s="547"/>
      <c r="N344" s="548"/>
      <c r="O344" s="548"/>
      <c r="P344" s="548"/>
      <c r="Q344" s="548"/>
      <c r="R344" s="548"/>
      <c r="S344" s="548"/>
      <c r="T344" s="548"/>
      <c r="U344" s="548"/>
      <c r="V344" s="548"/>
      <c r="W344" s="548"/>
      <c r="X344" s="548"/>
      <c r="Y344" s="548"/>
      <c r="Z344" s="548"/>
      <c r="AA344" s="548"/>
      <c r="AB344" s="548"/>
      <c r="AC344" s="548"/>
      <c r="AD344" s="548"/>
      <c r="AE344" s="548"/>
      <c r="AF344" s="548"/>
      <c r="AG344" s="549"/>
      <c r="AH344" s="518"/>
    </row>
    <row r="345">
      <c r="A345" s="546"/>
      <c r="B345" s="547"/>
      <c r="C345" s="547"/>
      <c r="D345" s="547"/>
      <c r="E345" s="547"/>
      <c r="F345" s="547"/>
      <c r="G345" s="547"/>
      <c r="H345" s="547"/>
      <c r="I345" s="547"/>
      <c r="J345" s="547"/>
      <c r="K345" s="547"/>
      <c r="L345" s="547"/>
      <c r="M345" s="547"/>
      <c r="N345" s="548"/>
      <c r="O345" s="548"/>
      <c r="P345" s="548"/>
      <c r="Q345" s="548"/>
      <c r="R345" s="548"/>
      <c r="S345" s="548"/>
      <c r="T345" s="548"/>
      <c r="U345" s="548"/>
      <c r="V345" s="548"/>
      <c r="W345" s="548"/>
      <c r="X345" s="548"/>
      <c r="Y345" s="548"/>
      <c r="Z345" s="548"/>
      <c r="AA345" s="548"/>
      <c r="AB345" s="548"/>
      <c r="AC345" s="548"/>
      <c r="AD345" s="548"/>
      <c r="AE345" s="548"/>
      <c r="AF345" s="548"/>
      <c r="AG345" s="549"/>
      <c r="AH345" s="518"/>
    </row>
    <row r="346">
      <c r="A346" s="546"/>
      <c r="B346" s="547"/>
      <c r="C346" s="547"/>
      <c r="D346" s="547"/>
      <c r="E346" s="547"/>
      <c r="F346" s="547"/>
      <c r="G346" s="547"/>
      <c r="H346" s="547"/>
      <c r="I346" s="547"/>
      <c r="J346" s="547"/>
      <c r="K346" s="547"/>
      <c r="L346" s="547"/>
      <c r="M346" s="547"/>
      <c r="N346" s="548"/>
      <c r="O346" s="548"/>
      <c r="P346" s="548"/>
      <c r="Q346" s="548"/>
      <c r="R346" s="548"/>
      <c r="S346" s="548"/>
      <c r="T346" s="548"/>
      <c r="U346" s="548"/>
      <c r="V346" s="548"/>
      <c r="W346" s="548"/>
      <c r="X346" s="548"/>
      <c r="Y346" s="548"/>
      <c r="Z346" s="548"/>
      <c r="AA346" s="548"/>
      <c r="AB346" s="548"/>
      <c r="AC346" s="548"/>
      <c r="AD346" s="548"/>
      <c r="AE346" s="548"/>
      <c r="AF346" s="548"/>
      <c r="AG346" s="549"/>
      <c r="AH346" s="518"/>
    </row>
    <row r="347">
      <c r="A347" s="546"/>
      <c r="B347" s="547"/>
      <c r="C347" s="547"/>
      <c r="D347" s="547"/>
      <c r="E347" s="547"/>
      <c r="F347" s="547"/>
      <c r="G347" s="547"/>
      <c r="H347" s="547"/>
      <c r="I347" s="547"/>
      <c r="J347" s="547"/>
      <c r="K347" s="547"/>
      <c r="L347" s="547"/>
      <c r="M347" s="547"/>
      <c r="N347" s="548"/>
      <c r="O347" s="548"/>
      <c r="P347" s="548"/>
      <c r="Q347" s="548"/>
      <c r="R347" s="548"/>
      <c r="S347" s="548"/>
      <c r="T347" s="548"/>
      <c r="U347" s="548"/>
      <c r="V347" s="548"/>
      <c r="W347" s="548"/>
      <c r="X347" s="548"/>
      <c r="Y347" s="548"/>
      <c r="Z347" s="548"/>
      <c r="AA347" s="548"/>
      <c r="AB347" s="548"/>
      <c r="AC347" s="548"/>
      <c r="AD347" s="548"/>
      <c r="AE347" s="548"/>
      <c r="AF347" s="548"/>
      <c r="AG347" s="549"/>
      <c r="AH347" s="518"/>
    </row>
    <row r="348">
      <c r="A348" s="546"/>
      <c r="B348" s="547"/>
      <c r="C348" s="547"/>
      <c r="D348" s="547"/>
      <c r="E348" s="547"/>
      <c r="F348" s="547"/>
      <c r="G348" s="547"/>
      <c r="H348" s="547"/>
      <c r="I348" s="547"/>
      <c r="J348" s="547"/>
      <c r="K348" s="547"/>
      <c r="L348" s="547"/>
      <c r="M348" s="547"/>
      <c r="N348" s="548"/>
      <c r="O348" s="548"/>
      <c r="P348" s="548"/>
      <c r="Q348" s="548"/>
      <c r="R348" s="548"/>
      <c r="S348" s="548"/>
      <c r="T348" s="548"/>
      <c r="U348" s="548"/>
      <c r="V348" s="548"/>
      <c r="W348" s="548"/>
      <c r="X348" s="548"/>
      <c r="Y348" s="548"/>
      <c r="Z348" s="548"/>
      <c r="AA348" s="548"/>
      <c r="AB348" s="548"/>
      <c r="AC348" s="548"/>
      <c r="AD348" s="548"/>
      <c r="AE348" s="548"/>
      <c r="AF348" s="548"/>
      <c r="AG348" s="549"/>
      <c r="AH348" s="518"/>
    </row>
    <row r="349">
      <c r="A349" s="546"/>
      <c r="B349" s="547"/>
      <c r="C349" s="547"/>
      <c r="D349" s="547"/>
      <c r="E349" s="547"/>
      <c r="F349" s="547"/>
      <c r="G349" s="547"/>
      <c r="H349" s="547"/>
      <c r="I349" s="547"/>
      <c r="J349" s="547"/>
      <c r="K349" s="547"/>
      <c r="L349" s="547"/>
      <c r="M349" s="547"/>
      <c r="N349" s="548"/>
      <c r="O349" s="548"/>
      <c r="P349" s="548"/>
      <c r="Q349" s="548"/>
      <c r="R349" s="548"/>
      <c r="S349" s="548"/>
      <c r="T349" s="548"/>
      <c r="U349" s="548"/>
      <c r="V349" s="548"/>
      <c r="W349" s="548"/>
      <c r="X349" s="548"/>
      <c r="Y349" s="548"/>
      <c r="Z349" s="548"/>
      <c r="AA349" s="548"/>
      <c r="AB349" s="548"/>
      <c r="AC349" s="548"/>
      <c r="AD349" s="548"/>
      <c r="AE349" s="548"/>
      <c r="AF349" s="548"/>
      <c r="AG349" s="549"/>
      <c r="AH349" s="518"/>
    </row>
    <row r="350">
      <c r="A350" s="546"/>
      <c r="B350" s="547"/>
      <c r="C350" s="547"/>
      <c r="D350" s="547"/>
      <c r="E350" s="547"/>
      <c r="F350" s="547"/>
      <c r="G350" s="547"/>
      <c r="H350" s="547"/>
      <c r="I350" s="547"/>
      <c r="J350" s="547"/>
      <c r="K350" s="547"/>
      <c r="L350" s="547"/>
      <c r="M350" s="547"/>
      <c r="N350" s="548"/>
      <c r="O350" s="548"/>
      <c r="P350" s="548"/>
      <c r="Q350" s="548"/>
      <c r="R350" s="548"/>
      <c r="S350" s="548"/>
      <c r="T350" s="548"/>
      <c r="U350" s="548"/>
      <c r="V350" s="548"/>
      <c r="W350" s="548"/>
      <c r="X350" s="548"/>
      <c r="Y350" s="548"/>
      <c r="Z350" s="548"/>
      <c r="AA350" s="548"/>
      <c r="AB350" s="548"/>
      <c r="AC350" s="548"/>
      <c r="AD350" s="548"/>
      <c r="AE350" s="548"/>
      <c r="AF350" s="548"/>
      <c r="AG350" s="549"/>
      <c r="AH350" s="518"/>
    </row>
    <row r="351">
      <c r="A351" s="546"/>
      <c r="B351" s="547"/>
      <c r="C351" s="547"/>
      <c r="D351" s="547"/>
      <c r="E351" s="547"/>
      <c r="F351" s="547"/>
      <c r="G351" s="547"/>
      <c r="H351" s="547"/>
      <c r="I351" s="547"/>
      <c r="J351" s="547"/>
      <c r="K351" s="547"/>
      <c r="L351" s="547"/>
      <c r="M351" s="547"/>
      <c r="N351" s="548"/>
      <c r="O351" s="548"/>
      <c r="P351" s="548"/>
      <c r="Q351" s="548"/>
      <c r="R351" s="548"/>
      <c r="S351" s="548"/>
      <c r="T351" s="548"/>
      <c r="U351" s="548"/>
      <c r="V351" s="548"/>
      <c r="W351" s="548"/>
      <c r="X351" s="548"/>
      <c r="Y351" s="548"/>
      <c r="Z351" s="548"/>
      <c r="AA351" s="548"/>
      <c r="AB351" s="548"/>
      <c r="AC351" s="548"/>
      <c r="AD351" s="548"/>
      <c r="AE351" s="548"/>
      <c r="AF351" s="548"/>
      <c r="AG351" s="549"/>
      <c r="AH351" s="518"/>
    </row>
    <row r="352">
      <c r="A352" s="546"/>
      <c r="B352" s="547"/>
      <c r="C352" s="547"/>
      <c r="D352" s="547"/>
      <c r="E352" s="547"/>
      <c r="F352" s="547"/>
      <c r="G352" s="547"/>
      <c r="H352" s="547"/>
      <c r="I352" s="547"/>
      <c r="J352" s="547"/>
      <c r="K352" s="547"/>
      <c r="L352" s="547"/>
      <c r="M352" s="547"/>
      <c r="N352" s="548"/>
      <c r="O352" s="548"/>
      <c r="P352" s="548"/>
      <c r="Q352" s="548"/>
      <c r="R352" s="548"/>
      <c r="S352" s="548"/>
      <c r="T352" s="548"/>
      <c r="U352" s="548"/>
      <c r="V352" s="548"/>
      <c r="W352" s="548"/>
      <c r="X352" s="548"/>
      <c r="Y352" s="548"/>
      <c r="Z352" s="548"/>
      <c r="AA352" s="548"/>
      <c r="AB352" s="548"/>
      <c r="AC352" s="548"/>
      <c r="AD352" s="548"/>
      <c r="AE352" s="548"/>
      <c r="AF352" s="548"/>
      <c r="AG352" s="549"/>
      <c r="AH352" s="518"/>
    </row>
    <row r="353">
      <c r="A353" s="546"/>
      <c r="B353" s="547"/>
      <c r="C353" s="547"/>
      <c r="D353" s="547"/>
      <c r="E353" s="547"/>
      <c r="F353" s="547"/>
      <c r="G353" s="547"/>
      <c r="H353" s="547"/>
      <c r="I353" s="547"/>
      <c r="J353" s="547"/>
      <c r="K353" s="547"/>
      <c r="L353" s="547"/>
      <c r="M353" s="547"/>
      <c r="N353" s="548"/>
      <c r="O353" s="548"/>
      <c r="P353" s="548"/>
      <c r="Q353" s="548"/>
      <c r="R353" s="548"/>
      <c r="S353" s="548"/>
      <c r="T353" s="548"/>
      <c r="U353" s="548"/>
      <c r="V353" s="548"/>
      <c r="W353" s="548"/>
      <c r="X353" s="548"/>
      <c r="Y353" s="548"/>
      <c r="Z353" s="548"/>
      <c r="AA353" s="548"/>
      <c r="AB353" s="548"/>
      <c r="AC353" s="548"/>
      <c r="AD353" s="548"/>
      <c r="AE353" s="548"/>
      <c r="AF353" s="548"/>
      <c r="AG353" s="549"/>
      <c r="AH353" s="518"/>
    </row>
    <row r="354">
      <c r="A354" s="546"/>
      <c r="B354" s="547"/>
      <c r="C354" s="547"/>
      <c r="D354" s="547"/>
      <c r="E354" s="547"/>
      <c r="F354" s="547"/>
      <c r="G354" s="547"/>
      <c r="H354" s="547"/>
      <c r="I354" s="547"/>
      <c r="J354" s="547"/>
      <c r="K354" s="547"/>
      <c r="L354" s="547"/>
      <c r="M354" s="547"/>
      <c r="N354" s="548"/>
      <c r="O354" s="548"/>
      <c r="P354" s="548"/>
      <c r="Q354" s="548"/>
      <c r="R354" s="548"/>
      <c r="S354" s="548"/>
      <c r="T354" s="548"/>
      <c r="U354" s="548"/>
      <c r="V354" s="548"/>
      <c r="W354" s="548"/>
      <c r="X354" s="548"/>
      <c r="Y354" s="548"/>
      <c r="Z354" s="548"/>
      <c r="AA354" s="548"/>
      <c r="AB354" s="548"/>
      <c r="AC354" s="548"/>
      <c r="AD354" s="548"/>
      <c r="AE354" s="548"/>
      <c r="AF354" s="548"/>
      <c r="AG354" s="549"/>
      <c r="AH354" s="518"/>
    </row>
    <row r="355">
      <c r="A355" s="546"/>
      <c r="B355" s="547"/>
      <c r="C355" s="547"/>
      <c r="D355" s="547"/>
      <c r="E355" s="547"/>
      <c r="F355" s="547"/>
      <c r="G355" s="547"/>
      <c r="H355" s="547"/>
      <c r="I355" s="547"/>
      <c r="J355" s="547"/>
      <c r="K355" s="547"/>
      <c r="L355" s="547"/>
      <c r="M355" s="547"/>
      <c r="N355" s="548"/>
      <c r="O355" s="548"/>
      <c r="P355" s="548"/>
      <c r="Q355" s="548"/>
      <c r="R355" s="548"/>
      <c r="S355" s="548"/>
      <c r="T355" s="548"/>
      <c r="U355" s="548"/>
      <c r="V355" s="548"/>
      <c r="W355" s="548"/>
      <c r="X355" s="548"/>
      <c r="Y355" s="548"/>
      <c r="Z355" s="548"/>
      <c r="AA355" s="548"/>
      <c r="AB355" s="548"/>
      <c r="AC355" s="548"/>
      <c r="AD355" s="548"/>
      <c r="AE355" s="548"/>
      <c r="AF355" s="548"/>
      <c r="AG355" s="549"/>
      <c r="AH355" s="518"/>
    </row>
    <row r="356">
      <c r="A356" s="546"/>
      <c r="B356" s="547"/>
      <c r="C356" s="547"/>
      <c r="D356" s="547"/>
      <c r="E356" s="547"/>
      <c r="F356" s="547"/>
      <c r="G356" s="547"/>
      <c r="H356" s="547"/>
      <c r="I356" s="547"/>
      <c r="J356" s="547"/>
      <c r="K356" s="547"/>
      <c r="L356" s="547"/>
      <c r="M356" s="547"/>
      <c r="N356" s="548"/>
      <c r="O356" s="548"/>
      <c r="P356" s="548"/>
      <c r="Q356" s="548"/>
      <c r="R356" s="548"/>
      <c r="S356" s="548"/>
      <c r="T356" s="548"/>
      <c r="U356" s="548"/>
      <c r="V356" s="548"/>
      <c r="W356" s="548"/>
      <c r="X356" s="548"/>
      <c r="Y356" s="548"/>
      <c r="Z356" s="548"/>
      <c r="AA356" s="548"/>
      <c r="AB356" s="548"/>
      <c r="AC356" s="548"/>
      <c r="AD356" s="548"/>
      <c r="AE356" s="548"/>
      <c r="AF356" s="548"/>
      <c r="AG356" s="549"/>
      <c r="AH356" s="518"/>
    </row>
    <row r="357">
      <c r="A357" s="546"/>
      <c r="B357" s="547"/>
      <c r="C357" s="547"/>
      <c r="D357" s="547"/>
      <c r="E357" s="547"/>
      <c r="F357" s="547"/>
      <c r="G357" s="547"/>
      <c r="H357" s="547"/>
      <c r="I357" s="547"/>
      <c r="J357" s="547"/>
      <c r="K357" s="547"/>
      <c r="L357" s="547"/>
      <c r="M357" s="547"/>
      <c r="N357" s="548"/>
      <c r="O357" s="548"/>
      <c r="P357" s="548"/>
      <c r="Q357" s="548"/>
      <c r="R357" s="548"/>
      <c r="S357" s="548"/>
      <c r="T357" s="548"/>
      <c r="U357" s="548"/>
      <c r="V357" s="548"/>
      <c r="W357" s="548"/>
      <c r="X357" s="548"/>
      <c r="Y357" s="548"/>
      <c r="Z357" s="548"/>
      <c r="AA357" s="548"/>
      <c r="AB357" s="548"/>
      <c r="AC357" s="548"/>
      <c r="AD357" s="548"/>
      <c r="AE357" s="548"/>
      <c r="AF357" s="548"/>
      <c r="AG357" s="549"/>
      <c r="AH357" s="518"/>
    </row>
    <row r="358">
      <c r="A358" s="546"/>
      <c r="B358" s="547"/>
      <c r="C358" s="547"/>
      <c r="D358" s="547"/>
      <c r="E358" s="547"/>
      <c r="F358" s="547"/>
      <c r="G358" s="547"/>
      <c r="H358" s="547"/>
      <c r="I358" s="547"/>
      <c r="J358" s="547"/>
      <c r="K358" s="547"/>
      <c r="L358" s="547"/>
      <c r="M358" s="547"/>
      <c r="N358" s="548"/>
      <c r="O358" s="548"/>
      <c r="P358" s="548"/>
      <c r="Q358" s="548"/>
      <c r="R358" s="548"/>
      <c r="S358" s="548"/>
      <c r="T358" s="548"/>
      <c r="U358" s="548"/>
      <c r="V358" s="548"/>
      <c r="W358" s="548"/>
      <c r="X358" s="548"/>
      <c r="Y358" s="548"/>
      <c r="Z358" s="548"/>
      <c r="AA358" s="548"/>
      <c r="AB358" s="548"/>
      <c r="AC358" s="548"/>
      <c r="AD358" s="548"/>
      <c r="AE358" s="548"/>
      <c r="AF358" s="548"/>
      <c r="AG358" s="549"/>
      <c r="AH358" s="518"/>
    </row>
    <row r="359">
      <c r="A359" s="546"/>
      <c r="B359" s="547"/>
      <c r="C359" s="547"/>
      <c r="D359" s="547"/>
      <c r="E359" s="547"/>
      <c r="F359" s="547"/>
      <c r="G359" s="547"/>
      <c r="H359" s="547"/>
      <c r="I359" s="547"/>
      <c r="J359" s="547"/>
      <c r="K359" s="547"/>
      <c r="L359" s="547"/>
      <c r="M359" s="547"/>
      <c r="N359" s="548"/>
      <c r="O359" s="548"/>
      <c r="P359" s="548"/>
      <c r="Q359" s="548"/>
      <c r="R359" s="548"/>
      <c r="S359" s="548"/>
      <c r="T359" s="548"/>
      <c r="U359" s="548"/>
      <c r="V359" s="548"/>
      <c r="W359" s="548"/>
      <c r="X359" s="548"/>
      <c r="Y359" s="548"/>
      <c r="Z359" s="548"/>
      <c r="AA359" s="548"/>
      <c r="AB359" s="548"/>
      <c r="AC359" s="548"/>
      <c r="AD359" s="548"/>
      <c r="AE359" s="548"/>
      <c r="AF359" s="548"/>
      <c r="AG359" s="549"/>
      <c r="AH359" s="518"/>
    </row>
    <row r="360">
      <c r="A360" s="546"/>
      <c r="B360" s="547"/>
      <c r="C360" s="547"/>
      <c r="D360" s="547"/>
      <c r="E360" s="547"/>
      <c r="F360" s="547"/>
      <c r="G360" s="547"/>
      <c r="H360" s="547"/>
      <c r="I360" s="547"/>
      <c r="J360" s="547"/>
      <c r="K360" s="547"/>
      <c r="L360" s="547"/>
      <c r="M360" s="547"/>
      <c r="N360" s="548"/>
      <c r="O360" s="548"/>
      <c r="P360" s="548"/>
      <c r="Q360" s="548"/>
      <c r="R360" s="548"/>
      <c r="S360" s="548"/>
      <c r="T360" s="548"/>
      <c r="U360" s="548"/>
      <c r="V360" s="548"/>
      <c r="W360" s="548"/>
      <c r="X360" s="548"/>
      <c r="Y360" s="548"/>
      <c r="Z360" s="548"/>
      <c r="AA360" s="548"/>
      <c r="AB360" s="548"/>
      <c r="AC360" s="548"/>
      <c r="AD360" s="548"/>
      <c r="AE360" s="548"/>
      <c r="AF360" s="548"/>
      <c r="AG360" s="549"/>
      <c r="AH360" s="518"/>
    </row>
    <row r="361">
      <c r="A361" s="546"/>
      <c r="B361" s="547"/>
      <c r="C361" s="547"/>
      <c r="D361" s="547"/>
      <c r="E361" s="547"/>
      <c r="F361" s="547"/>
      <c r="G361" s="547"/>
      <c r="H361" s="547"/>
      <c r="I361" s="547"/>
      <c r="J361" s="547"/>
      <c r="K361" s="547"/>
      <c r="L361" s="547"/>
      <c r="M361" s="547"/>
      <c r="N361" s="548"/>
      <c r="O361" s="548"/>
      <c r="P361" s="548"/>
      <c r="Q361" s="548"/>
      <c r="R361" s="548"/>
      <c r="S361" s="548"/>
      <c r="T361" s="548"/>
      <c r="U361" s="548"/>
      <c r="V361" s="548"/>
      <c r="W361" s="548"/>
      <c r="X361" s="548"/>
      <c r="Y361" s="548"/>
      <c r="Z361" s="548"/>
      <c r="AA361" s="548"/>
      <c r="AB361" s="548"/>
      <c r="AC361" s="548"/>
      <c r="AD361" s="548"/>
      <c r="AE361" s="548"/>
      <c r="AF361" s="548"/>
      <c r="AG361" s="549"/>
      <c r="AH361" s="518"/>
    </row>
    <row r="362">
      <c r="A362" s="546"/>
      <c r="B362" s="547"/>
      <c r="C362" s="547"/>
      <c r="D362" s="547"/>
      <c r="E362" s="547"/>
      <c r="F362" s="547"/>
      <c r="G362" s="547"/>
      <c r="H362" s="547"/>
      <c r="I362" s="547"/>
      <c r="J362" s="547"/>
      <c r="K362" s="547"/>
      <c r="L362" s="547"/>
      <c r="M362" s="547"/>
      <c r="N362" s="548"/>
      <c r="O362" s="548"/>
      <c r="P362" s="548"/>
      <c r="Q362" s="548"/>
      <c r="R362" s="548"/>
      <c r="S362" s="548"/>
      <c r="T362" s="548"/>
      <c r="U362" s="548"/>
      <c r="V362" s="548"/>
      <c r="W362" s="548"/>
      <c r="X362" s="548"/>
      <c r="Y362" s="548"/>
      <c r="Z362" s="548"/>
      <c r="AA362" s="548"/>
      <c r="AB362" s="548"/>
      <c r="AC362" s="548"/>
      <c r="AD362" s="548"/>
      <c r="AE362" s="548"/>
      <c r="AF362" s="548"/>
      <c r="AG362" s="549"/>
      <c r="AH362" s="518"/>
    </row>
    <row r="363">
      <c r="A363" s="546"/>
      <c r="B363" s="547"/>
      <c r="C363" s="547"/>
      <c r="D363" s="547"/>
      <c r="E363" s="547"/>
      <c r="F363" s="547"/>
      <c r="G363" s="547"/>
      <c r="H363" s="547"/>
      <c r="I363" s="547"/>
      <c r="J363" s="547"/>
      <c r="K363" s="547"/>
      <c r="L363" s="547"/>
      <c r="M363" s="547"/>
      <c r="N363" s="548"/>
      <c r="O363" s="548"/>
      <c r="P363" s="548"/>
      <c r="Q363" s="548"/>
      <c r="R363" s="548"/>
      <c r="S363" s="548"/>
      <c r="T363" s="548"/>
      <c r="U363" s="548"/>
      <c r="V363" s="548"/>
      <c r="W363" s="548"/>
      <c r="X363" s="548"/>
      <c r="Y363" s="548"/>
      <c r="Z363" s="548"/>
      <c r="AA363" s="548"/>
      <c r="AB363" s="548"/>
      <c r="AC363" s="548"/>
      <c r="AD363" s="548"/>
      <c r="AE363" s="548"/>
      <c r="AF363" s="548"/>
      <c r="AG363" s="549"/>
      <c r="AH363" s="518"/>
    </row>
    <row r="364">
      <c r="A364" s="546"/>
      <c r="B364" s="547"/>
      <c r="C364" s="547"/>
      <c r="D364" s="547"/>
      <c r="E364" s="547"/>
      <c r="F364" s="547"/>
      <c r="G364" s="547"/>
      <c r="H364" s="547"/>
      <c r="I364" s="547"/>
      <c r="J364" s="547"/>
      <c r="K364" s="547"/>
      <c r="L364" s="547"/>
      <c r="M364" s="547"/>
      <c r="N364" s="548"/>
      <c r="O364" s="548"/>
      <c r="P364" s="548"/>
      <c r="Q364" s="548"/>
      <c r="R364" s="548"/>
      <c r="S364" s="548"/>
      <c r="T364" s="548"/>
      <c r="U364" s="548"/>
      <c r="V364" s="548"/>
      <c r="W364" s="548"/>
      <c r="X364" s="548"/>
      <c r="Y364" s="548"/>
      <c r="Z364" s="548"/>
      <c r="AA364" s="548"/>
      <c r="AB364" s="548"/>
      <c r="AC364" s="548"/>
      <c r="AD364" s="548"/>
      <c r="AE364" s="548"/>
      <c r="AF364" s="548"/>
      <c r="AG364" s="549"/>
      <c r="AH364" s="518"/>
    </row>
    <row r="365">
      <c r="A365" s="546"/>
      <c r="B365" s="547"/>
      <c r="C365" s="547"/>
      <c r="D365" s="547"/>
      <c r="E365" s="547"/>
      <c r="F365" s="547"/>
      <c r="G365" s="547"/>
      <c r="H365" s="547"/>
      <c r="I365" s="547"/>
      <c r="J365" s="547"/>
      <c r="K365" s="547"/>
      <c r="L365" s="547"/>
      <c r="M365" s="547"/>
      <c r="N365" s="548"/>
      <c r="O365" s="548"/>
      <c r="P365" s="548"/>
      <c r="Q365" s="548"/>
      <c r="R365" s="548"/>
      <c r="S365" s="548"/>
      <c r="T365" s="548"/>
      <c r="U365" s="548"/>
      <c r="V365" s="548"/>
      <c r="W365" s="548"/>
      <c r="X365" s="548"/>
      <c r="Y365" s="548"/>
      <c r="Z365" s="548"/>
      <c r="AA365" s="548"/>
      <c r="AB365" s="548"/>
      <c r="AC365" s="548"/>
      <c r="AD365" s="548"/>
      <c r="AE365" s="548"/>
      <c r="AF365" s="548"/>
      <c r="AG365" s="549"/>
      <c r="AH365" s="518"/>
    </row>
    <row r="366">
      <c r="A366" s="546"/>
      <c r="B366" s="547"/>
      <c r="C366" s="547"/>
      <c r="D366" s="547"/>
      <c r="E366" s="547"/>
      <c r="F366" s="547"/>
      <c r="G366" s="547"/>
      <c r="H366" s="547"/>
      <c r="I366" s="547"/>
      <c r="J366" s="547"/>
      <c r="K366" s="547"/>
      <c r="L366" s="547"/>
      <c r="M366" s="547"/>
      <c r="N366" s="548"/>
      <c r="O366" s="548"/>
      <c r="P366" s="548"/>
      <c r="Q366" s="548"/>
      <c r="R366" s="548"/>
      <c r="S366" s="548"/>
      <c r="T366" s="548"/>
      <c r="U366" s="548"/>
      <c r="V366" s="548"/>
      <c r="W366" s="548"/>
      <c r="X366" s="548"/>
      <c r="Y366" s="548"/>
      <c r="Z366" s="548"/>
      <c r="AA366" s="548"/>
      <c r="AB366" s="548"/>
      <c r="AC366" s="548"/>
      <c r="AD366" s="548"/>
      <c r="AE366" s="548"/>
      <c r="AF366" s="548"/>
      <c r="AG366" s="549"/>
      <c r="AH366" s="518"/>
    </row>
    <row r="367">
      <c r="A367" s="546"/>
      <c r="B367" s="547"/>
      <c r="C367" s="547"/>
      <c r="D367" s="547"/>
      <c r="E367" s="547"/>
      <c r="F367" s="547"/>
      <c r="G367" s="547"/>
      <c r="H367" s="547"/>
      <c r="I367" s="547"/>
      <c r="J367" s="547"/>
      <c r="K367" s="547"/>
      <c r="L367" s="547"/>
      <c r="M367" s="547"/>
      <c r="N367" s="548"/>
      <c r="O367" s="548"/>
      <c r="P367" s="548"/>
      <c r="Q367" s="548"/>
      <c r="R367" s="548"/>
      <c r="S367" s="548"/>
      <c r="T367" s="548"/>
      <c r="U367" s="548"/>
      <c r="V367" s="548"/>
      <c r="W367" s="548"/>
      <c r="X367" s="548"/>
      <c r="Y367" s="548"/>
      <c r="Z367" s="548"/>
      <c r="AA367" s="548"/>
      <c r="AB367" s="548"/>
      <c r="AC367" s="548"/>
      <c r="AD367" s="548"/>
      <c r="AE367" s="548"/>
      <c r="AF367" s="548"/>
      <c r="AG367" s="549"/>
      <c r="AH367" s="518"/>
    </row>
    <row r="368">
      <c r="A368" s="546"/>
      <c r="B368" s="547"/>
      <c r="C368" s="547"/>
      <c r="D368" s="547"/>
      <c r="E368" s="547"/>
      <c r="F368" s="547"/>
      <c r="G368" s="547"/>
      <c r="H368" s="547"/>
      <c r="I368" s="547"/>
      <c r="J368" s="547"/>
      <c r="K368" s="547"/>
      <c r="L368" s="547"/>
      <c r="M368" s="547"/>
      <c r="N368" s="548"/>
      <c r="O368" s="548"/>
      <c r="P368" s="548"/>
      <c r="Q368" s="548"/>
      <c r="R368" s="548"/>
      <c r="S368" s="548"/>
      <c r="T368" s="548"/>
      <c r="U368" s="548"/>
      <c r="V368" s="548"/>
      <c r="W368" s="548"/>
      <c r="X368" s="548"/>
      <c r="Y368" s="548"/>
      <c r="Z368" s="548"/>
      <c r="AA368" s="548"/>
      <c r="AB368" s="548"/>
      <c r="AC368" s="548"/>
      <c r="AD368" s="548"/>
      <c r="AE368" s="548"/>
      <c r="AF368" s="548"/>
      <c r="AG368" s="549"/>
      <c r="AH368" s="518"/>
    </row>
    <row r="369">
      <c r="A369" s="546"/>
      <c r="B369" s="547"/>
      <c r="C369" s="547"/>
      <c r="D369" s="547"/>
      <c r="E369" s="547"/>
      <c r="F369" s="547"/>
      <c r="G369" s="547"/>
      <c r="H369" s="547"/>
      <c r="I369" s="547"/>
      <c r="J369" s="547"/>
      <c r="K369" s="547"/>
      <c r="L369" s="547"/>
      <c r="M369" s="547"/>
      <c r="N369" s="548"/>
      <c r="O369" s="548"/>
      <c r="P369" s="548"/>
      <c r="Q369" s="548"/>
      <c r="R369" s="548"/>
      <c r="S369" s="548"/>
      <c r="T369" s="548"/>
      <c r="U369" s="548"/>
      <c r="V369" s="548"/>
      <c r="W369" s="548"/>
      <c r="X369" s="548"/>
      <c r="Y369" s="548"/>
      <c r="Z369" s="548"/>
      <c r="AA369" s="548"/>
      <c r="AB369" s="548"/>
      <c r="AC369" s="548"/>
      <c r="AD369" s="548"/>
      <c r="AE369" s="548"/>
      <c r="AF369" s="548"/>
      <c r="AG369" s="549"/>
      <c r="AH369" s="518"/>
    </row>
    <row r="370">
      <c r="A370" s="546"/>
      <c r="B370" s="547"/>
      <c r="C370" s="547"/>
      <c r="D370" s="547"/>
      <c r="E370" s="547"/>
      <c r="F370" s="547"/>
      <c r="G370" s="547"/>
      <c r="H370" s="547"/>
      <c r="I370" s="547"/>
      <c r="J370" s="547"/>
      <c r="K370" s="547"/>
      <c r="L370" s="547"/>
      <c r="M370" s="547"/>
      <c r="N370" s="548"/>
      <c r="O370" s="548"/>
      <c r="P370" s="548"/>
      <c r="Q370" s="548"/>
      <c r="R370" s="548"/>
      <c r="S370" s="548"/>
      <c r="T370" s="548"/>
      <c r="U370" s="548"/>
      <c r="V370" s="548"/>
      <c r="W370" s="548"/>
      <c r="X370" s="548"/>
      <c r="Y370" s="548"/>
      <c r="Z370" s="548"/>
      <c r="AA370" s="548"/>
      <c r="AB370" s="548"/>
      <c r="AC370" s="548"/>
      <c r="AD370" s="548"/>
      <c r="AE370" s="548"/>
      <c r="AF370" s="548"/>
      <c r="AG370" s="549"/>
      <c r="AH370" s="518"/>
    </row>
    <row r="371">
      <c r="A371" s="546"/>
      <c r="B371" s="547"/>
      <c r="C371" s="547"/>
      <c r="D371" s="547"/>
      <c r="E371" s="547"/>
      <c r="F371" s="547"/>
      <c r="G371" s="547"/>
      <c r="H371" s="547"/>
      <c r="I371" s="547"/>
      <c r="J371" s="547"/>
      <c r="K371" s="547"/>
      <c r="L371" s="547"/>
      <c r="M371" s="547"/>
      <c r="N371" s="548"/>
      <c r="O371" s="548"/>
      <c r="P371" s="548"/>
      <c r="Q371" s="548"/>
      <c r="R371" s="548"/>
      <c r="S371" s="548"/>
      <c r="T371" s="548"/>
      <c r="U371" s="548"/>
      <c r="V371" s="548"/>
      <c r="W371" s="548"/>
      <c r="X371" s="548"/>
      <c r="Y371" s="548"/>
      <c r="Z371" s="548"/>
      <c r="AA371" s="548"/>
      <c r="AB371" s="548"/>
      <c r="AC371" s="548"/>
      <c r="AD371" s="548"/>
      <c r="AE371" s="548"/>
      <c r="AF371" s="548"/>
      <c r="AG371" s="549"/>
      <c r="AH371" s="518"/>
    </row>
    <row r="372">
      <c r="A372" s="546"/>
      <c r="B372" s="547"/>
      <c r="C372" s="547"/>
      <c r="D372" s="547"/>
      <c r="E372" s="547"/>
      <c r="F372" s="547"/>
      <c r="G372" s="547"/>
      <c r="H372" s="547"/>
      <c r="I372" s="547"/>
      <c r="J372" s="547"/>
      <c r="K372" s="547"/>
      <c r="L372" s="547"/>
      <c r="M372" s="547"/>
      <c r="N372" s="548"/>
      <c r="O372" s="548"/>
      <c r="P372" s="548"/>
      <c r="Q372" s="548"/>
      <c r="R372" s="548"/>
      <c r="S372" s="548"/>
      <c r="T372" s="548"/>
      <c r="U372" s="548"/>
      <c r="V372" s="548"/>
      <c r="W372" s="548"/>
      <c r="X372" s="548"/>
      <c r="Y372" s="548"/>
      <c r="Z372" s="548"/>
      <c r="AA372" s="548"/>
      <c r="AB372" s="548"/>
      <c r="AC372" s="548"/>
      <c r="AD372" s="548"/>
      <c r="AE372" s="548"/>
      <c r="AF372" s="548"/>
      <c r="AG372" s="549"/>
      <c r="AH372" s="518"/>
    </row>
    <row r="373">
      <c r="A373" s="546"/>
      <c r="B373" s="547"/>
      <c r="C373" s="547"/>
      <c r="D373" s="547"/>
      <c r="E373" s="547"/>
      <c r="F373" s="547"/>
      <c r="G373" s="547"/>
      <c r="H373" s="547"/>
      <c r="I373" s="547"/>
      <c r="J373" s="547"/>
      <c r="K373" s="547"/>
      <c r="L373" s="547"/>
      <c r="M373" s="547"/>
      <c r="N373" s="548"/>
      <c r="O373" s="548"/>
      <c r="P373" s="548"/>
      <c r="Q373" s="548"/>
      <c r="R373" s="548"/>
      <c r="S373" s="548"/>
      <c r="T373" s="548"/>
      <c r="U373" s="548"/>
      <c r="V373" s="548"/>
      <c r="W373" s="548"/>
      <c r="X373" s="548"/>
      <c r="Y373" s="548"/>
      <c r="Z373" s="548"/>
      <c r="AA373" s="548"/>
      <c r="AB373" s="548"/>
      <c r="AC373" s="548"/>
      <c r="AD373" s="548"/>
      <c r="AE373" s="548"/>
      <c r="AF373" s="548"/>
      <c r="AG373" s="549"/>
      <c r="AH373" s="518"/>
    </row>
    <row r="374">
      <c r="A374" s="546"/>
      <c r="B374" s="547"/>
      <c r="C374" s="547"/>
      <c r="D374" s="547"/>
      <c r="E374" s="547"/>
      <c r="F374" s="547"/>
      <c r="G374" s="547"/>
      <c r="H374" s="547"/>
      <c r="I374" s="547"/>
      <c r="J374" s="547"/>
      <c r="K374" s="547"/>
      <c r="L374" s="547"/>
      <c r="M374" s="547"/>
      <c r="N374" s="548"/>
      <c r="O374" s="548"/>
      <c r="P374" s="548"/>
      <c r="Q374" s="548"/>
      <c r="R374" s="548"/>
      <c r="S374" s="548"/>
      <c r="T374" s="548"/>
      <c r="U374" s="548"/>
      <c r="V374" s="548"/>
      <c r="W374" s="548"/>
      <c r="X374" s="548"/>
      <c r="Y374" s="548"/>
      <c r="Z374" s="548"/>
      <c r="AA374" s="548"/>
      <c r="AB374" s="548"/>
      <c r="AC374" s="548"/>
      <c r="AD374" s="548"/>
      <c r="AE374" s="548"/>
      <c r="AF374" s="548"/>
      <c r="AG374" s="549"/>
      <c r="AH374" s="518"/>
    </row>
    <row r="375">
      <c r="A375" s="546"/>
      <c r="B375" s="547"/>
      <c r="C375" s="547"/>
      <c r="D375" s="547"/>
      <c r="E375" s="547"/>
      <c r="F375" s="547"/>
      <c r="G375" s="547"/>
      <c r="H375" s="547"/>
      <c r="I375" s="547"/>
      <c r="J375" s="547"/>
      <c r="K375" s="547"/>
      <c r="L375" s="547"/>
      <c r="M375" s="547"/>
      <c r="N375" s="548"/>
      <c r="O375" s="548"/>
      <c r="P375" s="548"/>
      <c r="Q375" s="548"/>
      <c r="R375" s="548"/>
      <c r="S375" s="548"/>
      <c r="T375" s="548"/>
      <c r="U375" s="548"/>
      <c r="V375" s="548"/>
      <c r="W375" s="548"/>
      <c r="X375" s="548"/>
      <c r="Y375" s="548"/>
      <c r="Z375" s="548"/>
      <c r="AA375" s="548"/>
      <c r="AB375" s="548"/>
      <c r="AC375" s="548"/>
      <c r="AD375" s="548"/>
      <c r="AE375" s="548"/>
      <c r="AF375" s="548"/>
      <c r="AG375" s="549"/>
      <c r="AH375" s="518"/>
    </row>
    <row r="376">
      <c r="A376" s="546"/>
      <c r="B376" s="547"/>
      <c r="C376" s="547"/>
      <c r="D376" s="547"/>
      <c r="E376" s="547"/>
      <c r="F376" s="547"/>
      <c r="G376" s="547"/>
      <c r="H376" s="547"/>
      <c r="I376" s="547"/>
      <c r="J376" s="547"/>
      <c r="K376" s="547"/>
      <c r="L376" s="547"/>
      <c r="M376" s="547"/>
      <c r="N376" s="548"/>
      <c r="O376" s="548"/>
      <c r="P376" s="548"/>
      <c r="Q376" s="548"/>
      <c r="R376" s="548"/>
      <c r="S376" s="548"/>
      <c r="T376" s="548"/>
      <c r="U376" s="548"/>
      <c r="V376" s="548"/>
      <c r="W376" s="548"/>
      <c r="X376" s="548"/>
      <c r="Y376" s="548"/>
      <c r="Z376" s="548"/>
      <c r="AA376" s="548"/>
      <c r="AB376" s="548"/>
      <c r="AC376" s="548"/>
      <c r="AD376" s="548"/>
      <c r="AE376" s="548"/>
      <c r="AF376" s="548"/>
      <c r="AG376" s="549"/>
      <c r="AH376" s="518"/>
    </row>
    <row r="377">
      <c r="A377" s="546"/>
      <c r="B377" s="547"/>
      <c r="C377" s="547"/>
      <c r="D377" s="547"/>
      <c r="E377" s="547"/>
      <c r="F377" s="547"/>
      <c r="G377" s="547"/>
      <c r="H377" s="547"/>
      <c r="I377" s="547"/>
      <c r="J377" s="547"/>
      <c r="K377" s="547"/>
      <c r="L377" s="547"/>
      <c r="M377" s="547"/>
      <c r="N377" s="548"/>
      <c r="O377" s="548"/>
      <c r="P377" s="548"/>
      <c r="Q377" s="548"/>
      <c r="R377" s="548"/>
      <c r="S377" s="548"/>
      <c r="T377" s="548"/>
      <c r="U377" s="548"/>
      <c r="V377" s="548"/>
      <c r="W377" s="548"/>
      <c r="X377" s="548"/>
      <c r="Y377" s="548"/>
      <c r="Z377" s="548"/>
      <c r="AA377" s="548"/>
      <c r="AB377" s="548"/>
      <c r="AC377" s="548"/>
      <c r="AD377" s="548"/>
      <c r="AE377" s="548"/>
      <c r="AF377" s="548"/>
      <c r="AG377" s="549"/>
      <c r="AH377" s="518"/>
    </row>
    <row r="378">
      <c r="A378" s="546"/>
      <c r="B378" s="547"/>
      <c r="C378" s="547"/>
      <c r="D378" s="547"/>
      <c r="E378" s="547"/>
      <c r="F378" s="547"/>
      <c r="G378" s="547"/>
      <c r="H378" s="547"/>
      <c r="I378" s="547"/>
      <c r="J378" s="547"/>
      <c r="K378" s="547"/>
      <c r="L378" s="547"/>
      <c r="M378" s="547"/>
      <c r="N378" s="548"/>
      <c r="O378" s="548"/>
      <c r="P378" s="548"/>
      <c r="Q378" s="548"/>
      <c r="R378" s="548"/>
      <c r="S378" s="548"/>
      <c r="T378" s="548"/>
      <c r="U378" s="548"/>
      <c r="V378" s="548"/>
      <c r="W378" s="548"/>
      <c r="X378" s="548"/>
      <c r="Y378" s="548"/>
      <c r="Z378" s="548"/>
      <c r="AA378" s="548"/>
      <c r="AB378" s="548"/>
      <c r="AC378" s="548"/>
      <c r="AD378" s="548"/>
      <c r="AE378" s="548"/>
      <c r="AF378" s="548"/>
      <c r="AG378" s="549"/>
      <c r="AH378" s="518"/>
    </row>
    <row r="379">
      <c r="A379" s="546"/>
      <c r="B379" s="547"/>
      <c r="C379" s="547"/>
      <c r="D379" s="547"/>
      <c r="E379" s="547"/>
      <c r="F379" s="547"/>
      <c r="G379" s="547"/>
      <c r="H379" s="547"/>
      <c r="I379" s="547"/>
      <c r="J379" s="547"/>
      <c r="K379" s="547"/>
      <c r="L379" s="547"/>
      <c r="M379" s="547"/>
      <c r="N379" s="548"/>
      <c r="O379" s="548"/>
      <c r="P379" s="548"/>
      <c r="Q379" s="548"/>
      <c r="R379" s="548"/>
      <c r="S379" s="548"/>
      <c r="T379" s="548"/>
      <c r="U379" s="548"/>
      <c r="V379" s="548"/>
      <c r="W379" s="548"/>
      <c r="X379" s="548"/>
      <c r="Y379" s="548"/>
      <c r="Z379" s="548"/>
      <c r="AA379" s="548"/>
      <c r="AB379" s="548"/>
      <c r="AC379" s="548"/>
      <c r="AD379" s="548"/>
      <c r="AE379" s="548"/>
      <c r="AF379" s="548"/>
      <c r="AG379" s="549"/>
      <c r="AH379" s="518"/>
    </row>
    <row r="380">
      <c r="A380" s="546"/>
      <c r="B380" s="547"/>
      <c r="C380" s="547"/>
      <c r="D380" s="547"/>
      <c r="E380" s="547"/>
      <c r="F380" s="547"/>
      <c r="G380" s="547"/>
      <c r="H380" s="547"/>
      <c r="I380" s="547"/>
      <c r="J380" s="547"/>
      <c r="K380" s="547"/>
      <c r="L380" s="547"/>
      <c r="M380" s="547"/>
      <c r="N380" s="548"/>
      <c r="O380" s="548"/>
      <c r="P380" s="548"/>
      <c r="Q380" s="548"/>
      <c r="R380" s="548"/>
      <c r="S380" s="548"/>
      <c r="T380" s="548"/>
      <c r="U380" s="548"/>
      <c r="V380" s="548"/>
      <c r="W380" s="548"/>
      <c r="X380" s="548"/>
      <c r="Y380" s="548"/>
      <c r="Z380" s="548"/>
      <c r="AA380" s="548"/>
      <c r="AB380" s="548"/>
      <c r="AC380" s="548"/>
      <c r="AD380" s="548"/>
      <c r="AE380" s="548"/>
      <c r="AF380" s="548"/>
      <c r="AG380" s="549"/>
      <c r="AH380" s="518"/>
    </row>
    <row r="381">
      <c r="A381" s="546"/>
      <c r="B381" s="547"/>
      <c r="C381" s="547"/>
      <c r="D381" s="547"/>
      <c r="E381" s="547"/>
      <c r="F381" s="547"/>
      <c r="G381" s="547"/>
      <c r="H381" s="547"/>
      <c r="I381" s="547"/>
      <c r="J381" s="547"/>
      <c r="K381" s="547"/>
      <c r="L381" s="547"/>
      <c r="M381" s="547"/>
      <c r="N381" s="548"/>
      <c r="O381" s="548"/>
      <c r="P381" s="548"/>
      <c r="Q381" s="548"/>
      <c r="R381" s="548"/>
      <c r="S381" s="548"/>
      <c r="T381" s="548"/>
      <c r="U381" s="548"/>
      <c r="V381" s="548"/>
      <c r="W381" s="548"/>
      <c r="X381" s="548"/>
      <c r="Y381" s="548"/>
      <c r="Z381" s="548"/>
      <c r="AA381" s="548"/>
      <c r="AB381" s="548"/>
      <c r="AC381" s="548"/>
      <c r="AD381" s="548"/>
      <c r="AE381" s="548"/>
      <c r="AF381" s="548"/>
      <c r="AG381" s="549"/>
      <c r="AH381" s="518"/>
    </row>
    <row r="382">
      <c r="A382" s="546"/>
      <c r="B382" s="547"/>
      <c r="C382" s="547"/>
      <c r="D382" s="547"/>
      <c r="E382" s="547"/>
      <c r="F382" s="547"/>
      <c r="G382" s="547"/>
      <c r="H382" s="547"/>
      <c r="I382" s="547"/>
      <c r="J382" s="547"/>
      <c r="K382" s="547"/>
      <c r="L382" s="547"/>
      <c r="M382" s="547"/>
      <c r="N382" s="548"/>
      <c r="O382" s="548"/>
      <c r="P382" s="548"/>
      <c r="Q382" s="548"/>
      <c r="R382" s="548"/>
      <c r="S382" s="548"/>
      <c r="T382" s="548"/>
      <c r="U382" s="548"/>
      <c r="V382" s="548"/>
      <c r="W382" s="548"/>
      <c r="X382" s="548"/>
      <c r="Y382" s="548"/>
      <c r="Z382" s="548"/>
      <c r="AA382" s="548"/>
      <c r="AB382" s="548"/>
      <c r="AC382" s="548"/>
      <c r="AD382" s="548"/>
      <c r="AE382" s="548"/>
      <c r="AF382" s="548"/>
      <c r="AG382" s="549"/>
      <c r="AH382" s="518"/>
    </row>
    <row r="383">
      <c r="A383" s="546"/>
      <c r="B383" s="547"/>
      <c r="C383" s="547"/>
      <c r="D383" s="547"/>
      <c r="E383" s="547"/>
      <c r="F383" s="547"/>
      <c r="G383" s="547"/>
      <c r="H383" s="547"/>
      <c r="I383" s="547"/>
      <c r="J383" s="547"/>
      <c r="K383" s="547"/>
      <c r="L383" s="547"/>
      <c r="M383" s="547"/>
      <c r="N383" s="548"/>
      <c r="O383" s="548"/>
      <c r="P383" s="548"/>
      <c r="Q383" s="548"/>
      <c r="R383" s="548"/>
      <c r="S383" s="548"/>
      <c r="T383" s="548"/>
      <c r="U383" s="548"/>
      <c r="V383" s="548"/>
      <c r="W383" s="548"/>
      <c r="X383" s="548"/>
      <c r="Y383" s="548"/>
      <c r="Z383" s="548"/>
      <c r="AA383" s="548"/>
      <c r="AB383" s="548"/>
      <c r="AC383" s="548"/>
      <c r="AD383" s="548"/>
      <c r="AE383" s="548"/>
      <c r="AF383" s="548"/>
      <c r="AG383" s="549"/>
      <c r="AH383" s="518"/>
    </row>
    <row r="384">
      <c r="A384" s="546"/>
      <c r="B384" s="547"/>
      <c r="C384" s="547"/>
      <c r="D384" s="547"/>
      <c r="E384" s="547"/>
      <c r="F384" s="547"/>
      <c r="G384" s="547"/>
      <c r="H384" s="547"/>
      <c r="I384" s="547"/>
      <c r="J384" s="547"/>
      <c r="K384" s="547"/>
      <c r="L384" s="547"/>
      <c r="M384" s="547"/>
      <c r="N384" s="548"/>
      <c r="O384" s="548"/>
      <c r="P384" s="548"/>
      <c r="Q384" s="548"/>
      <c r="R384" s="548"/>
      <c r="S384" s="548"/>
      <c r="T384" s="548"/>
      <c r="U384" s="548"/>
      <c r="V384" s="548"/>
      <c r="W384" s="548"/>
      <c r="X384" s="548"/>
      <c r="Y384" s="548"/>
      <c r="Z384" s="548"/>
      <c r="AA384" s="548"/>
      <c r="AB384" s="548"/>
      <c r="AC384" s="548"/>
      <c r="AD384" s="548"/>
      <c r="AE384" s="548"/>
      <c r="AF384" s="548"/>
      <c r="AG384" s="549"/>
      <c r="AH384" s="518"/>
    </row>
    <row r="385">
      <c r="A385" s="546"/>
      <c r="B385" s="547"/>
      <c r="C385" s="547"/>
      <c r="D385" s="547"/>
      <c r="E385" s="547"/>
      <c r="F385" s="547"/>
      <c r="G385" s="547"/>
      <c r="H385" s="547"/>
      <c r="I385" s="547"/>
      <c r="J385" s="547"/>
      <c r="K385" s="547"/>
      <c r="L385" s="547"/>
      <c r="M385" s="547"/>
      <c r="N385" s="548"/>
      <c r="O385" s="548"/>
      <c r="P385" s="548"/>
      <c r="Q385" s="548"/>
      <c r="R385" s="548"/>
      <c r="S385" s="548"/>
      <c r="T385" s="548"/>
      <c r="U385" s="548"/>
      <c r="V385" s="548"/>
      <c r="W385" s="548"/>
      <c r="X385" s="548"/>
      <c r="Y385" s="548"/>
      <c r="Z385" s="548"/>
      <c r="AA385" s="548"/>
      <c r="AB385" s="548"/>
      <c r="AC385" s="548"/>
      <c r="AD385" s="548"/>
      <c r="AE385" s="548"/>
      <c r="AF385" s="548"/>
      <c r="AG385" s="549"/>
      <c r="AH385" s="518"/>
    </row>
    <row r="386">
      <c r="A386" s="546"/>
      <c r="B386" s="547"/>
      <c r="C386" s="547"/>
      <c r="D386" s="547"/>
      <c r="E386" s="547"/>
      <c r="F386" s="547"/>
      <c r="G386" s="547"/>
      <c r="H386" s="547"/>
      <c r="I386" s="547"/>
      <c r="J386" s="547"/>
      <c r="K386" s="547"/>
      <c r="L386" s="547"/>
      <c r="M386" s="547"/>
      <c r="N386" s="548"/>
      <c r="O386" s="548"/>
      <c r="P386" s="548"/>
      <c r="Q386" s="548"/>
      <c r="R386" s="548"/>
      <c r="S386" s="548"/>
      <c r="T386" s="548"/>
      <c r="U386" s="548"/>
      <c r="V386" s="548"/>
      <c r="W386" s="548"/>
      <c r="X386" s="548"/>
      <c r="Y386" s="548"/>
      <c r="Z386" s="548"/>
      <c r="AA386" s="548"/>
      <c r="AB386" s="548"/>
      <c r="AC386" s="548"/>
      <c r="AD386" s="548"/>
      <c r="AE386" s="548"/>
      <c r="AF386" s="548"/>
      <c r="AG386" s="549"/>
      <c r="AH386" s="518"/>
    </row>
    <row r="387">
      <c r="A387" s="546"/>
      <c r="B387" s="547"/>
      <c r="C387" s="547"/>
      <c r="D387" s="547"/>
      <c r="E387" s="547"/>
      <c r="F387" s="547"/>
      <c r="G387" s="547"/>
      <c r="H387" s="547"/>
      <c r="I387" s="547"/>
      <c r="J387" s="547"/>
      <c r="K387" s="547"/>
      <c r="L387" s="547"/>
      <c r="M387" s="547"/>
      <c r="N387" s="548"/>
      <c r="O387" s="548"/>
      <c r="P387" s="548"/>
      <c r="Q387" s="548"/>
      <c r="R387" s="548"/>
      <c r="S387" s="548"/>
      <c r="T387" s="548"/>
      <c r="U387" s="548"/>
      <c r="V387" s="548"/>
      <c r="W387" s="548"/>
      <c r="X387" s="548"/>
      <c r="Y387" s="548"/>
      <c r="Z387" s="548"/>
      <c r="AA387" s="548"/>
      <c r="AB387" s="548"/>
      <c r="AC387" s="548"/>
      <c r="AD387" s="548"/>
      <c r="AE387" s="548"/>
      <c r="AF387" s="548"/>
      <c r="AG387" s="549"/>
      <c r="AH387" s="518"/>
    </row>
    <row r="388">
      <c r="A388" s="546"/>
      <c r="B388" s="547"/>
      <c r="C388" s="547"/>
      <c r="D388" s="547"/>
      <c r="E388" s="547"/>
      <c r="F388" s="547"/>
      <c r="G388" s="547"/>
      <c r="H388" s="547"/>
      <c r="I388" s="547"/>
      <c r="J388" s="547"/>
      <c r="K388" s="547"/>
      <c r="L388" s="547"/>
      <c r="M388" s="547"/>
      <c r="N388" s="548"/>
      <c r="O388" s="548"/>
      <c r="P388" s="548"/>
      <c r="Q388" s="548"/>
      <c r="R388" s="548"/>
      <c r="S388" s="548"/>
      <c r="T388" s="548"/>
      <c r="U388" s="548"/>
      <c r="V388" s="548"/>
      <c r="W388" s="548"/>
      <c r="X388" s="548"/>
      <c r="Y388" s="548"/>
      <c r="Z388" s="548"/>
      <c r="AA388" s="548"/>
      <c r="AB388" s="548"/>
      <c r="AC388" s="548"/>
      <c r="AD388" s="548"/>
      <c r="AE388" s="548"/>
      <c r="AF388" s="548"/>
      <c r="AG388" s="549"/>
      <c r="AH388" s="518"/>
    </row>
    <row r="389">
      <c r="A389" s="546"/>
      <c r="B389" s="547"/>
      <c r="C389" s="547"/>
      <c r="D389" s="547"/>
      <c r="E389" s="547"/>
      <c r="F389" s="547"/>
      <c r="G389" s="547"/>
      <c r="H389" s="547"/>
      <c r="I389" s="547"/>
      <c r="J389" s="547"/>
      <c r="K389" s="547"/>
      <c r="L389" s="547"/>
      <c r="M389" s="547"/>
      <c r="N389" s="548"/>
      <c r="O389" s="548"/>
      <c r="P389" s="548"/>
      <c r="Q389" s="548"/>
      <c r="R389" s="548"/>
      <c r="S389" s="548"/>
      <c r="T389" s="548"/>
      <c r="U389" s="548"/>
      <c r="V389" s="548"/>
      <c r="W389" s="548"/>
      <c r="X389" s="548"/>
      <c r="Y389" s="548"/>
      <c r="Z389" s="548"/>
      <c r="AA389" s="548"/>
      <c r="AB389" s="548"/>
      <c r="AC389" s="548"/>
      <c r="AD389" s="548"/>
      <c r="AE389" s="548"/>
      <c r="AF389" s="548"/>
      <c r="AG389" s="549"/>
      <c r="AH389" s="518"/>
    </row>
    <row r="390">
      <c r="A390" s="546"/>
      <c r="B390" s="547"/>
      <c r="C390" s="547"/>
      <c r="D390" s="547"/>
      <c r="E390" s="547"/>
      <c r="F390" s="547"/>
      <c r="G390" s="547"/>
      <c r="H390" s="547"/>
      <c r="I390" s="547"/>
      <c r="J390" s="547"/>
      <c r="K390" s="547"/>
      <c r="L390" s="547"/>
      <c r="M390" s="547"/>
      <c r="N390" s="548"/>
      <c r="O390" s="548"/>
      <c r="P390" s="548"/>
      <c r="Q390" s="548"/>
      <c r="R390" s="548"/>
      <c r="S390" s="548"/>
      <c r="T390" s="548"/>
      <c r="U390" s="548"/>
      <c r="V390" s="548"/>
      <c r="W390" s="548"/>
      <c r="X390" s="548"/>
      <c r="Y390" s="548"/>
      <c r="Z390" s="548"/>
      <c r="AA390" s="548"/>
      <c r="AB390" s="548"/>
      <c r="AC390" s="548"/>
      <c r="AD390" s="548"/>
      <c r="AE390" s="548"/>
      <c r="AF390" s="548"/>
      <c r="AG390" s="549"/>
      <c r="AH390" s="518"/>
    </row>
    <row r="391">
      <c r="A391" s="546"/>
      <c r="B391" s="547"/>
      <c r="C391" s="547"/>
      <c r="D391" s="547"/>
      <c r="E391" s="547"/>
      <c r="F391" s="547"/>
      <c r="G391" s="547"/>
      <c r="H391" s="547"/>
      <c r="I391" s="547"/>
      <c r="J391" s="547"/>
      <c r="K391" s="547"/>
      <c r="L391" s="547"/>
      <c r="M391" s="547"/>
      <c r="N391" s="548"/>
      <c r="O391" s="548"/>
      <c r="P391" s="548"/>
      <c r="Q391" s="548"/>
      <c r="R391" s="548"/>
      <c r="S391" s="548"/>
      <c r="T391" s="548"/>
      <c r="U391" s="548"/>
      <c r="V391" s="548"/>
      <c r="W391" s="548"/>
      <c r="X391" s="548"/>
      <c r="Y391" s="548"/>
      <c r="Z391" s="548"/>
      <c r="AA391" s="548"/>
      <c r="AB391" s="548"/>
      <c r="AC391" s="548"/>
      <c r="AD391" s="548"/>
      <c r="AE391" s="548"/>
      <c r="AF391" s="548"/>
      <c r="AG391" s="549"/>
      <c r="AH391" s="518"/>
    </row>
    <row r="392">
      <c r="A392" s="546"/>
      <c r="B392" s="547"/>
      <c r="C392" s="547"/>
      <c r="D392" s="547"/>
      <c r="E392" s="547"/>
      <c r="F392" s="547"/>
      <c r="G392" s="547"/>
      <c r="H392" s="547"/>
      <c r="I392" s="547"/>
      <c r="J392" s="547"/>
      <c r="K392" s="547"/>
      <c r="L392" s="547"/>
      <c r="M392" s="547"/>
      <c r="N392" s="548"/>
      <c r="O392" s="548"/>
      <c r="P392" s="548"/>
      <c r="Q392" s="548"/>
      <c r="R392" s="548"/>
      <c r="S392" s="548"/>
      <c r="T392" s="548"/>
      <c r="U392" s="548"/>
      <c r="V392" s="548"/>
      <c r="W392" s="548"/>
      <c r="X392" s="548"/>
      <c r="Y392" s="548"/>
      <c r="Z392" s="548"/>
      <c r="AA392" s="548"/>
      <c r="AB392" s="548"/>
      <c r="AC392" s="548"/>
      <c r="AD392" s="548"/>
      <c r="AE392" s="548"/>
      <c r="AF392" s="548"/>
      <c r="AG392" s="549"/>
      <c r="AH392" s="518"/>
    </row>
    <row r="393">
      <c r="A393" s="546"/>
      <c r="B393" s="547"/>
      <c r="C393" s="547"/>
      <c r="D393" s="547"/>
      <c r="E393" s="547"/>
      <c r="F393" s="547"/>
      <c r="G393" s="547"/>
      <c r="H393" s="547"/>
      <c r="I393" s="547"/>
      <c r="J393" s="547"/>
      <c r="K393" s="547"/>
      <c r="L393" s="547"/>
      <c r="M393" s="547"/>
      <c r="N393" s="548"/>
      <c r="O393" s="548"/>
      <c r="P393" s="548"/>
      <c r="Q393" s="548"/>
      <c r="R393" s="548"/>
      <c r="S393" s="548"/>
      <c r="T393" s="548"/>
      <c r="U393" s="548"/>
      <c r="V393" s="548"/>
      <c r="W393" s="548"/>
      <c r="X393" s="548"/>
      <c r="Y393" s="548"/>
      <c r="Z393" s="548"/>
      <c r="AA393" s="548"/>
      <c r="AB393" s="548"/>
      <c r="AC393" s="548"/>
      <c r="AD393" s="548"/>
      <c r="AE393" s="548"/>
      <c r="AF393" s="548"/>
      <c r="AG393" s="549"/>
      <c r="AH393" s="518"/>
    </row>
    <row r="394">
      <c r="A394" s="546"/>
      <c r="B394" s="547"/>
      <c r="C394" s="547"/>
      <c r="D394" s="547"/>
      <c r="E394" s="547"/>
      <c r="F394" s="547"/>
      <c r="G394" s="547"/>
      <c r="H394" s="547"/>
      <c r="I394" s="547"/>
      <c r="J394" s="547"/>
      <c r="K394" s="547"/>
      <c r="L394" s="547"/>
      <c r="M394" s="547"/>
      <c r="N394" s="548"/>
      <c r="O394" s="548"/>
      <c r="P394" s="548"/>
      <c r="Q394" s="548"/>
      <c r="R394" s="548"/>
      <c r="S394" s="548"/>
      <c r="T394" s="548"/>
      <c r="U394" s="548"/>
      <c r="V394" s="548"/>
      <c r="W394" s="548"/>
      <c r="X394" s="548"/>
      <c r="Y394" s="548"/>
      <c r="Z394" s="548"/>
      <c r="AA394" s="548"/>
      <c r="AB394" s="548"/>
      <c r="AC394" s="548"/>
      <c r="AD394" s="548"/>
      <c r="AE394" s="548"/>
      <c r="AF394" s="548"/>
      <c r="AG394" s="549"/>
      <c r="AH394" s="518"/>
    </row>
    <row r="395">
      <c r="A395" s="546"/>
      <c r="B395" s="547"/>
      <c r="C395" s="547"/>
      <c r="D395" s="547"/>
      <c r="E395" s="547"/>
      <c r="F395" s="547"/>
      <c r="G395" s="547"/>
      <c r="H395" s="547"/>
      <c r="I395" s="547"/>
      <c r="J395" s="547"/>
      <c r="K395" s="547"/>
      <c r="L395" s="547"/>
      <c r="M395" s="547"/>
      <c r="N395" s="548"/>
      <c r="O395" s="548"/>
      <c r="P395" s="548"/>
      <c r="Q395" s="548"/>
      <c r="R395" s="548"/>
      <c r="S395" s="548"/>
      <c r="T395" s="548"/>
      <c r="U395" s="548"/>
      <c r="V395" s="548"/>
      <c r="W395" s="548"/>
      <c r="X395" s="548"/>
      <c r="Y395" s="548"/>
      <c r="Z395" s="548"/>
      <c r="AA395" s="548"/>
      <c r="AB395" s="548"/>
      <c r="AC395" s="548"/>
      <c r="AD395" s="548"/>
      <c r="AE395" s="548"/>
      <c r="AF395" s="548"/>
      <c r="AG395" s="549"/>
      <c r="AH395" s="518"/>
    </row>
    <row r="396">
      <c r="A396" s="546"/>
      <c r="B396" s="547"/>
      <c r="C396" s="547"/>
      <c r="D396" s="547"/>
      <c r="E396" s="547"/>
      <c r="F396" s="547"/>
      <c r="G396" s="547"/>
      <c r="H396" s="547"/>
      <c r="I396" s="547"/>
      <c r="J396" s="547"/>
      <c r="K396" s="547"/>
      <c r="L396" s="547"/>
      <c r="M396" s="547"/>
      <c r="N396" s="548"/>
      <c r="O396" s="548"/>
      <c r="P396" s="548"/>
      <c r="Q396" s="548"/>
      <c r="R396" s="548"/>
      <c r="S396" s="548"/>
      <c r="T396" s="548"/>
      <c r="U396" s="548"/>
      <c r="V396" s="548"/>
      <c r="W396" s="548"/>
      <c r="X396" s="548"/>
      <c r="Y396" s="548"/>
      <c r="Z396" s="548"/>
      <c r="AA396" s="548"/>
      <c r="AB396" s="548"/>
      <c r="AC396" s="548"/>
      <c r="AD396" s="548"/>
      <c r="AE396" s="548"/>
      <c r="AF396" s="548"/>
      <c r="AG396" s="549"/>
      <c r="AH396" s="518"/>
    </row>
    <row r="397">
      <c r="A397" s="546"/>
      <c r="B397" s="547"/>
      <c r="C397" s="547"/>
      <c r="D397" s="547"/>
      <c r="E397" s="547"/>
      <c r="F397" s="547"/>
      <c r="G397" s="547"/>
      <c r="H397" s="547"/>
      <c r="I397" s="547"/>
      <c r="J397" s="547"/>
      <c r="K397" s="547"/>
      <c r="L397" s="547"/>
      <c r="M397" s="547"/>
      <c r="N397" s="548"/>
      <c r="O397" s="548"/>
      <c r="P397" s="548"/>
      <c r="Q397" s="548"/>
      <c r="R397" s="548"/>
      <c r="S397" s="548"/>
      <c r="T397" s="548"/>
      <c r="U397" s="548"/>
      <c r="V397" s="548"/>
      <c r="W397" s="548"/>
      <c r="X397" s="548"/>
      <c r="Y397" s="548"/>
      <c r="Z397" s="548"/>
      <c r="AA397" s="548"/>
      <c r="AB397" s="548"/>
      <c r="AC397" s="548"/>
      <c r="AD397" s="548"/>
      <c r="AE397" s="548"/>
      <c r="AF397" s="548"/>
      <c r="AG397" s="549"/>
      <c r="AH397" s="518"/>
    </row>
    <row r="398">
      <c r="A398" s="546"/>
      <c r="B398" s="547"/>
      <c r="C398" s="547"/>
      <c r="D398" s="547"/>
      <c r="E398" s="547"/>
      <c r="F398" s="547"/>
      <c r="G398" s="547"/>
      <c r="H398" s="547"/>
      <c r="I398" s="547"/>
      <c r="J398" s="547"/>
      <c r="K398" s="547"/>
      <c r="L398" s="547"/>
      <c r="M398" s="547"/>
      <c r="N398" s="548"/>
      <c r="O398" s="548"/>
      <c r="P398" s="548"/>
      <c r="Q398" s="548"/>
      <c r="R398" s="548"/>
      <c r="S398" s="548"/>
      <c r="T398" s="548"/>
      <c r="U398" s="548"/>
      <c r="V398" s="548"/>
      <c r="W398" s="548"/>
      <c r="X398" s="548"/>
      <c r="Y398" s="548"/>
      <c r="Z398" s="548"/>
      <c r="AA398" s="548"/>
      <c r="AB398" s="548"/>
      <c r="AC398" s="548"/>
      <c r="AD398" s="548"/>
      <c r="AE398" s="548"/>
      <c r="AF398" s="548"/>
      <c r="AG398" s="549"/>
      <c r="AH398" s="518"/>
    </row>
    <row r="399">
      <c r="A399" s="546"/>
      <c r="B399" s="547"/>
      <c r="C399" s="547"/>
      <c r="D399" s="547"/>
      <c r="E399" s="547"/>
      <c r="F399" s="547"/>
      <c r="G399" s="547"/>
      <c r="H399" s="547"/>
      <c r="I399" s="547"/>
      <c r="J399" s="547"/>
      <c r="K399" s="547"/>
      <c r="L399" s="547"/>
      <c r="M399" s="547"/>
      <c r="N399" s="548"/>
      <c r="O399" s="548"/>
      <c r="P399" s="548"/>
      <c r="Q399" s="548"/>
      <c r="R399" s="548"/>
      <c r="S399" s="548"/>
      <c r="T399" s="548"/>
      <c r="U399" s="548"/>
      <c r="V399" s="548"/>
      <c r="W399" s="548"/>
      <c r="X399" s="548"/>
      <c r="Y399" s="548"/>
      <c r="Z399" s="548"/>
      <c r="AA399" s="548"/>
      <c r="AB399" s="548"/>
      <c r="AC399" s="548"/>
      <c r="AD399" s="548"/>
      <c r="AE399" s="548"/>
      <c r="AF399" s="548"/>
      <c r="AG399" s="549"/>
      <c r="AH399" s="518"/>
    </row>
    <row r="400">
      <c r="A400" s="546"/>
      <c r="B400" s="547"/>
      <c r="C400" s="547"/>
      <c r="D400" s="547"/>
      <c r="E400" s="547"/>
      <c r="F400" s="547"/>
      <c r="G400" s="547"/>
      <c r="H400" s="547"/>
      <c r="I400" s="547"/>
      <c r="J400" s="547"/>
      <c r="K400" s="547"/>
      <c r="L400" s="547"/>
      <c r="M400" s="547"/>
      <c r="N400" s="548"/>
      <c r="O400" s="548"/>
      <c r="P400" s="548"/>
      <c r="Q400" s="548"/>
      <c r="R400" s="548"/>
      <c r="S400" s="548"/>
      <c r="T400" s="548"/>
      <c r="U400" s="548"/>
      <c r="V400" s="548"/>
      <c r="W400" s="548"/>
      <c r="X400" s="548"/>
      <c r="Y400" s="548"/>
      <c r="Z400" s="548"/>
      <c r="AA400" s="548"/>
      <c r="AB400" s="548"/>
      <c r="AC400" s="548"/>
      <c r="AD400" s="548"/>
      <c r="AE400" s="548"/>
      <c r="AF400" s="548"/>
      <c r="AG400" s="549"/>
      <c r="AH400" s="518"/>
    </row>
    <row r="401">
      <c r="A401" s="546"/>
      <c r="B401" s="547"/>
      <c r="C401" s="547"/>
      <c r="D401" s="547"/>
      <c r="E401" s="547"/>
      <c r="F401" s="547"/>
      <c r="G401" s="547"/>
      <c r="H401" s="547"/>
      <c r="I401" s="547"/>
      <c r="J401" s="547"/>
      <c r="K401" s="547"/>
      <c r="L401" s="547"/>
      <c r="M401" s="547"/>
      <c r="N401" s="548"/>
      <c r="O401" s="548"/>
      <c r="P401" s="548"/>
      <c r="Q401" s="548"/>
      <c r="R401" s="548"/>
      <c r="S401" s="548"/>
      <c r="T401" s="548"/>
      <c r="U401" s="548"/>
      <c r="V401" s="548"/>
      <c r="W401" s="548"/>
      <c r="X401" s="548"/>
      <c r="Y401" s="548"/>
      <c r="Z401" s="548"/>
      <c r="AA401" s="548"/>
      <c r="AB401" s="548"/>
      <c r="AC401" s="548"/>
      <c r="AD401" s="548"/>
      <c r="AE401" s="548"/>
      <c r="AF401" s="548"/>
      <c r="AG401" s="549"/>
      <c r="AH401" s="518"/>
    </row>
    <row r="402">
      <c r="A402" s="546"/>
      <c r="B402" s="547"/>
      <c r="C402" s="547"/>
      <c r="D402" s="547"/>
      <c r="E402" s="547"/>
      <c r="F402" s="547"/>
      <c r="G402" s="547"/>
      <c r="H402" s="547"/>
      <c r="I402" s="547"/>
      <c r="J402" s="547"/>
      <c r="K402" s="547"/>
      <c r="L402" s="547"/>
      <c r="M402" s="547"/>
      <c r="N402" s="548"/>
      <c r="O402" s="548"/>
      <c r="P402" s="548"/>
      <c r="Q402" s="548"/>
      <c r="R402" s="548"/>
      <c r="S402" s="548"/>
      <c r="T402" s="548"/>
      <c r="U402" s="548"/>
      <c r="V402" s="548"/>
      <c r="W402" s="548"/>
      <c r="X402" s="548"/>
      <c r="Y402" s="548"/>
      <c r="Z402" s="548"/>
      <c r="AA402" s="548"/>
      <c r="AB402" s="548"/>
      <c r="AC402" s="548"/>
      <c r="AD402" s="548"/>
      <c r="AE402" s="548"/>
      <c r="AF402" s="548"/>
      <c r="AG402" s="549"/>
      <c r="AH402" s="518"/>
    </row>
    <row r="403">
      <c r="A403" s="546"/>
      <c r="B403" s="547"/>
      <c r="C403" s="547"/>
      <c r="D403" s="547"/>
      <c r="E403" s="547"/>
      <c r="F403" s="547"/>
      <c r="G403" s="547"/>
      <c r="H403" s="547"/>
      <c r="I403" s="547"/>
      <c r="J403" s="547"/>
      <c r="K403" s="547"/>
      <c r="L403" s="547"/>
      <c r="M403" s="547"/>
      <c r="N403" s="548"/>
      <c r="O403" s="548"/>
      <c r="P403" s="548"/>
      <c r="Q403" s="548"/>
      <c r="R403" s="548"/>
      <c r="S403" s="548"/>
      <c r="T403" s="548"/>
      <c r="U403" s="548"/>
      <c r="V403" s="548"/>
      <c r="W403" s="548"/>
      <c r="X403" s="548"/>
      <c r="Y403" s="548"/>
      <c r="Z403" s="548"/>
      <c r="AA403" s="548"/>
      <c r="AB403" s="548"/>
      <c r="AC403" s="548"/>
      <c r="AD403" s="548"/>
      <c r="AE403" s="548"/>
      <c r="AF403" s="548"/>
      <c r="AG403" s="549"/>
      <c r="AH403" s="518"/>
    </row>
    <row r="404">
      <c r="A404" s="546"/>
      <c r="B404" s="547"/>
      <c r="C404" s="547"/>
      <c r="D404" s="547"/>
      <c r="E404" s="547"/>
      <c r="F404" s="547"/>
      <c r="G404" s="547"/>
      <c r="H404" s="547"/>
      <c r="I404" s="547"/>
      <c r="J404" s="547"/>
      <c r="K404" s="547"/>
      <c r="L404" s="547"/>
      <c r="M404" s="547"/>
      <c r="N404" s="548"/>
      <c r="O404" s="548"/>
      <c r="P404" s="548"/>
      <c r="Q404" s="548"/>
      <c r="R404" s="548"/>
      <c r="S404" s="548"/>
      <c r="T404" s="548"/>
      <c r="U404" s="548"/>
      <c r="V404" s="548"/>
      <c r="W404" s="548"/>
      <c r="X404" s="548"/>
      <c r="Y404" s="548"/>
      <c r="Z404" s="548"/>
      <c r="AA404" s="548"/>
      <c r="AB404" s="548"/>
      <c r="AC404" s="548"/>
      <c r="AD404" s="548"/>
      <c r="AE404" s="548"/>
      <c r="AF404" s="548"/>
      <c r="AG404" s="549"/>
      <c r="AH404" s="518"/>
    </row>
    <row r="405">
      <c r="A405" s="546"/>
      <c r="B405" s="547"/>
      <c r="C405" s="547"/>
      <c r="D405" s="547"/>
      <c r="E405" s="547"/>
      <c r="F405" s="547"/>
      <c r="G405" s="547"/>
      <c r="H405" s="547"/>
      <c r="I405" s="547"/>
      <c r="J405" s="547"/>
      <c r="K405" s="547"/>
      <c r="L405" s="547"/>
      <c r="M405" s="547"/>
      <c r="N405" s="548"/>
      <c r="O405" s="548"/>
      <c r="P405" s="548"/>
      <c r="Q405" s="548"/>
      <c r="R405" s="548"/>
      <c r="S405" s="548"/>
      <c r="T405" s="548"/>
      <c r="U405" s="548"/>
      <c r="V405" s="548"/>
      <c r="W405" s="548"/>
      <c r="X405" s="548"/>
      <c r="Y405" s="548"/>
      <c r="Z405" s="548"/>
      <c r="AA405" s="548"/>
      <c r="AB405" s="548"/>
      <c r="AC405" s="548"/>
      <c r="AD405" s="548"/>
      <c r="AE405" s="548"/>
      <c r="AF405" s="548"/>
      <c r="AG405" s="549"/>
      <c r="AH405" s="518"/>
    </row>
    <row r="406">
      <c r="A406" s="546"/>
      <c r="B406" s="547"/>
      <c r="C406" s="547"/>
      <c r="D406" s="547"/>
      <c r="E406" s="547"/>
      <c r="F406" s="547"/>
      <c r="G406" s="547"/>
      <c r="H406" s="547"/>
      <c r="I406" s="547"/>
      <c r="J406" s="547"/>
      <c r="K406" s="547"/>
      <c r="L406" s="547"/>
      <c r="M406" s="547"/>
      <c r="N406" s="548"/>
      <c r="O406" s="548"/>
      <c r="P406" s="548"/>
      <c r="Q406" s="548"/>
      <c r="R406" s="548"/>
      <c r="S406" s="548"/>
      <c r="T406" s="548"/>
      <c r="U406" s="548"/>
      <c r="V406" s="548"/>
      <c r="W406" s="548"/>
      <c r="X406" s="548"/>
      <c r="Y406" s="548"/>
      <c r="Z406" s="548"/>
      <c r="AA406" s="548"/>
      <c r="AB406" s="548"/>
      <c r="AC406" s="548"/>
      <c r="AD406" s="548"/>
      <c r="AE406" s="548"/>
      <c r="AF406" s="548"/>
      <c r="AG406" s="549"/>
      <c r="AH406" s="518"/>
    </row>
    <row r="407">
      <c r="A407" s="546"/>
      <c r="B407" s="547"/>
      <c r="C407" s="547"/>
      <c r="D407" s="547"/>
      <c r="E407" s="547"/>
      <c r="F407" s="547"/>
      <c r="G407" s="547"/>
      <c r="H407" s="547"/>
      <c r="I407" s="547"/>
      <c r="J407" s="547"/>
      <c r="K407" s="547"/>
      <c r="L407" s="547"/>
      <c r="M407" s="547"/>
      <c r="N407" s="548"/>
      <c r="O407" s="548"/>
      <c r="P407" s="548"/>
      <c r="Q407" s="548"/>
      <c r="R407" s="548"/>
      <c r="S407" s="548"/>
      <c r="T407" s="548"/>
      <c r="U407" s="548"/>
      <c r="V407" s="548"/>
      <c r="W407" s="548"/>
      <c r="X407" s="548"/>
      <c r="Y407" s="548"/>
      <c r="Z407" s="548"/>
      <c r="AA407" s="548"/>
      <c r="AB407" s="548"/>
      <c r="AC407" s="548"/>
      <c r="AD407" s="548"/>
      <c r="AE407" s="548"/>
      <c r="AF407" s="548"/>
      <c r="AG407" s="549"/>
      <c r="AH407" s="518"/>
    </row>
    <row r="408">
      <c r="A408" s="546"/>
      <c r="B408" s="547"/>
      <c r="C408" s="547"/>
      <c r="D408" s="547"/>
      <c r="E408" s="547"/>
      <c r="F408" s="547"/>
      <c r="G408" s="547"/>
      <c r="H408" s="547"/>
      <c r="I408" s="547"/>
      <c r="J408" s="547"/>
      <c r="K408" s="547"/>
      <c r="L408" s="547"/>
      <c r="M408" s="547"/>
      <c r="N408" s="548"/>
      <c r="O408" s="548"/>
      <c r="P408" s="548"/>
      <c r="Q408" s="548"/>
      <c r="R408" s="548"/>
      <c r="S408" s="548"/>
      <c r="T408" s="548"/>
      <c r="U408" s="548"/>
      <c r="V408" s="548"/>
      <c r="W408" s="548"/>
      <c r="X408" s="548"/>
      <c r="Y408" s="548"/>
      <c r="Z408" s="548"/>
      <c r="AA408" s="548"/>
      <c r="AB408" s="548"/>
      <c r="AC408" s="548"/>
      <c r="AD408" s="548"/>
      <c r="AE408" s="548"/>
      <c r="AF408" s="548"/>
      <c r="AG408" s="549"/>
      <c r="AH408" s="518"/>
    </row>
    <row r="409">
      <c r="A409" s="546"/>
      <c r="B409" s="547"/>
      <c r="C409" s="547"/>
      <c r="D409" s="547"/>
      <c r="E409" s="547"/>
      <c r="F409" s="547"/>
      <c r="G409" s="547"/>
      <c r="H409" s="547"/>
      <c r="I409" s="547"/>
      <c r="J409" s="547"/>
      <c r="K409" s="547"/>
      <c r="L409" s="547"/>
      <c r="M409" s="547"/>
      <c r="N409" s="548"/>
      <c r="O409" s="548"/>
      <c r="P409" s="548"/>
      <c r="Q409" s="548"/>
      <c r="R409" s="548"/>
      <c r="S409" s="548"/>
      <c r="T409" s="548"/>
      <c r="U409" s="548"/>
      <c r="V409" s="548"/>
      <c r="W409" s="548"/>
      <c r="X409" s="548"/>
      <c r="Y409" s="548"/>
      <c r="Z409" s="548"/>
      <c r="AA409" s="548"/>
      <c r="AB409" s="548"/>
      <c r="AC409" s="548"/>
      <c r="AD409" s="548"/>
      <c r="AE409" s="548"/>
      <c r="AF409" s="548"/>
      <c r="AG409" s="549"/>
      <c r="AH409" s="518"/>
    </row>
    <row r="410">
      <c r="A410" s="546"/>
      <c r="B410" s="547"/>
      <c r="C410" s="547"/>
      <c r="D410" s="547"/>
      <c r="E410" s="547"/>
      <c r="F410" s="547"/>
      <c r="G410" s="547"/>
      <c r="H410" s="547"/>
      <c r="I410" s="547"/>
      <c r="J410" s="547"/>
      <c r="K410" s="547"/>
      <c r="L410" s="547"/>
      <c r="M410" s="547"/>
      <c r="N410" s="548"/>
      <c r="O410" s="548"/>
      <c r="P410" s="548"/>
      <c r="Q410" s="548"/>
      <c r="R410" s="548"/>
      <c r="S410" s="548"/>
      <c r="T410" s="548"/>
      <c r="U410" s="548"/>
      <c r="V410" s="548"/>
      <c r="W410" s="548"/>
      <c r="X410" s="548"/>
      <c r="Y410" s="548"/>
      <c r="Z410" s="548"/>
      <c r="AA410" s="548"/>
      <c r="AB410" s="548"/>
      <c r="AC410" s="548"/>
      <c r="AD410" s="548"/>
      <c r="AE410" s="548"/>
      <c r="AF410" s="548"/>
      <c r="AG410" s="549"/>
      <c r="AH410" s="518"/>
    </row>
    <row r="411">
      <c r="A411" s="546"/>
      <c r="B411" s="547"/>
      <c r="C411" s="547"/>
      <c r="D411" s="547"/>
      <c r="E411" s="547"/>
      <c r="F411" s="547"/>
      <c r="G411" s="547"/>
      <c r="H411" s="547"/>
      <c r="I411" s="547"/>
      <c r="J411" s="547"/>
      <c r="K411" s="547"/>
      <c r="L411" s="547"/>
      <c r="M411" s="547"/>
      <c r="N411" s="548"/>
      <c r="O411" s="548"/>
      <c r="P411" s="548"/>
      <c r="Q411" s="548"/>
      <c r="R411" s="548"/>
      <c r="S411" s="548"/>
      <c r="T411" s="548"/>
      <c r="U411" s="548"/>
      <c r="V411" s="548"/>
      <c r="W411" s="548"/>
      <c r="X411" s="548"/>
      <c r="Y411" s="548"/>
      <c r="Z411" s="548"/>
      <c r="AA411" s="548"/>
      <c r="AB411" s="548"/>
      <c r="AC411" s="548"/>
      <c r="AD411" s="548"/>
      <c r="AE411" s="548"/>
      <c r="AF411" s="548"/>
      <c r="AG411" s="549"/>
      <c r="AH411" s="518"/>
    </row>
    <row r="412">
      <c r="A412" s="546"/>
      <c r="B412" s="547"/>
      <c r="C412" s="547"/>
      <c r="D412" s="547"/>
      <c r="E412" s="547"/>
      <c r="F412" s="547"/>
      <c r="G412" s="547"/>
      <c r="H412" s="547"/>
      <c r="I412" s="547"/>
      <c r="J412" s="547"/>
      <c r="K412" s="547"/>
      <c r="L412" s="547"/>
      <c r="M412" s="547"/>
      <c r="N412" s="548"/>
      <c r="O412" s="548"/>
      <c r="P412" s="548"/>
      <c r="Q412" s="548"/>
      <c r="R412" s="548"/>
      <c r="S412" s="548"/>
      <c r="T412" s="548"/>
      <c r="U412" s="548"/>
      <c r="V412" s="548"/>
      <c r="W412" s="548"/>
      <c r="X412" s="548"/>
      <c r="Y412" s="548"/>
      <c r="Z412" s="548"/>
      <c r="AA412" s="548"/>
      <c r="AB412" s="548"/>
      <c r="AC412" s="548"/>
      <c r="AD412" s="548"/>
      <c r="AE412" s="548"/>
      <c r="AF412" s="548"/>
      <c r="AG412" s="549"/>
      <c r="AH412" s="518"/>
    </row>
    <row r="413">
      <c r="A413" s="546"/>
      <c r="B413" s="547"/>
      <c r="C413" s="547"/>
      <c r="D413" s="547"/>
      <c r="E413" s="547"/>
      <c r="F413" s="547"/>
      <c r="G413" s="547"/>
      <c r="H413" s="547"/>
      <c r="I413" s="547"/>
      <c r="J413" s="547"/>
      <c r="K413" s="547"/>
      <c r="L413" s="547"/>
      <c r="M413" s="547"/>
      <c r="N413" s="548"/>
      <c r="O413" s="548"/>
      <c r="P413" s="548"/>
      <c r="Q413" s="548"/>
      <c r="R413" s="548"/>
      <c r="S413" s="548"/>
      <c r="T413" s="548"/>
      <c r="U413" s="548"/>
      <c r="V413" s="548"/>
      <c r="W413" s="548"/>
      <c r="X413" s="548"/>
      <c r="Y413" s="548"/>
      <c r="Z413" s="548"/>
      <c r="AA413" s="548"/>
      <c r="AB413" s="548"/>
      <c r="AC413" s="548"/>
      <c r="AD413" s="548"/>
      <c r="AE413" s="548"/>
      <c r="AF413" s="548"/>
      <c r="AG413" s="549"/>
      <c r="AH413" s="518"/>
    </row>
    <row r="414">
      <c r="A414" s="546"/>
      <c r="B414" s="547"/>
      <c r="C414" s="547"/>
      <c r="D414" s="547"/>
      <c r="E414" s="547"/>
      <c r="F414" s="547"/>
      <c r="G414" s="547"/>
      <c r="H414" s="547"/>
      <c r="I414" s="547"/>
      <c r="J414" s="547"/>
      <c r="K414" s="547"/>
      <c r="L414" s="547"/>
      <c r="M414" s="547"/>
      <c r="N414" s="548"/>
      <c r="O414" s="548"/>
      <c r="P414" s="548"/>
      <c r="Q414" s="548"/>
      <c r="R414" s="548"/>
      <c r="S414" s="548"/>
      <c r="T414" s="548"/>
      <c r="U414" s="548"/>
      <c r="V414" s="548"/>
      <c r="W414" s="548"/>
      <c r="X414" s="548"/>
      <c r="Y414" s="548"/>
      <c r="Z414" s="548"/>
      <c r="AA414" s="548"/>
      <c r="AB414" s="548"/>
      <c r="AC414" s="548"/>
      <c r="AD414" s="548"/>
      <c r="AE414" s="548"/>
      <c r="AF414" s="548"/>
      <c r="AG414" s="549"/>
      <c r="AH414" s="518"/>
    </row>
    <row r="415">
      <c r="A415" s="546"/>
      <c r="B415" s="547"/>
      <c r="C415" s="547"/>
      <c r="D415" s="547"/>
      <c r="E415" s="547"/>
      <c r="F415" s="547"/>
      <c r="G415" s="547"/>
      <c r="H415" s="547"/>
      <c r="I415" s="547"/>
      <c r="J415" s="547"/>
      <c r="K415" s="547"/>
      <c r="L415" s="547"/>
      <c r="M415" s="547"/>
      <c r="N415" s="548"/>
      <c r="O415" s="548"/>
      <c r="P415" s="548"/>
      <c r="Q415" s="548"/>
      <c r="R415" s="548"/>
      <c r="S415" s="548"/>
      <c r="T415" s="548"/>
      <c r="U415" s="548"/>
      <c r="V415" s="548"/>
      <c r="W415" s="548"/>
      <c r="X415" s="548"/>
      <c r="Y415" s="548"/>
      <c r="Z415" s="548"/>
      <c r="AA415" s="548"/>
      <c r="AB415" s="548"/>
      <c r="AC415" s="548"/>
      <c r="AD415" s="548"/>
      <c r="AE415" s="548"/>
      <c r="AF415" s="548"/>
      <c r="AG415" s="549"/>
      <c r="AH415" s="518"/>
    </row>
    <row r="416">
      <c r="A416" s="546"/>
      <c r="B416" s="547"/>
      <c r="C416" s="547"/>
      <c r="D416" s="547"/>
      <c r="E416" s="547"/>
      <c r="F416" s="547"/>
      <c r="G416" s="547"/>
      <c r="H416" s="547"/>
      <c r="I416" s="547"/>
      <c r="J416" s="547"/>
      <c r="K416" s="547"/>
      <c r="L416" s="547"/>
      <c r="M416" s="547"/>
      <c r="N416" s="548"/>
      <c r="O416" s="548"/>
      <c r="P416" s="548"/>
      <c r="Q416" s="548"/>
      <c r="R416" s="548"/>
      <c r="S416" s="548"/>
      <c r="T416" s="548"/>
      <c r="U416" s="548"/>
      <c r="V416" s="548"/>
      <c r="W416" s="548"/>
      <c r="X416" s="548"/>
      <c r="Y416" s="548"/>
      <c r="Z416" s="548"/>
      <c r="AA416" s="548"/>
      <c r="AB416" s="548"/>
      <c r="AC416" s="548"/>
      <c r="AD416" s="548"/>
      <c r="AE416" s="548"/>
      <c r="AF416" s="548"/>
      <c r="AG416" s="549"/>
      <c r="AH416" s="518"/>
    </row>
    <row r="417">
      <c r="A417" s="546"/>
      <c r="B417" s="547"/>
      <c r="C417" s="547"/>
      <c r="D417" s="547"/>
      <c r="E417" s="547"/>
      <c r="F417" s="547"/>
      <c r="G417" s="547"/>
      <c r="H417" s="547"/>
      <c r="I417" s="547"/>
      <c r="J417" s="547"/>
      <c r="K417" s="547"/>
      <c r="L417" s="547"/>
      <c r="M417" s="547"/>
      <c r="N417" s="548"/>
      <c r="O417" s="548"/>
      <c r="P417" s="548"/>
      <c r="Q417" s="548"/>
      <c r="R417" s="548"/>
      <c r="S417" s="548"/>
      <c r="T417" s="548"/>
      <c r="U417" s="548"/>
      <c r="V417" s="548"/>
      <c r="W417" s="548"/>
      <c r="X417" s="548"/>
      <c r="Y417" s="548"/>
      <c r="Z417" s="548"/>
      <c r="AA417" s="548"/>
      <c r="AB417" s="548"/>
      <c r="AC417" s="548"/>
      <c r="AD417" s="548"/>
      <c r="AE417" s="548"/>
      <c r="AF417" s="548"/>
      <c r="AG417" s="549"/>
      <c r="AH417" s="518"/>
    </row>
    <row r="418">
      <c r="A418" s="546"/>
      <c r="B418" s="547"/>
      <c r="C418" s="547"/>
      <c r="D418" s="547"/>
      <c r="E418" s="547"/>
      <c r="F418" s="547"/>
      <c r="G418" s="547"/>
      <c r="H418" s="547"/>
      <c r="I418" s="547"/>
      <c r="J418" s="547"/>
      <c r="K418" s="547"/>
      <c r="L418" s="547"/>
      <c r="M418" s="547"/>
      <c r="N418" s="548"/>
      <c r="O418" s="548"/>
      <c r="P418" s="548"/>
      <c r="Q418" s="548"/>
      <c r="R418" s="548"/>
      <c r="S418" s="548"/>
      <c r="T418" s="548"/>
      <c r="U418" s="548"/>
      <c r="V418" s="548"/>
      <c r="W418" s="548"/>
      <c r="X418" s="548"/>
      <c r="Y418" s="548"/>
      <c r="Z418" s="548"/>
      <c r="AA418" s="548"/>
      <c r="AB418" s="548"/>
      <c r="AC418" s="548"/>
      <c r="AD418" s="548"/>
      <c r="AE418" s="548"/>
      <c r="AF418" s="548"/>
      <c r="AG418" s="549"/>
      <c r="AH418" s="518"/>
    </row>
    <row r="419">
      <c r="A419" s="546"/>
      <c r="B419" s="547"/>
      <c r="C419" s="547"/>
      <c r="D419" s="547"/>
      <c r="E419" s="547"/>
      <c r="F419" s="547"/>
      <c r="G419" s="547"/>
      <c r="H419" s="547"/>
      <c r="I419" s="547"/>
      <c r="J419" s="547"/>
      <c r="K419" s="547"/>
      <c r="L419" s="547"/>
      <c r="M419" s="547"/>
      <c r="N419" s="548"/>
      <c r="O419" s="548"/>
      <c r="P419" s="548"/>
      <c r="Q419" s="548"/>
      <c r="R419" s="548"/>
      <c r="S419" s="548"/>
      <c r="T419" s="548"/>
      <c r="U419" s="548"/>
      <c r="V419" s="548"/>
      <c r="W419" s="548"/>
      <c r="X419" s="548"/>
      <c r="Y419" s="548"/>
      <c r="Z419" s="548"/>
      <c r="AA419" s="548"/>
      <c r="AB419" s="548"/>
      <c r="AC419" s="548"/>
      <c r="AD419" s="548"/>
      <c r="AE419" s="548"/>
      <c r="AF419" s="548"/>
      <c r="AG419" s="549"/>
      <c r="AH419" s="518"/>
    </row>
    <row r="420">
      <c r="A420" s="546"/>
      <c r="B420" s="547"/>
      <c r="C420" s="547"/>
      <c r="D420" s="547"/>
      <c r="E420" s="547"/>
      <c r="F420" s="547"/>
      <c r="G420" s="547"/>
      <c r="H420" s="547"/>
      <c r="I420" s="547"/>
      <c r="J420" s="547"/>
      <c r="K420" s="547"/>
      <c r="L420" s="547"/>
      <c r="M420" s="547"/>
      <c r="N420" s="548"/>
      <c r="O420" s="548"/>
      <c r="P420" s="548"/>
      <c r="Q420" s="548"/>
      <c r="R420" s="548"/>
      <c r="S420" s="548"/>
      <c r="T420" s="548"/>
      <c r="U420" s="548"/>
      <c r="V420" s="548"/>
      <c r="W420" s="548"/>
      <c r="X420" s="548"/>
      <c r="Y420" s="548"/>
      <c r="Z420" s="548"/>
      <c r="AA420" s="548"/>
      <c r="AB420" s="548"/>
      <c r="AC420" s="548"/>
      <c r="AD420" s="548"/>
      <c r="AE420" s="548"/>
      <c r="AF420" s="548"/>
      <c r="AG420" s="549"/>
      <c r="AH420" s="518"/>
    </row>
    <row r="421">
      <c r="A421" s="546"/>
      <c r="B421" s="547"/>
      <c r="C421" s="547"/>
      <c r="D421" s="547"/>
      <c r="E421" s="547"/>
      <c r="F421" s="547"/>
      <c r="G421" s="547"/>
      <c r="H421" s="547"/>
      <c r="I421" s="547"/>
      <c r="J421" s="547"/>
      <c r="K421" s="547"/>
      <c r="L421" s="547"/>
      <c r="M421" s="547"/>
      <c r="N421" s="548"/>
      <c r="O421" s="548"/>
      <c r="P421" s="548"/>
      <c r="Q421" s="548"/>
      <c r="R421" s="548"/>
      <c r="S421" s="548"/>
      <c r="T421" s="548"/>
      <c r="U421" s="548"/>
      <c r="V421" s="548"/>
      <c r="W421" s="548"/>
      <c r="X421" s="548"/>
      <c r="Y421" s="548"/>
      <c r="Z421" s="548"/>
      <c r="AA421" s="548"/>
      <c r="AB421" s="548"/>
      <c r="AC421" s="548"/>
      <c r="AD421" s="548"/>
      <c r="AE421" s="548"/>
      <c r="AF421" s="548"/>
      <c r="AG421" s="549"/>
      <c r="AH421" s="518"/>
    </row>
    <row r="422">
      <c r="A422" s="546"/>
      <c r="B422" s="547"/>
      <c r="C422" s="547"/>
      <c r="D422" s="547"/>
      <c r="E422" s="547"/>
      <c r="F422" s="547"/>
      <c r="G422" s="547"/>
      <c r="H422" s="547"/>
      <c r="I422" s="547"/>
      <c r="J422" s="547"/>
      <c r="K422" s="547"/>
      <c r="L422" s="547"/>
      <c r="M422" s="547"/>
      <c r="N422" s="548"/>
      <c r="O422" s="548"/>
      <c r="P422" s="548"/>
      <c r="Q422" s="548"/>
      <c r="R422" s="548"/>
      <c r="S422" s="548"/>
      <c r="T422" s="548"/>
      <c r="U422" s="548"/>
      <c r="V422" s="548"/>
      <c r="W422" s="548"/>
      <c r="X422" s="548"/>
      <c r="Y422" s="548"/>
      <c r="Z422" s="548"/>
      <c r="AA422" s="548"/>
      <c r="AB422" s="548"/>
      <c r="AC422" s="548"/>
      <c r="AD422" s="548"/>
      <c r="AE422" s="548"/>
      <c r="AF422" s="548"/>
      <c r="AG422" s="549"/>
      <c r="AH422" s="518"/>
    </row>
    <row r="423">
      <c r="A423" s="546"/>
      <c r="B423" s="547"/>
      <c r="C423" s="547"/>
      <c r="D423" s="547"/>
      <c r="E423" s="547"/>
      <c r="F423" s="547"/>
      <c r="G423" s="547"/>
      <c r="H423" s="547"/>
      <c r="I423" s="547"/>
      <c r="J423" s="547"/>
      <c r="K423" s="547"/>
      <c r="L423" s="547"/>
      <c r="M423" s="547"/>
      <c r="N423" s="548"/>
      <c r="O423" s="548"/>
      <c r="P423" s="548"/>
      <c r="Q423" s="548"/>
      <c r="R423" s="548"/>
      <c r="S423" s="548"/>
      <c r="T423" s="548"/>
      <c r="U423" s="548"/>
      <c r="V423" s="548"/>
      <c r="W423" s="548"/>
      <c r="X423" s="548"/>
      <c r="Y423" s="548"/>
      <c r="Z423" s="548"/>
      <c r="AA423" s="548"/>
      <c r="AB423" s="548"/>
      <c r="AC423" s="548"/>
      <c r="AD423" s="548"/>
      <c r="AE423" s="548"/>
      <c r="AF423" s="548"/>
      <c r="AG423" s="549"/>
      <c r="AH423" s="518"/>
    </row>
    <row r="424">
      <c r="A424" s="546"/>
      <c r="B424" s="547"/>
      <c r="C424" s="547"/>
      <c r="D424" s="547"/>
      <c r="E424" s="547"/>
      <c r="F424" s="547"/>
      <c r="G424" s="547"/>
      <c r="H424" s="547"/>
      <c r="I424" s="547"/>
      <c r="J424" s="547"/>
      <c r="K424" s="547"/>
      <c r="L424" s="547"/>
      <c r="M424" s="547"/>
      <c r="N424" s="548"/>
      <c r="O424" s="548"/>
      <c r="P424" s="548"/>
      <c r="Q424" s="548"/>
      <c r="R424" s="548"/>
      <c r="S424" s="548"/>
      <c r="T424" s="548"/>
      <c r="U424" s="548"/>
      <c r="V424" s="548"/>
      <c r="W424" s="548"/>
      <c r="X424" s="548"/>
      <c r="Y424" s="548"/>
      <c r="Z424" s="548"/>
      <c r="AA424" s="548"/>
      <c r="AB424" s="548"/>
      <c r="AC424" s="548"/>
      <c r="AD424" s="548"/>
      <c r="AE424" s="548"/>
      <c r="AF424" s="548"/>
      <c r="AG424" s="549"/>
      <c r="AH424" s="518"/>
    </row>
    <row r="425">
      <c r="A425" s="546"/>
      <c r="B425" s="547"/>
      <c r="C425" s="547"/>
      <c r="D425" s="547"/>
      <c r="E425" s="547"/>
      <c r="F425" s="547"/>
      <c r="G425" s="547"/>
      <c r="H425" s="547"/>
      <c r="I425" s="547"/>
      <c r="J425" s="547"/>
      <c r="K425" s="547"/>
      <c r="L425" s="547"/>
      <c r="M425" s="547"/>
      <c r="N425" s="548"/>
      <c r="O425" s="548"/>
      <c r="P425" s="548"/>
      <c r="Q425" s="548"/>
      <c r="R425" s="548"/>
      <c r="S425" s="548"/>
      <c r="T425" s="548"/>
      <c r="U425" s="548"/>
      <c r="V425" s="548"/>
      <c r="W425" s="548"/>
      <c r="X425" s="548"/>
      <c r="Y425" s="548"/>
      <c r="Z425" s="548"/>
      <c r="AA425" s="548"/>
      <c r="AB425" s="548"/>
      <c r="AC425" s="548"/>
      <c r="AD425" s="548"/>
      <c r="AE425" s="548"/>
      <c r="AF425" s="548"/>
      <c r="AG425" s="549"/>
      <c r="AH425" s="518"/>
    </row>
    <row r="426">
      <c r="A426" s="546"/>
      <c r="B426" s="547"/>
      <c r="C426" s="547"/>
      <c r="D426" s="547"/>
      <c r="E426" s="547"/>
      <c r="F426" s="547"/>
      <c r="G426" s="547"/>
      <c r="H426" s="547"/>
      <c r="I426" s="547"/>
      <c r="J426" s="547"/>
      <c r="K426" s="547"/>
      <c r="L426" s="547"/>
      <c r="M426" s="547"/>
      <c r="N426" s="548"/>
      <c r="O426" s="548"/>
      <c r="P426" s="548"/>
      <c r="Q426" s="548"/>
      <c r="R426" s="548"/>
      <c r="S426" s="548"/>
      <c r="T426" s="548"/>
      <c r="U426" s="548"/>
      <c r="V426" s="548"/>
      <c r="W426" s="548"/>
      <c r="X426" s="548"/>
      <c r="Y426" s="548"/>
      <c r="Z426" s="548"/>
      <c r="AA426" s="548"/>
      <c r="AB426" s="548"/>
      <c r="AC426" s="548"/>
      <c r="AD426" s="548"/>
      <c r="AE426" s="548"/>
      <c r="AF426" s="548"/>
      <c r="AG426" s="549"/>
      <c r="AH426" s="518"/>
    </row>
    <row r="427">
      <c r="A427" s="546"/>
      <c r="B427" s="547"/>
      <c r="C427" s="547"/>
      <c r="D427" s="547"/>
      <c r="E427" s="547"/>
      <c r="F427" s="547"/>
      <c r="G427" s="547"/>
      <c r="H427" s="547"/>
      <c r="I427" s="547"/>
      <c r="J427" s="547"/>
      <c r="K427" s="547"/>
      <c r="L427" s="547"/>
      <c r="M427" s="547"/>
      <c r="N427" s="548"/>
      <c r="O427" s="548"/>
      <c r="P427" s="548"/>
      <c r="Q427" s="548"/>
      <c r="R427" s="548"/>
      <c r="S427" s="548"/>
      <c r="T427" s="548"/>
      <c r="U427" s="548"/>
      <c r="V427" s="548"/>
      <c r="W427" s="548"/>
      <c r="X427" s="548"/>
      <c r="Y427" s="548"/>
      <c r="Z427" s="548"/>
      <c r="AA427" s="548"/>
      <c r="AB427" s="548"/>
      <c r="AC427" s="548"/>
      <c r="AD427" s="548"/>
      <c r="AE427" s="548"/>
      <c r="AF427" s="548"/>
      <c r="AG427" s="549"/>
      <c r="AH427" s="518"/>
    </row>
    <row r="428">
      <c r="A428" s="546"/>
      <c r="B428" s="547"/>
      <c r="C428" s="547"/>
      <c r="D428" s="547"/>
      <c r="E428" s="547"/>
      <c r="F428" s="547"/>
      <c r="G428" s="547"/>
      <c r="H428" s="547"/>
      <c r="I428" s="547"/>
      <c r="J428" s="547"/>
      <c r="K428" s="547"/>
      <c r="L428" s="547"/>
      <c r="M428" s="547"/>
      <c r="N428" s="548"/>
      <c r="O428" s="548"/>
      <c r="P428" s="548"/>
      <c r="Q428" s="548"/>
      <c r="R428" s="548"/>
      <c r="S428" s="548"/>
      <c r="T428" s="548"/>
      <c r="U428" s="548"/>
      <c r="V428" s="548"/>
      <c r="W428" s="548"/>
      <c r="X428" s="548"/>
      <c r="Y428" s="548"/>
      <c r="Z428" s="548"/>
      <c r="AA428" s="548"/>
      <c r="AB428" s="548"/>
      <c r="AC428" s="548"/>
      <c r="AD428" s="548"/>
      <c r="AE428" s="548"/>
      <c r="AF428" s="548"/>
      <c r="AG428" s="549"/>
      <c r="AH428" s="518"/>
    </row>
    <row r="429">
      <c r="A429" s="546"/>
      <c r="B429" s="547"/>
      <c r="C429" s="547"/>
      <c r="D429" s="547"/>
      <c r="E429" s="547"/>
      <c r="F429" s="547"/>
      <c r="G429" s="547"/>
      <c r="H429" s="547"/>
      <c r="I429" s="547"/>
      <c r="J429" s="547"/>
      <c r="K429" s="547"/>
      <c r="L429" s="547"/>
      <c r="M429" s="547"/>
      <c r="N429" s="548"/>
      <c r="O429" s="548"/>
      <c r="P429" s="548"/>
      <c r="Q429" s="548"/>
      <c r="R429" s="548"/>
      <c r="S429" s="548"/>
      <c r="T429" s="548"/>
      <c r="U429" s="548"/>
      <c r="V429" s="548"/>
      <c r="W429" s="548"/>
      <c r="X429" s="548"/>
      <c r="Y429" s="548"/>
      <c r="Z429" s="548"/>
      <c r="AA429" s="548"/>
      <c r="AB429" s="548"/>
      <c r="AC429" s="548"/>
      <c r="AD429" s="548"/>
      <c r="AE429" s="548"/>
      <c r="AF429" s="548"/>
      <c r="AG429" s="549"/>
      <c r="AH429" s="518"/>
    </row>
    <row r="430">
      <c r="A430" s="546"/>
      <c r="B430" s="547"/>
      <c r="C430" s="547"/>
      <c r="D430" s="547"/>
      <c r="E430" s="547"/>
      <c r="F430" s="547"/>
      <c r="G430" s="547"/>
      <c r="H430" s="547"/>
      <c r="I430" s="547"/>
      <c r="J430" s="547"/>
      <c r="K430" s="547"/>
      <c r="L430" s="547"/>
      <c r="M430" s="547"/>
      <c r="N430" s="548"/>
      <c r="O430" s="548"/>
      <c r="P430" s="548"/>
      <c r="Q430" s="548"/>
      <c r="R430" s="548"/>
      <c r="S430" s="548"/>
      <c r="T430" s="548"/>
      <c r="U430" s="548"/>
      <c r="V430" s="548"/>
      <c r="W430" s="548"/>
      <c r="X430" s="548"/>
      <c r="Y430" s="548"/>
      <c r="Z430" s="548"/>
      <c r="AA430" s="548"/>
      <c r="AB430" s="548"/>
      <c r="AC430" s="548"/>
      <c r="AD430" s="548"/>
      <c r="AE430" s="548"/>
      <c r="AF430" s="548"/>
      <c r="AG430" s="549"/>
      <c r="AH430" s="518"/>
    </row>
    <row r="431">
      <c r="A431" s="546"/>
      <c r="B431" s="547"/>
      <c r="C431" s="547"/>
      <c r="D431" s="547"/>
      <c r="E431" s="547"/>
      <c r="F431" s="547"/>
      <c r="G431" s="547"/>
      <c r="H431" s="547"/>
      <c r="I431" s="547"/>
      <c r="J431" s="547"/>
      <c r="K431" s="547"/>
      <c r="L431" s="547"/>
      <c r="M431" s="547"/>
      <c r="N431" s="548"/>
      <c r="O431" s="548"/>
      <c r="P431" s="548"/>
      <c r="Q431" s="548"/>
      <c r="R431" s="548"/>
      <c r="S431" s="548"/>
      <c r="T431" s="548"/>
      <c r="U431" s="548"/>
      <c r="V431" s="548"/>
      <c r="W431" s="548"/>
      <c r="X431" s="548"/>
      <c r="Y431" s="548"/>
      <c r="Z431" s="548"/>
      <c r="AA431" s="548"/>
      <c r="AB431" s="548"/>
      <c r="AC431" s="548"/>
      <c r="AD431" s="548"/>
      <c r="AE431" s="548"/>
      <c r="AF431" s="548"/>
      <c r="AG431" s="549"/>
      <c r="AH431" s="518"/>
    </row>
    <row r="432">
      <c r="A432" s="546"/>
      <c r="B432" s="547"/>
      <c r="C432" s="547"/>
      <c r="D432" s="547"/>
      <c r="E432" s="547"/>
      <c r="F432" s="547"/>
      <c r="G432" s="547"/>
      <c r="H432" s="547"/>
      <c r="I432" s="547"/>
      <c r="J432" s="547"/>
      <c r="K432" s="547"/>
      <c r="L432" s="547"/>
      <c r="M432" s="547"/>
      <c r="N432" s="548"/>
      <c r="O432" s="548"/>
      <c r="P432" s="548"/>
      <c r="Q432" s="548"/>
      <c r="R432" s="548"/>
      <c r="S432" s="548"/>
      <c r="T432" s="548"/>
      <c r="U432" s="548"/>
      <c r="V432" s="548"/>
      <c r="W432" s="548"/>
      <c r="X432" s="548"/>
      <c r="Y432" s="548"/>
      <c r="Z432" s="548"/>
      <c r="AA432" s="548"/>
      <c r="AB432" s="548"/>
      <c r="AC432" s="548"/>
      <c r="AD432" s="548"/>
      <c r="AE432" s="548"/>
      <c r="AF432" s="548"/>
      <c r="AG432" s="549"/>
      <c r="AH432" s="518"/>
    </row>
    <row r="433">
      <c r="A433" s="546"/>
      <c r="B433" s="547"/>
      <c r="C433" s="547"/>
      <c r="D433" s="547"/>
      <c r="E433" s="547"/>
      <c r="F433" s="547"/>
      <c r="G433" s="547"/>
      <c r="H433" s="547"/>
      <c r="I433" s="547"/>
      <c r="J433" s="547"/>
      <c r="K433" s="547"/>
      <c r="L433" s="547"/>
      <c r="M433" s="547"/>
      <c r="N433" s="548"/>
      <c r="O433" s="548"/>
      <c r="P433" s="548"/>
      <c r="Q433" s="548"/>
      <c r="R433" s="548"/>
      <c r="S433" s="548"/>
      <c r="T433" s="548"/>
      <c r="U433" s="548"/>
      <c r="V433" s="548"/>
      <c r="W433" s="548"/>
      <c r="X433" s="548"/>
      <c r="Y433" s="548"/>
      <c r="Z433" s="548"/>
      <c r="AA433" s="548"/>
      <c r="AB433" s="548"/>
      <c r="AC433" s="548"/>
      <c r="AD433" s="548"/>
      <c r="AE433" s="548"/>
      <c r="AF433" s="548"/>
      <c r="AG433" s="549"/>
      <c r="AH433" s="518"/>
    </row>
    <row r="434">
      <c r="A434" s="546"/>
      <c r="B434" s="547"/>
      <c r="C434" s="547"/>
      <c r="D434" s="547"/>
      <c r="E434" s="547"/>
      <c r="F434" s="547"/>
      <c r="G434" s="547"/>
      <c r="H434" s="547"/>
      <c r="I434" s="547"/>
      <c r="J434" s="547"/>
      <c r="K434" s="547"/>
      <c r="L434" s="547"/>
      <c r="M434" s="547"/>
      <c r="N434" s="548"/>
      <c r="O434" s="548"/>
      <c r="P434" s="548"/>
      <c r="Q434" s="548"/>
      <c r="R434" s="548"/>
      <c r="S434" s="548"/>
      <c r="T434" s="548"/>
      <c r="U434" s="548"/>
      <c r="V434" s="548"/>
      <c r="W434" s="548"/>
      <c r="X434" s="548"/>
      <c r="Y434" s="548"/>
      <c r="Z434" s="548"/>
      <c r="AA434" s="548"/>
      <c r="AB434" s="548"/>
      <c r="AC434" s="548"/>
      <c r="AD434" s="548"/>
      <c r="AE434" s="548"/>
      <c r="AF434" s="548"/>
      <c r="AG434" s="549"/>
      <c r="AH434" s="518"/>
    </row>
    <row r="435">
      <c r="A435" s="546"/>
      <c r="B435" s="547"/>
      <c r="C435" s="547"/>
      <c r="D435" s="547"/>
      <c r="E435" s="547"/>
      <c r="F435" s="547"/>
      <c r="G435" s="547"/>
      <c r="H435" s="547"/>
      <c r="I435" s="547"/>
      <c r="J435" s="547"/>
      <c r="K435" s="547"/>
      <c r="L435" s="547"/>
      <c r="M435" s="547"/>
      <c r="N435" s="548"/>
      <c r="O435" s="548"/>
      <c r="P435" s="548"/>
      <c r="Q435" s="548"/>
      <c r="R435" s="548"/>
      <c r="S435" s="548"/>
      <c r="T435" s="548"/>
      <c r="U435" s="548"/>
      <c r="V435" s="548"/>
      <c r="W435" s="548"/>
      <c r="X435" s="548"/>
      <c r="Y435" s="548"/>
      <c r="Z435" s="548"/>
      <c r="AA435" s="548"/>
      <c r="AB435" s="548"/>
      <c r="AC435" s="548"/>
      <c r="AD435" s="548"/>
      <c r="AE435" s="548"/>
      <c r="AF435" s="548"/>
      <c r="AG435" s="549"/>
      <c r="AH435" s="518"/>
    </row>
    <row r="436">
      <c r="A436" s="546"/>
      <c r="B436" s="547"/>
      <c r="C436" s="547"/>
      <c r="D436" s="547"/>
      <c r="E436" s="547"/>
      <c r="F436" s="547"/>
      <c r="G436" s="547"/>
      <c r="H436" s="547"/>
      <c r="I436" s="547"/>
      <c r="J436" s="547"/>
      <c r="K436" s="547"/>
      <c r="L436" s="547"/>
      <c r="M436" s="547"/>
      <c r="N436" s="548"/>
      <c r="O436" s="548"/>
      <c r="P436" s="548"/>
      <c r="Q436" s="548"/>
      <c r="R436" s="548"/>
      <c r="S436" s="548"/>
      <c r="T436" s="548"/>
      <c r="U436" s="548"/>
      <c r="V436" s="548"/>
      <c r="W436" s="548"/>
      <c r="X436" s="548"/>
      <c r="Y436" s="548"/>
      <c r="Z436" s="548"/>
      <c r="AA436" s="548"/>
      <c r="AB436" s="548"/>
      <c r="AC436" s="548"/>
      <c r="AD436" s="548"/>
      <c r="AE436" s="548"/>
      <c r="AF436" s="548"/>
      <c r="AG436" s="549"/>
      <c r="AH436" s="518"/>
    </row>
    <row r="437">
      <c r="A437" s="546"/>
      <c r="B437" s="547"/>
      <c r="C437" s="547"/>
      <c r="D437" s="547"/>
      <c r="E437" s="547"/>
      <c r="F437" s="547"/>
      <c r="G437" s="547"/>
      <c r="H437" s="547"/>
      <c r="I437" s="547"/>
      <c r="J437" s="547"/>
      <c r="K437" s="547"/>
      <c r="L437" s="547"/>
      <c r="M437" s="547"/>
      <c r="N437" s="548"/>
      <c r="O437" s="548"/>
      <c r="P437" s="548"/>
      <c r="Q437" s="548"/>
      <c r="R437" s="548"/>
      <c r="S437" s="548"/>
      <c r="T437" s="548"/>
      <c r="U437" s="548"/>
      <c r="V437" s="548"/>
      <c r="W437" s="548"/>
      <c r="X437" s="548"/>
      <c r="Y437" s="548"/>
      <c r="Z437" s="548"/>
      <c r="AA437" s="548"/>
      <c r="AB437" s="548"/>
      <c r="AC437" s="548"/>
      <c r="AD437" s="548"/>
      <c r="AE437" s="548"/>
      <c r="AF437" s="548"/>
      <c r="AG437" s="549"/>
      <c r="AH437" s="518"/>
    </row>
    <row r="438">
      <c r="A438" s="546"/>
      <c r="B438" s="547"/>
      <c r="C438" s="547"/>
      <c r="D438" s="547"/>
      <c r="E438" s="547"/>
      <c r="F438" s="547"/>
      <c r="G438" s="547"/>
      <c r="H438" s="547"/>
      <c r="I438" s="547"/>
      <c r="J438" s="547"/>
      <c r="K438" s="547"/>
      <c r="L438" s="547"/>
      <c r="M438" s="547"/>
      <c r="N438" s="548"/>
      <c r="O438" s="548"/>
      <c r="P438" s="548"/>
      <c r="Q438" s="548"/>
      <c r="R438" s="548"/>
      <c r="S438" s="548"/>
      <c r="T438" s="548"/>
      <c r="U438" s="548"/>
      <c r="V438" s="548"/>
      <c r="W438" s="548"/>
      <c r="X438" s="548"/>
      <c r="Y438" s="548"/>
      <c r="Z438" s="548"/>
      <c r="AA438" s="548"/>
      <c r="AB438" s="548"/>
      <c r="AC438" s="548"/>
      <c r="AD438" s="548"/>
      <c r="AE438" s="548"/>
      <c r="AF438" s="548"/>
      <c r="AG438" s="549"/>
      <c r="AH438" s="518"/>
    </row>
    <row r="439">
      <c r="A439" s="546"/>
      <c r="B439" s="547"/>
      <c r="C439" s="547"/>
      <c r="D439" s="547"/>
      <c r="E439" s="547"/>
      <c r="F439" s="547"/>
      <c r="G439" s="547"/>
      <c r="H439" s="547"/>
      <c r="I439" s="547"/>
      <c r="J439" s="547"/>
      <c r="K439" s="547"/>
      <c r="L439" s="547"/>
      <c r="M439" s="547"/>
      <c r="N439" s="548"/>
      <c r="O439" s="548"/>
      <c r="P439" s="548"/>
      <c r="Q439" s="548"/>
      <c r="R439" s="548"/>
      <c r="S439" s="548"/>
      <c r="T439" s="548"/>
      <c r="U439" s="548"/>
      <c r="V439" s="548"/>
      <c r="W439" s="548"/>
      <c r="X439" s="548"/>
      <c r="Y439" s="548"/>
      <c r="Z439" s="548"/>
      <c r="AA439" s="548"/>
      <c r="AB439" s="548"/>
      <c r="AC439" s="548"/>
      <c r="AD439" s="548"/>
      <c r="AE439" s="548"/>
      <c r="AF439" s="548"/>
      <c r="AG439" s="549"/>
      <c r="AH439" s="518"/>
    </row>
    <row r="440">
      <c r="A440" s="546"/>
      <c r="B440" s="547"/>
      <c r="C440" s="547"/>
      <c r="D440" s="547"/>
      <c r="E440" s="547"/>
      <c r="F440" s="547"/>
      <c r="G440" s="547"/>
      <c r="H440" s="547"/>
      <c r="I440" s="547"/>
      <c r="J440" s="547"/>
      <c r="K440" s="547"/>
      <c r="L440" s="547"/>
      <c r="M440" s="547"/>
      <c r="N440" s="548"/>
      <c r="O440" s="548"/>
      <c r="P440" s="548"/>
      <c r="Q440" s="548"/>
      <c r="R440" s="548"/>
      <c r="S440" s="548"/>
      <c r="T440" s="548"/>
      <c r="U440" s="548"/>
      <c r="V440" s="548"/>
      <c r="W440" s="548"/>
      <c r="X440" s="548"/>
      <c r="Y440" s="548"/>
      <c r="Z440" s="548"/>
      <c r="AA440" s="548"/>
      <c r="AB440" s="548"/>
      <c r="AC440" s="548"/>
      <c r="AD440" s="548"/>
      <c r="AE440" s="548"/>
      <c r="AF440" s="548"/>
      <c r="AG440" s="549"/>
      <c r="AH440" s="518"/>
    </row>
    <row r="441">
      <c r="A441" s="546"/>
      <c r="B441" s="547"/>
      <c r="C441" s="547"/>
      <c r="D441" s="547"/>
      <c r="E441" s="547"/>
      <c r="F441" s="547"/>
      <c r="G441" s="547"/>
      <c r="H441" s="547"/>
      <c r="I441" s="547"/>
      <c r="J441" s="547"/>
      <c r="K441" s="547"/>
      <c r="L441" s="547"/>
      <c r="M441" s="547"/>
      <c r="N441" s="548"/>
      <c r="O441" s="548"/>
      <c r="P441" s="548"/>
      <c r="Q441" s="548"/>
      <c r="R441" s="548"/>
      <c r="S441" s="548"/>
      <c r="T441" s="548"/>
      <c r="U441" s="548"/>
      <c r="V441" s="548"/>
      <c r="W441" s="548"/>
      <c r="X441" s="548"/>
      <c r="Y441" s="548"/>
      <c r="Z441" s="548"/>
      <c r="AA441" s="548"/>
      <c r="AB441" s="548"/>
      <c r="AC441" s="548"/>
      <c r="AD441" s="548"/>
      <c r="AE441" s="548"/>
      <c r="AF441" s="548"/>
      <c r="AG441" s="549"/>
      <c r="AH441" s="518"/>
    </row>
    <row r="442">
      <c r="A442" s="546"/>
      <c r="B442" s="547"/>
      <c r="C442" s="547"/>
      <c r="D442" s="547"/>
      <c r="E442" s="547"/>
      <c r="F442" s="547"/>
      <c r="G442" s="547"/>
      <c r="H442" s="547"/>
      <c r="I442" s="547"/>
      <c r="J442" s="547"/>
      <c r="K442" s="547"/>
      <c r="L442" s="547"/>
      <c r="M442" s="547"/>
      <c r="N442" s="548"/>
      <c r="O442" s="548"/>
      <c r="P442" s="548"/>
      <c r="Q442" s="548"/>
      <c r="R442" s="548"/>
      <c r="S442" s="548"/>
      <c r="T442" s="548"/>
      <c r="U442" s="548"/>
      <c r="V442" s="548"/>
      <c r="W442" s="548"/>
      <c r="X442" s="548"/>
      <c r="Y442" s="548"/>
      <c r="Z442" s="548"/>
      <c r="AA442" s="548"/>
      <c r="AB442" s="548"/>
      <c r="AC442" s="548"/>
      <c r="AD442" s="548"/>
      <c r="AE442" s="548"/>
      <c r="AF442" s="548"/>
      <c r="AG442" s="549"/>
      <c r="AH442" s="518"/>
    </row>
    <row r="443">
      <c r="A443" s="546"/>
      <c r="B443" s="547"/>
      <c r="C443" s="547"/>
      <c r="D443" s="547"/>
      <c r="E443" s="547"/>
      <c r="F443" s="547"/>
      <c r="G443" s="547"/>
      <c r="H443" s="547"/>
      <c r="I443" s="547"/>
      <c r="J443" s="547"/>
      <c r="K443" s="547"/>
      <c r="L443" s="547"/>
      <c r="M443" s="547"/>
      <c r="N443" s="548"/>
      <c r="O443" s="548"/>
      <c r="P443" s="548"/>
      <c r="Q443" s="548"/>
      <c r="R443" s="548"/>
      <c r="S443" s="548"/>
      <c r="T443" s="548"/>
      <c r="U443" s="548"/>
      <c r="V443" s="548"/>
      <c r="W443" s="548"/>
      <c r="X443" s="548"/>
      <c r="Y443" s="548"/>
      <c r="Z443" s="548"/>
      <c r="AA443" s="548"/>
      <c r="AB443" s="548"/>
      <c r="AC443" s="548"/>
      <c r="AD443" s="548"/>
      <c r="AE443" s="548"/>
      <c r="AF443" s="548"/>
      <c r="AG443" s="549"/>
      <c r="AH443" s="518"/>
    </row>
    <row r="444">
      <c r="A444" s="546"/>
      <c r="B444" s="547"/>
      <c r="C444" s="547"/>
      <c r="D444" s="547"/>
      <c r="E444" s="547"/>
      <c r="F444" s="547"/>
      <c r="G444" s="547"/>
      <c r="H444" s="547"/>
      <c r="I444" s="547"/>
      <c r="J444" s="547"/>
      <c r="K444" s="547"/>
      <c r="L444" s="547"/>
      <c r="M444" s="547"/>
      <c r="N444" s="548"/>
      <c r="O444" s="548"/>
      <c r="P444" s="548"/>
      <c r="Q444" s="548"/>
      <c r="R444" s="548"/>
      <c r="S444" s="548"/>
      <c r="T444" s="548"/>
      <c r="U444" s="548"/>
      <c r="V444" s="548"/>
      <c r="W444" s="548"/>
      <c r="X444" s="548"/>
      <c r="Y444" s="548"/>
      <c r="Z444" s="548"/>
      <c r="AA444" s="548"/>
      <c r="AB444" s="548"/>
      <c r="AC444" s="548"/>
      <c r="AD444" s="548"/>
      <c r="AE444" s="548"/>
      <c r="AF444" s="548"/>
      <c r="AG444" s="549"/>
      <c r="AH444" s="518"/>
    </row>
    <row r="445">
      <c r="A445" s="546"/>
      <c r="B445" s="547"/>
      <c r="C445" s="547"/>
      <c r="D445" s="547"/>
      <c r="E445" s="547"/>
      <c r="F445" s="547"/>
      <c r="G445" s="547"/>
      <c r="H445" s="547"/>
      <c r="I445" s="547"/>
      <c r="J445" s="547"/>
      <c r="K445" s="547"/>
      <c r="L445" s="547"/>
      <c r="M445" s="547"/>
      <c r="N445" s="548"/>
      <c r="O445" s="548"/>
      <c r="P445" s="548"/>
      <c r="Q445" s="548"/>
      <c r="R445" s="548"/>
      <c r="S445" s="548"/>
      <c r="T445" s="548"/>
      <c r="U445" s="548"/>
      <c r="V445" s="548"/>
      <c r="W445" s="548"/>
      <c r="X445" s="548"/>
      <c r="Y445" s="548"/>
      <c r="Z445" s="548"/>
      <c r="AA445" s="548"/>
      <c r="AB445" s="548"/>
      <c r="AC445" s="548"/>
      <c r="AD445" s="548"/>
      <c r="AE445" s="548"/>
      <c r="AF445" s="548"/>
      <c r="AG445" s="549"/>
      <c r="AH445" s="518"/>
    </row>
    <row r="446">
      <c r="A446" s="546"/>
      <c r="B446" s="547"/>
      <c r="C446" s="547"/>
      <c r="D446" s="547"/>
      <c r="E446" s="547"/>
      <c r="F446" s="547"/>
      <c r="G446" s="547"/>
      <c r="H446" s="547"/>
      <c r="I446" s="547"/>
      <c r="J446" s="547"/>
      <c r="K446" s="547"/>
      <c r="L446" s="547"/>
      <c r="M446" s="547"/>
      <c r="N446" s="548"/>
      <c r="O446" s="548"/>
      <c r="P446" s="548"/>
      <c r="Q446" s="548"/>
      <c r="R446" s="548"/>
      <c r="S446" s="548"/>
      <c r="T446" s="548"/>
      <c r="U446" s="548"/>
      <c r="V446" s="548"/>
      <c r="W446" s="548"/>
      <c r="X446" s="548"/>
      <c r="Y446" s="548"/>
      <c r="Z446" s="548"/>
      <c r="AA446" s="548"/>
      <c r="AB446" s="548"/>
      <c r="AC446" s="548"/>
      <c r="AD446" s="548"/>
      <c r="AE446" s="548"/>
      <c r="AF446" s="548"/>
      <c r="AG446" s="549"/>
      <c r="AH446" s="518"/>
    </row>
    <row r="447">
      <c r="A447" s="546"/>
      <c r="B447" s="547"/>
      <c r="C447" s="547"/>
      <c r="D447" s="547"/>
      <c r="E447" s="547"/>
      <c r="F447" s="547"/>
      <c r="G447" s="547"/>
      <c r="H447" s="547"/>
      <c r="I447" s="547"/>
      <c r="J447" s="547"/>
      <c r="K447" s="547"/>
      <c r="L447" s="547"/>
      <c r="M447" s="547"/>
      <c r="N447" s="548"/>
      <c r="O447" s="548"/>
      <c r="P447" s="548"/>
      <c r="Q447" s="548"/>
      <c r="R447" s="548"/>
      <c r="S447" s="548"/>
      <c r="T447" s="548"/>
      <c r="U447" s="548"/>
      <c r="V447" s="548"/>
      <c r="W447" s="548"/>
      <c r="X447" s="548"/>
      <c r="Y447" s="548"/>
      <c r="Z447" s="548"/>
      <c r="AA447" s="548"/>
      <c r="AB447" s="548"/>
      <c r="AC447" s="548"/>
      <c r="AD447" s="548"/>
      <c r="AE447" s="548"/>
      <c r="AF447" s="548"/>
      <c r="AG447" s="549"/>
      <c r="AH447" s="518"/>
    </row>
    <row r="448">
      <c r="A448" s="546"/>
      <c r="B448" s="547"/>
      <c r="C448" s="547"/>
      <c r="D448" s="547"/>
      <c r="E448" s="547"/>
      <c r="F448" s="547"/>
      <c r="G448" s="547"/>
      <c r="H448" s="547"/>
      <c r="I448" s="547"/>
      <c r="J448" s="547"/>
      <c r="K448" s="547"/>
      <c r="L448" s="547"/>
      <c r="M448" s="547"/>
      <c r="N448" s="548"/>
      <c r="O448" s="548"/>
      <c r="P448" s="548"/>
      <c r="Q448" s="548"/>
      <c r="R448" s="548"/>
      <c r="S448" s="548"/>
      <c r="T448" s="548"/>
      <c r="U448" s="548"/>
      <c r="V448" s="548"/>
      <c r="W448" s="548"/>
      <c r="X448" s="548"/>
      <c r="Y448" s="548"/>
      <c r="Z448" s="548"/>
      <c r="AA448" s="548"/>
      <c r="AB448" s="548"/>
      <c r="AC448" s="548"/>
      <c r="AD448" s="548"/>
      <c r="AE448" s="548"/>
      <c r="AF448" s="548"/>
      <c r="AG448" s="549"/>
      <c r="AH448" s="518"/>
    </row>
    <row r="449">
      <c r="A449" s="546"/>
      <c r="B449" s="547"/>
      <c r="C449" s="547"/>
      <c r="D449" s="547"/>
      <c r="E449" s="547"/>
      <c r="F449" s="547"/>
      <c r="G449" s="547"/>
      <c r="H449" s="547"/>
      <c r="I449" s="547"/>
      <c r="J449" s="547"/>
      <c r="K449" s="547"/>
      <c r="L449" s="547"/>
      <c r="M449" s="547"/>
      <c r="N449" s="548"/>
      <c r="O449" s="548"/>
      <c r="P449" s="548"/>
      <c r="Q449" s="548"/>
      <c r="R449" s="548"/>
      <c r="S449" s="548"/>
      <c r="T449" s="548"/>
      <c r="U449" s="548"/>
      <c r="V449" s="548"/>
      <c r="W449" s="548"/>
      <c r="X449" s="548"/>
      <c r="Y449" s="548"/>
      <c r="Z449" s="548"/>
      <c r="AA449" s="548"/>
      <c r="AB449" s="548"/>
      <c r="AC449" s="548"/>
      <c r="AD449" s="548"/>
      <c r="AE449" s="548"/>
      <c r="AF449" s="548"/>
      <c r="AG449" s="549"/>
      <c r="AH449" s="518"/>
    </row>
    <row r="450">
      <c r="A450" s="546"/>
      <c r="B450" s="547"/>
      <c r="C450" s="547"/>
      <c r="D450" s="547"/>
      <c r="E450" s="547"/>
      <c r="F450" s="547"/>
      <c r="G450" s="547"/>
      <c r="H450" s="547"/>
      <c r="I450" s="547"/>
      <c r="J450" s="547"/>
      <c r="K450" s="547"/>
      <c r="L450" s="547"/>
      <c r="M450" s="547"/>
      <c r="N450" s="548"/>
      <c r="O450" s="548"/>
      <c r="P450" s="548"/>
      <c r="Q450" s="548"/>
      <c r="R450" s="548"/>
      <c r="S450" s="548"/>
      <c r="T450" s="548"/>
      <c r="U450" s="548"/>
      <c r="V450" s="548"/>
      <c r="W450" s="548"/>
      <c r="X450" s="548"/>
      <c r="Y450" s="548"/>
      <c r="Z450" s="548"/>
      <c r="AA450" s="548"/>
      <c r="AB450" s="548"/>
      <c r="AC450" s="548"/>
      <c r="AD450" s="548"/>
      <c r="AE450" s="548"/>
      <c r="AF450" s="548"/>
      <c r="AG450" s="549"/>
      <c r="AH450" s="518"/>
    </row>
    <row r="451">
      <c r="A451" s="546"/>
      <c r="B451" s="547"/>
      <c r="C451" s="547"/>
      <c r="D451" s="547"/>
      <c r="E451" s="547"/>
      <c r="F451" s="547"/>
      <c r="G451" s="547"/>
      <c r="H451" s="547"/>
      <c r="I451" s="547"/>
      <c r="J451" s="547"/>
      <c r="K451" s="547"/>
      <c r="L451" s="547"/>
      <c r="M451" s="547"/>
      <c r="N451" s="548"/>
      <c r="O451" s="548"/>
      <c r="P451" s="548"/>
      <c r="Q451" s="548"/>
      <c r="R451" s="548"/>
      <c r="S451" s="548"/>
      <c r="T451" s="548"/>
      <c r="U451" s="548"/>
      <c r="V451" s="548"/>
      <c r="W451" s="548"/>
      <c r="X451" s="548"/>
      <c r="Y451" s="548"/>
      <c r="Z451" s="548"/>
      <c r="AA451" s="548"/>
      <c r="AB451" s="548"/>
      <c r="AC451" s="548"/>
      <c r="AD451" s="548"/>
      <c r="AE451" s="548"/>
      <c r="AF451" s="548"/>
      <c r="AG451" s="549"/>
      <c r="AH451" s="518"/>
    </row>
    <row r="452">
      <c r="A452" s="546"/>
      <c r="B452" s="547"/>
      <c r="C452" s="547"/>
      <c r="D452" s="547"/>
      <c r="E452" s="547"/>
      <c r="F452" s="547"/>
      <c r="G452" s="547"/>
      <c r="H452" s="547"/>
      <c r="I452" s="547"/>
      <c r="J452" s="547"/>
      <c r="K452" s="547"/>
      <c r="L452" s="547"/>
      <c r="M452" s="547"/>
      <c r="N452" s="548"/>
      <c r="O452" s="548"/>
      <c r="P452" s="548"/>
      <c r="Q452" s="548"/>
      <c r="R452" s="548"/>
      <c r="S452" s="548"/>
      <c r="T452" s="548"/>
      <c r="U452" s="548"/>
      <c r="V452" s="548"/>
      <c r="W452" s="548"/>
      <c r="X452" s="548"/>
      <c r="Y452" s="548"/>
      <c r="Z452" s="548"/>
      <c r="AA452" s="548"/>
      <c r="AB452" s="548"/>
      <c r="AC452" s="548"/>
      <c r="AD452" s="548"/>
      <c r="AE452" s="548"/>
      <c r="AF452" s="548"/>
      <c r="AG452" s="549"/>
      <c r="AH452" s="518"/>
    </row>
    <row r="453">
      <c r="A453" s="546"/>
      <c r="B453" s="547"/>
      <c r="C453" s="547"/>
      <c r="D453" s="547"/>
      <c r="E453" s="547"/>
      <c r="F453" s="547"/>
      <c r="G453" s="547"/>
      <c r="H453" s="547"/>
      <c r="I453" s="547"/>
      <c r="J453" s="547"/>
      <c r="K453" s="547"/>
      <c r="L453" s="547"/>
      <c r="M453" s="547"/>
      <c r="N453" s="548"/>
      <c r="O453" s="548"/>
      <c r="P453" s="548"/>
      <c r="Q453" s="548"/>
      <c r="R453" s="548"/>
      <c r="S453" s="548"/>
      <c r="T453" s="548"/>
      <c r="U453" s="548"/>
      <c r="V453" s="548"/>
      <c r="W453" s="548"/>
      <c r="X453" s="548"/>
      <c r="Y453" s="548"/>
      <c r="Z453" s="548"/>
      <c r="AA453" s="548"/>
      <c r="AB453" s="548"/>
      <c r="AC453" s="548"/>
      <c r="AD453" s="548"/>
      <c r="AE453" s="548"/>
      <c r="AF453" s="548"/>
      <c r="AG453" s="549"/>
      <c r="AH453" s="518"/>
    </row>
    <row r="454">
      <c r="A454" s="546"/>
      <c r="B454" s="547"/>
      <c r="C454" s="547"/>
      <c r="D454" s="547"/>
      <c r="E454" s="547"/>
      <c r="F454" s="547"/>
      <c r="G454" s="547"/>
      <c r="H454" s="547"/>
      <c r="I454" s="547"/>
      <c r="J454" s="547"/>
      <c r="K454" s="547"/>
      <c r="L454" s="547"/>
      <c r="M454" s="547"/>
      <c r="N454" s="548"/>
      <c r="O454" s="548"/>
      <c r="P454" s="548"/>
      <c r="Q454" s="548"/>
      <c r="R454" s="548"/>
      <c r="S454" s="548"/>
      <c r="T454" s="548"/>
      <c r="U454" s="548"/>
      <c r="V454" s="548"/>
      <c r="W454" s="548"/>
      <c r="X454" s="548"/>
      <c r="Y454" s="548"/>
      <c r="Z454" s="548"/>
      <c r="AA454" s="548"/>
      <c r="AB454" s="548"/>
      <c r="AC454" s="548"/>
      <c r="AD454" s="548"/>
      <c r="AE454" s="548"/>
      <c r="AF454" s="548"/>
      <c r="AG454" s="549"/>
      <c r="AH454" s="518"/>
    </row>
    <row r="455">
      <c r="A455" s="546"/>
      <c r="B455" s="547"/>
      <c r="C455" s="547"/>
      <c r="D455" s="547"/>
      <c r="E455" s="547"/>
      <c r="F455" s="547"/>
      <c r="G455" s="547"/>
      <c r="H455" s="547"/>
      <c r="I455" s="547"/>
      <c r="J455" s="547"/>
      <c r="K455" s="547"/>
      <c r="L455" s="547"/>
      <c r="M455" s="547"/>
      <c r="N455" s="548"/>
      <c r="O455" s="548"/>
      <c r="P455" s="548"/>
      <c r="Q455" s="548"/>
      <c r="R455" s="548"/>
      <c r="S455" s="548"/>
      <c r="T455" s="548"/>
      <c r="U455" s="548"/>
      <c r="V455" s="548"/>
      <c r="W455" s="548"/>
      <c r="X455" s="548"/>
      <c r="Y455" s="548"/>
      <c r="Z455" s="548"/>
      <c r="AA455" s="548"/>
      <c r="AB455" s="548"/>
      <c r="AC455" s="548"/>
      <c r="AD455" s="548"/>
      <c r="AE455" s="548"/>
      <c r="AF455" s="548"/>
      <c r="AG455" s="549"/>
      <c r="AH455" s="518"/>
    </row>
    <row r="456">
      <c r="A456" s="546"/>
      <c r="B456" s="547"/>
      <c r="C456" s="547"/>
      <c r="D456" s="547"/>
      <c r="E456" s="547"/>
      <c r="F456" s="547"/>
      <c r="G456" s="547"/>
      <c r="H456" s="547"/>
      <c r="I456" s="547"/>
      <c r="J456" s="547"/>
      <c r="K456" s="547"/>
      <c r="L456" s="547"/>
      <c r="M456" s="547"/>
      <c r="N456" s="548"/>
      <c r="O456" s="548"/>
      <c r="P456" s="548"/>
      <c r="Q456" s="548"/>
      <c r="R456" s="548"/>
      <c r="S456" s="548"/>
      <c r="T456" s="548"/>
      <c r="U456" s="548"/>
      <c r="V456" s="548"/>
      <c r="W456" s="548"/>
      <c r="X456" s="548"/>
      <c r="Y456" s="548"/>
      <c r="Z456" s="548"/>
      <c r="AA456" s="548"/>
      <c r="AB456" s="548"/>
      <c r="AC456" s="548"/>
      <c r="AD456" s="548"/>
      <c r="AE456" s="548"/>
      <c r="AF456" s="548"/>
      <c r="AG456" s="549"/>
      <c r="AH456" s="518"/>
    </row>
    <row r="457">
      <c r="A457" s="546"/>
      <c r="B457" s="547"/>
      <c r="C457" s="547"/>
      <c r="D457" s="547"/>
      <c r="E457" s="547"/>
      <c r="F457" s="547"/>
      <c r="G457" s="547"/>
      <c r="H457" s="547"/>
      <c r="I457" s="547"/>
      <c r="J457" s="547"/>
      <c r="K457" s="547"/>
      <c r="L457" s="547"/>
      <c r="M457" s="547"/>
      <c r="N457" s="548"/>
      <c r="O457" s="548"/>
      <c r="P457" s="548"/>
      <c r="Q457" s="548"/>
      <c r="R457" s="548"/>
      <c r="S457" s="548"/>
      <c r="T457" s="548"/>
      <c r="U457" s="548"/>
      <c r="V457" s="548"/>
      <c r="W457" s="548"/>
      <c r="X457" s="548"/>
      <c r="Y457" s="548"/>
      <c r="Z457" s="548"/>
      <c r="AA457" s="548"/>
      <c r="AB457" s="548"/>
      <c r="AC457" s="548"/>
      <c r="AD457" s="548"/>
      <c r="AE457" s="548"/>
      <c r="AF457" s="548"/>
      <c r="AG457" s="549"/>
      <c r="AH457" s="518"/>
    </row>
    <row r="458">
      <c r="A458" s="546"/>
      <c r="B458" s="547"/>
      <c r="C458" s="547"/>
      <c r="D458" s="547"/>
      <c r="E458" s="547"/>
      <c r="F458" s="547"/>
      <c r="G458" s="547"/>
      <c r="H458" s="547"/>
      <c r="I458" s="547"/>
      <c r="J458" s="547"/>
      <c r="K458" s="547"/>
      <c r="L458" s="547"/>
      <c r="M458" s="547"/>
      <c r="N458" s="548"/>
      <c r="O458" s="548"/>
      <c r="P458" s="548"/>
      <c r="Q458" s="548"/>
      <c r="R458" s="548"/>
      <c r="S458" s="548"/>
      <c r="T458" s="548"/>
      <c r="U458" s="548"/>
      <c r="V458" s="548"/>
      <c r="W458" s="548"/>
      <c r="X458" s="548"/>
      <c r="Y458" s="548"/>
      <c r="Z458" s="548"/>
      <c r="AA458" s="548"/>
      <c r="AB458" s="548"/>
      <c r="AC458" s="548"/>
      <c r="AD458" s="548"/>
      <c r="AE458" s="548"/>
      <c r="AF458" s="548"/>
      <c r="AG458" s="549"/>
      <c r="AH458" s="518"/>
    </row>
    <row r="459">
      <c r="A459" s="546"/>
      <c r="B459" s="547"/>
      <c r="C459" s="547"/>
      <c r="D459" s="547"/>
      <c r="E459" s="547"/>
      <c r="F459" s="547"/>
      <c r="G459" s="547"/>
      <c r="H459" s="547"/>
      <c r="I459" s="547"/>
      <c r="J459" s="547"/>
      <c r="K459" s="547"/>
      <c r="L459" s="547"/>
      <c r="M459" s="547"/>
      <c r="N459" s="548"/>
      <c r="O459" s="548"/>
      <c r="P459" s="548"/>
      <c r="Q459" s="548"/>
      <c r="R459" s="548"/>
      <c r="S459" s="548"/>
      <c r="T459" s="548"/>
      <c r="U459" s="548"/>
      <c r="V459" s="548"/>
      <c r="W459" s="548"/>
      <c r="X459" s="548"/>
      <c r="Y459" s="548"/>
      <c r="Z459" s="548"/>
      <c r="AA459" s="548"/>
      <c r="AB459" s="548"/>
      <c r="AC459" s="548"/>
      <c r="AD459" s="548"/>
      <c r="AE459" s="548"/>
      <c r="AF459" s="548"/>
      <c r="AG459" s="549"/>
      <c r="AH459" s="518"/>
    </row>
    <row r="460">
      <c r="A460" s="546"/>
      <c r="B460" s="547"/>
      <c r="C460" s="547"/>
      <c r="D460" s="547"/>
      <c r="E460" s="547"/>
      <c r="F460" s="547"/>
      <c r="G460" s="547"/>
      <c r="H460" s="547"/>
      <c r="I460" s="547"/>
      <c r="J460" s="547"/>
      <c r="K460" s="547"/>
      <c r="L460" s="547"/>
      <c r="M460" s="547"/>
      <c r="N460" s="548"/>
      <c r="O460" s="548"/>
      <c r="P460" s="548"/>
      <c r="Q460" s="548"/>
      <c r="R460" s="548"/>
      <c r="S460" s="548"/>
      <c r="T460" s="548"/>
      <c r="U460" s="548"/>
      <c r="V460" s="548"/>
      <c r="W460" s="548"/>
      <c r="X460" s="548"/>
      <c r="Y460" s="548"/>
      <c r="Z460" s="548"/>
      <c r="AA460" s="548"/>
      <c r="AB460" s="548"/>
      <c r="AC460" s="548"/>
      <c r="AD460" s="548"/>
      <c r="AE460" s="548"/>
      <c r="AF460" s="548"/>
      <c r="AG460" s="549"/>
      <c r="AH460" s="518"/>
    </row>
    <row r="461">
      <c r="A461" s="546"/>
      <c r="B461" s="547"/>
      <c r="C461" s="547"/>
      <c r="D461" s="547"/>
      <c r="E461" s="547"/>
      <c r="F461" s="547"/>
      <c r="G461" s="547"/>
      <c r="H461" s="547"/>
      <c r="I461" s="547"/>
      <c r="J461" s="547"/>
      <c r="K461" s="547"/>
      <c r="L461" s="547"/>
      <c r="M461" s="547"/>
      <c r="N461" s="548"/>
      <c r="O461" s="548"/>
      <c r="P461" s="548"/>
      <c r="Q461" s="548"/>
      <c r="R461" s="548"/>
      <c r="S461" s="548"/>
      <c r="T461" s="548"/>
      <c r="U461" s="548"/>
      <c r="V461" s="548"/>
      <c r="W461" s="548"/>
      <c r="X461" s="548"/>
      <c r="Y461" s="548"/>
      <c r="Z461" s="548"/>
      <c r="AA461" s="548"/>
      <c r="AB461" s="548"/>
      <c r="AC461" s="548"/>
      <c r="AD461" s="548"/>
      <c r="AE461" s="548"/>
      <c r="AF461" s="548"/>
      <c r="AG461" s="549"/>
      <c r="AH461" s="518"/>
    </row>
    <row r="462">
      <c r="A462" s="546"/>
      <c r="B462" s="547"/>
      <c r="C462" s="547"/>
      <c r="D462" s="547"/>
      <c r="E462" s="547"/>
      <c r="F462" s="547"/>
      <c r="G462" s="547"/>
      <c r="H462" s="547"/>
      <c r="I462" s="547"/>
      <c r="J462" s="547"/>
      <c r="K462" s="547"/>
      <c r="L462" s="547"/>
      <c r="M462" s="547"/>
      <c r="N462" s="548"/>
      <c r="O462" s="548"/>
      <c r="P462" s="548"/>
      <c r="Q462" s="548"/>
      <c r="R462" s="548"/>
      <c r="S462" s="548"/>
      <c r="T462" s="548"/>
      <c r="U462" s="548"/>
      <c r="V462" s="548"/>
      <c r="W462" s="548"/>
      <c r="X462" s="548"/>
      <c r="Y462" s="548"/>
      <c r="Z462" s="548"/>
      <c r="AA462" s="548"/>
      <c r="AB462" s="548"/>
      <c r="AC462" s="548"/>
      <c r="AD462" s="548"/>
      <c r="AE462" s="548"/>
      <c r="AF462" s="548"/>
      <c r="AG462" s="549"/>
      <c r="AH462" s="518"/>
    </row>
    <row r="463">
      <c r="A463" s="546"/>
      <c r="B463" s="547"/>
      <c r="C463" s="547"/>
      <c r="D463" s="547"/>
      <c r="E463" s="547"/>
      <c r="F463" s="547"/>
      <c r="G463" s="547"/>
      <c r="H463" s="547"/>
      <c r="I463" s="547"/>
      <c r="J463" s="547"/>
      <c r="K463" s="547"/>
      <c r="L463" s="547"/>
      <c r="M463" s="547"/>
      <c r="N463" s="548"/>
      <c r="O463" s="548"/>
      <c r="P463" s="548"/>
      <c r="Q463" s="548"/>
      <c r="R463" s="548"/>
      <c r="S463" s="548"/>
      <c r="T463" s="548"/>
      <c r="U463" s="548"/>
      <c r="V463" s="548"/>
      <c r="W463" s="548"/>
      <c r="X463" s="548"/>
      <c r="Y463" s="548"/>
      <c r="Z463" s="548"/>
      <c r="AA463" s="548"/>
      <c r="AB463" s="548"/>
      <c r="AC463" s="548"/>
      <c r="AD463" s="548"/>
      <c r="AE463" s="548"/>
      <c r="AF463" s="548"/>
      <c r="AG463" s="549"/>
      <c r="AH463" s="518"/>
    </row>
    <row r="464">
      <c r="A464" s="546"/>
      <c r="B464" s="547"/>
      <c r="C464" s="547"/>
      <c r="D464" s="547"/>
      <c r="E464" s="547"/>
      <c r="F464" s="547"/>
      <c r="G464" s="547"/>
      <c r="H464" s="547"/>
      <c r="I464" s="547"/>
      <c r="J464" s="547"/>
      <c r="K464" s="547"/>
      <c r="L464" s="547"/>
      <c r="M464" s="547"/>
      <c r="N464" s="548"/>
      <c r="O464" s="548"/>
      <c r="P464" s="548"/>
      <c r="Q464" s="548"/>
      <c r="R464" s="548"/>
      <c r="S464" s="548"/>
      <c r="T464" s="548"/>
      <c r="U464" s="548"/>
      <c r="V464" s="548"/>
      <c r="W464" s="548"/>
      <c r="X464" s="548"/>
      <c r="Y464" s="548"/>
      <c r="Z464" s="548"/>
      <c r="AA464" s="548"/>
      <c r="AB464" s="548"/>
      <c r="AC464" s="548"/>
      <c r="AD464" s="548"/>
      <c r="AE464" s="548"/>
      <c r="AF464" s="548"/>
      <c r="AG464" s="549"/>
      <c r="AH464" s="518"/>
    </row>
    <row r="465">
      <c r="A465" s="546"/>
      <c r="B465" s="547"/>
      <c r="C465" s="547"/>
      <c r="D465" s="547"/>
      <c r="E465" s="547"/>
      <c r="F465" s="547"/>
      <c r="G465" s="547"/>
      <c r="H465" s="547"/>
      <c r="I465" s="547"/>
      <c r="J465" s="547"/>
      <c r="K465" s="547"/>
      <c r="L465" s="547"/>
      <c r="M465" s="547"/>
      <c r="N465" s="548"/>
      <c r="O465" s="548"/>
      <c r="P465" s="548"/>
      <c r="Q465" s="548"/>
      <c r="R465" s="548"/>
      <c r="S465" s="548"/>
      <c r="T465" s="548"/>
      <c r="U465" s="548"/>
      <c r="V465" s="548"/>
      <c r="W465" s="548"/>
      <c r="X465" s="548"/>
      <c r="Y465" s="548"/>
      <c r="Z465" s="548"/>
      <c r="AA465" s="548"/>
      <c r="AB465" s="548"/>
      <c r="AC465" s="548"/>
      <c r="AD465" s="548"/>
      <c r="AE465" s="548"/>
      <c r="AF465" s="548"/>
      <c r="AG465" s="549"/>
      <c r="AH465" s="518"/>
    </row>
    <row r="466">
      <c r="A466" s="546"/>
      <c r="B466" s="547"/>
      <c r="C466" s="547"/>
      <c r="D466" s="547"/>
      <c r="E466" s="547"/>
      <c r="F466" s="547"/>
      <c r="G466" s="547"/>
      <c r="H466" s="547"/>
      <c r="I466" s="547"/>
      <c r="J466" s="547"/>
      <c r="K466" s="547"/>
      <c r="L466" s="547"/>
      <c r="M466" s="547"/>
      <c r="N466" s="548"/>
      <c r="O466" s="548"/>
      <c r="P466" s="548"/>
      <c r="Q466" s="548"/>
      <c r="R466" s="548"/>
      <c r="S466" s="548"/>
      <c r="T466" s="548"/>
      <c r="U466" s="548"/>
      <c r="V466" s="548"/>
      <c r="W466" s="548"/>
      <c r="X466" s="548"/>
      <c r="Y466" s="548"/>
      <c r="Z466" s="548"/>
      <c r="AA466" s="548"/>
      <c r="AB466" s="548"/>
      <c r="AC466" s="548"/>
      <c r="AD466" s="548"/>
      <c r="AE466" s="548"/>
      <c r="AF466" s="548"/>
      <c r="AG466" s="549"/>
      <c r="AH466" s="518"/>
    </row>
    <row r="467">
      <c r="A467" s="546"/>
      <c r="B467" s="547"/>
      <c r="C467" s="547"/>
      <c r="D467" s="547"/>
      <c r="E467" s="547"/>
      <c r="F467" s="547"/>
      <c r="G467" s="547"/>
      <c r="H467" s="547"/>
      <c r="I467" s="547"/>
      <c r="J467" s="547"/>
      <c r="K467" s="547"/>
      <c r="L467" s="547"/>
      <c r="M467" s="547"/>
      <c r="N467" s="548"/>
      <c r="O467" s="548"/>
      <c r="P467" s="548"/>
      <c r="Q467" s="548"/>
      <c r="R467" s="548"/>
      <c r="S467" s="548"/>
      <c r="T467" s="548"/>
      <c r="U467" s="548"/>
      <c r="V467" s="548"/>
      <c r="W467" s="548"/>
      <c r="X467" s="548"/>
      <c r="Y467" s="548"/>
      <c r="Z467" s="548"/>
      <c r="AA467" s="548"/>
      <c r="AB467" s="548"/>
      <c r="AC467" s="548"/>
      <c r="AD467" s="548"/>
      <c r="AE467" s="548"/>
      <c r="AF467" s="548"/>
      <c r="AG467" s="549"/>
      <c r="AH467" s="518"/>
    </row>
    <row r="468">
      <c r="A468" s="546"/>
      <c r="B468" s="547"/>
      <c r="C468" s="547"/>
      <c r="D468" s="547"/>
      <c r="E468" s="547"/>
      <c r="F468" s="547"/>
      <c r="G468" s="547"/>
      <c r="H468" s="547"/>
      <c r="I468" s="547"/>
      <c r="J468" s="547"/>
      <c r="K468" s="547"/>
      <c r="L468" s="547"/>
      <c r="M468" s="547"/>
      <c r="N468" s="548"/>
      <c r="O468" s="548"/>
      <c r="P468" s="548"/>
      <c r="Q468" s="548"/>
      <c r="R468" s="548"/>
      <c r="S468" s="548"/>
      <c r="T468" s="548"/>
      <c r="U468" s="548"/>
      <c r="V468" s="548"/>
      <c r="W468" s="548"/>
      <c r="X468" s="548"/>
      <c r="Y468" s="548"/>
      <c r="Z468" s="548"/>
      <c r="AA468" s="548"/>
      <c r="AB468" s="548"/>
      <c r="AC468" s="548"/>
      <c r="AD468" s="548"/>
      <c r="AE468" s="548"/>
      <c r="AF468" s="548"/>
      <c r="AG468" s="549"/>
      <c r="AH468" s="518"/>
    </row>
    <row r="469">
      <c r="A469" s="546"/>
      <c r="B469" s="547"/>
      <c r="C469" s="547"/>
      <c r="D469" s="547"/>
      <c r="E469" s="547"/>
      <c r="F469" s="547"/>
      <c r="G469" s="547"/>
      <c r="H469" s="547"/>
      <c r="I469" s="547"/>
      <c r="J469" s="547"/>
      <c r="K469" s="547"/>
      <c r="L469" s="547"/>
      <c r="M469" s="547"/>
      <c r="N469" s="548"/>
      <c r="O469" s="548"/>
      <c r="P469" s="548"/>
      <c r="Q469" s="548"/>
      <c r="R469" s="548"/>
      <c r="S469" s="548"/>
      <c r="T469" s="548"/>
      <c r="U469" s="548"/>
      <c r="V469" s="548"/>
      <c r="W469" s="548"/>
      <c r="X469" s="548"/>
      <c r="Y469" s="548"/>
      <c r="Z469" s="548"/>
      <c r="AA469" s="548"/>
      <c r="AB469" s="548"/>
      <c r="AC469" s="548"/>
      <c r="AD469" s="548"/>
      <c r="AE469" s="548"/>
      <c r="AF469" s="548"/>
      <c r="AG469" s="549"/>
      <c r="AH469" s="518"/>
    </row>
    <row r="470">
      <c r="A470" s="546"/>
      <c r="B470" s="547"/>
      <c r="C470" s="547"/>
      <c r="D470" s="547"/>
      <c r="E470" s="547"/>
      <c r="F470" s="547"/>
      <c r="G470" s="547"/>
      <c r="H470" s="547"/>
      <c r="I470" s="547"/>
      <c r="J470" s="547"/>
      <c r="K470" s="547"/>
      <c r="L470" s="547"/>
      <c r="M470" s="547"/>
      <c r="N470" s="548"/>
      <c r="O470" s="548"/>
      <c r="P470" s="548"/>
      <c r="Q470" s="548"/>
      <c r="R470" s="548"/>
      <c r="S470" s="548"/>
      <c r="T470" s="548"/>
      <c r="U470" s="548"/>
      <c r="V470" s="548"/>
      <c r="W470" s="548"/>
      <c r="X470" s="548"/>
      <c r="Y470" s="548"/>
      <c r="Z470" s="548"/>
      <c r="AA470" s="548"/>
      <c r="AB470" s="548"/>
      <c r="AC470" s="548"/>
      <c r="AD470" s="548"/>
      <c r="AE470" s="548"/>
      <c r="AF470" s="548"/>
      <c r="AG470" s="549"/>
      <c r="AH470" s="518"/>
    </row>
    <row r="471">
      <c r="A471" s="546"/>
      <c r="B471" s="547"/>
      <c r="C471" s="547"/>
      <c r="D471" s="547"/>
      <c r="E471" s="547"/>
      <c r="F471" s="547"/>
      <c r="G471" s="547"/>
      <c r="H471" s="547"/>
      <c r="I471" s="547"/>
      <c r="J471" s="547"/>
      <c r="K471" s="547"/>
      <c r="L471" s="547"/>
      <c r="M471" s="547"/>
      <c r="N471" s="548"/>
      <c r="O471" s="548"/>
      <c r="P471" s="548"/>
      <c r="Q471" s="548"/>
      <c r="R471" s="548"/>
      <c r="S471" s="548"/>
      <c r="T471" s="548"/>
      <c r="U471" s="548"/>
      <c r="V471" s="548"/>
      <c r="W471" s="548"/>
      <c r="X471" s="548"/>
      <c r="Y471" s="548"/>
      <c r="Z471" s="548"/>
      <c r="AA471" s="548"/>
      <c r="AB471" s="548"/>
      <c r="AC471" s="548"/>
      <c r="AD471" s="548"/>
      <c r="AE471" s="548"/>
      <c r="AF471" s="548"/>
      <c r="AG471" s="549"/>
      <c r="AH471" s="518"/>
    </row>
    <row r="472">
      <c r="A472" s="546"/>
      <c r="B472" s="547"/>
      <c r="C472" s="547"/>
      <c r="D472" s="547"/>
      <c r="E472" s="547"/>
      <c r="F472" s="547"/>
      <c r="G472" s="547"/>
      <c r="H472" s="547"/>
      <c r="I472" s="547"/>
      <c r="J472" s="547"/>
      <c r="K472" s="547"/>
      <c r="L472" s="547"/>
      <c r="M472" s="547"/>
      <c r="N472" s="548"/>
      <c r="O472" s="548"/>
      <c r="P472" s="548"/>
      <c r="Q472" s="548"/>
      <c r="R472" s="548"/>
      <c r="S472" s="548"/>
      <c r="T472" s="548"/>
      <c r="U472" s="548"/>
      <c r="V472" s="548"/>
      <c r="W472" s="548"/>
      <c r="X472" s="548"/>
      <c r="Y472" s="548"/>
      <c r="Z472" s="548"/>
      <c r="AA472" s="548"/>
      <c r="AB472" s="548"/>
      <c r="AC472" s="548"/>
      <c r="AD472" s="548"/>
      <c r="AE472" s="548"/>
      <c r="AF472" s="548"/>
      <c r="AG472" s="549"/>
      <c r="AH472" s="518"/>
    </row>
    <row r="473">
      <c r="A473" s="546"/>
      <c r="B473" s="547"/>
      <c r="C473" s="547"/>
      <c r="D473" s="547"/>
      <c r="E473" s="547"/>
      <c r="F473" s="547"/>
      <c r="G473" s="547"/>
      <c r="H473" s="547"/>
      <c r="I473" s="547"/>
      <c r="J473" s="547"/>
      <c r="K473" s="547"/>
      <c r="L473" s="547"/>
      <c r="M473" s="547"/>
      <c r="N473" s="548"/>
      <c r="O473" s="548"/>
      <c r="P473" s="548"/>
      <c r="Q473" s="548"/>
      <c r="R473" s="548"/>
      <c r="S473" s="548"/>
      <c r="T473" s="548"/>
      <c r="U473" s="548"/>
      <c r="V473" s="548"/>
      <c r="W473" s="548"/>
      <c r="X473" s="548"/>
      <c r="Y473" s="548"/>
      <c r="Z473" s="548"/>
      <c r="AA473" s="548"/>
      <c r="AB473" s="548"/>
      <c r="AC473" s="548"/>
      <c r="AD473" s="548"/>
      <c r="AE473" s="548"/>
      <c r="AF473" s="548"/>
      <c r="AG473" s="549"/>
      <c r="AH473" s="518"/>
    </row>
    <row r="474">
      <c r="A474" s="546"/>
      <c r="B474" s="547"/>
      <c r="C474" s="547"/>
      <c r="D474" s="547"/>
      <c r="E474" s="547"/>
      <c r="F474" s="547"/>
      <c r="G474" s="547"/>
      <c r="H474" s="547"/>
      <c r="I474" s="547"/>
      <c r="J474" s="547"/>
      <c r="K474" s="547"/>
      <c r="L474" s="547"/>
      <c r="M474" s="547"/>
      <c r="N474" s="548"/>
      <c r="O474" s="548"/>
      <c r="P474" s="548"/>
      <c r="Q474" s="548"/>
      <c r="R474" s="548"/>
      <c r="S474" s="548"/>
      <c r="T474" s="548"/>
      <c r="U474" s="548"/>
      <c r="V474" s="548"/>
      <c r="W474" s="548"/>
      <c r="X474" s="548"/>
      <c r="Y474" s="548"/>
      <c r="Z474" s="548"/>
      <c r="AA474" s="548"/>
      <c r="AB474" s="548"/>
      <c r="AC474" s="548"/>
      <c r="AD474" s="548"/>
      <c r="AE474" s="548"/>
      <c r="AF474" s="548"/>
      <c r="AG474" s="549"/>
      <c r="AH474" s="518"/>
    </row>
    <row r="475">
      <c r="A475" s="546"/>
      <c r="B475" s="547"/>
      <c r="C475" s="547"/>
      <c r="D475" s="547"/>
      <c r="E475" s="547"/>
      <c r="F475" s="547"/>
      <c r="G475" s="547"/>
      <c r="H475" s="547"/>
      <c r="I475" s="547"/>
      <c r="J475" s="547"/>
      <c r="K475" s="547"/>
      <c r="L475" s="547"/>
      <c r="M475" s="547"/>
      <c r="N475" s="548"/>
      <c r="O475" s="548"/>
      <c r="P475" s="548"/>
      <c r="Q475" s="548"/>
      <c r="R475" s="548"/>
      <c r="S475" s="548"/>
      <c r="T475" s="548"/>
      <c r="U475" s="548"/>
      <c r="V475" s="548"/>
      <c r="W475" s="548"/>
      <c r="X475" s="548"/>
      <c r="Y475" s="548"/>
      <c r="Z475" s="548"/>
      <c r="AA475" s="548"/>
      <c r="AB475" s="548"/>
      <c r="AC475" s="548"/>
      <c r="AD475" s="548"/>
      <c r="AE475" s="548"/>
      <c r="AF475" s="548"/>
      <c r="AG475" s="549"/>
      <c r="AH475" s="518"/>
    </row>
    <row r="476">
      <c r="A476" s="546"/>
      <c r="B476" s="547"/>
      <c r="C476" s="547"/>
      <c r="D476" s="547"/>
      <c r="E476" s="547"/>
      <c r="F476" s="547"/>
      <c r="G476" s="547"/>
      <c r="H476" s="547"/>
      <c r="I476" s="547"/>
      <c r="J476" s="547"/>
      <c r="K476" s="547"/>
      <c r="L476" s="547"/>
      <c r="M476" s="547"/>
      <c r="N476" s="548"/>
      <c r="O476" s="548"/>
      <c r="P476" s="548"/>
      <c r="Q476" s="548"/>
      <c r="R476" s="548"/>
      <c r="S476" s="548"/>
      <c r="T476" s="548"/>
      <c r="U476" s="548"/>
      <c r="V476" s="548"/>
      <c r="W476" s="548"/>
      <c r="X476" s="548"/>
      <c r="Y476" s="548"/>
      <c r="Z476" s="548"/>
      <c r="AA476" s="548"/>
      <c r="AB476" s="548"/>
      <c r="AC476" s="548"/>
      <c r="AD476" s="548"/>
      <c r="AE476" s="548"/>
      <c r="AF476" s="548"/>
      <c r="AG476" s="549"/>
      <c r="AH476" s="518"/>
    </row>
    <row r="477">
      <c r="A477" s="546"/>
      <c r="B477" s="547"/>
      <c r="C477" s="547"/>
      <c r="D477" s="547"/>
      <c r="E477" s="547"/>
      <c r="F477" s="547"/>
      <c r="G477" s="547"/>
      <c r="H477" s="547"/>
      <c r="I477" s="547"/>
      <c r="J477" s="547"/>
      <c r="K477" s="547"/>
      <c r="L477" s="547"/>
      <c r="M477" s="547"/>
      <c r="N477" s="548"/>
      <c r="O477" s="548"/>
      <c r="P477" s="548"/>
      <c r="Q477" s="548"/>
      <c r="R477" s="548"/>
      <c r="S477" s="548"/>
      <c r="T477" s="548"/>
      <c r="U477" s="548"/>
      <c r="V477" s="548"/>
      <c r="W477" s="548"/>
      <c r="X477" s="548"/>
      <c r="Y477" s="548"/>
      <c r="Z477" s="548"/>
      <c r="AA477" s="548"/>
      <c r="AB477" s="548"/>
      <c r="AC477" s="548"/>
      <c r="AD477" s="548"/>
      <c r="AE477" s="548"/>
      <c r="AF477" s="548"/>
      <c r="AG477" s="549"/>
      <c r="AH477" s="518"/>
    </row>
    <row r="478">
      <c r="A478" s="546"/>
      <c r="B478" s="547"/>
      <c r="C478" s="547"/>
      <c r="D478" s="547"/>
      <c r="E478" s="547"/>
      <c r="F478" s="547"/>
      <c r="G478" s="547"/>
      <c r="H478" s="547"/>
      <c r="I478" s="547"/>
      <c r="J478" s="547"/>
      <c r="K478" s="547"/>
      <c r="L478" s="547"/>
      <c r="M478" s="547"/>
      <c r="N478" s="548"/>
      <c r="O478" s="548"/>
      <c r="P478" s="548"/>
      <c r="Q478" s="548"/>
      <c r="R478" s="548"/>
      <c r="S478" s="548"/>
      <c r="T478" s="548"/>
      <c r="U478" s="548"/>
      <c r="V478" s="548"/>
      <c r="W478" s="548"/>
      <c r="X478" s="548"/>
      <c r="Y478" s="548"/>
      <c r="Z478" s="548"/>
      <c r="AA478" s="548"/>
      <c r="AB478" s="548"/>
      <c r="AC478" s="548"/>
      <c r="AD478" s="548"/>
      <c r="AE478" s="548"/>
      <c r="AF478" s="548"/>
      <c r="AG478" s="549"/>
      <c r="AH478" s="518"/>
    </row>
    <row r="479">
      <c r="A479" s="546"/>
      <c r="B479" s="547"/>
      <c r="C479" s="547"/>
      <c r="D479" s="547"/>
      <c r="E479" s="547"/>
      <c r="F479" s="547"/>
      <c r="G479" s="547"/>
      <c r="H479" s="547"/>
      <c r="I479" s="547"/>
      <c r="J479" s="547"/>
      <c r="K479" s="547"/>
      <c r="L479" s="547"/>
      <c r="M479" s="547"/>
      <c r="N479" s="548"/>
      <c r="O479" s="548"/>
      <c r="P479" s="548"/>
      <c r="Q479" s="548"/>
      <c r="R479" s="548"/>
      <c r="S479" s="548"/>
      <c r="T479" s="548"/>
      <c r="U479" s="548"/>
      <c r="V479" s="548"/>
      <c r="W479" s="548"/>
      <c r="X479" s="548"/>
      <c r="Y479" s="548"/>
      <c r="Z479" s="548"/>
      <c r="AA479" s="548"/>
      <c r="AB479" s="548"/>
      <c r="AC479" s="548"/>
      <c r="AD479" s="548"/>
      <c r="AE479" s="548"/>
      <c r="AF479" s="548"/>
      <c r="AG479" s="549"/>
      <c r="AH479" s="518"/>
    </row>
    <row r="480">
      <c r="A480" s="546"/>
      <c r="B480" s="547"/>
      <c r="C480" s="547"/>
      <c r="D480" s="547"/>
      <c r="E480" s="547"/>
      <c r="F480" s="547"/>
      <c r="G480" s="547"/>
      <c r="H480" s="547"/>
      <c r="I480" s="547"/>
      <c r="J480" s="547"/>
      <c r="K480" s="547"/>
      <c r="L480" s="547"/>
      <c r="M480" s="547"/>
      <c r="N480" s="548"/>
      <c r="O480" s="548"/>
      <c r="P480" s="548"/>
      <c r="Q480" s="548"/>
      <c r="R480" s="548"/>
      <c r="S480" s="548"/>
      <c r="T480" s="548"/>
      <c r="U480" s="548"/>
      <c r="V480" s="548"/>
      <c r="W480" s="548"/>
      <c r="X480" s="548"/>
      <c r="Y480" s="548"/>
      <c r="Z480" s="548"/>
      <c r="AA480" s="548"/>
      <c r="AB480" s="548"/>
      <c r="AC480" s="548"/>
      <c r="AD480" s="548"/>
      <c r="AE480" s="548"/>
      <c r="AF480" s="548"/>
      <c r="AG480" s="549"/>
      <c r="AH480" s="518"/>
    </row>
    <row r="481">
      <c r="A481" s="546"/>
      <c r="B481" s="547"/>
      <c r="C481" s="547"/>
      <c r="D481" s="547"/>
      <c r="E481" s="547"/>
      <c r="F481" s="547"/>
      <c r="G481" s="547"/>
      <c r="H481" s="547"/>
      <c r="I481" s="547"/>
      <c r="J481" s="547"/>
      <c r="K481" s="547"/>
      <c r="L481" s="547"/>
      <c r="M481" s="547"/>
      <c r="N481" s="548"/>
      <c r="O481" s="548"/>
      <c r="P481" s="548"/>
      <c r="Q481" s="548"/>
      <c r="R481" s="548"/>
      <c r="S481" s="548"/>
      <c r="T481" s="548"/>
      <c r="U481" s="548"/>
      <c r="V481" s="548"/>
      <c r="W481" s="548"/>
      <c r="X481" s="548"/>
      <c r="Y481" s="548"/>
      <c r="Z481" s="548"/>
      <c r="AA481" s="548"/>
      <c r="AB481" s="548"/>
      <c r="AC481" s="548"/>
      <c r="AD481" s="548"/>
      <c r="AE481" s="548"/>
      <c r="AF481" s="548"/>
      <c r="AG481" s="549"/>
      <c r="AH481" s="518"/>
    </row>
    <row r="482">
      <c r="A482" s="546"/>
      <c r="B482" s="547"/>
      <c r="C482" s="547"/>
      <c r="D482" s="547"/>
      <c r="E482" s="547"/>
      <c r="F482" s="547"/>
      <c r="G482" s="547"/>
      <c r="H482" s="547"/>
      <c r="I482" s="547"/>
      <c r="J482" s="547"/>
      <c r="K482" s="547"/>
      <c r="L482" s="547"/>
      <c r="M482" s="547"/>
      <c r="N482" s="548"/>
      <c r="O482" s="548"/>
      <c r="P482" s="548"/>
      <c r="Q482" s="548"/>
      <c r="R482" s="548"/>
      <c r="S482" s="548"/>
      <c r="T482" s="548"/>
      <c r="U482" s="548"/>
      <c r="V482" s="548"/>
      <c r="W482" s="548"/>
      <c r="X482" s="548"/>
      <c r="Y482" s="548"/>
      <c r="Z482" s="548"/>
      <c r="AA482" s="548"/>
      <c r="AB482" s="548"/>
      <c r="AC482" s="548"/>
      <c r="AD482" s="548"/>
      <c r="AE482" s="548"/>
      <c r="AF482" s="548"/>
      <c r="AG482" s="549"/>
      <c r="AH482" s="518"/>
    </row>
    <row r="483">
      <c r="A483" s="546"/>
      <c r="B483" s="547"/>
      <c r="C483" s="547"/>
      <c r="D483" s="547"/>
      <c r="E483" s="547"/>
      <c r="F483" s="547"/>
      <c r="G483" s="547"/>
      <c r="H483" s="547"/>
      <c r="I483" s="547"/>
      <c r="J483" s="547"/>
      <c r="K483" s="547"/>
      <c r="L483" s="547"/>
      <c r="M483" s="547"/>
      <c r="N483" s="548"/>
      <c r="O483" s="548"/>
      <c r="P483" s="548"/>
      <c r="Q483" s="548"/>
      <c r="R483" s="548"/>
      <c r="S483" s="548"/>
      <c r="T483" s="548"/>
      <c r="U483" s="548"/>
      <c r="V483" s="548"/>
      <c r="W483" s="548"/>
      <c r="X483" s="548"/>
      <c r="Y483" s="548"/>
      <c r="Z483" s="548"/>
      <c r="AA483" s="548"/>
      <c r="AB483" s="548"/>
      <c r="AC483" s="548"/>
      <c r="AD483" s="548"/>
      <c r="AE483" s="548"/>
      <c r="AF483" s="548"/>
      <c r="AG483" s="549"/>
      <c r="AH483" s="518"/>
    </row>
    <row r="484">
      <c r="A484" s="546"/>
      <c r="B484" s="547"/>
      <c r="C484" s="547"/>
      <c r="D484" s="547"/>
      <c r="E484" s="547"/>
      <c r="F484" s="547"/>
      <c r="G484" s="547"/>
      <c r="H484" s="547"/>
      <c r="I484" s="547"/>
      <c r="J484" s="547"/>
      <c r="K484" s="547"/>
      <c r="L484" s="547"/>
      <c r="M484" s="547"/>
      <c r="N484" s="548"/>
      <c r="O484" s="548"/>
      <c r="P484" s="548"/>
      <c r="Q484" s="548"/>
      <c r="R484" s="548"/>
      <c r="S484" s="548"/>
      <c r="T484" s="548"/>
      <c r="U484" s="548"/>
      <c r="V484" s="548"/>
      <c r="W484" s="548"/>
      <c r="X484" s="548"/>
      <c r="Y484" s="548"/>
      <c r="Z484" s="548"/>
      <c r="AA484" s="548"/>
      <c r="AB484" s="548"/>
      <c r="AC484" s="548"/>
      <c r="AD484" s="548"/>
      <c r="AE484" s="548"/>
      <c r="AF484" s="548"/>
      <c r="AG484" s="549"/>
      <c r="AH484" s="518"/>
    </row>
    <row r="485">
      <c r="A485" s="546"/>
      <c r="B485" s="547"/>
      <c r="C485" s="547"/>
      <c r="D485" s="547"/>
      <c r="E485" s="547"/>
      <c r="F485" s="547"/>
      <c r="G485" s="547"/>
      <c r="H485" s="547"/>
      <c r="I485" s="547"/>
      <c r="J485" s="547"/>
      <c r="K485" s="547"/>
      <c r="L485" s="547"/>
      <c r="M485" s="547"/>
      <c r="N485" s="548"/>
      <c r="O485" s="548"/>
      <c r="P485" s="548"/>
      <c r="Q485" s="548"/>
      <c r="R485" s="548"/>
      <c r="S485" s="548"/>
      <c r="T485" s="548"/>
      <c r="U485" s="548"/>
      <c r="V485" s="548"/>
      <c r="W485" s="548"/>
      <c r="X485" s="548"/>
      <c r="Y485" s="548"/>
      <c r="Z485" s="548"/>
      <c r="AA485" s="548"/>
      <c r="AB485" s="548"/>
      <c r="AC485" s="548"/>
      <c r="AD485" s="548"/>
      <c r="AE485" s="548"/>
      <c r="AF485" s="548"/>
      <c r="AG485" s="549"/>
      <c r="AH485" s="518"/>
    </row>
    <row r="486">
      <c r="A486" s="546"/>
      <c r="B486" s="547"/>
      <c r="C486" s="547"/>
      <c r="D486" s="547"/>
      <c r="E486" s="547"/>
      <c r="F486" s="547"/>
      <c r="G486" s="547"/>
      <c r="H486" s="547"/>
      <c r="I486" s="547"/>
      <c r="J486" s="547"/>
      <c r="K486" s="547"/>
      <c r="L486" s="547"/>
      <c r="M486" s="547"/>
      <c r="N486" s="548"/>
      <c r="O486" s="548"/>
      <c r="P486" s="548"/>
      <c r="Q486" s="548"/>
      <c r="R486" s="548"/>
      <c r="S486" s="548"/>
      <c r="T486" s="548"/>
      <c r="U486" s="548"/>
      <c r="V486" s="548"/>
      <c r="W486" s="548"/>
      <c r="X486" s="548"/>
      <c r="Y486" s="548"/>
      <c r="Z486" s="548"/>
      <c r="AA486" s="548"/>
      <c r="AB486" s="548"/>
      <c r="AC486" s="548"/>
      <c r="AD486" s="548"/>
      <c r="AE486" s="548"/>
      <c r="AF486" s="548"/>
      <c r="AG486" s="549"/>
      <c r="AH486" s="518"/>
    </row>
    <row r="487">
      <c r="A487" s="546"/>
      <c r="B487" s="547"/>
      <c r="C487" s="547"/>
      <c r="D487" s="547"/>
      <c r="E487" s="547"/>
      <c r="F487" s="547"/>
      <c r="G487" s="547"/>
      <c r="H487" s="547"/>
      <c r="I487" s="547"/>
      <c r="J487" s="547"/>
      <c r="K487" s="547"/>
      <c r="L487" s="547"/>
      <c r="M487" s="547"/>
      <c r="N487" s="548"/>
      <c r="O487" s="548"/>
      <c r="P487" s="548"/>
      <c r="Q487" s="548"/>
      <c r="R487" s="548"/>
      <c r="S487" s="548"/>
      <c r="T487" s="548"/>
      <c r="U487" s="548"/>
      <c r="V487" s="548"/>
      <c r="W487" s="548"/>
      <c r="X487" s="548"/>
      <c r="Y487" s="548"/>
      <c r="Z487" s="548"/>
      <c r="AA487" s="548"/>
      <c r="AB487" s="548"/>
      <c r="AC487" s="548"/>
      <c r="AD487" s="548"/>
      <c r="AE487" s="548"/>
      <c r="AF487" s="548"/>
      <c r="AG487" s="549"/>
      <c r="AH487" s="518"/>
    </row>
    <row r="488">
      <c r="A488" s="546"/>
      <c r="B488" s="547"/>
      <c r="C488" s="547"/>
      <c r="D488" s="547"/>
      <c r="E488" s="547"/>
      <c r="F488" s="547"/>
      <c r="G488" s="547"/>
      <c r="H488" s="547"/>
      <c r="I488" s="547"/>
      <c r="J488" s="547"/>
      <c r="K488" s="547"/>
      <c r="L488" s="547"/>
      <c r="M488" s="547"/>
      <c r="N488" s="548"/>
      <c r="O488" s="548"/>
      <c r="P488" s="548"/>
      <c r="Q488" s="548"/>
      <c r="R488" s="548"/>
      <c r="S488" s="548"/>
      <c r="T488" s="548"/>
      <c r="U488" s="548"/>
      <c r="V488" s="548"/>
      <c r="W488" s="548"/>
      <c r="X488" s="548"/>
      <c r="Y488" s="548"/>
      <c r="Z488" s="548"/>
      <c r="AA488" s="548"/>
      <c r="AB488" s="548"/>
      <c r="AC488" s="548"/>
      <c r="AD488" s="548"/>
      <c r="AE488" s="548"/>
      <c r="AF488" s="548"/>
      <c r="AG488" s="549"/>
      <c r="AH488" s="518"/>
    </row>
    <row r="489">
      <c r="A489" s="546"/>
      <c r="B489" s="547"/>
      <c r="C489" s="547"/>
      <c r="D489" s="547"/>
      <c r="E489" s="547"/>
      <c r="F489" s="547"/>
      <c r="G489" s="547"/>
      <c r="H489" s="547"/>
      <c r="I489" s="547"/>
      <c r="J489" s="547"/>
      <c r="K489" s="547"/>
      <c r="L489" s="547"/>
      <c r="M489" s="547"/>
      <c r="N489" s="548"/>
      <c r="O489" s="548"/>
      <c r="P489" s="548"/>
      <c r="Q489" s="548"/>
      <c r="R489" s="548"/>
      <c r="S489" s="548"/>
      <c r="T489" s="548"/>
      <c r="U489" s="548"/>
      <c r="V489" s="548"/>
      <c r="W489" s="548"/>
      <c r="X489" s="548"/>
      <c r="Y489" s="548"/>
      <c r="Z489" s="548"/>
      <c r="AA489" s="548"/>
      <c r="AB489" s="548"/>
      <c r="AC489" s="548"/>
      <c r="AD489" s="548"/>
      <c r="AE489" s="548"/>
      <c r="AF489" s="548"/>
      <c r="AG489" s="549"/>
      <c r="AH489" s="518"/>
    </row>
    <row r="490">
      <c r="A490" s="546"/>
      <c r="B490" s="547"/>
      <c r="C490" s="547"/>
      <c r="D490" s="547"/>
      <c r="E490" s="547"/>
      <c r="F490" s="547"/>
      <c r="G490" s="547"/>
      <c r="H490" s="547"/>
      <c r="I490" s="547"/>
      <c r="J490" s="547"/>
      <c r="K490" s="547"/>
      <c r="L490" s="547"/>
      <c r="M490" s="547"/>
      <c r="N490" s="548"/>
      <c r="O490" s="548"/>
      <c r="P490" s="548"/>
      <c r="Q490" s="548"/>
      <c r="R490" s="548"/>
      <c r="S490" s="548"/>
      <c r="T490" s="548"/>
      <c r="U490" s="548"/>
      <c r="V490" s="548"/>
      <c r="W490" s="548"/>
      <c r="X490" s="548"/>
      <c r="Y490" s="548"/>
      <c r="Z490" s="548"/>
      <c r="AA490" s="548"/>
      <c r="AB490" s="548"/>
      <c r="AC490" s="548"/>
      <c r="AD490" s="548"/>
      <c r="AE490" s="548"/>
      <c r="AF490" s="548"/>
      <c r="AG490" s="549"/>
      <c r="AH490" s="518"/>
    </row>
    <row r="491">
      <c r="A491" s="546"/>
      <c r="B491" s="547"/>
      <c r="C491" s="547"/>
      <c r="D491" s="547"/>
      <c r="E491" s="547"/>
      <c r="F491" s="547"/>
      <c r="G491" s="547"/>
      <c r="H491" s="547"/>
      <c r="I491" s="547"/>
      <c r="J491" s="547"/>
      <c r="K491" s="547"/>
      <c r="L491" s="547"/>
      <c r="M491" s="547"/>
      <c r="N491" s="548"/>
      <c r="O491" s="548"/>
      <c r="P491" s="548"/>
      <c r="Q491" s="548"/>
      <c r="R491" s="548"/>
      <c r="S491" s="548"/>
      <c r="T491" s="548"/>
      <c r="U491" s="548"/>
      <c r="V491" s="548"/>
      <c r="W491" s="548"/>
      <c r="X491" s="548"/>
      <c r="Y491" s="548"/>
      <c r="Z491" s="548"/>
      <c r="AA491" s="548"/>
      <c r="AB491" s="548"/>
      <c r="AC491" s="548"/>
      <c r="AD491" s="548"/>
      <c r="AE491" s="548"/>
      <c r="AF491" s="548"/>
      <c r="AG491" s="549"/>
      <c r="AH491" s="518"/>
    </row>
    <row r="492">
      <c r="A492" s="546"/>
      <c r="B492" s="547"/>
      <c r="C492" s="547"/>
      <c r="D492" s="547"/>
      <c r="E492" s="547"/>
      <c r="F492" s="547"/>
      <c r="G492" s="547"/>
      <c r="H492" s="547"/>
      <c r="I492" s="547"/>
      <c r="J492" s="547"/>
      <c r="K492" s="547"/>
      <c r="L492" s="547"/>
      <c r="M492" s="547"/>
      <c r="N492" s="548"/>
      <c r="O492" s="548"/>
      <c r="P492" s="548"/>
      <c r="Q492" s="548"/>
      <c r="R492" s="548"/>
      <c r="S492" s="548"/>
      <c r="T492" s="548"/>
      <c r="U492" s="548"/>
      <c r="V492" s="548"/>
      <c r="W492" s="548"/>
      <c r="X492" s="548"/>
      <c r="Y492" s="548"/>
      <c r="Z492" s="548"/>
      <c r="AA492" s="548"/>
      <c r="AB492" s="548"/>
      <c r="AC492" s="548"/>
      <c r="AD492" s="548"/>
      <c r="AE492" s="548"/>
      <c r="AF492" s="548"/>
      <c r="AG492" s="549"/>
      <c r="AH492" s="518"/>
    </row>
    <row r="493">
      <c r="A493" s="546"/>
      <c r="B493" s="547"/>
      <c r="C493" s="547"/>
      <c r="D493" s="547"/>
      <c r="E493" s="547"/>
      <c r="F493" s="547"/>
      <c r="G493" s="547"/>
      <c r="H493" s="547"/>
      <c r="I493" s="547"/>
      <c r="J493" s="547"/>
      <c r="K493" s="547"/>
      <c r="L493" s="547"/>
      <c r="M493" s="547"/>
      <c r="N493" s="548"/>
      <c r="O493" s="548"/>
      <c r="P493" s="548"/>
      <c r="Q493" s="548"/>
      <c r="R493" s="548"/>
      <c r="S493" s="548"/>
      <c r="T493" s="548"/>
      <c r="U493" s="548"/>
      <c r="V493" s="548"/>
      <c r="W493" s="548"/>
      <c r="X493" s="548"/>
      <c r="Y493" s="548"/>
      <c r="Z493" s="548"/>
      <c r="AA493" s="548"/>
      <c r="AB493" s="548"/>
      <c r="AC493" s="548"/>
      <c r="AD493" s="548"/>
      <c r="AE493" s="548"/>
      <c r="AF493" s="548"/>
      <c r="AG493" s="549"/>
      <c r="AH493" s="518"/>
    </row>
    <row r="494">
      <c r="A494" s="546"/>
      <c r="B494" s="547"/>
      <c r="C494" s="547"/>
      <c r="D494" s="547"/>
      <c r="E494" s="547"/>
      <c r="F494" s="547"/>
      <c r="G494" s="547"/>
      <c r="H494" s="547"/>
      <c r="I494" s="547"/>
      <c r="J494" s="547"/>
      <c r="K494" s="547"/>
      <c r="L494" s="547"/>
      <c r="M494" s="547"/>
      <c r="N494" s="548"/>
      <c r="O494" s="548"/>
      <c r="P494" s="548"/>
      <c r="Q494" s="548"/>
      <c r="R494" s="548"/>
      <c r="S494" s="548"/>
      <c r="T494" s="548"/>
      <c r="U494" s="548"/>
      <c r="V494" s="548"/>
      <c r="W494" s="548"/>
      <c r="X494" s="548"/>
      <c r="Y494" s="548"/>
      <c r="Z494" s="548"/>
      <c r="AA494" s="548"/>
      <c r="AB494" s="548"/>
      <c r="AC494" s="548"/>
      <c r="AD494" s="548"/>
      <c r="AE494" s="548"/>
      <c r="AF494" s="548"/>
      <c r="AG494" s="549"/>
      <c r="AH494" s="518"/>
    </row>
    <row r="495">
      <c r="A495" s="546"/>
      <c r="B495" s="547"/>
      <c r="C495" s="547"/>
      <c r="D495" s="547"/>
      <c r="E495" s="547"/>
      <c r="F495" s="547"/>
      <c r="G495" s="547"/>
      <c r="H495" s="547"/>
      <c r="I495" s="547"/>
      <c r="J495" s="547"/>
      <c r="K495" s="547"/>
      <c r="L495" s="547"/>
      <c r="M495" s="547"/>
      <c r="N495" s="548"/>
      <c r="O495" s="548"/>
      <c r="P495" s="548"/>
      <c r="Q495" s="548"/>
      <c r="R495" s="548"/>
      <c r="S495" s="548"/>
      <c r="T495" s="548"/>
      <c r="U495" s="548"/>
      <c r="V495" s="548"/>
      <c r="W495" s="548"/>
      <c r="X495" s="548"/>
      <c r="Y495" s="548"/>
      <c r="Z495" s="548"/>
      <c r="AA495" s="548"/>
      <c r="AB495" s="548"/>
      <c r="AC495" s="548"/>
      <c r="AD495" s="548"/>
      <c r="AE495" s="548"/>
      <c r="AF495" s="548"/>
      <c r="AG495" s="549"/>
      <c r="AH495" s="518"/>
    </row>
    <row r="496">
      <c r="A496" s="546"/>
      <c r="B496" s="547"/>
      <c r="C496" s="547"/>
      <c r="D496" s="547"/>
      <c r="E496" s="547"/>
      <c r="F496" s="547"/>
      <c r="G496" s="547"/>
      <c r="H496" s="547"/>
      <c r="I496" s="547"/>
      <c r="J496" s="547"/>
      <c r="K496" s="547"/>
      <c r="L496" s="547"/>
      <c r="M496" s="547"/>
      <c r="N496" s="548"/>
      <c r="O496" s="548"/>
      <c r="P496" s="548"/>
      <c r="Q496" s="548"/>
      <c r="R496" s="548"/>
      <c r="S496" s="548"/>
      <c r="T496" s="548"/>
      <c r="U496" s="548"/>
      <c r="V496" s="548"/>
      <c r="W496" s="548"/>
      <c r="X496" s="548"/>
      <c r="Y496" s="548"/>
      <c r="Z496" s="548"/>
      <c r="AA496" s="548"/>
      <c r="AB496" s="548"/>
      <c r="AC496" s="548"/>
      <c r="AD496" s="548"/>
      <c r="AE496" s="548"/>
      <c r="AF496" s="548"/>
      <c r="AG496" s="549"/>
      <c r="AH496" s="518"/>
    </row>
    <row r="497">
      <c r="A497" s="546"/>
      <c r="B497" s="547"/>
      <c r="C497" s="547"/>
      <c r="D497" s="547"/>
      <c r="E497" s="547"/>
      <c r="F497" s="547"/>
      <c r="G497" s="547"/>
      <c r="H497" s="547"/>
      <c r="I497" s="547"/>
      <c r="J497" s="547"/>
      <c r="K497" s="547"/>
      <c r="L497" s="547"/>
      <c r="M497" s="547"/>
      <c r="N497" s="548"/>
      <c r="O497" s="548"/>
      <c r="P497" s="548"/>
      <c r="Q497" s="548"/>
      <c r="R497" s="548"/>
      <c r="S497" s="548"/>
      <c r="T497" s="548"/>
      <c r="U497" s="548"/>
      <c r="V497" s="548"/>
      <c r="W497" s="548"/>
      <c r="X497" s="548"/>
      <c r="Y497" s="548"/>
      <c r="Z497" s="548"/>
      <c r="AA497" s="548"/>
      <c r="AB497" s="548"/>
      <c r="AC497" s="548"/>
      <c r="AD497" s="548"/>
      <c r="AE497" s="548"/>
      <c r="AF497" s="548"/>
      <c r="AG497" s="549"/>
      <c r="AH497" s="518"/>
    </row>
    <row r="498">
      <c r="A498" s="546"/>
      <c r="B498" s="547"/>
      <c r="C498" s="547"/>
      <c r="D498" s="547"/>
      <c r="E498" s="547"/>
      <c r="F498" s="547"/>
      <c r="G498" s="547"/>
      <c r="H498" s="547"/>
      <c r="I498" s="547"/>
      <c r="J498" s="547"/>
      <c r="K498" s="547"/>
      <c r="L498" s="547"/>
      <c r="M498" s="547"/>
      <c r="N498" s="548"/>
      <c r="O498" s="548"/>
      <c r="P498" s="548"/>
      <c r="Q498" s="548"/>
      <c r="R498" s="548"/>
      <c r="S498" s="548"/>
      <c r="T498" s="548"/>
      <c r="U498" s="548"/>
      <c r="V498" s="548"/>
      <c r="W498" s="548"/>
      <c r="X498" s="548"/>
      <c r="Y498" s="548"/>
      <c r="Z498" s="548"/>
      <c r="AA498" s="548"/>
      <c r="AB498" s="548"/>
      <c r="AC498" s="548"/>
      <c r="AD498" s="548"/>
      <c r="AE498" s="548"/>
      <c r="AF498" s="548"/>
      <c r="AG498" s="549"/>
      <c r="AH498" s="518"/>
    </row>
    <row r="499">
      <c r="A499" s="546"/>
      <c r="B499" s="547"/>
      <c r="C499" s="547"/>
      <c r="D499" s="547"/>
      <c r="E499" s="547"/>
      <c r="F499" s="547"/>
      <c r="G499" s="547"/>
      <c r="H499" s="547"/>
      <c r="I499" s="547"/>
      <c r="J499" s="547"/>
      <c r="K499" s="547"/>
      <c r="L499" s="547"/>
      <c r="M499" s="547"/>
      <c r="N499" s="548"/>
      <c r="O499" s="548"/>
      <c r="P499" s="548"/>
      <c r="Q499" s="548"/>
      <c r="R499" s="548"/>
      <c r="S499" s="548"/>
      <c r="T499" s="548"/>
      <c r="U499" s="548"/>
      <c r="V499" s="548"/>
      <c r="W499" s="548"/>
      <c r="X499" s="548"/>
      <c r="Y499" s="548"/>
      <c r="Z499" s="548"/>
      <c r="AA499" s="548"/>
      <c r="AB499" s="548"/>
      <c r="AC499" s="548"/>
      <c r="AD499" s="548"/>
      <c r="AE499" s="548"/>
      <c r="AF499" s="548"/>
      <c r="AG499" s="549"/>
      <c r="AH499" s="518"/>
    </row>
    <row r="500">
      <c r="A500" s="546"/>
      <c r="B500" s="547"/>
      <c r="C500" s="547"/>
      <c r="D500" s="547"/>
      <c r="E500" s="547"/>
      <c r="F500" s="547"/>
      <c r="G500" s="547"/>
      <c r="H500" s="547"/>
      <c r="I500" s="547"/>
      <c r="J500" s="547"/>
      <c r="K500" s="547"/>
      <c r="L500" s="547"/>
      <c r="M500" s="547"/>
      <c r="N500" s="548"/>
      <c r="O500" s="548"/>
      <c r="P500" s="548"/>
      <c r="Q500" s="548"/>
      <c r="R500" s="548"/>
      <c r="S500" s="548"/>
      <c r="T500" s="548"/>
      <c r="U500" s="548"/>
      <c r="V500" s="548"/>
      <c r="W500" s="548"/>
      <c r="X500" s="548"/>
      <c r="Y500" s="548"/>
      <c r="Z500" s="548"/>
      <c r="AA500" s="548"/>
      <c r="AB500" s="548"/>
      <c r="AC500" s="548"/>
      <c r="AD500" s="548"/>
      <c r="AE500" s="548"/>
      <c r="AF500" s="548"/>
      <c r="AG500" s="549"/>
      <c r="AH500" s="518"/>
    </row>
    <row r="501">
      <c r="A501" s="546"/>
      <c r="B501" s="547"/>
      <c r="C501" s="547"/>
      <c r="D501" s="547"/>
      <c r="E501" s="547"/>
      <c r="F501" s="547"/>
      <c r="G501" s="547"/>
      <c r="H501" s="547"/>
      <c r="I501" s="547"/>
      <c r="J501" s="547"/>
      <c r="K501" s="547"/>
      <c r="L501" s="547"/>
      <c r="M501" s="547"/>
      <c r="N501" s="548"/>
      <c r="O501" s="548"/>
      <c r="P501" s="548"/>
      <c r="Q501" s="548"/>
      <c r="R501" s="548"/>
      <c r="S501" s="548"/>
      <c r="T501" s="548"/>
      <c r="U501" s="548"/>
      <c r="V501" s="548"/>
      <c r="W501" s="548"/>
      <c r="X501" s="548"/>
      <c r="Y501" s="548"/>
      <c r="Z501" s="548"/>
      <c r="AA501" s="548"/>
      <c r="AB501" s="548"/>
      <c r="AC501" s="548"/>
      <c r="AD501" s="548"/>
      <c r="AE501" s="548"/>
      <c r="AF501" s="548"/>
      <c r="AG501" s="549"/>
      <c r="AH501" s="518"/>
    </row>
    <row r="502">
      <c r="A502" s="546"/>
      <c r="B502" s="547"/>
      <c r="C502" s="547"/>
      <c r="D502" s="547"/>
      <c r="E502" s="547"/>
      <c r="F502" s="547"/>
      <c r="G502" s="547"/>
      <c r="H502" s="547"/>
      <c r="I502" s="547"/>
      <c r="J502" s="547"/>
      <c r="K502" s="547"/>
      <c r="L502" s="547"/>
      <c r="M502" s="547"/>
      <c r="N502" s="548"/>
      <c r="O502" s="548"/>
      <c r="P502" s="548"/>
      <c r="Q502" s="548"/>
      <c r="R502" s="548"/>
      <c r="S502" s="548"/>
      <c r="T502" s="548"/>
      <c r="U502" s="548"/>
      <c r="V502" s="548"/>
      <c r="W502" s="548"/>
      <c r="X502" s="548"/>
      <c r="Y502" s="548"/>
      <c r="Z502" s="548"/>
      <c r="AA502" s="548"/>
      <c r="AB502" s="548"/>
      <c r="AC502" s="548"/>
      <c r="AD502" s="548"/>
      <c r="AE502" s="548"/>
      <c r="AF502" s="548"/>
      <c r="AG502" s="549"/>
      <c r="AH502" s="518"/>
    </row>
    <row r="503">
      <c r="A503" s="546"/>
      <c r="B503" s="547"/>
      <c r="C503" s="547"/>
      <c r="D503" s="547"/>
      <c r="E503" s="547"/>
      <c r="F503" s="547"/>
      <c r="G503" s="547"/>
      <c r="H503" s="547"/>
      <c r="I503" s="547"/>
      <c r="J503" s="547"/>
      <c r="K503" s="547"/>
      <c r="L503" s="547"/>
      <c r="M503" s="547"/>
      <c r="N503" s="548"/>
      <c r="O503" s="548"/>
      <c r="P503" s="548"/>
      <c r="Q503" s="548"/>
      <c r="R503" s="548"/>
      <c r="S503" s="548"/>
      <c r="T503" s="548"/>
      <c r="U503" s="548"/>
      <c r="V503" s="548"/>
      <c r="W503" s="548"/>
      <c r="X503" s="548"/>
      <c r="Y503" s="548"/>
      <c r="Z503" s="548"/>
      <c r="AA503" s="548"/>
      <c r="AB503" s="548"/>
      <c r="AC503" s="548"/>
      <c r="AD503" s="548"/>
      <c r="AE503" s="548"/>
      <c r="AF503" s="548"/>
      <c r="AG503" s="549"/>
      <c r="AH503" s="518"/>
    </row>
    <row r="504">
      <c r="A504" s="546"/>
      <c r="B504" s="547"/>
      <c r="C504" s="547"/>
      <c r="D504" s="547"/>
      <c r="E504" s="547"/>
      <c r="F504" s="547"/>
      <c r="G504" s="547"/>
      <c r="H504" s="547"/>
      <c r="I504" s="547"/>
      <c r="J504" s="547"/>
      <c r="K504" s="547"/>
      <c r="L504" s="547"/>
      <c r="M504" s="547"/>
      <c r="N504" s="548"/>
      <c r="O504" s="548"/>
      <c r="P504" s="548"/>
      <c r="Q504" s="548"/>
      <c r="R504" s="548"/>
      <c r="S504" s="548"/>
      <c r="T504" s="548"/>
      <c r="U504" s="548"/>
      <c r="V504" s="548"/>
      <c r="W504" s="548"/>
      <c r="X504" s="548"/>
      <c r="Y504" s="548"/>
      <c r="Z504" s="548"/>
      <c r="AA504" s="548"/>
      <c r="AB504" s="548"/>
      <c r="AC504" s="548"/>
      <c r="AD504" s="548"/>
      <c r="AE504" s="548"/>
      <c r="AF504" s="548"/>
      <c r="AG504" s="549"/>
      <c r="AH504" s="518"/>
    </row>
    <row r="505">
      <c r="A505" s="546"/>
      <c r="B505" s="547"/>
      <c r="C505" s="547"/>
      <c r="D505" s="547"/>
      <c r="E505" s="547"/>
      <c r="F505" s="547"/>
      <c r="G505" s="547"/>
      <c r="H505" s="547"/>
      <c r="I505" s="547"/>
      <c r="J505" s="547"/>
      <c r="K505" s="547"/>
      <c r="L505" s="547"/>
      <c r="M505" s="547"/>
      <c r="N505" s="548"/>
      <c r="O505" s="548"/>
      <c r="P505" s="548"/>
      <c r="Q505" s="548"/>
      <c r="R505" s="548"/>
      <c r="S505" s="548"/>
      <c r="T505" s="548"/>
      <c r="U505" s="548"/>
      <c r="V505" s="548"/>
      <c r="W505" s="548"/>
      <c r="X505" s="548"/>
      <c r="Y505" s="548"/>
      <c r="Z505" s="548"/>
      <c r="AA505" s="548"/>
      <c r="AB505" s="548"/>
      <c r="AC505" s="548"/>
      <c r="AD505" s="548"/>
      <c r="AE505" s="548"/>
      <c r="AF505" s="548"/>
      <c r="AG505" s="549"/>
      <c r="AH505" s="518"/>
    </row>
    <row r="506">
      <c r="A506" s="546"/>
      <c r="B506" s="547"/>
      <c r="C506" s="547"/>
      <c r="D506" s="547"/>
      <c r="E506" s="547"/>
      <c r="F506" s="547"/>
      <c r="G506" s="547"/>
      <c r="H506" s="547"/>
      <c r="I506" s="547"/>
      <c r="J506" s="547"/>
      <c r="K506" s="547"/>
      <c r="L506" s="547"/>
      <c r="M506" s="547"/>
      <c r="N506" s="548"/>
      <c r="O506" s="548"/>
      <c r="P506" s="548"/>
      <c r="Q506" s="548"/>
      <c r="R506" s="548"/>
      <c r="S506" s="548"/>
      <c r="T506" s="548"/>
      <c r="U506" s="548"/>
      <c r="V506" s="548"/>
      <c r="W506" s="548"/>
      <c r="X506" s="548"/>
      <c r="Y506" s="548"/>
      <c r="Z506" s="548"/>
      <c r="AA506" s="548"/>
      <c r="AB506" s="548"/>
      <c r="AC506" s="548"/>
      <c r="AD506" s="548"/>
      <c r="AE506" s="548"/>
      <c r="AF506" s="548"/>
      <c r="AG506" s="549"/>
      <c r="AH506" s="518"/>
    </row>
    <row r="507">
      <c r="A507" s="546"/>
      <c r="B507" s="547"/>
      <c r="C507" s="547"/>
      <c r="D507" s="547"/>
      <c r="E507" s="547"/>
      <c r="F507" s="547"/>
      <c r="G507" s="547"/>
      <c r="H507" s="547"/>
      <c r="I507" s="547"/>
      <c r="J507" s="547"/>
      <c r="K507" s="547"/>
      <c r="L507" s="547"/>
      <c r="M507" s="547"/>
      <c r="N507" s="548"/>
      <c r="O507" s="548"/>
      <c r="P507" s="548"/>
      <c r="Q507" s="548"/>
      <c r="R507" s="548"/>
      <c r="S507" s="548"/>
      <c r="T507" s="548"/>
      <c r="U507" s="548"/>
      <c r="V507" s="548"/>
      <c r="W507" s="548"/>
      <c r="X507" s="548"/>
      <c r="Y507" s="548"/>
      <c r="Z507" s="548"/>
      <c r="AA507" s="548"/>
      <c r="AB507" s="548"/>
      <c r="AC507" s="548"/>
      <c r="AD507" s="548"/>
      <c r="AE507" s="548"/>
      <c r="AF507" s="548"/>
      <c r="AG507" s="549"/>
      <c r="AH507" s="518"/>
    </row>
    <row r="508">
      <c r="A508" s="546"/>
      <c r="B508" s="547"/>
      <c r="C508" s="547"/>
      <c r="D508" s="547"/>
      <c r="E508" s="547"/>
      <c r="F508" s="547"/>
      <c r="G508" s="547"/>
      <c r="H508" s="547"/>
      <c r="I508" s="547"/>
      <c r="J508" s="547"/>
      <c r="K508" s="547"/>
      <c r="L508" s="547"/>
      <c r="M508" s="547"/>
      <c r="N508" s="548"/>
      <c r="O508" s="548"/>
      <c r="P508" s="548"/>
      <c r="Q508" s="548"/>
      <c r="R508" s="548"/>
      <c r="S508" s="548"/>
      <c r="T508" s="548"/>
      <c r="U508" s="548"/>
      <c r="V508" s="548"/>
      <c r="W508" s="548"/>
      <c r="X508" s="548"/>
      <c r="Y508" s="548"/>
      <c r="Z508" s="548"/>
      <c r="AA508" s="548"/>
      <c r="AB508" s="548"/>
      <c r="AC508" s="548"/>
      <c r="AD508" s="548"/>
      <c r="AE508" s="548"/>
      <c r="AF508" s="548"/>
      <c r="AG508" s="549"/>
      <c r="AH508" s="518"/>
    </row>
    <row r="509">
      <c r="A509" s="546"/>
      <c r="B509" s="547"/>
      <c r="C509" s="547"/>
      <c r="D509" s="547"/>
      <c r="E509" s="547"/>
      <c r="F509" s="547"/>
      <c r="G509" s="547"/>
      <c r="H509" s="547"/>
      <c r="I509" s="547"/>
      <c r="J509" s="547"/>
      <c r="K509" s="547"/>
      <c r="L509" s="547"/>
      <c r="M509" s="547"/>
      <c r="N509" s="548"/>
      <c r="O509" s="548"/>
      <c r="P509" s="548"/>
      <c r="Q509" s="548"/>
      <c r="R509" s="548"/>
      <c r="S509" s="548"/>
      <c r="T509" s="548"/>
      <c r="U509" s="548"/>
      <c r="V509" s="548"/>
      <c r="W509" s="548"/>
      <c r="X509" s="548"/>
      <c r="Y509" s="548"/>
      <c r="Z509" s="548"/>
      <c r="AA509" s="548"/>
      <c r="AB509" s="548"/>
      <c r="AC509" s="548"/>
      <c r="AD509" s="548"/>
      <c r="AE509" s="548"/>
      <c r="AF509" s="548"/>
      <c r="AG509" s="549"/>
      <c r="AH509" s="518"/>
    </row>
    <row r="510">
      <c r="A510" s="546"/>
      <c r="B510" s="547"/>
      <c r="C510" s="547"/>
      <c r="D510" s="547"/>
      <c r="E510" s="547"/>
      <c r="F510" s="547"/>
      <c r="G510" s="547"/>
      <c r="H510" s="547"/>
      <c r="I510" s="547"/>
      <c r="J510" s="547"/>
      <c r="K510" s="547"/>
      <c r="L510" s="547"/>
      <c r="M510" s="547"/>
      <c r="N510" s="548"/>
      <c r="O510" s="548"/>
      <c r="P510" s="548"/>
      <c r="Q510" s="548"/>
      <c r="R510" s="548"/>
      <c r="S510" s="548"/>
      <c r="T510" s="548"/>
      <c r="U510" s="548"/>
      <c r="V510" s="548"/>
      <c r="W510" s="548"/>
      <c r="X510" s="548"/>
      <c r="Y510" s="548"/>
      <c r="Z510" s="548"/>
      <c r="AA510" s="548"/>
      <c r="AB510" s="548"/>
      <c r="AC510" s="548"/>
      <c r="AD510" s="548"/>
      <c r="AE510" s="548"/>
      <c r="AF510" s="548"/>
      <c r="AG510" s="549"/>
      <c r="AH510" s="518"/>
    </row>
    <row r="511">
      <c r="A511" s="546"/>
      <c r="B511" s="547"/>
      <c r="C511" s="547"/>
      <c r="D511" s="547"/>
      <c r="E511" s="547"/>
      <c r="F511" s="547"/>
      <c r="G511" s="547"/>
      <c r="H511" s="547"/>
      <c r="I511" s="547"/>
      <c r="J511" s="547"/>
      <c r="K511" s="547"/>
      <c r="L511" s="547"/>
      <c r="M511" s="547"/>
      <c r="N511" s="548"/>
      <c r="O511" s="548"/>
      <c r="P511" s="548"/>
      <c r="Q511" s="548"/>
      <c r="R511" s="548"/>
      <c r="S511" s="548"/>
      <c r="T511" s="548"/>
      <c r="U511" s="548"/>
      <c r="V511" s="548"/>
      <c r="W511" s="548"/>
      <c r="X511" s="548"/>
      <c r="Y511" s="548"/>
      <c r="Z511" s="548"/>
      <c r="AA511" s="548"/>
      <c r="AB511" s="548"/>
      <c r="AC511" s="548"/>
      <c r="AD511" s="548"/>
      <c r="AE511" s="548"/>
      <c r="AF511" s="548"/>
      <c r="AG511" s="549"/>
      <c r="AH511" s="518"/>
    </row>
    <row r="512">
      <c r="A512" s="546"/>
      <c r="B512" s="547"/>
      <c r="C512" s="547"/>
      <c r="D512" s="547"/>
      <c r="E512" s="547"/>
      <c r="F512" s="547"/>
      <c r="G512" s="547"/>
      <c r="H512" s="547"/>
      <c r="I512" s="547"/>
      <c r="J512" s="547"/>
      <c r="K512" s="547"/>
      <c r="L512" s="547"/>
      <c r="M512" s="547"/>
      <c r="N512" s="548"/>
      <c r="O512" s="548"/>
      <c r="P512" s="548"/>
      <c r="Q512" s="548"/>
      <c r="R512" s="548"/>
      <c r="S512" s="548"/>
      <c r="T512" s="548"/>
      <c r="U512" s="548"/>
      <c r="V512" s="548"/>
      <c r="W512" s="548"/>
      <c r="X512" s="548"/>
      <c r="Y512" s="548"/>
      <c r="Z512" s="548"/>
      <c r="AA512" s="548"/>
      <c r="AB512" s="548"/>
      <c r="AC512" s="548"/>
      <c r="AD512" s="548"/>
      <c r="AE512" s="548"/>
      <c r="AF512" s="548"/>
      <c r="AG512" s="549"/>
      <c r="AH512" s="518"/>
    </row>
    <row r="513">
      <c r="A513" s="546"/>
      <c r="B513" s="547"/>
      <c r="C513" s="547"/>
      <c r="D513" s="547"/>
      <c r="E513" s="547"/>
      <c r="F513" s="547"/>
      <c r="G513" s="547"/>
      <c r="H513" s="547"/>
      <c r="I513" s="547"/>
      <c r="J513" s="547"/>
      <c r="K513" s="547"/>
      <c r="L513" s="547"/>
      <c r="M513" s="547"/>
      <c r="N513" s="548"/>
      <c r="O513" s="548"/>
      <c r="P513" s="548"/>
      <c r="Q513" s="548"/>
      <c r="R513" s="548"/>
      <c r="S513" s="548"/>
      <c r="T513" s="548"/>
      <c r="U513" s="548"/>
      <c r="V513" s="548"/>
      <c r="W513" s="548"/>
      <c r="X513" s="548"/>
      <c r="Y513" s="548"/>
      <c r="Z513" s="548"/>
      <c r="AA513" s="548"/>
      <c r="AB513" s="548"/>
      <c r="AC513" s="548"/>
      <c r="AD513" s="548"/>
      <c r="AE513" s="548"/>
      <c r="AF513" s="548"/>
      <c r="AG513" s="549"/>
      <c r="AH513" s="518"/>
    </row>
    <row r="514">
      <c r="A514" s="546"/>
      <c r="B514" s="547"/>
      <c r="C514" s="547"/>
      <c r="D514" s="547"/>
      <c r="E514" s="547"/>
      <c r="F514" s="547"/>
      <c r="G514" s="547"/>
      <c r="H514" s="547"/>
      <c r="I514" s="547"/>
      <c r="J514" s="547"/>
      <c r="K514" s="547"/>
      <c r="L514" s="547"/>
      <c r="M514" s="547"/>
      <c r="N514" s="548"/>
      <c r="O514" s="548"/>
      <c r="P514" s="548"/>
      <c r="Q514" s="548"/>
      <c r="R514" s="548"/>
      <c r="S514" s="548"/>
      <c r="T514" s="548"/>
      <c r="U514" s="548"/>
      <c r="V514" s="548"/>
      <c r="W514" s="548"/>
      <c r="X514" s="548"/>
      <c r="Y514" s="548"/>
      <c r="Z514" s="548"/>
      <c r="AA514" s="548"/>
      <c r="AB514" s="548"/>
      <c r="AC514" s="548"/>
      <c r="AD514" s="548"/>
      <c r="AE514" s="548"/>
      <c r="AF514" s="548"/>
      <c r="AG514" s="549"/>
      <c r="AH514" s="518"/>
    </row>
    <row r="515">
      <c r="A515" s="546"/>
      <c r="B515" s="547"/>
      <c r="C515" s="547"/>
      <c r="D515" s="547"/>
      <c r="E515" s="547"/>
      <c r="F515" s="547"/>
      <c r="G515" s="547"/>
      <c r="H515" s="547"/>
      <c r="I515" s="547"/>
      <c r="J515" s="547"/>
      <c r="K515" s="547"/>
      <c r="L515" s="547"/>
      <c r="M515" s="547"/>
      <c r="N515" s="548"/>
      <c r="O515" s="548"/>
      <c r="P515" s="548"/>
      <c r="Q515" s="548"/>
      <c r="R515" s="548"/>
      <c r="S515" s="548"/>
      <c r="T515" s="548"/>
      <c r="U515" s="548"/>
      <c r="V515" s="548"/>
      <c r="W515" s="548"/>
      <c r="X515" s="548"/>
      <c r="Y515" s="548"/>
      <c r="Z515" s="548"/>
      <c r="AA515" s="548"/>
      <c r="AB515" s="548"/>
      <c r="AC515" s="548"/>
      <c r="AD515" s="548"/>
      <c r="AE515" s="548"/>
      <c r="AF515" s="548"/>
      <c r="AG515" s="549"/>
      <c r="AH515" s="518"/>
    </row>
    <row r="516">
      <c r="A516" s="546"/>
      <c r="B516" s="547"/>
      <c r="C516" s="547"/>
      <c r="D516" s="547"/>
      <c r="E516" s="547"/>
      <c r="F516" s="547"/>
      <c r="G516" s="547"/>
      <c r="H516" s="547"/>
      <c r="I516" s="547"/>
      <c r="J516" s="547"/>
      <c r="K516" s="547"/>
      <c r="L516" s="547"/>
      <c r="M516" s="547"/>
      <c r="N516" s="548"/>
      <c r="O516" s="548"/>
      <c r="P516" s="548"/>
      <c r="Q516" s="548"/>
      <c r="R516" s="548"/>
      <c r="S516" s="548"/>
      <c r="T516" s="548"/>
      <c r="U516" s="548"/>
      <c r="V516" s="548"/>
      <c r="W516" s="548"/>
      <c r="X516" s="548"/>
      <c r="Y516" s="548"/>
      <c r="Z516" s="548"/>
      <c r="AA516" s="548"/>
      <c r="AB516" s="548"/>
      <c r="AC516" s="548"/>
      <c r="AD516" s="548"/>
      <c r="AE516" s="548"/>
      <c r="AF516" s="548"/>
      <c r="AG516" s="549"/>
      <c r="AH516" s="518"/>
    </row>
    <row r="517">
      <c r="A517" s="546"/>
      <c r="B517" s="547"/>
      <c r="C517" s="547"/>
      <c r="D517" s="547"/>
      <c r="E517" s="547"/>
      <c r="F517" s="547"/>
      <c r="G517" s="547"/>
      <c r="H517" s="547"/>
      <c r="I517" s="547"/>
      <c r="J517" s="547"/>
      <c r="K517" s="547"/>
      <c r="L517" s="547"/>
      <c r="M517" s="547"/>
      <c r="N517" s="548"/>
      <c r="O517" s="548"/>
      <c r="P517" s="548"/>
      <c r="Q517" s="548"/>
      <c r="R517" s="548"/>
      <c r="S517" s="548"/>
      <c r="T517" s="548"/>
      <c r="U517" s="548"/>
      <c r="V517" s="548"/>
      <c r="W517" s="548"/>
      <c r="X517" s="548"/>
      <c r="Y517" s="548"/>
      <c r="Z517" s="548"/>
      <c r="AA517" s="548"/>
      <c r="AB517" s="548"/>
      <c r="AC517" s="548"/>
      <c r="AD517" s="548"/>
      <c r="AE517" s="548"/>
      <c r="AF517" s="548"/>
      <c r="AG517" s="549"/>
      <c r="AH517" s="518"/>
    </row>
    <row r="518">
      <c r="A518" s="546"/>
      <c r="B518" s="547"/>
      <c r="C518" s="547"/>
      <c r="D518" s="547"/>
      <c r="E518" s="547"/>
      <c r="F518" s="547"/>
      <c r="G518" s="547"/>
      <c r="H518" s="547"/>
      <c r="I518" s="547"/>
      <c r="J518" s="547"/>
      <c r="K518" s="547"/>
      <c r="L518" s="547"/>
      <c r="M518" s="547"/>
      <c r="N518" s="548"/>
      <c r="O518" s="548"/>
      <c r="P518" s="548"/>
      <c r="Q518" s="548"/>
      <c r="R518" s="548"/>
      <c r="S518" s="548"/>
      <c r="T518" s="548"/>
      <c r="U518" s="548"/>
      <c r="V518" s="548"/>
      <c r="W518" s="548"/>
      <c r="X518" s="548"/>
      <c r="Y518" s="548"/>
      <c r="Z518" s="548"/>
      <c r="AA518" s="548"/>
      <c r="AB518" s="548"/>
      <c r="AC518" s="548"/>
      <c r="AD518" s="548"/>
      <c r="AE518" s="548"/>
      <c r="AF518" s="548"/>
      <c r="AG518" s="549"/>
      <c r="AH518" s="518"/>
    </row>
    <row r="519">
      <c r="A519" s="546"/>
      <c r="B519" s="547"/>
      <c r="C519" s="547"/>
      <c r="D519" s="547"/>
      <c r="E519" s="547"/>
      <c r="F519" s="547"/>
      <c r="G519" s="547"/>
      <c r="H519" s="547"/>
      <c r="I519" s="547"/>
      <c r="J519" s="547"/>
      <c r="K519" s="547"/>
      <c r="L519" s="547"/>
      <c r="M519" s="547"/>
      <c r="N519" s="548"/>
      <c r="O519" s="548"/>
      <c r="P519" s="548"/>
      <c r="Q519" s="548"/>
      <c r="R519" s="548"/>
      <c r="S519" s="548"/>
      <c r="T519" s="548"/>
      <c r="U519" s="548"/>
      <c r="V519" s="548"/>
      <c r="W519" s="548"/>
      <c r="X519" s="548"/>
      <c r="Y519" s="548"/>
      <c r="Z519" s="548"/>
      <c r="AA519" s="548"/>
      <c r="AB519" s="548"/>
      <c r="AC519" s="548"/>
      <c r="AD519" s="548"/>
      <c r="AE519" s="548"/>
      <c r="AF519" s="548"/>
      <c r="AG519" s="549"/>
      <c r="AH519" s="518"/>
    </row>
    <row r="520">
      <c r="A520" s="546"/>
      <c r="B520" s="547"/>
      <c r="C520" s="547"/>
      <c r="D520" s="547"/>
      <c r="E520" s="547"/>
      <c r="F520" s="547"/>
      <c r="G520" s="547"/>
      <c r="H520" s="547"/>
      <c r="I520" s="547"/>
      <c r="J520" s="547"/>
      <c r="K520" s="547"/>
      <c r="L520" s="547"/>
      <c r="M520" s="547"/>
      <c r="N520" s="548"/>
      <c r="O520" s="548"/>
      <c r="P520" s="548"/>
      <c r="Q520" s="548"/>
      <c r="R520" s="548"/>
      <c r="S520" s="548"/>
      <c r="T520" s="548"/>
      <c r="U520" s="548"/>
      <c r="V520" s="548"/>
      <c r="W520" s="548"/>
      <c r="X520" s="548"/>
      <c r="Y520" s="548"/>
      <c r="Z520" s="548"/>
      <c r="AA520" s="548"/>
      <c r="AB520" s="548"/>
      <c r="AC520" s="548"/>
      <c r="AD520" s="548"/>
      <c r="AE520" s="548"/>
      <c r="AF520" s="548"/>
      <c r="AG520" s="549"/>
      <c r="AH520" s="518"/>
    </row>
    <row r="521">
      <c r="A521" s="546"/>
      <c r="B521" s="547"/>
      <c r="C521" s="547"/>
      <c r="D521" s="547"/>
      <c r="E521" s="547"/>
      <c r="F521" s="547"/>
      <c r="G521" s="547"/>
      <c r="H521" s="547"/>
      <c r="I521" s="547"/>
      <c r="J521" s="547"/>
      <c r="K521" s="547"/>
      <c r="L521" s="547"/>
      <c r="M521" s="547"/>
      <c r="N521" s="548"/>
      <c r="O521" s="548"/>
      <c r="P521" s="548"/>
      <c r="Q521" s="548"/>
      <c r="R521" s="548"/>
      <c r="S521" s="548"/>
      <c r="T521" s="548"/>
      <c r="U521" s="548"/>
      <c r="V521" s="548"/>
      <c r="W521" s="548"/>
      <c r="X521" s="548"/>
      <c r="Y521" s="548"/>
      <c r="Z521" s="548"/>
      <c r="AA521" s="548"/>
      <c r="AB521" s="548"/>
      <c r="AC521" s="548"/>
      <c r="AD521" s="548"/>
      <c r="AE521" s="548"/>
      <c r="AF521" s="548"/>
      <c r="AG521" s="549"/>
      <c r="AH521" s="518"/>
    </row>
    <row r="522">
      <c r="A522" s="546"/>
      <c r="B522" s="547"/>
      <c r="C522" s="547"/>
      <c r="D522" s="547"/>
      <c r="E522" s="547"/>
      <c r="F522" s="547"/>
      <c r="G522" s="547"/>
      <c r="H522" s="547"/>
      <c r="I522" s="547"/>
      <c r="J522" s="547"/>
      <c r="K522" s="547"/>
      <c r="L522" s="547"/>
      <c r="M522" s="547"/>
      <c r="N522" s="548"/>
      <c r="O522" s="548"/>
      <c r="P522" s="548"/>
      <c r="Q522" s="548"/>
      <c r="R522" s="548"/>
      <c r="S522" s="548"/>
      <c r="T522" s="548"/>
      <c r="U522" s="548"/>
      <c r="V522" s="548"/>
      <c r="W522" s="548"/>
      <c r="X522" s="548"/>
      <c r="Y522" s="548"/>
      <c r="Z522" s="548"/>
      <c r="AA522" s="548"/>
      <c r="AB522" s="548"/>
      <c r="AC522" s="548"/>
      <c r="AD522" s="548"/>
      <c r="AE522" s="548"/>
      <c r="AF522" s="548"/>
      <c r="AG522" s="549"/>
      <c r="AH522" s="518"/>
    </row>
    <row r="523">
      <c r="A523" s="546"/>
      <c r="B523" s="547"/>
      <c r="C523" s="547"/>
      <c r="D523" s="547"/>
      <c r="E523" s="547"/>
      <c r="F523" s="547"/>
      <c r="G523" s="547"/>
      <c r="H523" s="547"/>
      <c r="I523" s="547"/>
      <c r="J523" s="547"/>
      <c r="K523" s="547"/>
      <c r="L523" s="547"/>
      <c r="M523" s="547"/>
      <c r="N523" s="548"/>
      <c r="O523" s="548"/>
      <c r="P523" s="548"/>
      <c r="Q523" s="548"/>
      <c r="R523" s="548"/>
      <c r="S523" s="548"/>
      <c r="T523" s="548"/>
      <c r="U523" s="548"/>
      <c r="V523" s="548"/>
      <c r="W523" s="548"/>
      <c r="X523" s="548"/>
      <c r="Y523" s="548"/>
      <c r="Z523" s="548"/>
      <c r="AA523" s="548"/>
      <c r="AB523" s="548"/>
      <c r="AC523" s="548"/>
      <c r="AD523" s="548"/>
      <c r="AE523" s="548"/>
      <c r="AF523" s="548"/>
      <c r="AG523" s="549"/>
      <c r="AH523" s="518"/>
    </row>
    <row r="524">
      <c r="A524" s="546"/>
      <c r="B524" s="547"/>
      <c r="C524" s="547"/>
      <c r="D524" s="547"/>
      <c r="E524" s="547"/>
      <c r="F524" s="547"/>
      <c r="G524" s="547"/>
      <c r="H524" s="547"/>
      <c r="I524" s="547"/>
      <c r="J524" s="547"/>
      <c r="K524" s="547"/>
      <c r="L524" s="547"/>
      <c r="M524" s="547"/>
      <c r="N524" s="548"/>
      <c r="O524" s="548"/>
      <c r="P524" s="548"/>
      <c r="Q524" s="548"/>
      <c r="R524" s="548"/>
      <c r="S524" s="548"/>
      <c r="T524" s="548"/>
      <c r="U524" s="548"/>
      <c r="V524" s="548"/>
      <c r="W524" s="548"/>
      <c r="X524" s="548"/>
      <c r="Y524" s="548"/>
      <c r="Z524" s="548"/>
      <c r="AA524" s="548"/>
      <c r="AB524" s="548"/>
      <c r="AC524" s="548"/>
      <c r="AD524" s="548"/>
      <c r="AE524" s="548"/>
      <c r="AF524" s="548"/>
      <c r="AG524" s="549"/>
      <c r="AH524" s="518"/>
    </row>
    <row r="525">
      <c r="A525" s="546"/>
      <c r="B525" s="547"/>
      <c r="C525" s="547"/>
      <c r="D525" s="547"/>
      <c r="E525" s="547"/>
      <c r="F525" s="547"/>
      <c r="G525" s="547"/>
      <c r="H525" s="547"/>
      <c r="I525" s="547"/>
      <c r="J525" s="547"/>
      <c r="K525" s="547"/>
      <c r="L525" s="547"/>
      <c r="M525" s="547"/>
      <c r="N525" s="548"/>
      <c r="O525" s="548"/>
      <c r="P525" s="548"/>
      <c r="Q525" s="548"/>
      <c r="R525" s="548"/>
      <c r="S525" s="548"/>
      <c r="T525" s="548"/>
      <c r="U525" s="548"/>
      <c r="V525" s="548"/>
      <c r="W525" s="548"/>
      <c r="X525" s="548"/>
      <c r="Y525" s="548"/>
      <c r="Z525" s="548"/>
      <c r="AA525" s="548"/>
      <c r="AB525" s="548"/>
      <c r="AC525" s="548"/>
      <c r="AD525" s="548"/>
      <c r="AE525" s="548"/>
      <c r="AF525" s="548"/>
      <c r="AG525" s="549"/>
      <c r="AH525" s="518"/>
    </row>
    <row r="526">
      <c r="A526" s="546"/>
      <c r="B526" s="547"/>
      <c r="C526" s="547"/>
      <c r="D526" s="547"/>
      <c r="E526" s="547"/>
      <c r="F526" s="547"/>
      <c r="G526" s="547"/>
      <c r="H526" s="547"/>
      <c r="I526" s="547"/>
      <c r="J526" s="547"/>
      <c r="K526" s="547"/>
      <c r="L526" s="547"/>
      <c r="M526" s="547"/>
      <c r="N526" s="548"/>
      <c r="O526" s="548"/>
      <c r="P526" s="548"/>
      <c r="Q526" s="548"/>
      <c r="R526" s="548"/>
      <c r="S526" s="548"/>
      <c r="T526" s="548"/>
      <c r="U526" s="548"/>
      <c r="V526" s="548"/>
      <c r="W526" s="548"/>
      <c r="X526" s="548"/>
      <c r="Y526" s="548"/>
      <c r="Z526" s="548"/>
      <c r="AA526" s="548"/>
      <c r="AB526" s="548"/>
      <c r="AC526" s="548"/>
      <c r="AD526" s="548"/>
      <c r="AE526" s="548"/>
      <c r="AF526" s="548"/>
      <c r="AG526" s="549"/>
      <c r="AH526" s="518"/>
    </row>
    <row r="527">
      <c r="A527" s="546"/>
      <c r="B527" s="547"/>
      <c r="C527" s="547"/>
      <c r="D527" s="547"/>
      <c r="E527" s="547"/>
      <c r="F527" s="547"/>
      <c r="G527" s="547"/>
      <c r="H527" s="547"/>
      <c r="I527" s="547"/>
      <c r="J527" s="547"/>
      <c r="K527" s="547"/>
      <c r="L527" s="547"/>
      <c r="M527" s="547"/>
      <c r="N527" s="548"/>
      <c r="O527" s="548"/>
      <c r="P527" s="548"/>
      <c r="Q527" s="548"/>
      <c r="R527" s="548"/>
      <c r="S527" s="548"/>
      <c r="T527" s="548"/>
      <c r="U527" s="548"/>
      <c r="V527" s="548"/>
      <c r="W527" s="548"/>
      <c r="X527" s="548"/>
      <c r="Y527" s="548"/>
      <c r="Z527" s="548"/>
      <c r="AA527" s="548"/>
      <c r="AB527" s="548"/>
      <c r="AC527" s="548"/>
      <c r="AD527" s="548"/>
      <c r="AE527" s="548"/>
      <c r="AF527" s="548"/>
      <c r="AG527" s="549"/>
      <c r="AH527" s="518"/>
    </row>
    <row r="528">
      <c r="A528" s="546"/>
      <c r="B528" s="547"/>
      <c r="C528" s="547"/>
      <c r="D528" s="547"/>
      <c r="E528" s="547"/>
      <c r="F528" s="547"/>
      <c r="G528" s="547"/>
      <c r="H528" s="547"/>
      <c r="I528" s="547"/>
      <c r="J528" s="547"/>
      <c r="K528" s="547"/>
      <c r="L528" s="547"/>
      <c r="M528" s="547"/>
      <c r="N528" s="548"/>
      <c r="O528" s="548"/>
      <c r="P528" s="548"/>
      <c r="Q528" s="548"/>
      <c r="R528" s="548"/>
      <c r="S528" s="548"/>
      <c r="T528" s="548"/>
      <c r="U528" s="548"/>
      <c r="V528" s="548"/>
      <c r="W528" s="548"/>
      <c r="X528" s="548"/>
      <c r="Y528" s="548"/>
      <c r="Z528" s="548"/>
      <c r="AA528" s="548"/>
      <c r="AB528" s="548"/>
      <c r="AC528" s="548"/>
      <c r="AD528" s="548"/>
      <c r="AE528" s="548"/>
      <c r="AF528" s="548"/>
      <c r="AG528" s="549"/>
      <c r="AH528" s="518"/>
    </row>
    <row r="529">
      <c r="A529" s="546"/>
      <c r="B529" s="547"/>
      <c r="C529" s="547"/>
      <c r="D529" s="547"/>
      <c r="E529" s="547"/>
      <c r="F529" s="547"/>
      <c r="G529" s="547"/>
      <c r="H529" s="547"/>
      <c r="I529" s="547"/>
      <c r="J529" s="547"/>
      <c r="K529" s="547"/>
      <c r="L529" s="547"/>
      <c r="M529" s="547"/>
      <c r="N529" s="548"/>
      <c r="O529" s="548"/>
      <c r="P529" s="548"/>
      <c r="Q529" s="548"/>
      <c r="R529" s="548"/>
      <c r="S529" s="548"/>
      <c r="T529" s="548"/>
      <c r="U529" s="548"/>
      <c r="V529" s="548"/>
      <c r="W529" s="548"/>
      <c r="X529" s="548"/>
      <c r="Y529" s="548"/>
      <c r="Z529" s="548"/>
      <c r="AA529" s="548"/>
      <c r="AB529" s="548"/>
      <c r="AC529" s="548"/>
      <c r="AD529" s="548"/>
      <c r="AE529" s="548"/>
      <c r="AF529" s="548"/>
      <c r="AG529" s="549"/>
      <c r="AH529" s="518"/>
    </row>
    <row r="530">
      <c r="A530" s="546"/>
      <c r="B530" s="547"/>
      <c r="C530" s="547"/>
      <c r="D530" s="547"/>
      <c r="E530" s="547"/>
      <c r="F530" s="547"/>
      <c r="G530" s="547"/>
      <c r="H530" s="547"/>
      <c r="I530" s="547"/>
      <c r="J530" s="547"/>
      <c r="K530" s="547"/>
      <c r="L530" s="547"/>
      <c r="M530" s="547"/>
      <c r="N530" s="548"/>
      <c r="O530" s="548"/>
      <c r="P530" s="548"/>
      <c r="Q530" s="548"/>
      <c r="R530" s="548"/>
      <c r="S530" s="548"/>
      <c r="T530" s="548"/>
      <c r="U530" s="548"/>
      <c r="V530" s="548"/>
      <c r="W530" s="548"/>
      <c r="X530" s="548"/>
      <c r="Y530" s="548"/>
      <c r="Z530" s="548"/>
      <c r="AA530" s="548"/>
      <c r="AB530" s="548"/>
      <c r="AC530" s="548"/>
      <c r="AD530" s="548"/>
      <c r="AE530" s="548"/>
      <c r="AF530" s="548"/>
      <c r="AG530" s="549"/>
      <c r="AH530" s="518"/>
    </row>
    <row r="531">
      <c r="A531" s="546"/>
      <c r="B531" s="547"/>
      <c r="C531" s="547"/>
      <c r="D531" s="547"/>
      <c r="E531" s="547"/>
      <c r="F531" s="547"/>
      <c r="G531" s="547"/>
      <c r="H531" s="547"/>
      <c r="I531" s="547"/>
      <c r="J531" s="547"/>
      <c r="K531" s="547"/>
      <c r="L531" s="547"/>
      <c r="M531" s="547"/>
      <c r="N531" s="548"/>
      <c r="O531" s="548"/>
      <c r="P531" s="548"/>
      <c r="Q531" s="548"/>
      <c r="R531" s="548"/>
      <c r="S531" s="548"/>
      <c r="T531" s="548"/>
      <c r="U531" s="548"/>
      <c r="V531" s="548"/>
      <c r="W531" s="548"/>
      <c r="X531" s="548"/>
      <c r="Y531" s="548"/>
      <c r="Z531" s="548"/>
      <c r="AA531" s="548"/>
      <c r="AB531" s="548"/>
      <c r="AC531" s="548"/>
      <c r="AD531" s="548"/>
      <c r="AE531" s="548"/>
      <c r="AF531" s="548"/>
      <c r="AG531" s="549"/>
      <c r="AH531" s="518"/>
    </row>
    <row r="532">
      <c r="A532" s="546"/>
      <c r="B532" s="547"/>
      <c r="C532" s="547"/>
      <c r="D532" s="547"/>
      <c r="E532" s="547"/>
      <c r="F532" s="547"/>
      <c r="G532" s="547"/>
      <c r="H532" s="547"/>
      <c r="I532" s="547"/>
      <c r="J532" s="547"/>
      <c r="K532" s="547"/>
      <c r="L532" s="547"/>
      <c r="M532" s="547"/>
      <c r="N532" s="548"/>
      <c r="O532" s="548"/>
      <c r="P532" s="548"/>
      <c r="Q532" s="548"/>
      <c r="R532" s="548"/>
      <c r="S532" s="548"/>
      <c r="T532" s="548"/>
      <c r="U532" s="548"/>
      <c r="V532" s="548"/>
      <c r="W532" s="548"/>
      <c r="X532" s="548"/>
      <c r="Y532" s="548"/>
      <c r="Z532" s="548"/>
      <c r="AA532" s="548"/>
      <c r="AB532" s="548"/>
      <c r="AC532" s="548"/>
      <c r="AD532" s="548"/>
      <c r="AE532" s="548"/>
      <c r="AF532" s="548"/>
      <c r="AG532" s="549"/>
      <c r="AH532" s="518"/>
    </row>
    <row r="533">
      <c r="A533" s="546"/>
      <c r="B533" s="547"/>
      <c r="C533" s="547"/>
      <c r="D533" s="547"/>
      <c r="E533" s="547"/>
      <c r="F533" s="547"/>
      <c r="G533" s="547"/>
      <c r="H533" s="547"/>
      <c r="I533" s="547"/>
      <c r="J533" s="547"/>
      <c r="K533" s="547"/>
      <c r="L533" s="547"/>
      <c r="M533" s="547"/>
      <c r="N533" s="548"/>
      <c r="O533" s="548"/>
      <c r="P533" s="548"/>
      <c r="Q533" s="548"/>
      <c r="R533" s="548"/>
      <c r="S533" s="548"/>
      <c r="T533" s="548"/>
      <c r="U533" s="548"/>
      <c r="V533" s="548"/>
      <c r="W533" s="548"/>
      <c r="X533" s="548"/>
      <c r="Y533" s="548"/>
      <c r="Z533" s="548"/>
      <c r="AA533" s="548"/>
      <c r="AB533" s="548"/>
      <c r="AC533" s="548"/>
      <c r="AD533" s="548"/>
      <c r="AE533" s="548"/>
      <c r="AF533" s="548"/>
      <c r="AG533" s="549"/>
      <c r="AH533" s="518"/>
    </row>
    <row r="534">
      <c r="A534" s="546"/>
      <c r="B534" s="547"/>
      <c r="C534" s="547"/>
      <c r="D534" s="547"/>
      <c r="E534" s="547"/>
      <c r="F534" s="547"/>
      <c r="G534" s="547"/>
      <c r="H534" s="547"/>
      <c r="I534" s="547"/>
      <c r="J534" s="547"/>
      <c r="K534" s="547"/>
      <c r="L534" s="547"/>
      <c r="M534" s="547"/>
      <c r="N534" s="548"/>
      <c r="O534" s="548"/>
      <c r="P534" s="548"/>
      <c r="Q534" s="548"/>
      <c r="R534" s="548"/>
      <c r="S534" s="548"/>
      <c r="T534" s="548"/>
      <c r="U534" s="548"/>
      <c r="V534" s="548"/>
      <c r="W534" s="548"/>
      <c r="X534" s="548"/>
      <c r="Y534" s="548"/>
      <c r="Z534" s="548"/>
      <c r="AA534" s="548"/>
      <c r="AB534" s="548"/>
      <c r="AC534" s="548"/>
      <c r="AD534" s="548"/>
      <c r="AE534" s="548"/>
      <c r="AF534" s="548"/>
      <c r="AG534" s="549"/>
      <c r="AH534" s="518"/>
    </row>
    <row r="535">
      <c r="A535" s="546"/>
      <c r="B535" s="547"/>
      <c r="C535" s="547"/>
      <c r="D535" s="547"/>
      <c r="E535" s="547"/>
      <c r="F535" s="547"/>
      <c r="G535" s="547"/>
      <c r="H535" s="547"/>
      <c r="I535" s="547"/>
      <c r="J535" s="547"/>
      <c r="K535" s="547"/>
      <c r="L535" s="547"/>
      <c r="M535" s="547"/>
      <c r="N535" s="548"/>
      <c r="O535" s="548"/>
      <c r="P535" s="548"/>
      <c r="Q535" s="548"/>
      <c r="R535" s="548"/>
      <c r="S535" s="548"/>
      <c r="T535" s="548"/>
      <c r="U535" s="548"/>
      <c r="V535" s="548"/>
      <c r="W535" s="548"/>
      <c r="X535" s="548"/>
      <c r="Y535" s="548"/>
      <c r="Z535" s="548"/>
      <c r="AA535" s="548"/>
      <c r="AB535" s="548"/>
      <c r="AC535" s="548"/>
      <c r="AD535" s="548"/>
      <c r="AE535" s="548"/>
      <c r="AF535" s="548"/>
      <c r="AG535" s="549"/>
      <c r="AH535" s="518"/>
    </row>
    <row r="536">
      <c r="A536" s="546"/>
      <c r="B536" s="547"/>
      <c r="C536" s="547"/>
      <c r="D536" s="547"/>
      <c r="E536" s="547"/>
      <c r="F536" s="547"/>
      <c r="G536" s="547"/>
      <c r="H536" s="547"/>
      <c r="I536" s="547"/>
      <c r="J536" s="547"/>
      <c r="K536" s="547"/>
      <c r="L536" s="547"/>
      <c r="M536" s="547"/>
      <c r="N536" s="548"/>
      <c r="O536" s="548"/>
      <c r="P536" s="548"/>
      <c r="Q536" s="548"/>
      <c r="R536" s="548"/>
      <c r="S536" s="548"/>
      <c r="T536" s="548"/>
      <c r="U536" s="548"/>
      <c r="V536" s="548"/>
      <c r="W536" s="548"/>
      <c r="X536" s="548"/>
      <c r="Y536" s="548"/>
      <c r="Z536" s="548"/>
      <c r="AA536" s="548"/>
      <c r="AB536" s="548"/>
      <c r="AC536" s="548"/>
      <c r="AD536" s="548"/>
      <c r="AE536" s="548"/>
      <c r="AF536" s="548"/>
      <c r="AG536" s="549"/>
      <c r="AH536" s="518"/>
    </row>
    <row r="537">
      <c r="A537" s="546"/>
      <c r="B537" s="547"/>
      <c r="C537" s="547"/>
      <c r="D537" s="547"/>
      <c r="E537" s="547"/>
      <c r="F537" s="547"/>
      <c r="G537" s="547"/>
      <c r="H537" s="547"/>
      <c r="I537" s="547"/>
      <c r="J537" s="547"/>
      <c r="K537" s="547"/>
      <c r="L537" s="547"/>
      <c r="M537" s="547"/>
      <c r="N537" s="548"/>
      <c r="O537" s="548"/>
      <c r="P537" s="548"/>
      <c r="Q537" s="548"/>
      <c r="R537" s="548"/>
      <c r="S537" s="548"/>
      <c r="T537" s="548"/>
      <c r="U537" s="548"/>
      <c r="V537" s="548"/>
      <c r="W537" s="548"/>
      <c r="X537" s="548"/>
      <c r="Y537" s="548"/>
      <c r="Z537" s="548"/>
      <c r="AA537" s="548"/>
      <c r="AB537" s="548"/>
      <c r="AC537" s="548"/>
      <c r="AD537" s="548"/>
      <c r="AE537" s="548"/>
      <c r="AF537" s="548"/>
      <c r="AG537" s="549"/>
      <c r="AH537" s="518"/>
    </row>
    <row r="538">
      <c r="A538" s="546"/>
      <c r="B538" s="547"/>
      <c r="C538" s="547"/>
      <c r="D538" s="547"/>
      <c r="E538" s="547"/>
      <c r="F538" s="547"/>
      <c r="G538" s="547"/>
      <c r="H538" s="547"/>
      <c r="I538" s="547"/>
      <c r="J538" s="547"/>
      <c r="K538" s="547"/>
      <c r="L538" s="547"/>
      <c r="M538" s="547"/>
      <c r="N538" s="548"/>
      <c r="O538" s="548"/>
      <c r="P538" s="548"/>
      <c r="Q538" s="548"/>
      <c r="R538" s="548"/>
      <c r="S538" s="548"/>
      <c r="T538" s="548"/>
      <c r="U538" s="548"/>
      <c r="V538" s="548"/>
      <c r="W538" s="548"/>
      <c r="X538" s="548"/>
      <c r="Y538" s="548"/>
      <c r="Z538" s="548"/>
      <c r="AA538" s="548"/>
      <c r="AB538" s="548"/>
      <c r="AC538" s="548"/>
      <c r="AD538" s="548"/>
      <c r="AE538" s="548"/>
      <c r="AF538" s="548"/>
      <c r="AG538" s="549"/>
      <c r="AH538" s="518"/>
    </row>
    <row r="539">
      <c r="A539" s="546"/>
      <c r="B539" s="547"/>
      <c r="C539" s="547"/>
      <c r="D539" s="547"/>
      <c r="E539" s="547"/>
      <c r="F539" s="547"/>
      <c r="G539" s="547"/>
      <c r="H539" s="547"/>
      <c r="I539" s="547"/>
      <c r="J539" s="547"/>
      <c r="K539" s="547"/>
      <c r="L539" s="547"/>
      <c r="M539" s="547"/>
      <c r="N539" s="548"/>
      <c r="O539" s="548"/>
      <c r="P539" s="548"/>
      <c r="Q539" s="548"/>
      <c r="R539" s="548"/>
      <c r="S539" s="548"/>
      <c r="T539" s="548"/>
      <c r="U539" s="548"/>
      <c r="V539" s="548"/>
      <c r="W539" s="548"/>
      <c r="X539" s="548"/>
      <c r="Y539" s="548"/>
      <c r="Z539" s="548"/>
      <c r="AA539" s="548"/>
      <c r="AB539" s="548"/>
      <c r="AC539" s="548"/>
      <c r="AD539" s="548"/>
      <c r="AE539" s="548"/>
      <c r="AF539" s="548"/>
      <c r="AG539" s="549"/>
      <c r="AH539" s="518"/>
    </row>
    <row r="540">
      <c r="A540" s="546"/>
      <c r="B540" s="547"/>
      <c r="C540" s="547"/>
      <c r="D540" s="547"/>
      <c r="E540" s="547"/>
      <c r="F540" s="547"/>
      <c r="G540" s="547"/>
      <c r="H540" s="547"/>
      <c r="I540" s="547"/>
      <c r="J540" s="547"/>
      <c r="K540" s="547"/>
      <c r="L540" s="547"/>
      <c r="M540" s="547"/>
      <c r="N540" s="548"/>
      <c r="O540" s="548"/>
      <c r="P540" s="548"/>
      <c r="Q540" s="548"/>
      <c r="R540" s="548"/>
      <c r="S540" s="548"/>
      <c r="T540" s="548"/>
      <c r="U540" s="548"/>
      <c r="V540" s="548"/>
      <c r="W540" s="548"/>
      <c r="X540" s="548"/>
      <c r="Y540" s="548"/>
      <c r="Z540" s="548"/>
      <c r="AA540" s="548"/>
      <c r="AB540" s="548"/>
      <c r="AC540" s="548"/>
      <c r="AD540" s="548"/>
      <c r="AE540" s="548"/>
      <c r="AF540" s="548"/>
      <c r="AG540" s="549"/>
      <c r="AH540" s="518"/>
    </row>
    <row r="541">
      <c r="A541" s="546"/>
      <c r="B541" s="547"/>
      <c r="C541" s="547"/>
      <c r="D541" s="547"/>
      <c r="E541" s="547"/>
      <c r="F541" s="547"/>
      <c r="G541" s="547"/>
      <c r="H541" s="547"/>
      <c r="I541" s="547"/>
      <c r="J541" s="547"/>
      <c r="K541" s="547"/>
      <c r="L541" s="547"/>
      <c r="M541" s="547"/>
      <c r="N541" s="548"/>
      <c r="O541" s="548"/>
      <c r="P541" s="548"/>
      <c r="Q541" s="548"/>
      <c r="R541" s="548"/>
      <c r="S541" s="548"/>
      <c r="T541" s="548"/>
      <c r="U541" s="548"/>
      <c r="V541" s="548"/>
      <c r="W541" s="548"/>
      <c r="X541" s="548"/>
      <c r="Y541" s="548"/>
      <c r="Z541" s="548"/>
      <c r="AA541" s="548"/>
      <c r="AB541" s="548"/>
      <c r="AC541" s="548"/>
      <c r="AD541" s="548"/>
      <c r="AE541" s="548"/>
      <c r="AF541" s="548"/>
      <c r="AG541" s="549"/>
      <c r="AH541" s="518"/>
    </row>
    <row r="542">
      <c r="A542" s="546"/>
      <c r="B542" s="547"/>
      <c r="C542" s="547"/>
      <c r="D542" s="547"/>
      <c r="E542" s="547"/>
      <c r="F542" s="547"/>
      <c r="G542" s="547"/>
      <c r="H542" s="547"/>
      <c r="I542" s="547"/>
      <c r="J542" s="547"/>
      <c r="K542" s="547"/>
      <c r="L542" s="547"/>
      <c r="M542" s="547"/>
      <c r="N542" s="548"/>
      <c r="O542" s="548"/>
      <c r="P542" s="548"/>
      <c r="Q542" s="548"/>
      <c r="R542" s="548"/>
      <c r="S542" s="548"/>
      <c r="T542" s="548"/>
      <c r="U542" s="548"/>
      <c r="V542" s="548"/>
      <c r="W542" s="548"/>
      <c r="X542" s="548"/>
      <c r="Y542" s="548"/>
      <c r="Z542" s="548"/>
      <c r="AA542" s="548"/>
      <c r="AB542" s="548"/>
      <c r="AC542" s="548"/>
      <c r="AD542" s="548"/>
      <c r="AE542" s="548"/>
      <c r="AF542" s="548"/>
      <c r="AG542" s="549"/>
      <c r="AH542" s="518"/>
    </row>
    <row r="543">
      <c r="A543" s="546"/>
      <c r="B543" s="547"/>
      <c r="C543" s="547"/>
      <c r="D543" s="547"/>
      <c r="E543" s="547"/>
      <c r="F543" s="547"/>
      <c r="G543" s="547"/>
      <c r="H543" s="547"/>
      <c r="I543" s="547"/>
      <c r="J543" s="547"/>
      <c r="K543" s="547"/>
      <c r="L543" s="547"/>
      <c r="M543" s="547"/>
      <c r="N543" s="548"/>
      <c r="O543" s="548"/>
      <c r="P543" s="548"/>
      <c r="Q543" s="548"/>
      <c r="R543" s="548"/>
      <c r="S543" s="548"/>
      <c r="T543" s="548"/>
      <c r="U543" s="548"/>
      <c r="V543" s="548"/>
      <c r="W543" s="548"/>
      <c r="X543" s="548"/>
      <c r="Y543" s="548"/>
      <c r="Z543" s="548"/>
      <c r="AA543" s="548"/>
      <c r="AB543" s="548"/>
      <c r="AC543" s="548"/>
      <c r="AD543" s="548"/>
      <c r="AE543" s="548"/>
      <c r="AF543" s="548"/>
      <c r="AG543" s="549"/>
      <c r="AH543" s="518"/>
    </row>
    <row r="544">
      <c r="A544" s="546"/>
      <c r="B544" s="547"/>
      <c r="C544" s="547"/>
      <c r="D544" s="547"/>
      <c r="E544" s="547"/>
      <c r="F544" s="547"/>
      <c r="G544" s="547"/>
      <c r="H544" s="547"/>
      <c r="I544" s="547"/>
      <c r="J544" s="547"/>
      <c r="K544" s="547"/>
      <c r="L544" s="547"/>
      <c r="M544" s="547"/>
      <c r="N544" s="548"/>
      <c r="O544" s="548"/>
      <c r="P544" s="548"/>
      <c r="Q544" s="548"/>
      <c r="R544" s="548"/>
      <c r="S544" s="548"/>
      <c r="T544" s="548"/>
      <c r="U544" s="548"/>
      <c r="V544" s="548"/>
      <c r="W544" s="548"/>
      <c r="X544" s="548"/>
      <c r="Y544" s="548"/>
      <c r="Z544" s="548"/>
      <c r="AA544" s="548"/>
      <c r="AB544" s="548"/>
      <c r="AC544" s="548"/>
      <c r="AD544" s="548"/>
      <c r="AE544" s="548"/>
      <c r="AF544" s="548"/>
      <c r="AG544" s="549"/>
      <c r="AH544" s="518"/>
    </row>
    <row r="545">
      <c r="A545" s="546"/>
      <c r="B545" s="547"/>
      <c r="C545" s="547"/>
      <c r="D545" s="547"/>
      <c r="E545" s="547"/>
      <c r="F545" s="547"/>
      <c r="G545" s="547"/>
      <c r="H545" s="547"/>
      <c r="I545" s="547"/>
      <c r="J545" s="547"/>
      <c r="K545" s="547"/>
      <c r="L545" s="547"/>
      <c r="M545" s="547"/>
      <c r="N545" s="548"/>
      <c r="O545" s="548"/>
      <c r="P545" s="548"/>
      <c r="Q545" s="548"/>
      <c r="R545" s="548"/>
      <c r="S545" s="548"/>
      <c r="T545" s="548"/>
      <c r="U545" s="548"/>
      <c r="V545" s="548"/>
      <c r="W545" s="548"/>
      <c r="X545" s="548"/>
      <c r="Y545" s="548"/>
      <c r="Z545" s="548"/>
      <c r="AA545" s="548"/>
      <c r="AB545" s="548"/>
      <c r="AC545" s="548"/>
      <c r="AD545" s="548"/>
      <c r="AE545" s="548"/>
      <c r="AF545" s="548"/>
      <c r="AG545" s="549"/>
      <c r="AH545" s="518"/>
    </row>
    <row r="546">
      <c r="A546" s="546"/>
      <c r="B546" s="547"/>
      <c r="C546" s="547"/>
      <c r="D546" s="547"/>
      <c r="E546" s="547"/>
      <c r="F546" s="547"/>
      <c r="G546" s="547"/>
      <c r="H546" s="547"/>
      <c r="I546" s="547"/>
      <c r="J546" s="547"/>
      <c r="K546" s="547"/>
      <c r="L546" s="547"/>
      <c r="M546" s="547"/>
      <c r="N546" s="548"/>
      <c r="O546" s="548"/>
      <c r="P546" s="548"/>
      <c r="Q546" s="548"/>
      <c r="R546" s="548"/>
      <c r="S546" s="548"/>
      <c r="T546" s="548"/>
      <c r="U546" s="548"/>
      <c r="V546" s="548"/>
      <c r="W546" s="548"/>
      <c r="X546" s="548"/>
      <c r="Y546" s="548"/>
      <c r="Z546" s="548"/>
      <c r="AA546" s="548"/>
      <c r="AB546" s="548"/>
      <c r="AC546" s="548"/>
      <c r="AD546" s="548"/>
      <c r="AE546" s="548"/>
      <c r="AF546" s="548"/>
      <c r="AG546" s="549"/>
      <c r="AH546" s="518"/>
    </row>
    <row r="547">
      <c r="A547" s="546"/>
      <c r="B547" s="547"/>
      <c r="C547" s="547"/>
      <c r="D547" s="547"/>
      <c r="E547" s="547"/>
      <c r="F547" s="547"/>
      <c r="G547" s="547"/>
      <c r="H547" s="547"/>
      <c r="I547" s="547"/>
      <c r="J547" s="547"/>
      <c r="K547" s="547"/>
      <c r="L547" s="547"/>
      <c r="M547" s="547"/>
      <c r="N547" s="548"/>
      <c r="O547" s="548"/>
      <c r="P547" s="548"/>
      <c r="Q547" s="548"/>
      <c r="R547" s="548"/>
      <c r="S547" s="548"/>
      <c r="T547" s="548"/>
      <c r="U547" s="548"/>
      <c r="V547" s="548"/>
      <c r="W547" s="548"/>
      <c r="X547" s="548"/>
      <c r="Y547" s="548"/>
      <c r="Z547" s="548"/>
      <c r="AA547" s="548"/>
      <c r="AB547" s="548"/>
      <c r="AC547" s="548"/>
      <c r="AD547" s="548"/>
      <c r="AE547" s="548"/>
      <c r="AF547" s="548"/>
      <c r="AG547" s="549"/>
      <c r="AH547" s="518"/>
    </row>
    <row r="548">
      <c r="A548" s="546"/>
      <c r="B548" s="547"/>
      <c r="C548" s="547"/>
      <c r="D548" s="547"/>
      <c r="E548" s="547"/>
      <c r="F548" s="547"/>
      <c r="G548" s="547"/>
      <c r="H548" s="547"/>
      <c r="I548" s="547"/>
      <c r="J548" s="547"/>
      <c r="K548" s="547"/>
      <c r="L548" s="547"/>
      <c r="M548" s="547"/>
      <c r="N548" s="548"/>
      <c r="O548" s="548"/>
      <c r="P548" s="548"/>
      <c r="Q548" s="548"/>
      <c r="R548" s="548"/>
      <c r="S548" s="548"/>
      <c r="T548" s="548"/>
      <c r="U548" s="548"/>
      <c r="V548" s="548"/>
      <c r="W548" s="548"/>
      <c r="X548" s="548"/>
      <c r="Y548" s="548"/>
      <c r="Z548" s="548"/>
      <c r="AA548" s="548"/>
      <c r="AB548" s="548"/>
      <c r="AC548" s="548"/>
      <c r="AD548" s="548"/>
      <c r="AE548" s="548"/>
      <c r="AF548" s="548"/>
      <c r="AG548" s="549"/>
      <c r="AH548" s="518"/>
    </row>
    <row r="549">
      <c r="A549" s="546"/>
      <c r="B549" s="547"/>
      <c r="C549" s="547"/>
      <c r="D549" s="547"/>
      <c r="E549" s="547"/>
      <c r="F549" s="547"/>
      <c r="G549" s="547"/>
      <c r="H549" s="547"/>
      <c r="I549" s="547"/>
      <c r="J549" s="547"/>
      <c r="K549" s="547"/>
      <c r="L549" s="547"/>
      <c r="M549" s="547"/>
      <c r="N549" s="548"/>
      <c r="O549" s="548"/>
      <c r="P549" s="548"/>
      <c r="Q549" s="548"/>
      <c r="R549" s="548"/>
      <c r="S549" s="548"/>
      <c r="T549" s="548"/>
      <c r="U549" s="548"/>
      <c r="V549" s="548"/>
      <c r="W549" s="548"/>
      <c r="X549" s="548"/>
      <c r="Y549" s="548"/>
      <c r="Z549" s="548"/>
      <c r="AA549" s="548"/>
      <c r="AB549" s="548"/>
      <c r="AC549" s="548"/>
      <c r="AD549" s="548"/>
      <c r="AE549" s="548"/>
      <c r="AF549" s="548"/>
      <c r="AG549" s="549"/>
      <c r="AH549" s="518"/>
    </row>
    <row r="550">
      <c r="A550" s="546"/>
      <c r="B550" s="547"/>
      <c r="C550" s="547"/>
      <c r="D550" s="547"/>
      <c r="E550" s="547"/>
      <c r="F550" s="547"/>
      <c r="G550" s="547"/>
      <c r="H550" s="547"/>
      <c r="I550" s="547"/>
      <c r="J550" s="547"/>
      <c r="K550" s="547"/>
      <c r="L550" s="547"/>
      <c r="M550" s="547"/>
      <c r="N550" s="548"/>
      <c r="O550" s="548"/>
      <c r="P550" s="548"/>
      <c r="Q550" s="548"/>
      <c r="R550" s="548"/>
      <c r="S550" s="548"/>
      <c r="T550" s="548"/>
      <c r="U550" s="548"/>
      <c r="V550" s="548"/>
      <c r="W550" s="548"/>
      <c r="X550" s="548"/>
      <c r="Y550" s="548"/>
      <c r="Z550" s="548"/>
      <c r="AA550" s="548"/>
      <c r="AB550" s="548"/>
      <c r="AC550" s="548"/>
      <c r="AD550" s="548"/>
      <c r="AE550" s="548"/>
      <c r="AF550" s="548"/>
      <c r="AG550" s="549"/>
      <c r="AH550" s="518"/>
    </row>
    <row r="551">
      <c r="A551" s="546"/>
      <c r="B551" s="547"/>
      <c r="C551" s="547"/>
      <c r="D551" s="547"/>
      <c r="E551" s="547"/>
      <c r="F551" s="547"/>
      <c r="G551" s="547"/>
      <c r="H551" s="547"/>
      <c r="I551" s="547"/>
      <c r="J551" s="547"/>
      <c r="K551" s="547"/>
      <c r="L551" s="547"/>
      <c r="M551" s="547"/>
      <c r="N551" s="548"/>
      <c r="O551" s="548"/>
      <c r="P551" s="548"/>
      <c r="Q551" s="548"/>
      <c r="R551" s="548"/>
      <c r="S551" s="548"/>
      <c r="T551" s="548"/>
      <c r="U551" s="548"/>
      <c r="V551" s="548"/>
      <c r="W551" s="548"/>
      <c r="X551" s="548"/>
      <c r="Y551" s="548"/>
      <c r="Z551" s="548"/>
      <c r="AA551" s="548"/>
      <c r="AB551" s="548"/>
      <c r="AC551" s="548"/>
      <c r="AD551" s="548"/>
      <c r="AE551" s="548"/>
      <c r="AF551" s="548"/>
      <c r="AG551" s="549"/>
      <c r="AH551" s="518"/>
    </row>
    <row r="552">
      <c r="A552" s="546"/>
      <c r="B552" s="547"/>
      <c r="C552" s="547"/>
      <c r="D552" s="547"/>
      <c r="E552" s="547"/>
      <c r="F552" s="547"/>
      <c r="G552" s="547"/>
      <c r="H552" s="547"/>
      <c r="I552" s="547"/>
      <c r="J552" s="547"/>
      <c r="K552" s="547"/>
      <c r="L552" s="547"/>
      <c r="M552" s="547"/>
      <c r="N552" s="548"/>
      <c r="O552" s="548"/>
      <c r="P552" s="548"/>
      <c r="Q552" s="548"/>
      <c r="R552" s="548"/>
      <c r="S552" s="548"/>
      <c r="T552" s="548"/>
      <c r="U552" s="548"/>
      <c r="V552" s="548"/>
      <c r="W552" s="548"/>
      <c r="X552" s="548"/>
      <c r="Y552" s="548"/>
      <c r="Z552" s="548"/>
      <c r="AA552" s="548"/>
      <c r="AB552" s="548"/>
      <c r="AC552" s="548"/>
      <c r="AD552" s="548"/>
      <c r="AE552" s="548"/>
      <c r="AF552" s="548"/>
      <c r="AG552" s="549"/>
      <c r="AH552" s="518"/>
    </row>
    <row r="553">
      <c r="A553" s="546"/>
      <c r="B553" s="547"/>
      <c r="C553" s="547"/>
      <c r="D553" s="547"/>
      <c r="E553" s="547"/>
      <c r="F553" s="547"/>
      <c r="G553" s="547"/>
      <c r="H553" s="547"/>
      <c r="I553" s="547"/>
      <c r="J553" s="547"/>
      <c r="K553" s="547"/>
      <c r="L553" s="547"/>
      <c r="M553" s="547"/>
      <c r="N553" s="548"/>
      <c r="O553" s="548"/>
      <c r="P553" s="548"/>
      <c r="Q553" s="548"/>
      <c r="R553" s="548"/>
      <c r="S553" s="548"/>
      <c r="T553" s="548"/>
      <c r="U553" s="548"/>
      <c r="V553" s="548"/>
      <c r="W553" s="548"/>
      <c r="X553" s="548"/>
      <c r="Y553" s="548"/>
      <c r="Z553" s="548"/>
      <c r="AA553" s="548"/>
      <c r="AB553" s="548"/>
      <c r="AC553" s="548"/>
      <c r="AD553" s="548"/>
      <c r="AE553" s="548"/>
      <c r="AF553" s="548"/>
      <c r="AG553" s="549"/>
      <c r="AH553" s="518"/>
    </row>
    <row r="554">
      <c r="A554" s="546"/>
      <c r="B554" s="547"/>
      <c r="C554" s="547"/>
      <c r="D554" s="547"/>
      <c r="E554" s="547"/>
      <c r="F554" s="547"/>
      <c r="G554" s="547"/>
      <c r="H554" s="547"/>
      <c r="I554" s="547"/>
      <c r="J554" s="547"/>
      <c r="K554" s="547"/>
      <c r="L554" s="547"/>
      <c r="M554" s="547"/>
      <c r="N554" s="548"/>
      <c r="O554" s="548"/>
      <c r="P554" s="548"/>
      <c r="Q554" s="548"/>
      <c r="R554" s="548"/>
      <c r="S554" s="548"/>
      <c r="T554" s="548"/>
      <c r="U554" s="548"/>
      <c r="V554" s="548"/>
      <c r="W554" s="548"/>
      <c r="X554" s="548"/>
      <c r="Y554" s="548"/>
      <c r="Z554" s="548"/>
      <c r="AA554" s="548"/>
      <c r="AB554" s="548"/>
      <c r="AC554" s="548"/>
      <c r="AD554" s="548"/>
      <c r="AE554" s="548"/>
      <c r="AF554" s="548"/>
      <c r="AG554" s="549"/>
      <c r="AH554" s="518"/>
    </row>
    <row r="555">
      <c r="A555" s="546"/>
      <c r="B555" s="547"/>
      <c r="C555" s="547"/>
      <c r="D555" s="547"/>
      <c r="E555" s="547"/>
      <c r="F555" s="547"/>
      <c r="G555" s="547"/>
      <c r="H555" s="547"/>
      <c r="I555" s="547"/>
      <c r="J555" s="547"/>
      <c r="K555" s="547"/>
      <c r="L555" s="547"/>
      <c r="M555" s="547"/>
      <c r="N555" s="548"/>
      <c r="O555" s="548"/>
      <c r="P555" s="548"/>
      <c r="Q555" s="548"/>
      <c r="R555" s="548"/>
      <c r="S555" s="548"/>
      <c r="T555" s="548"/>
      <c r="U555" s="548"/>
      <c r="V555" s="548"/>
      <c r="W555" s="548"/>
      <c r="X555" s="548"/>
      <c r="Y555" s="548"/>
      <c r="Z555" s="548"/>
      <c r="AA555" s="548"/>
      <c r="AB555" s="548"/>
      <c r="AC555" s="548"/>
      <c r="AD555" s="548"/>
      <c r="AE555" s="548"/>
      <c r="AF555" s="548"/>
      <c r="AG555" s="549"/>
      <c r="AH555" s="518"/>
    </row>
    <row r="556">
      <c r="A556" s="546"/>
      <c r="B556" s="547"/>
      <c r="C556" s="547"/>
      <c r="D556" s="547"/>
      <c r="E556" s="547"/>
      <c r="F556" s="547"/>
      <c r="G556" s="547"/>
      <c r="H556" s="547"/>
      <c r="I556" s="547"/>
      <c r="J556" s="547"/>
      <c r="K556" s="547"/>
      <c r="L556" s="547"/>
      <c r="M556" s="547"/>
      <c r="N556" s="548"/>
      <c r="O556" s="548"/>
      <c r="P556" s="548"/>
      <c r="Q556" s="548"/>
      <c r="R556" s="548"/>
      <c r="S556" s="548"/>
      <c r="T556" s="548"/>
      <c r="U556" s="548"/>
      <c r="V556" s="548"/>
      <c r="W556" s="548"/>
      <c r="X556" s="548"/>
      <c r="Y556" s="548"/>
      <c r="Z556" s="548"/>
      <c r="AA556" s="548"/>
      <c r="AB556" s="548"/>
      <c r="AC556" s="548"/>
      <c r="AD556" s="548"/>
      <c r="AE556" s="548"/>
      <c r="AF556" s="548"/>
      <c r="AG556" s="549"/>
      <c r="AH556" s="518"/>
    </row>
    <row r="557">
      <c r="A557" s="546"/>
      <c r="B557" s="547"/>
      <c r="C557" s="547"/>
      <c r="D557" s="547"/>
      <c r="E557" s="547"/>
      <c r="F557" s="547"/>
      <c r="G557" s="547"/>
      <c r="H557" s="547"/>
      <c r="I557" s="547"/>
      <c r="J557" s="547"/>
      <c r="K557" s="547"/>
      <c r="L557" s="547"/>
      <c r="M557" s="547"/>
      <c r="N557" s="548"/>
      <c r="O557" s="548"/>
      <c r="P557" s="548"/>
      <c r="Q557" s="548"/>
      <c r="R557" s="548"/>
      <c r="S557" s="548"/>
      <c r="T557" s="548"/>
      <c r="U557" s="548"/>
      <c r="V557" s="548"/>
      <c r="W557" s="548"/>
      <c r="X557" s="548"/>
      <c r="Y557" s="548"/>
      <c r="Z557" s="548"/>
      <c r="AA557" s="548"/>
      <c r="AB557" s="548"/>
      <c r="AC557" s="548"/>
      <c r="AD557" s="548"/>
      <c r="AE557" s="548"/>
      <c r="AF557" s="548"/>
      <c r="AG557" s="549"/>
      <c r="AH557" s="518"/>
    </row>
    <row r="558">
      <c r="A558" s="546"/>
      <c r="B558" s="547"/>
      <c r="C558" s="547"/>
      <c r="D558" s="547"/>
      <c r="E558" s="547"/>
      <c r="F558" s="547"/>
      <c r="G558" s="547"/>
      <c r="H558" s="547"/>
      <c r="I558" s="547"/>
      <c r="J558" s="547"/>
      <c r="K558" s="547"/>
      <c r="L558" s="547"/>
      <c r="M558" s="547"/>
      <c r="N558" s="548"/>
      <c r="O558" s="548"/>
      <c r="P558" s="548"/>
      <c r="Q558" s="548"/>
      <c r="R558" s="548"/>
      <c r="S558" s="548"/>
      <c r="T558" s="548"/>
      <c r="U558" s="548"/>
      <c r="V558" s="548"/>
      <c r="W558" s="548"/>
      <c r="X558" s="548"/>
      <c r="Y558" s="548"/>
      <c r="Z558" s="548"/>
      <c r="AA558" s="548"/>
      <c r="AB558" s="548"/>
      <c r="AC558" s="548"/>
      <c r="AD558" s="548"/>
      <c r="AE558" s="548"/>
      <c r="AF558" s="548"/>
      <c r="AG558" s="549"/>
      <c r="AH558" s="518"/>
    </row>
    <row r="559">
      <c r="A559" s="546"/>
      <c r="B559" s="547"/>
      <c r="C559" s="547"/>
      <c r="D559" s="547"/>
      <c r="E559" s="547"/>
      <c r="F559" s="547"/>
      <c r="G559" s="547"/>
      <c r="H559" s="547"/>
      <c r="I559" s="547"/>
      <c r="J559" s="547"/>
      <c r="K559" s="547"/>
      <c r="L559" s="547"/>
      <c r="M559" s="547"/>
      <c r="N559" s="548"/>
      <c r="O559" s="548"/>
      <c r="P559" s="548"/>
      <c r="Q559" s="548"/>
      <c r="R559" s="548"/>
      <c r="S559" s="548"/>
      <c r="T559" s="548"/>
      <c r="U559" s="548"/>
      <c r="V559" s="548"/>
      <c r="W559" s="548"/>
      <c r="X559" s="548"/>
      <c r="Y559" s="548"/>
      <c r="Z559" s="548"/>
      <c r="AA559" s="548"/>
      <c r="AB559" s="548"/>
      <c r="AC559" s="548"/>
      <c r="AD559" s="548"/>
      <c r="AE559" s="548"/>
      <c r="AF559" s="548"/>
      <c r="AG559" s="549"/>
      <c r="AH559" s="518"/>
    </row>
    <row r="560">
      <c r="A560" s="546"/>
      <c r="B560" s="547"/>
      <c r="C560" s="547"/>
      <c r="D560" s="547"/>
      <c r="E560" s="547"/>
      <c r="F560" s="547"/>
      <c r="G560" s="547"/>
      <c r="H560" s="547"/>
      <c r="I560" s="547"/>
      <c r="J560" s="547"/>
      <c r="K560" s="547"/>
      <c r="L560" s="547"/>
      <c r="M560" s="547"/>
      <c r="N560" s="548"/>
      <c r="O560" s="548"/>
      <c r="P560" s="548"/>
      <c r="Q560" s="548"/>
      <c r="R560" s="548"/>
      <c r="S560" s="548"/>
      <c r="T560" s="548"/>
      <c r="U560" s="548"/>
      <c r="V560" s="548"/>
      <c r="W560" s="548"/>
      <c r="X560" s="548"/>
      <c r="Y560" s="548"/>
      <c r="Z560" s="548"/>
      <c r="AA560" s="548"/>
      <c r="AB560" s="548"/>
      <c r="AC560" s="548"/>
      <c r="AD560" s="548"/>
      <c r="AE560" s="548"/>
      <c r="AF560" s="548"/>
      <c r="AG560" s="549"/>
      <c r="AH560" s="518"/>
    </row>
    <row r="561">
      <c r="A561" s="546"/>
      <c r="B561" s="547"/>
      <c r="C561" s="547"/>
      <c r="D561" s="547"/>
      <c r="E561" s="547"/>
      <c r="F561" s="547"/>
      <c r="G561" s="547"/>
      <c r="H561" s="547"/>
      <c r="I561" s="547"/>
      <c r="J561" s="547"/>
      <c r="K561" s="547"/>
      <c r="L561" s="547"/>
      <c r="M561" s="547"/>
      <c r="N561" s="548"/>
      <c r="O561" s="548"/>
      <c r="P561" s="548"/>
      <c r="Q561" s="548"/>
      <c r="R561" s="548"/>
      <c r="S561" s="548"/>
      <c r="T561" s="548"/>
      <c r="U561" s="548"/>
      <c r="V561" s="548"/>
      <c r="W561" s="548"/>
      <c r="X561" s="548"/>
      <c r="Y561" s="548"/>
      <c r="Z561" s="548"/>
      <c r="AA561" s="548"/>
      <c r="AB561" s="548"/>
      <c r="AC561" s="548"/>
      <c r="AD561" s="548"/>
      <c r="AE561" s="548"/>
      <c r="AF561" s="548"/>
      <c r="AG561" s="549"/>
      <c r="AH561" s="518"/>
    </row>
    <row r="562">
      <c r="A562" s="546"/>
      <c r="B562" s="547"/>
      <c r="C562" s="547"/>
      <c r="D562" s="547"/>
      <c r="E562" s="547"/>
      <c r="F562" s="547"/>
      <c r="G562" s="547"/>
      <c r="H562" s="547"/>
      <c r="I562" s="547"/>
      <c r="J562" s="547"/>
      <c r="K562" s="547"/>
      <c r="L562" s="547"/>
      <c r="M562" s="547"/>
      <c r="N562" s="548"/>
      <c r="O562" s="548"/>
      <c r="P562" s="548"/>
      <c r="Q562" s="548"/>
      <c r="R562" s="548"/>
      <c r="S562" s="548"/>
      <c r="T562" s="548"/>
      <c r="U562" s="548"/>
      <c r="V562" s="548"/>
      <c r="W562" s="548"/>
      <c r="X562" s="548"/>
      <c r="Y562" s="548"/>
      <c r="Z562" s="548"/>
      <c r="AA562" s="548"/>
      <c r="AB562" s="548"/>
      <c r="AC562" s="548"/>
      <c r="AD562" s="548"/>
      <c r="AE562" s="548"/>
      <c r="AF562" s="548"/>
      <c r="AG562" s="549"/>
      <c r="AH562" s="518"/>
    </row>
    <row r="563">
      <c r="A563" s="546"/>
      <c r="B563" s="547"/>
      <c r="C563" s="547"/>
      <c r="D563" s="547"/>
      <c r="E563" s="547"/>
      <c r="F563" s="547"/>
      <c r="G563" s="547"/>
      <c r="H563" s="547"/>
      <c r="I563" s="547"/>
      <c r="J563" s="547"/>
      <c r="K563" s="547"/>
      <c r="L563" s="547"/>
      <c r="M563" s="547"/>
      <c r="N563" s="548"/>
      <c r="O563" s="548"/>
      <c r="P563" s="548"/>
      <c r="Q563" s="548"/>
      <c r="R563" s="548"/>
      <c r="S563" s="548"/>
      <c r="T563" s="548"/>
      <c r="U563" s="548"/>
      <c r="V563" s="548"/>
      <c r="W563" s="548"/>
      <c r="X563" s="548"/>
      <c r="Y563" s="548"/>
      <c r="Z563" s="548"/>
      <c r="AA563" s="548"/>
      <c r="AB563" s="548"/>
      <c r="AC563" s="548"/>
      <c r="AD563" s="548"/>
      <c r="AE563" s="548"/>
      <c r="AF563" s="548"/>
      <c r="AG563" s="549"/>
      <c r="AH563" s="518"/>
    </row>
    <row r="564">
      <c r="A564" s="546"/>
      <c r="B564" s="547"/>
      <c r="C564" s="547"/>
      <c r="D564" s="547"/>
      <c r="E564" s="547"/>
      <c r="F564" s="547"/>
      <c r="G564" s="547"/>
      <c r="H564" s="547"/>
      <c r="I564" s="547"/>
      <c r="J564" s="547"/>
      <c r="K564" s="547"/>
      <c r="L564" s="547"/>
      <c r="M564" s="547"/>
      <c r="N564" s="548"/>
      <c r="O564" s="548"/>
      <c r="P564" s="548"/>
      <c r="Q564" s="548"/>
      <c r="R564" s="548"/>
      <c r="S564" s="548"/>
      <c r="T564" s="548"/>
      <c r="U564" s="548"/>
      <c r="V564" s="548"/>
      <c r="W564" s="548"/>
      <c r="X564" s="548"/>
      <c r="Y564" s="548"/>
      <c r="Z564" s="548"/>
      <c r="AA564" s="548"/>
      <c r="AB564" s="548"/>
      <c r="AC564" s="548"/>
      <c r="AD564" s="548"/>
      <c r="AE564" s="548"/>
      <c r="AF564" s="548"/>
      <c r="AG564" s="549"/>
      <c r="AH564" s="518"/>
    </row>
    <row r="565">
      <c r="A565" s="546"/>
      <c r="B565" s="547"/>
      <c r="C565" s="547"/>
      <c r="D565" s="547"/>
      <c r="E565" s="547"/>
      <c r="F565" s="547"/>
      <c r="G565" s="547"/>
      <c r="H565" s="547"/>
      <c r="I565" s="547"/>
      <c r="J565" s="547"/>
      <c r="K565" s="547"/>
      <c r="L565" s="547"/>
      <c r="M565" s="547"/>
      <c r="N565" s="548"/>
      <c r="O565" s="548"/>
      <c r="P565" s="548"/>
      <c r="Q565" s="548"/>
      <c r="R565" s="548"/>
      <c r="S565" s="548"/>
      <c r="T565" s="548"/>
      <c r="U565" s="548"/>
      <c r="V565" s="548"/>
      <c r="W565" s="548"/>
      <c r="X565" s="548"/>
      <c r="Y565" s="548"/>
      <c r="Z565" s="548"/>
      <c r="AA565" s="548"/>
      <c r="AB565" s="548"/>
      <c r="AC565" s="548"/>
      <c r="AD565" s="548"/>
      <c r="AE565" s="548"/>
      <c r="AF565" s="548"/>
      <c r="AG565" s="549"/>
      <c r="AH565" s="518"/>
    </row>
    <row r="566">
      <c r="A566" s="546"/>
      <c r="B566" s="547"/>
      <c r="C566" s="547"/>
      <c r="D566" s="547"/>
      <c r="E566" s="547"/>
      <c r="F566" s="547"/>
      <c r="G566" s="547"/>
      <c r="H566" s="547"/>
      <c r="I566" s="547"/>
      <c r="J566" s="547"/>
      <c r="K566" s="547"/>
      <c r="L566" s="547"/>
      <c r="M566" s="547"/>
      <c r="N566" s="548"/>
      <c r="O566" s="548"/>
      <c r="P566" s="548"/>
      <c r="Q566" s="548"/>
      <c r="R566" s="548"/>
      <c r="S566" s="548"/>
      <c r="T566" s="548"/>
      <c r="U566" s="548"/>
      <c r="V566" s="548"/>
      <c r="W566" s="548"/>
      <c r="X566" s="548"/>
      <c r="Y566" s="548"/>
      <c r="Z566" s="548"/>
      <c r="AA566" s="548"/>
      <c r="AB566" s="548"/>
      <c r="AC566" s="548"/>
      <c r="AD566" s="548"/>
      <c r="AE566" s="548"/>
      <c r="AF566" s="548"/>
      <c r="AG566" s="549"/>
      <c r="AH566" s="518"/>
    </row>
    <row r="567">
      <c r="A567" s="546"/>
      <c r="B567" s="547"/>
      <c r="C567" s="547"/>
      <c r="D567" s="547"/>
      <c r="E567" s="547"/>
      <c r="F567" s="547"/>
      <c r="G567" s="547"/>
      <c r="H567" s="547"/>
      <c r="I567" s="547"/>
      <c r="J567" s="547"/>
      <c r="K567" s="547"/>
      <c r="L567" s="547"/>
      <c r="M567" s="547"/>
      <c r="N567" s="548"/>
      <c r="O567" s="548"/>
      <c r="P567" s="548"/>
      <c r="Q567" s="548"/>
      <c r="R567" s="548"/>
      <c r="S567" s="548"/>
      <c r="T567" s="548"/>
      <c r="U567" s="548"/>
      <c r="V567" s="548"/>
      <c r="W567" s="548"/>
      <c r="X567" s="548"/>
      <c r="Y567" s="548"/>
      <c r="Z567" s="548"/>
      <c r="AA567" s="548"/>
      <c r="AB567" s="548"/>
      <c r="AC567" s="548"/>
      <c r="AD567" s="548"/>
      <c r="AE567" s="548"/>
      <c r="AF567" s="548"/>
      <c r="AG567" s="549"/>
      <c r="AH567" s="518"/>
    </row>
    <row r="568">
      <c r="A568" s="546"/>
      <c r="B568" s="547"/>
      <c r="C568" s="547"/>
      <c r="D568" s="547"/>
      <c r="E568" s="547"/>
      <c r="F568" s="547"/>
      <c r="G568" s="547"/>
      <c r="H568" s="547"/>
      <c r="I568" s="547"/>
      <c r="J568" s="547"/>
      <c r="K568" s="547"/>
      <c r="L568" s="547"/>
      <c r="M568" s="547"/>
      <c r="N568" s="548"/>
      <c r="O568" s="548"/>
      <c r="P568" s="548"/>
      <c r="Q568" s="548"/>
      <c r="R568" s="548"/>
      <c r="S568" s="548"/>
      <c r="T568" s="548"/>
      <c r="U568" s="548"/>
      <c r="V568" s="548"/>
      <c r="W568" s="548"/>
      <c r="X568" s="548"/>
      <c r="Y568" s="548"/>
      <c r="Z568" s="548"/>
      <c r="AA568" s="548"/>
      <c r="AB568" s="548"/>
      <c r="AC568" s="548"/>
      <c r="AD568" s="548"/>
      <c r="AE568" s="548"/>
      <c r="AF568" s="548"/>
      <c r="AG568" s="549"/>
      <c r="AH568" s="518"/>
    </row>
    <row r="569">
      <c r="A569" s="546"/>
      <c r="B569" s="547"/>
      <c r="C569" s="547"/>
      <c r="D569" s="547"/>
      <c r="E569" s="547"/>
      <c r="F569" s="547"/>
      <c r="G569" s="547"/>
      <c r="H569" s="547"/>
      <c r="I569" s="547"/>
      <c r="J569" s="547"/>
      <c r="K569" s="547"/>
      <c r="L569" s="547"/>
      <c r="M569" s="547"/>
      <c r="N569" s="548"/>
      <c r="O569" s="548"/>
      <c r="P569" s="548"/>
      <c r="Q569" s="548"/>
      <c r="R569" s="548"/>
      <c r="S569" s="548"/>
      <c r="T569" s="548"/>
      <c r="U569" s="548"/>
      <c r="V569" s="548"/>
      <c r="W569" s="548"/>
      <c r="X569" s="548"/>
      <c r="Y569" s="548"/>
      <c r="Z569" s="548"/>
      <c r="AA569" s="548"/>
      <c r="AB569" s="548"/>
      <c r="AC569" s="548"/>
      <c r="AD569" s="548"/>
      <c r="AE569" s="548"/>
      <c r="AF569" s="548"/>
      <c r="AG569" s="549"/>
      <c r="AH569" s="518"/>
    </row>
    <row r="570">
      <c r="A570" s="546"/>
      <c r="B570" s="547"/>
      <c r="C570" s="547"/>
      <c r="D570" s="547"/>
      <c r="E570" s="547"/>
      <c r="F570" s="547"/>
      <c r="G570" s="547"/>
      <c r="H570" s="547"/>
      <c r="I570" s="547"/>
      <c r="J570" s="547"/>
      <c r="K570" s="547"/>
      <c r="L570" s="547"/>
      <c r="M570" s="547"/>
      <c r="N570" s="548"/>
      <c r="O570" s="548"/>
      <c r="P570" s="548"/>
      <c r="Q570" s="548"/>
      <c r="R570" s="548"/>
      <c r="S570" s="548"/>
      <c r="T570" s="548"/>
      <c r="U570" s="548"/>
      <c r="V570" s="548"/>
      <c r="W570" s="548"/>
      <c r="X570" s="548"/>
      <c r="Y570" s="548"/>
      <c r="Z570" s="548"/>
      <c r="AA570" s="548"/>
      <c r="AB570" s="548"/>
      <c r="AC570" s="548"/>
      <c r="AD570" s="548"/>
      <c r="AE570" s="548"/>
      <c r="AF570" s="548"/>
      <c r="AG570" s="549"/>
      <c r="AH570" s="518"/>
    </row>
    <row r="571">
      <c r="A571" s="546"/>
      <c r="B571" s="547"/>
      <c r="C571" s="547"/>
      <c r="D571" s="547"/>
      <c r="E571" s="547"/>
      <c r="F571" s="547"/>
      <c r="G571" s="547"/>
      <c r="H571" s="547"/>
      <c r="I571" s="547"/>
      <c r="J571" s="547"/>
      <c r="K571" s="547"/>
      <c r="L571" s="547"/>
      <c r="M571" s="547"/>
      <c r="N571" s="548"/>
      <c r="O571" s="548"/>
      <c r="P571" s="548"/>
      <c r="Q571" s="548"/>
      <c r="R571" s="548"/>
      <c r="S571" s="548"/>
      <c r="T571" s="548"/>
      <c r="U571" s="548"/>
      <c r="V571" s="548"/>
      <c r="W571" s="548"/>
      <c r="X571" s="548"/>
      <c r="Y571" s="548"/>
      <c r="Z571" s="548"/>
      <c r="AA571" s="548"/>
      <c r="AB571" s="548"/>
      <c r="AC571" s="548"/>
      <c r="AD571" s="548"/>
      <c r="AE571" s="548"/>
      <c r="AF571" s="548"/>
      <c r="AG571" s="549"/>
      <c r="AH571" s="518"/>
    </row>
    <row r="572">
      <c r="A572" s="546"/>
      <c r="B572" s="547"/>
      <c r="C572" s="547"/>
      <c r="D572" s="547"/>
      <c r="E572" s="547"/>
      <c r="F572" s="547"/>
      <c r="G572" s="547"/>
      <c r="H572" s="547"/>
      <c r="I572" s="547"/>
      <c r="J572" s="547"/>
      <c r="K572" s="547"/>
      <c r="L572" s="547"/>
      <c r="M572" s="547"/>
      <c r="N572" s="548"/>
      <c r="O572" s="548"/>
      <c r="P572" s="548"/>
      <c r="Q572" s="548"/>
      <c r="R572" s="548"/>
      <c r="S572" s="548"/>
      <c r="T572" s="548"/>
      <c r="U572" s="548"/>
      <c r="V572" s="548"/>
      <c r="W572" s="548"/>
      <c r="X572" s="548"/>
      <c r="Y572" s="548"/>
      <c r="Z572" s="548"/>
      <c r="AA572" s="548"/>
      <c r="AB572" s="548"/>
      <c r="AC572" s="548"/>
      <c r="AD572" s="548"/>
      <c r="AE572" s="548"/>
      <c r="AF572" s="548"/>
      <c r="AG572" s="549"/>
      <c r="AH572" s="518"/>
    </row>
    <row r="573">
      <c r="A573" s="546"/>
      <c r="B573" s="547"/>
      <c r="C573" s="547"/>
      <c r="D573" s="547"/>
      <c r="E573" s="547"/>
      <c r="F573" s="547"/>
      <c r="G573" s="547"/>
      <c r="H573" s="547"/>
      <c r="I573" s="547"/>
      <c r="J573" s="547"/>
      <c r="K573" s="547"/>
      <c r="L573" s="547"/>
      <c r="M573" s="547"/>
      <c r="N573" s="548"/>
      <c r="O573" s="548"/>
      <c r="P573" s="548"/>
      <c r="Q573" s="548"/>
      <c r="R573" s="548"/>
      <c r="S573" s="548"/>
      <c r="T573" s="548"/>
      <c r="U573" s="548"/>
      <c r="V573" s="548"/>
      <c r="W573" s="548"/>
      <c r="X573" s="548"/>
      <c r="Y573" s="548"/>
      <c r="Z573" s="548"/>
      <c r="AA573" s="548"/>
      <c r="AB573" s="548"/>
      <c r="AC573" s="548"/>
      <c r="AD573" s="548"/>
      <c r="AE573" s="548"/>
      <c r="AF573" s="548"/>
      <c r="AG573" s="549"/>
      <c r="AH573" s="518"/>
    </row>
    <row r="574">
      <c r="A574" s="546"/>
      <c r="B574" s="547"/>
      <c r="C574" s="547"/>
      <c r="D574" s="547"/>
      <c r="E574" s="547"/>
      <c r="F574" s="547"/>
      <c r="G574" s="547"/>
      <c r="H574" s="547"/>
      <c r="I574" s="547"/>
      <c r="J574" s="547"/>
      <c r="K574" s="547"/>
      <c r="L574" s="547"/>
      <c r="M574" s="547"/>
      <c r="N574" s="548"/>
      <c r="O574" s="548"/>
      <c r="P574" s="548"/>
      <c r="Q574" s="548"/>
      <c r="R574" s="548"/>
      <c r="S574" s="548"/>
      <c r="T574" s="548"/>
      <c r="U574" s="548"/>
      <c r="V574" s="548"/>
      <c r="W574" s="548"/>
      <c r="X574" s="548"/>
      <c r="Y574" s="548"/>
      <c r="Z574" s="548"/>
      <c r="AA574" s="548"/>
      <c r="AB574" s="548"/>
      <c r="AC574" s="548"/>
      <c r="AD574" s="548"/>
      <c r="AE574" s="548"/>
      <c r="AF574" s="548"/>
      <c r="AG574" s="549"/>
      <c r="AH574" s="518"/>
    </row>
    <row r="575">
      <c r="A575" s="546"/>
      <c r="B575" s="547"/>
      <c r="C575" s="547"/>
      <c r="D575" s="547"/>
      <c r="E575" s="547"/>
      <c r="F575" s="547"/>
      <c r="G575" s="547"/>
      <c r="H575" s="547"/>
      <c r="I575" s="547"/>
      <c r="J575" s="547"/>
      <c r="K575" s="547"/>
      <c r="L575" s="547"/>
      <c r="M575" s="547"/>
      <c r="N575" s="548"/>
      <c r="O575" s="548"/>
      <c r="P575" s="548"/>
      <c r="Q575" s="548"/>
      <c r="R575" s="548"/>
      <c r="S575" s="548"/>
      <c r="T575" s="548"/>
      <c r="U575" s="548"/>
      <c r="V575" s="548"/>
      <c r="W575" s="548"/>
      <c r="X575" s="548"/>
      <c r="Y575" s="548"/>
      <c r="Z575" s="548"/>
      <c r="AA575" s="548"/>
      <c r="AB575" s="548"/>
      <c r="AC575" s="548"/>
      <c r="AD575" s="548"/>
      <c r="AE575" s="548"/>
      <c r="AF575" s="548"/>
      <c r="AG575" s="549"/>
      <c r="AH575" s="518"/>
    </row>
    <row r="576">
      <c r="A576" s="546"/>
      <c r="B576" s="547"/>
      <c r="C576" s="547"/>
      <c r="D576" s="547"/>
      <c r="E576" s="547"/>
      <c r="F576" s="547"/>
      <c r="G576" s="547"/>
      <c r="H576" s="547"/>
      <c r="I576" s="547"/>
      <c r="J576" s="547"/>
      <c r="K576" s="547"/>
      <c r="L576" s="547"/>
      <c r="M576" s="547"/>
      <c r="N576" s="548"/>
      <c r="O576" s="548"/>
      <c r="P576" s="548"/>
      <c r="Q576" s="548"/>
      <c r="R576" s="548"/>
      <c r="S576" s="548"/>
      <c r="T576" s="548"/>
      <c r="U576" s="548"/>
      <c r="V576" s="548"/>
      <c r="W576" s="548"/>
      <c r="X576" s="548"/>
      <c r="Y576" s="548"/>
      <c r="Z576" s="548"/>
      <c r="AA576" s="548"/>
      <c r="AB576" s="548"/>
      <c r="AC576" s="548"/>
      <c r="AD576" s="548"/>
      <c r="AE576" s="548"/>
      <c r="AF576" s="548"/>
      <c r="AG576" s="549"/>
      <c r="AH576" s="518"/>
    </row>
    <row r="577">
      <c r="A577" s="546"/>
      <c r="B577" s="547"/>
      <c r="C577" s="547"/>
      <c r="D577" s="547"/>
      <c r="E577" s="547"/>
      <c r="F577" s="547"/>
      <c r="G577" s="547"/>
      <c r="H577" s="547"/>
      <c r="I577" s="547"/>
      <c r="J577" s="547"/>
      <c r="K577" s="547"/>
      <c r="L577" s="547"/>
      <c r="M577" s="547"/>
      <c r="N577" s="548"/>
      <c r="O577" s="548"/>
      <c r="P577" s="548"/>
      <c r="Q577" s="548"/>
      <c r="R577" s="548"/>
      <c r="S577" s="548"/>
      <c r="T577" s="548"/>
      <c r="U577" s="548"/>
      <c r="V577" s="548"/>
      <c r="W577" s="548"/>
      <c r="X577" s="548"/>
      <c r="Y577" s="548"/>
      <c r="Z577" s="548"/>
      <c r="AA577" s="548"/>
      <c r="AB577" s="548"/>
      <c r="AC577" s="548"/>
      <c r="AD577" s="548"/>
      <c r="AE577" s="548"/>
      <c r="AF577" s="548"/>
      <c r="AG577" s="549"/>
      <c r="AH577" s="518"/>
    </row>
    <row r="578">
      <c r="A578" s="546"/>
      <c r="B578" s="547"/>
      <c r="C578" s="547"/>
      <c r="D578" s="547"/>
      <c r="E578" s="547"/>
      <c r="F578" s="547"/>
      <c r="G578" s="547"/>
      <c r="H578" s="547"/>
      <c r="I578" s="547"/>
      <c r="J578" s="547"/>
      <c r="K578" s="547"/>
      <c r="L578" s="547"/>
      <c r="M578" s="547"/>
      <c r="N578" s="548"/>
      <c r="O578" s="548"/>
      <c r="P578" s="548"/>
      <c r="Q578" s="548"/>
      <c r="R578" s="548"/>
      <c r="S578" s="548"/>
      <c r="T578" s="548"/>
      <c r="U578" s="548"/>
      <c r="V578" s="548"/>
      <c r="W578" s="548"/>
      <c r="X578" s="548"/>
      <c r="Y578" s="548"/>
      <c r="Z578" s="548"/>
      <c r="AA578" s="548"/>
      <c r="AB578" s="548"/>
      <c r="AC578" s="548"/>
      <c r="AD578" s="548"/>
      <c r="AE578" s="548"/>
      <c r="AF578" s="548"/>
      <c r="AG578" s="549"/>
      <c r="AH578" s="518"/>
    </row>
    <row r="579">
      <c r="A579" s="546"/>
      <c r="B579" s="547"/>
      <c r="C579" s="547"/>
      <c r="D579" s="547"/>
      <c r="E579" s="547"/>
      <c r="F579" s="547"/>
      <c r="G579" s="547"/>
      <c r="H579" s="547"/>
      <c r="I579" s="547"/>
      <c r="J579" s="547"/>
      <c r="K579" s="547"/>
      <c r="L579" s="547"/>
      <c r="M579" s="547"/>
      <c r="N579" s="548"/>
      <c r="O579" s="548"/>
      <c r="P579" s="548"/>
      <c r="Q579" s="548"/>
      <c r="R579" s="548"/>
      <c r="S579" s="548"/>
      <c r="T579" s="548"/>
      <c r="U579" s="548"/>
      <c r="V579" s="548"/>
      <c r="W579" s="548"/>
      <c r="X579" s="548"/>
      <c r="Y579" s="548"/>
      <c r="Z579" s="548"/>
      <c r="AA579" s="548"/>
      <c r="AB579" s="548"/>
      <c r="AC579" s="548"/>
      <c r="AD579" s="548"/>
      <c r="AE579" s="548"/>
      <c r="AF579" s="548"/>
      <c r="AG579" s="549"/>
      <c r="AH579" s="518"/>
    </row>
    <row r="580">
      <c r="A580" s="546"/>
      <c r="B580" s="547"/>
      <c r="C580" s="547"/>
      <c r="D580" s="547"/>
      <c r="E580" s="547"/>
      <c r="F580" s="547"/>
      <c r="G580" s="547"/>
      <c r="H580" s="547"/>
      <c r="I580" s="547"/>
      <c r="J580" s="547"/>
      <c r="K580" s="547"/>
      <c r="L580" s="547"/>
      <c r="M580" s="547"/>
      <c r="N580" s="548"/>
      <c r="O580" s="548"/>
      <c r="P580" s="548"/>
      <c r="Q580" s="548"/>
      <c r="R580" s="548"/>
      <c r="S580" s="548"/>
      <c r="T580" s="548"/>
      <c r="U580" s="548"/>
      <c r="V580" s="548"/>
      <c r="W580" s="548"/>
      <c r="X580" s="548"/>
      <c r="Y580" s="548"/>
      <c r="Z580" s="548"/>
      <c r="AA580" s="548"/>
      <c r="AB580" s="548"/>
      <c r="AC580" s="548"/>
      <c r="AD580" s="548"/>
      <c r="AE580" s="548"/>
      <c r="AF580" s="548"/>
      <c r="AG580" s="549"/>
      <c r="AH580" s="518"/>
    </row>
    <row r="581">
      <c r="A581" s="546"/>
      <c r="B581" s="547"/>
      <c r="C581" s="547"/>
      <c r="D581" s="547"/>
      <c r="E581" s="547"/>
      <c r="F581" s="547"/>
      <c r="G581" s="547"/>
      <c r="H581" s="547"/>
      <c r="I581" s="547"/>
      <c r="J581" s="547"/>
      <c r="K581" s="547"/>
      <c r="L581" s="547"/>
      <c r="M581" s="547"/>
      <c r="N581" s="548"/>
      <c r="O581" s="548"/>
      <c r="P581" s="548"/>
      <c r="Q581" s="548"/>
      <c r="R581" s="548"/>
      <c r="S581" s="548"/>
      <c r="T581" s="548"/>
      <c r="U581" s="548"/>
      <c r="V581" s="548"/>
      <c r="W581" s="548"/>
      <c r="X581" s="548"/>
      <c r="Y581" s="548"/>
      <c r="Z581" s="548"/>
      <c r="AA581" s="548"/>
      <c r="AB581" s="548"/>
      <c r="AC581" s="548"/>
      <c r="AD581" s="548"/>
      <c r="AE581" s="548"/>
      <c r="AF581" s="548"/>
      <c r="AG581" s="549"/>
      <c r="AH581" s="518"/>
    </row>
    <row r="582">
      <c r="A582" s="546"/>
      <c r="B582" s="547"/>
      <c r="C582" s="547"/>
      <c r="D582" s="547"/>
      <c r="E582" s="547"/>
      <c r="F582" s="547"/>
      <c r="G582" s="547"/>
      <c r="H582" s="547"/>
      <c r="I582" s="547"/>
      <c r="J582" s="547"/>
      <c r="K582" s="547"/>
      <c r="L582" s="547"/>
      <c r="M582" s="547"/>
      <c r="N582" s="548"/>
      <c r="O582" s="548"/>
      <c r="P582" s="548"/>
      <c r="Q582" s="548"/>
      <c r="R582" s="548"/>
      <c r="S582" s="548"/>
      <c r="T582" s="548"/>
      <c r="U582" s="548"/>
      <c r="V582" s="548"/>
      <c r="W582" s="548"/>
      <c r="X582" s="548"/>
      <c r="Y582" s="548"/>
      <c r="Z582" s="548"/>
      <c r="AA582" s="548"/>
      <c r="AB582" s="548"/>
      <c r="AC582" s="548"/>
      <c r="AD582" s="548"/>
      <c r="AE582" s="548"/>
      <c r="AF582" s="548"/>
      <c r="AG582" s="549"/>
      <c r="AH582" s="518"/>
    </row>
    <row r="583">
      <c r="A583" s="546"/>
      <c r="B583" s="547"/>
      <c r="C583" s="547"/>
      <c r="D583" s="547"/>
      <c r="E583" s="547"/>
      <c r="F583" s="547"/>
      <c r="G583" s="547"/>
      <c r="H583" s="547"/>
      <c r="I583" s="547"/>
      <c r="J583" s="547"/>
      <c r="K583" s="547"/>
      <c r="L583" s="547"/>
      <c r="M583" s="547"/>
      <c r="N583" s="548"/>
      <c r="O583" s="548"/>
      <c r="P583" s="548"/>
      <c r="Q583" s="548"/>
      <c r="R583" s="548"/>
      <c r="S583" s="548"/>
      <c r="T583" s="548"/>
      <c r="U583" s="548"/>
      <c r="V583" s="548"/>
      <c r="W583" s="548"/>
      <c r="X583" s="548"/>
      <c r="Y583" s="548"/>
      <c r="Z583" s="548"/>
      <c r="AA583" s="548"/>
      <c r="AB583" s="548"/>
      <c r="AC583" s="548"/>
      <c r="AD583" s="548"/>
      <c r="AE583" s="548"/>
      <c r="AF583" s="548"/>
      <c r="AG583" s="549"/>
      <c r="AH583" s="518"/>
    </row>
    <row r="584">
      <c r="A584" s="546"/>
      <c r="B584" s="547"/>
      <c r="C584" s="547"/>
      <c r="D584" s="547"/>
      <c r="E584" s="547"/>
      <c r="F584" s="547"/>
      <c r="G584" s="547"/>
      <c r="H584" s="547"/>
      <c r="I584" s="547"/>
      <c r="J584" s="547"/>
      <c r="K584" s="547"/>
      <c r="L584" s="547"/>
      <c r="M584" s="547"/>
      <c r="N584" s="548"/>
      <c r="O584" s="548"/>
      <c r="P584" s="548"/>
      <c r="Q584" s="548"/>
      <c r="R584" s="548"/>
      <c r="S584" s="548"/>
      <c r="T584" s="548"/>
      <c r="U584" s="548"/>
      <c r="V584" s="548"/>
      <c r="W584" s="548"/>
      <c r="X584" s="548"/>
      <c r="Y584" s="548"/>
      <c r="Z584" s="548"/>
      <c r="AA584" s="548"/>
      <c r="AB584" s="548"/>
      <c r="AC584" s="548"/>
      <c r="AD584" s="548"/>
      <c r="AE584" s="548"/>
      <c r="AF584" s="548"/>
      <c r="AG584" s="549"/>
      <c r="AH584" s="518"/>
    </row>
    <row r="585">
      <c r="A585" s="546"/>
      <c r="B585" s="547"/>
      <c r="C585" s="547"/>
      <c r="D585" s="547"/>
      <c r="E585" s="547"/>
      <c r="F585" s="547"/>
      <c r="G585" s="547"/>
      <c r="H585" s="547"/>
      <c r="I585" s="547"/>
      <c r="J585" s="547"/>
      <c r="K585" s="547"/>
      <c r="L585" s="547"/>
      <c r="M585" s="547"/>
      <c r="N585" s="548"/>
      <c r="O585" s="548"/>
      <c r="P585" s="548"/>
      <c r="Q585" s="548"/>
      <c r="R585" s="548"/>
      <c r="S585" s="548"/>
      <c r="T585" s="548"/>
      <c r="U585" s="548"/>
      <c r="V585" s="548"/>
      <c r="W585" s="548"/>
      <c r="X585" s="548"/>
      <c r="Y585" s="548"/>
      <c r="Z585" s="548"/>
      <c r="AA585" s="548"/>
      <c r="AB585" s="548"/>
      <c r="AC585" s="548"/>
      <c r="AD585" s="548"/>
      <c r="AE585" s="548"/>
      <c r="AF585" s="548"/>
      <c r="AG585" s="549"/>
      <c r="AH585" s="518"/>
    </row>
    <row r="586">
      <c r="A586" s="546"/>
      <c r="B586" s="547"/>
      <c r="C586" s="547"/>
      <c r="D586" s="547"/>
      <c r="E586" s="547"/>
      <c r="F586" s="547"/>
      <c r="G586" s="547"/>
      <c r="H586" s="547"/>
      <c r="I586" s="547"/>
      <c r="J586" s="547"/>
      <c r="K586" s="547"/>
      <c r="L586" s="547"/>
      <c r="M586" s="547"/>
      <c r="N586" s="548"/>
      <c r="O586" s="548"/>
      <c r="P586" s="548"/>
      <c r="Q586" s="548"/>
      <c r="R586" s="548"/>
      <c r="S586" s="548"/>
      <c r="T586" s="548"/>
      <c r="U586" s="548"/>
      <c r="V586" s="548"/>
      <c r="W586" s="548"/>
      <c r="X586" s="548"/>
      <c r="Y586" s="548"/>
      <c r="Z586" s="548"/>
      <c r="AA586" s="548"/>
      <c r="AB586" s="548"/>
      <c r="AC586" s="548"/>
      <c r="AD586" s="548"/>
      <c r="AE586" s="548"/>
      <c r="AF586" s="548"/>
      <c r="AG586" s="549"/>
      <c r="AH586" s="518"/>
    </row>
    <row r="587">
      <c r="A587" s="546"/>
      <c r="B587" s="547"/>
      <c r="C587" s="547"/>
      <c r="D587" s="547"/>
      <c r="E587" s="547"/>
      <c r="F587" s="547"/>
      <c r="G587" s="547"/>
      <c r="H587" s="547"/>
      <c r="I587" s="547"/>
      <c r="J587" s="547"/>
      <c r="K587" s="547"/>
      <c r="L587" s="547"/>
      <c r="M587" s="547"/>
      <c r="N587" s="548"/>
      <c r="O587" s="548"/>
      <c r="P587" s="548"/>
      <c r="Q587" s="548"/>
      <c r="R587" s="548"/>
      <c r="S587" s="548"/>
      <c r="T587" s="548"/>
      <c r="U587" s="548"/>
      <c r="V587" s="548"/>
      <c r="W587" s="548"/>
      <c r="X587" s="548"/>
      <c r="Y587" s="548"/>
      <c r="Z587" s="548"/>
      <c r="AA587" s="548"/>
      <c r="AB587" s="548"/>
      <c r="AC587" s="548"/>
      <c r="AD587" s="548"/>
      <c r="AE587" s="548"/>
      <c r="AF587" s="548"/>
      <c r="AG587" s="549"/>
      <c r="AH587" s="518"/>
    </row>
    <row r="588">
      <c r="A588" s="546"/>
      <c r="B588" s="547"/>
      <c r="C588" s="547"/>
      <c r="D588" s="547"/>
      <c r="E588" s="547"/>
      <c r="F588" s="547"/>
      <c r="G588" s="547"/>
      <c r="H588" s="547"/>
      <c r="I588" s="547"/>
      <c r="J588" s="547"/>
      <c r="K588" s="547"/>
      <c r="L588" s="547"/>
      <c r="M588" s="547"/>
      <c r="N588" s="548"/>
      <c r="O588" s="548"/>
      <c r="P588" s="548"/>
      <c r="Q588" s="548"/>
      <c r="R588" s="548"/>
      <c r="S588" s="548"/>
      <c r="T588" s="548"/>
      <c r="U588" s="548"/>
      <c r="V588" s="548"/>
      <c r="W588" s="548"/>
      <c r="X588" s="548"/>
      <c r="Y588" s="548"/>
      <c r="Z588" s="548"/>
      <c r="AA588" s="548"/>
      <c r="AB588" s="548"/>
      <c r="AC588" s="548"/>
      <c r="AD588" s="548"/>
      <c r="AE588" s="548"/>
      <c r="AF588" s="548"/>
      <c r="AG588" s="549"/>
      <c r="AH588" s="518"/>
    </row>
    <row r="589">
      <c r="A589" s="546"/>
      <c r="B589" s="547"/>
      <c r="C589" s="547"/>
      <c r="D589" s="547"/>
      <c r="E589" s="547"/>
      <c r="F589" s="547"/>
      <c r="G589" s="547"/>
      <c r="H589" s="547"/>
      <c r="I589" s="547"/>
      <c r="J589" s="547"/>
      <c r="K589" s="547"/>
      <c r="L589" s="547"/>
      <c r="M589" s="547"/>
      <c r="N589" s="548"/>
      <c r="O589" s="548"/>
      <c r="P589" s="548"/>
      <c r="Q589" s="548"/>
      <c r="R589" s="548"/>
      <c r="S589" s="548"/>
      <c r="T589" s="548"/>
      <c r="U589" s="548"/>
      <c r="V589" s="548"/>
      <c r="W589" s="548"/>
      <c r="X589" s="548"/>
      <c r="Y589" s="548"/>
      <c r="Z589" s="548"/>
      <c r="AA589" s="548"/>
      <c r="AB589" s="548"/>
      <c r="AC589" s="548"/>
      <c r="AD589" s="548"/>
      <c r="AE589" s="548"/>
      <c r="AF589" s="548"/>
      <c r="AG589" s="549"/>
      <c r="AH589" s="518"/>
    </row>
    <row r="590">
      <c r="A590" s="546"/>
      <c r="B590" s="547"/>
      <c r="C590" s="547"/>
      <c r="D590" s="547"/>
      <c r="E590" s="547"/>
      <c r="F590" s="547"/>
      <c r="G590" s="547"/>
      <c r="H590" s="547"/>
      <c r="I590" s="547"/>
      <c r="J590" s="547"/>
      <c r="K590" s="547"/>
      <c r="L590" s="547"/>
      <c r="M590" s="547"/>
      <c r="N590" s="548"/>
      <c r="O590" s="548"/>
      <c r="P590" s="548"/>
      <c r="Q590" s="548"/>
      <c r="R590" s="548"/>
      <c r="S590" s="548"/>
      <c r="T590" s="548"/>
      <c r="U590" s="548"/>
      <c r="V590" s="548"/>
      <c r="W590" s="548"/>
      <c r="X590" s="548"/>
      <c r="Y590" s="548"/>
      <c r="Z590" s="548"/>
      <c r="AA590" s="548"/>
      <c r="AB590" s="548"/>
      <c r="AC590" s="548"/>
      <c r="AD590" s="548"/>
      <c r="AE590" s="548"/>
      <c r="AF590" s="548"/>
      <c r="AG590" s="549"/>
      <c r="AH590" s="518"/>
    </row>
    <row r="591">
      <c r="A591" s="546"/>
      <c r="B591" s="547"/>
      <c r="C591" s="547"/>
      <c r="D591" s="547"/>
      <c r="E591" s="547"/>
      <c r="F591" s="547"/>
      <c r="G591" s="547"/>
      <c r="H591" s="547"/>
      <c r="I591" s="547"/>
      <c r="J591" s="547"/>
      <c r="K591" s="547"/>
      <c r="L591" s="547"/>
      <c r="M591" s="547"/>
      <c r="N591" s="548"/>
      <c r="O591" s="548"/>
      <c r="P591" s="548"/>
      <c r="Q591" s="548"/>
      <c r="R591" s="548"/>
      <c r="S591" s="548"/>
      <c r="T591" s="548"/>
      <c r="U591" s="548"/>
      <c r="V591" s="548"/>
      <c r="W591" s="548"/>
      <c r="X591" s="548"/>
      <c r="Y591" s="548"/>
      <c r="Z591" s="548"/>
      <c r="AA591" s="548"/>
      <c r="AB591" s="548"/>
      <c r="AC591" s="548"/>
      <c r="AD591" s="548"/>
      <c r="AE591" s="548"/>
      <c r="AF591" s="548"/>
      <c r="AG591" s="549"/>
      <c r="AH591" s="518"/>
    </row>
    <row r="592">
      <c r="A592" s="546"/>
      <c r="B592" s="547"/>
      <c r="C592" s="547"/>
      <c r="D592" s="547"/>
      <c r="E592" s="547"/>
      <c r="F592" s="547"/>
      <c r="G592" s="547"/>
      <c r="H592" s="547"/>
      <c r="I592" s="547"/>
      <c r="J592" s="547"/>
      <c r="K592" s="547"/>
      <c r="L592" s="547"/>
      <c r="M592" s="547"/>
      <c r="N592" s="548"/>
      <c r="O592" s="548"/>
      <c r="P592" s="548"/>
      <c r="Q592" s="548"/>
      <c r="R592" s="548"/>
      <c r="S592" s="548"/>
      <c r="T592" s="548"/>
      <c r="U592" s="548"/>
      <c r="V592" s="548"/>
      <c r="W592" s="548"/>
      <c r="X592" s="548"/>
      <c r="Y592" s="548"/>
      <c r="Z592" s="548"/>
      <c r="AA592" s="548"/>
      <c r="AB592" s="548"/>
      <c r="AC592" s="548"/>
      <c r="AD592" s="548"/>
      <c r="AE592" s="548"/>
      <c r="AF592" s="548"/>
      <c r="AG592" s="549"/>
      <c r="AH592" s="518"/>
    </row>
    <row r="593">
      <c r="A593" s="546"/>
      <c r="B593" s="547"/>
      <c r="C593" s="547"/>
      <c r="D593" s="547"/>
      <c r="E593" s="547"/>
      <c r="F593" s="547"/>
      <c r="G593" s="547"/>
      <c r="H593" s="547"/>
      <c r="I593" s="547"/>
      <c r="J593" s="547"/>
      <c r="K593" s="547"/>
      <c r="L593" s="547"/>
      <c r="M593" s="547"/>
      <c r="N593" s="548"/>
      <c r="O593" s="548"/>
      <c r="P593" s="548"/>
      <c r="Q593" s="548"/>
      <c r="R593" s="548"/>
      <c r="S593" s="548"/>
      <c r="T593" s="548"/>
      <c r="U593" s="548"/>
      <c r="V593" s="548"/>
      <c r="W593" s="548"/>
      <c r="X593" s="548"/>
      <c r="Y593" s="548"/>
      <c r="Z593" s="548"/>
      <c r="AA593" s="548"/>
      <c r="AB593" s="548"/>
      <c r="AC593" s="548"/>
      <c r="AD593" s="548"/>
      <c r="AE593" s="548"/>
      <c r="AF593" s="548"/>
      <c r="AG593" s="549"/>
      <c r="AH593" s="518"/>
    </row>
    <row r="594">
      <c r="A594" s="546"/>
      <c r="B594" s="547"/>
      <c r="C594" s="547"/>
      <c r="D594" s="547"/>
      <c r="E594" s="547"/>
      <c r="F594" s="547"/>
      <c r="G594" s="547"/>
      <c r="H594" s="547"/>
      <c r="I594" s="547"/>
      <c r="J594" s="547"/>
      <c r="K594" s="547"/>
      <c r="L594" s="547"/>
      <c r="M594" s="547"/>
      <c r="N594" s="548"/>
      <c r="O594" s="548"/>
      <c r="P594" s="548"/>
      <c r="Q594" s="548"/>
      <c r="R594" s="548"/>
      <c r="S594" s="548"/>
      <c r="T594" s="548"/>
      <c r="U594" s="548"/>
      <c r="V594" s="548"/>
      <c r="W594" s="548"/>
      <c r="X594" s="548"/>
      <c r="Y594" s="548"/>
      <c r="Z594" s="548"/>
      <c r="AA594" s="548"/>
      <c r="AB594" s="548"/>
      <c r="AC594" s="548"/>
      <c r="AD594" s="548"/>
      <c r="AE594" s="548"/>
      <c r="AF594" s="548"/>
      <c r="AG594" s="549"/>
      <c r="AH594" s="518"/>
    </row>
    <row r="595">
      <c r="A595" s="546"/>
      <c r="B595" s="547"/>
      <c r="C595" s="547"/>
      <c r="D595" s="547"/>
      <c r="E595" s="547"/>
      <c r="F595" s="547"/>
      <c r="G595" s="547"/>
      <c r="H595" s="547"/>
      <c r="I595" s="547"/>
      <c r="J595" s="547"/>
      <c r="K595" s="547"/>
      <c r="L595" s="547"/>
      <c r="M595" s="547"/>
      <c r="N595" s="548"/>
      <c r="O595" s="548"/>
      <c r="P595" s="548"/>
      <c r="Q595" s="548"/>
      <c r="R595" s="548"/>
      <c r="S595" s="548"/>
      <c r="T595" s="548"/>
      <c r="U595" s="548"/>
      <c r="V595" s="548"/>
      <c r="W595" s="548"/>
      <c r="X595" s="548"/>
      <c r="Y595" s="548"/>
      <c r="Z595" s="548"/>
      <c r="AA595" s="548"/>
      <c r="AB595" s="548"/>
      <c r="AC595" s="548"/>
      <c r="AD595" s="548"/>
      <c r="AE595" s="548"/>
      <c r="AF595" s="548"/>
      <c r="AG595" s="549"/>
      <c r="AH595" s="518"/>
    </row>
    <row r="596">
      <c r="A596" s="546"/>
      <c r="B596" s="547"/>
      <c r="C596" s="547"/>
      <c r="D596" s="547"/>
      <c r="E596" s="547"/>
      <c r="F596" s="547"/>
      <c r="G596" s="547"/>
      <c r="H596" s="547"/>
      <c r="I596" s="547"/>
      <c r="J596" s="547"/>
      <c r="K596" s="547"/>
      <c r="L596" s="547"/>
      <c r="M596" s="547"/>
      <c r="N596" s="548"/>
      <c r="O596" s="548"/>
      <c r="P596" s="548"/>
      <c r="Q596" s="548"/>
      <c r="R596" s="548"/>
      <c r="S596" s="548"/>
      <c r="T596" s="548"/>
      <c r="U596" s="548"/>
      <c r="V596" s="548"/>
      <c r="W596" s="548"/>
      <c r="X596" s="548"/>
      <c r="Y596" s="548"/>
      <c r="Z596" s="548"/>
      <c r="AA596" s="548"/>
      <c r="AB596" s="548"/>
      <c r="AC596" s="548"/>
      <c r="AD596" s="548"/>
      <c r="AE596" s="548"/>
      <c r="AF596" s="548"/>
      <c r="AG596" s="549"/>
      <c r="AH596" s="518"/>
    </row>
    <row r="597">
      <c r="A597" s="546"/>
      <c r="B597" s="547"/>
      <c r="C597" s="547"/>
      <c r="D597" s="547"/>
      <c r="E597" s="547"/>
      <c r="F597" s="547"/>
      <c r="G597" s="547"/>
      <c r="H597" s="547"/>
      <c r="I597" s="547"/>
      <c r="J597" s="547"/>
      <c r="K597" s="547"/>
      <c r="L597" s="547"/>
      <c r="M597" s="547"/>
      <c r="N597" s="548"/>
      <c r="O597" s="548"/>
      <c r="P597" s="548"/>
      <c r="Q597" s="548"/>
      <c r="R597" s="548"/>
      <c r="S597" s="548"/>
      <c r="T597" s="548"/>
      <c r="U597" s="548"/>
      <c r="V597" s="548"/>
      <c r="W597" s="548"/>
      <c r="X597" s="548"/>
      <c r="Y597" s="548"/>
      <c r="Z597" s="548"/>
      <c r="AA597" s="548"/>
      <c r="AB597" s="548"/>
      <c r="AC597" s="548"/>
      <c r="AD597" s="548"/>
      <c r="AE597" s="548"/>
      <c r="AF597" s="548"/>
      <c r="AG597" s="549"/>
      <c r="AH597" s="518"/>
    </row>
    <row r="598">
      <c r="A598" s="546"/>
      <c r="B598" s="547"/>
      <c r="C598" s="547"/>
      <c r="D598" s="547"/>
      <c r="E598" s="547"/>
      <c r="F598" s="547"/>
      <c r="G598" s="547"/>
      <c r="H598" s="547"/>
      <c r="I598" s="547"/>
      <c r="J598" s="547"/>
      <c r="K598" s="547"/>
      <c r="L598" s="547"/>
      <c r="M598" s="547"/>
      <c r="N598" s="548"/>
      <c r="O598" s="548"/>
      <c r="P598" s="548"/>
      <c r="Q598" s="548"/>
      <c r="R598" s="548"/>
      <c r="S598" s="548"/>
      <c r="T598" s="548"/>
      <c r="U598" s="548"/>
      <c r="V598" s="548"/>
      <c r="W598" s="548"/>
      <c r="X598" s="548"/>
      <c r="Y598" s="548"/>
      <c r="Z598" s="548"/>
      <c r="AA598" s="548"/>
      <c r="AB598" s="548"/>
      <c r="AC598" s="548"/>
      <c r="AD598" s="548"/>
      <c r="AE598" s="548"/>
      <c r="AF598" s="548"/>
      <c r="AG598" s="549"/>
      <c r="AH598" s="518"/>
    </row>
    <row r="599">
      <c r="A599" s="546"/>
      <c r="B599" s="547"/>
      <c r="C599" s="547"/>
      <c r="D599" s="547"/>
      <c r="E599" s="547"/>
      <c r="F599" s="547"/>
      <c r="G599" s="547"/>
      <c r="H599" s="547"/>
      <c r="I599" s="547"/>
      <c r="J599" s="547"/>
      <c r="K599" s="547"/>
      <c r="L599" s="547"/>
      <c r="M599" s="547"/>
      <c r="N599" s="548"/>
      <c r="O599" s="548"/>
      <c r="P599" s="548"/>
      <c r="Q599" s="548"/>
      <c r="R599" s="548"/>
      <c r="S599" s="548"/>
      <c r="T599" s="548"/>
      <c r="U599" s="548"/>
      <c r="V599" s="548"/>
      <c r="W599" s="548"/>
      <c r="X599" s="548"/>
      <c r="Y599" s="548"/>
      <c r="Z599" s="548"/>
      <c r="AA599" s="548"/>
      <c r="AB599" s="548"/>
      <c r="AC599" s="548"/>
      <c r="AD599" s="548"/>
      <c r="AE599" s="548"/>
      <c r="AF599" s="548"/>
      <c r="AG599" s="549"/>
      <c r="AH599" s="518"/>
    </row>
    <row r="600">
      <c r="A600" s="546"/>
      <c r="B600" s="547"/>
      <c r="C600" s="547"/>
      <c r="D600" s="547"/>
      <c r="E600" s="547"/>
      <c r="F600" s="547"/>
      <c r="G600" s="547"/>
      <c r="H600" s="547"/>
      <c r="I600" s="547"/>
      <c r="J600" s="547"/>
      <c r="K600" s="547"/>
      <c r="L600" s="547"/>
      <c r="M600" s="547"/>
      <c r="N600" s="548"/>
      <c r="O600" s="548"/>
      <c r="P600" s="548"/>
      <c r="Q600" s="548"/>
      <c r="R600" s="548"/>
      <c r="S600" s="548"/>
      <c r="T600" s="548"/>
      <c r="U600" s="548"/>
      <c r="V600" s="548"/>
      <c r="W600" s="548"/>
      <c r="X600" s="548"/>
      <c r="Y600" s="548"/>
      <c r="Z600" s="548"/>
      <c r="AA600" s="548"/>
      <c r="AB600" s="548"/>
      <c r="AC600" s="548"/>
      <c r="AD600" s="548"/>
      <c r="AE600" s="548"/>
      <c r="AF600" s="548"/>
      <c r="AG600" s="549"/>
      <c r="AH600" s="518"/>
    </row>
    <row r="601">
      <c r="A601" s="546"/>
      <c r="B601" s="547"/>
      <c r="C601" s="547"/>
      <c r="D601" s="547"/>
      <c r="E601" s="547"/>
      <c r="F601" s="547"/>
      <c r="G601" s="547"/>
      <c r="H601" s="547"/>
      <c r="I601" s="547"/>
      <c r="J601" s="547"/>
      <c r="K601" s="547"/>
      <c r="L601" s="547"/>
      <c r="M601" s="547"/>
      <c r="N601" s="548"/>
      <c r="O601" s="548"/>
      <c r="P601" s="548"/>
      <c r="Q601" s="548"/>
      <c r="R601" s="548"/>
      <c r="S601" s="548"/>
      <c r="T601" s="548"/>
      <c r="U601" s="548"/>
      <c r="V601" s="548"/>
      <c r="W601" s="548"/>
      <c r="X601" s="548"/>
      <c r="Y601" s="548"/>
      <c r="Z601" s="548"/>
      <c r="AA601" s="548"/>
      <c r="AB601" s="548"/>
      <c r="AC601" s="548"/>
      <c r="AD601" s="548"/>
      <c r="AE601" s="548"/>
      <c r="AF601" s="548"/>
      <c r="AG601" s="549"/>
      <c r="AH601" s="518"/>
    </row>
    <row r="602">
      <c r="A602" s="546"/>
      <c r="B602" s="547"/>
      <c r="C602" s="547"/>
      <c r="D602" s="547"/>
      <c r="E602" s="547"/>
      <c r="F602" s="547"/>
      <c r="G602" s="547"/>
      <c r="H602" s="547"/>
      <c r="I602" s="547"/>
      <c r="J602" s="547"/>
      <c r="K602" s="547"/>
      <c r="L602" s="547"/>
      <c r="M602" s="547"/>
      <c r="N602" s="548"/>
      <c r="O602" s="548"/>
      <c r="P602" s="548"/>
      <c r="Q602" s="548"/>
      <c r="R602" s="548"/>
      <c r="S602" s="548"/>
      <c r="T602" s="548"/>
      <c r="U602" s="548"/>
      <c r="V602" s="548"/>
      <c r="W602" s="548"/>
      <c r="X602" s="548"/>
      <c r="Y602" s="548"/>
      <c r="Z602" s="548"/>
      <c r="AA602" s="548"/>
      <c r="AB602" s="548"/>
      <c r="AC602" s="548"/>
      <c r="AD602" s="548"/>
      <c r="AE602" s="548"/>
      <c r="AF602" s="548"/>
      <c r="AG602" s="549"/>
      <c r="AH602" s="518"/>
    </row>
    <row r="603">
      <c r="A603" s="546"/>
      <c r="B603" s="547"/>
      <c r="C603" s="547"/>
      <c r="D603" s="547"/>
      <c r="E603" s="547"/>
      <c r="F603" s="547"/>
      <c r="G603" s="547"/>
      <c r="H603" s="547"/>
      <c r="I603" s="547"/>
      <c r="J603" s="547"/>
      <c r="K603" s="547"/>
      <c r="L603" s="547"/>
      <c r="M603" s="547"/>
      <c r="N603" s="548"/>
      <c r="O603" s="548"/>
      <c r="P603" s="548"/>
      <c r="Q603" s="548"/>
      <c r="R603" s="548"/>
      <c r="S603" s="548"/>
      <c r="T603" s="548"/>
      <c r="U603" s="548"/>
      <c r="V603" s="548"/>
      <c r="W603" s="548"/>
      <c r="X603" s="548"/>
      <c r="Y603" s="548"/>
      <c r="Z603" s="548"/>
      <c r="AA603" s="548"/>
      <c r="AB603" s="548"/>
      <c r="AC603" s="548"/>
      <c r="AD603" s="548"/>
      <c r="AE603" s="548"/>
      <c r="AF603" s="548"/>
      <c r="AG603" s="549"/>
      <c r="AH603" s="518"/>
    </row>
    <row r="604">
      <c r="A604" s="546"/>
      <c r="B604" s="547"/>
      <c r="C604" s="547"/>
      <c r="D604" s="547"/>
      <c r="E604" s="547"/>
      <c r="F604" s="547"/>
      <c r="G604" s="547"/>
      <c r="H604" s="547"/>
      <c r="I604" s="547"/>
      <c r="J604" s="547"/>
      <c r="K604" s="547"/>
      <c r="L604" s="547"/>
      <c r="M604" s="547"/>
      <c r="N604" s="548"/>
      <c r="O604" s="548"/>
      <c r="P604" s="548"/>
      <c r="Q604" s="548"/>
      <c r="R604" s="548"/>
      <c r="S604" s="548"/>
      <c r="T604" s="548"/>
      <c r="U604" s="548"/>
      <c r="V604" s="548"/>
      <c r="W604" s="548"/>
      <c r="X604" s="548"/>
      <c r="Y604" s="548"/>
      <c r="Z604" s="548"/>
      <c r="AA604" s="548"/>
      <c r="AB604" s="548"/>
      <c r="AC604" s="548"/>
      <c r="AD604" s="548"/>
      <c r="AE604" s="548"/>
      <c r="AF604" s="548"/>
      <c r="AG604" s="549"/>
      <c r="AH604" s="518"/>
    </row>
    <row r="605">
      <c r="A605" s="546"/>
      <c r="B605" s="547"/>
      <c r="C605" s="547"/>
      <c r="D605" s="547"/>
      <c r="E605" s="547"/>
      <c r="F605" s="547"/>
      <c r="G605" s="547"/>
      <c r="H605" s="547"/>
      <c r="I605" s="547"/>
      <c r="J605" s="547"/>
      <c r="K605" s="547"/>
      <c r="L605" s="547"/>
      <c r="M605" s="547"/>
      <c r="N605" s="548"/>
      <c r="O605" s="548"/>
      <c r="P605" s="548"/>
      <c r="Q605" s="548"/>
      <c r="R605" s="548"/>
      <c r="S605" s="548"/>
      <c r="T605" s="548"/>
      <c r="U605" s="548"/>
      <c r="V605" s="548"/>
      <c r="W605" s="548"/>
      <c r="X605" s="548"/>
      <c r="Y605" s="548"/>
      <c r="Z605" s="548"/>
      <c r="AA605" s="548"/>
      <c r="AB605" s="548"/>
      <c r="AC605" s="548"/>
      <c r="AD605" s="548"/>
      <c r="AE605" s="548"/>
      <c r="AF605" s="548"/>
      <c r="AG605" s="549"/>
      <c r="AH605" s="518"/>
    </row>
    <row r="606">
      <c r="A606" s="546"/>
      <c r="B606" s="547"/>
      <c r="C606" s="547"/>
      <c r="D606" s="547"/>
      <c r="E606" s="547"/>
      <c r="F606" s="547"/>
      <c r="G606" s="547"/>
      <c r="H606" s="547"/>
      <c r="I606" s="547"/>
      <c r="J606" s="547"/>
      <c r="K606" s="547"/>
      <c r="L606" s="547"/>
      <c r="M606" s="547"/>
      <c r="N606" s="548"/>
      <c r="O606" s="548"/>
      <c r="P606" s="548"/>
      <c r="Q606" s="548"/>
      <c r="R606" s="548"/>
      <c r="S606" s="548"/>
      <c r="T606" s="548"/>
      <c r="U606" s="548"/>
      <c r="V606" s="548"/>
      <c r="W606" s="548"/>
      <c r="X606" s="548"/>
      <c r="Y606" s="548"/>
      <c r="Z606" s="548"/>
      <c r="AA606" s="548"/>
      <c r="AB606" s="548"/>
      <c r="AC606" s="548"/>
      <c r="AD606" s="548"/>
      <c r="AE606" s="548"/>
      <c r="AF606" s="548"/>
      <c r="AG606" s="549"/>
      <c r="AH606" s="518"/>
    </row>
    <row r="607">
      <c r="A607" s="546"/>
      <c r="B607" s="547"/>
      <c r="C607" s="547"/>
      <c r="D607" s="547"/>
      <c r="E607" s="547"/>
      <c r="F607" s="547"/>
      <c r="G607" s="547"/>
      <c r="H607" s="547"/>
      <c r="I607" s="547"/>
      <c r="J607" s="547"/>
      <c r="K607" s="547"/>
      <c r="L607" s="547"/>
      <c r="M607" s="547"/>
      <c r="N607" s="548"/>
      <c r="O607" s="548"/>
      <c r="P607" s="548"/>
      <c r="Q607" s="548"/>
      <c r="R607" s="548"/>
      <c r="S607" s="548"/>
      <c r="T607" s="548"/>
      <c r="U607" s="548"/>
      <c r="V607" s="548"/>
      <c r="W607" s="548"/>
      <c r="X607" s="548"/>
      <c r="Y607" s="548"/>
      <c r="Z607" s="548"/>
      <c r="AA607" s="548"/>
      <c r="AB607" s="548"/>
      <c r="AC607" s="548"/>
      <c r="AD607" s="548"/>
      <c r="AE607" s="548"/>
      <c r="AF607" s="548"/>
      <c r="AG607" s="549"/>
      <c r="AH607" s="518"/>
    </row>
    <row r="608">
      <c r="A608" s="546"/>
      <c r="B608" s="547"/>
      <c r="C608" s="547"/>
      <c r="D608" s="547"/>
      <c r="E608" s="547"/>
      <c r="F608" s="547"/>
      <c r="G608" s="547"/>
      <c r="H608" s="547"/>
      <c r="I608" s="547"/>
      <c r="J608" s="547"/>
      <c r="K608" s="547"/>
      <c r="L608" s="547"/>
      <c r="M608" s="547"/>
      <c r="N608" s="548"/>
      <c r="O608" s="548"/>
      <c r="P608" s="548"/>
      <c r="Q608" s="548"/>
      <c r="R608" s="548"/>
      <c r="S608" s="548"/>
      <c r="T608" s="548"/>
      <c r="U608" s="548"/>
      <c r="V608" s="548"/>
      <c r="W608" s="548"/>
      <c r="X608" s="548"/>
      <c r="Y608" s="548"/>
      <c r="Z608" s="548"/>
      <c r="AA608" s="548"/>
      <c r="AB608" s="548"/>
      <c r="AC608" s="548"/>
      <c r="AD608" s="548"/>
      <c r="AE608" s="548"/>
      <c r="AF608" s="548"/>
      <c r="AG608" s="549"/>
      <c r="AH608" s="518"/>
    </row>
    <row r="609">
      <c r="A609" s="546"/>
      <c r="B609" s="547"/>
      <c r="C609" s="547"/>
      <c r="D609" s="547"/>
      <c r="E609" s="547"/>
      <c r="F609" s="547"/>
      <c r="G609" s="547"/>
      <c r="H609" s="547"/>
      <c r="I609" s="547"/>
      <c r="J609" s="547"/>
      <c r="K609" s="547"/>
      <c r="L609" s="547"/>
      <c r="M609" s="547"/>
      <c r="N609" s="548"/>
      <c r="O609" s="548"/>
      <c r="P609" s="548"/>
      <c r="Q609" s="548"/>
      <c r="R609" s="548"/>
      <c r="S609" s="548"/>
      <c r="T609" s="548"/>
      <c r="U609" s="548"/>
      <c r="V609" s="548"/>
      <c r="W609" s="548"/>
      <c r="X609" s="548"/>
      <c r="Y609" s="548"/>
      <c r="Z609" s="548"/>
      <c r="AA609" s="548"/>
      <c r="AB609" s="548"/>
      <c r="AC609" s="548"/>
      <c r="AD609" s="548"/>
      <c r="AE609" s="548"/>
      <c r="AF609" s="548"/>
      <c r="AG609" s="549"/>
      <c r="AH609" s="518"/>
    </row>
    <row r="610">
      <c r="A610" s="546"/>
      <c r="B610" s="547"/>
      <c r="C610" s="547"/>
      <c r="D610" s="547"/>
      <c r="E610" s="547"/>
      <c r="F610" s="547"/>
      <c r="G610" s="547"/>
      <c r="H610" s="547"/>
      <c r="I610" s="547"/>
      <c r="J610" s="547"/>
      <c r="K610" s="547"/>
      <c r="L610" s="547"/>
      <c r="M610" s="547"/>
      <c r="N610" s="548"/>
      <c r="O610" s="548"/>
      <c r="P610" s="548"/>
      <c r="Q610" s="548"/>
      <c r="R610" s="548"/>
      <c r="S610" s="548"/>
      <c r="T610" s="548"/>
      <c r="U610" s="548"/>
      <c r="V610" s="548"/>
      <c r="W610" s="548"/>
      <c r="X610" s="548"/>
      <c r="Y610" s="548"/>
      <c r="Z610" s="548"/>
      <c r="AA610" s="548"/>
      <c r="AB610" s="548"/>
      <c r="AC610" s="548"/>
      <c r="AD610" s="548"/>
      <c r="AE610" s="548"/>
      <c r="AF610" s="548"/>
      <c r="AG610" s="549"/>
      <c r="AH610" s="518"/>
    </row>
    <row r="611">
      <c r="A611" s="546"/>
      <c r="B611" s="547"/>
      <c r="C611" s="547"/>
      <c r="D611" s="547"/>
      <c r="E611" s="547"/>
      <c r="F611" s="547"/>
      <c r="G611" s="547"/>
      <c r="H611" s="547"/>
      <c r="I611" s="547"/>
      <c r="J611" s="547"/>
      <c r="K611" s="547"/>
      <c r="L611" s="547"/>
      <c r="M611" s="547"/>
      <c r="N611" s="548"/>
      <c r="O611" s="548"/>
      <c r="P611" s="548"/>
      <c r="Q611" s="548"/>
      <c r="R611" s="548"/>
      <c r="S611" s="548"/>
      <c r="T611" s="548"/>
      <c r="U611" s="548"/>
      <c r="V611" s="548"/>
      <c r="W611" s="548"/>
      <c r="X611" s="548"/>
      <c r="Y611" s="548"/>
      <c r="Z611" s="548"/>
      <c r="AA611" s="548"/>
      <c r="AB611" s="548"/>
      <c r="AC611" s="548"/>
      <c r="AD611" s="548"/>
      <c r="AE611" s="548"/>
      <c r="AF611" s="548"/>
      <c r="AG611" s="549"/>
      <c r="AH611" s="518"/>
    </row>
    <row r="612">
      <c r="A612" s="546"/>
      <c r="B612" s="547"/>
      <c r="C612" s="547"/>
      <c r="D612" s="547"/>
      <c r="E612" s="547"/>
      <c r="F612" s="547"/>
      <c r="G612" s="547"/>
      <c r="H612" s="547"/>
      <c r="I612" s="547"/>
      <c r="J612" s="547"/>
      <c r="K612" s="547"/>
      <c r="L612" s="547"/>
      <c r="M612" s="547"/>
      <c r="N612" s="548"/>
      <c r="O612" s="548"/>
      <c r="P612" s="548"/>
      <c r="Q612" s="548"/>
      <c r="R612" s="548"/>
      <c r="S612" s="548"/>
      <c r="T612" s="548"/>
      <c r="U612" s="548"/>
      <c r="V612" s="548"/>
      <c r="W612" s="548"/>
      <c r="X612" s="548"/>
      <c r="Y612" s="548"/>
      <c r="Z612" s="548"/>
      <c r="AA612" s="548"/>
      <c r="AB612" s="548"/>
      <c r="AC612" s="548"/>
      <c r="AD612" s="548"/>
      <c r="AE612" s="548"/>
      <c r="AF612" s="548"/>
      <c r="AG612" s="549"/>
      <c r="AH612" s="518"/>
    </row>
    <row r="613">
      <c r="A613" s="546"/>
      <c r="B613" s="547"/>
      <c r="C613" s="547"/>
      <c r="D613" s="547"/>
      <c r="E613" s="547"/>
      <c r="F613" s="547"/>
      <c r="G613" s="547"/>
      <c r="H613" s="547"/>
      <c r="I613" s="547"/>
      <c r="J613" s="547"/>
      <c r="K613" s="547"/>
      <c r="L613" s="547"/>
      <c r="M613" s="547"/>
      <c r="N613" s="548"/>
      <c r="O613" s="548"/>
      <c r="P613" s="548"/>
      <c r="Q613" s="548"/>
      <c r="R613" s="548"/>
      <c r="S613" s="548"/>
      <c r="T613" s="548"/>
      <c r="U613" s="548"/>
      <c r="V613" s="548"/>
      <c r="W613" s="548"/>
      <c r="X613" s="548"/>
      <c r="Y613" s="548"/>
      <c r="Z613" s="548"/>
      <c r="AA613" s="548"/>
      <c r="AB613" s="548"/>
      <c r="AC613" s="548"/>
      <c r="AD613" s="548"/>
      <c r="AE613" s="548"/>
      <c r="AF613" s="548"/>
      <c r="AG613" s="549"/>
      <c r="AH613" s="518"/>
    </row>
    <row r="614">
      <c r="A614" s="546"/>
      <c r="B614" s="547"/>
      <c r="C614" s="547"/>
      <c r="D614" s="547"/>
      <c r="E614" s="547"/>
      <c r="F614" s="547"/>
      <c r="G614" s="547"/>
      <c r="H614" s="547"/>
      <c r="I614" s="547"/>
      <c r="J614" s="547"/>
      <c r="K614" s="547"/>
      <c r="L614" s="547"/>
      <c r="M614" s="547"/>
      <c r="N614" s="548"/>
      <c r="O614" s="548"/>
      <c r="P614" s="548"/>
      <c r="Q614" s="548"/>
      <c r="R614" s="548"/>
      <c r="S614" s="548"/>
      <c r="T614" s="548"/>
      <c r="U614" s="548"/>
      <c r="V614" s="548"/>
      <c r="W614" s="548"/>
      <c r="X614" s="548"/>
      <c r="Y614" s="548"/>
      <c r="Z614" s="548"/>
      <c r="AA614" s="548"/>
      <c r="AB614" s="548"/>
      <c r="AC614" s="548"/>
      <c r="AD614" s="548"/>
      <c r="AE614" s="548"/>
      <c r="AF614" s="548"/>
      <c r="AG614" s="549"/>
      <c r="AH614" s="518"/>
    </row>
    <row r="615">
      <c r="A615" s="546"/>
      <c r="B615" s="547"/>
      <c r="C615" s="547"/>
      <c r="D615" s="547"/>
      <c r="E615" s="547"/>
      <c r="F615" s="547"/>
      <c r="G615" s="547"/>
      <c r="H615" s="547"/>
      <c r="I615" s="547"/>
      <c r="J615" s="547"/>
      <c r="K615" s="547"/>
      <c r="L615" s="547"/>
      <c r="M615" s="547"/>
      <c r="N615" s="548"/>
      <c r="O615" s="548"/>
      <c r="P615" s="548"/>
      <c r="Q615" s="548"/>
      <c r="R615" s="548"/>
      <c r="S615" s="548"/>
      <c r="T615" s="548"/>
      <c r="U615" s="548"/>
      <c r="V615" s="548"/>
      <c r="W615" s="548"/>
      <c r="X615" s="548"/>
      <c r="Y615" s="548"/>
      <c r="Z615" s="548"/>
      <c r="AA615" s="548"/>
      <c r="AB615" s="548"/>
      <c r="AC615" s="548"/>
      <c r="AD615" s="548"/>
      <c r="AE615" s="548"/>
      <c r="AF615" s="548"/>
      <c r="AG615" s="549"/>
      <c r="AH615" s="518"/>
    </row>
    <row r="616">
      <c r="A616" s="546"/>
      <c r="B616" s="547"/>
      <c r="C616" s="547"/>
      <c r="D616" s="547"/>
      <c r="E616" s="547"/>
      <c r="F616" s="547"/>
      <c r="G616" s="547"/>
      <c r="H616" s="547"/>
      <c r="I616" s="547"/>
      <c r="J616" s="547"/>
      <c r="K616" s="547"/>
      <c r="L616" s="547"/>
      <c r="M616" s="547"/>
      <c r="N616" s="548"/>
      <c r="O616" s="548"/>
      <c r="P616" s="548"/>
      <c r="Q616" s="548"/>
      <c r="R616" s="548"/>
      <c r="S616" s="548"/>
      <c r="T616" s="548"/>
      <c r="U616" s="548"/>
      <c r="V616" s="548"/>
      <c r="W616" s="548"/>
      <c r="X616" s="548"/>
      <c r="Y616" s="548"/>
      <c r="Z616" s="548"/>
      <c r="AA616" s="548"/>
      <c r="AB616" s="548"/>
      <c r="AC616" s="548"/>
      <c r="AD616" s="548"/>
      <c r="AE616" s="548"/>
      <c r="AF616" s="548"/>
      <c r="AG616" s="549"/>
      <c r="AH616" s="518"/>
    </row>
    <row r="617">
      <c r="A617" s="546"/>
      <c r="B617" s="547"/>
      <c r="C617" s="547"/>
      <c r="D617" s="547"/>
      <c r="E617" s="547"/>
      <c r="F617" s="547"/>
      <c r="G617" s="547"/>
      <c r="H617" s="547"/>
      <c r="I617" s="547"/>
      <c r="J617" s="547"/>
      <c r="K617" s="547"/>
      <c r="L617" s="547"/>
      <c r="M617" s="547"/>
      <c r="N617" s="548"/>
      <c r="O617" s="548"/>
      <c r="P617" s="548"/>
      <c r="Q617" s="548"/>
      <c r="R617" s="548"/>
      <c r="S617" s="548"/>
      <c r="T617" s="548"/>
      <c r="U617" s="548"/>
      <c r="V617" s="548"/>
      <c r="W617" s="548"/>
      <c r="X617" s="548"/>
      <c r="Y617" s="548"/>
      <c r="Z617" s="548"/>
      <c r="AA617" s="548"/>
      <c r="AB617" s="548"/>
      <c r="AC617" s="548"/>
      <c r="AD617" s="548"/>
      <c r="AE617" s="548"/>
      <c r="AF617" s="548"/>
      <c r="AG617" s="549"/>
      <c r="AH617" s="518"/>
    </row>
    <row r="618">
      <c r="A618" s="546"/>
      <c r="B618" s="547"/>
      <c r="C618" s="547"/>
      <c r="D618" s="547"/>
      <c r="E618" s="547"/>
      <c r="F618" s="547"/>
      <c r="G618" s="547"/>
      <c r="H618" s="547"/>
      <c r="I618" s="547"/>
      <c r="J618" s="547"/>
      <c r="K618" s="547"/>
      <c r="L618" s="547"/>
      <c r="M618" s="547"/>
      <c r="N618" s="548"/>
      <c r="O618" s="548"/>
      <c r="P618" s="548"/>
      <c r="Q618" s="548"/>
      <c r="R618" s="548"/>
      <c r="S618" s="548"/>
      <c r="T618" s="548"/>
      <c r="U618" s="548"/>
      <c r="V618" s="548"/>
      <c r="W618" s="548"/>
      <c r="X618" s="548"/>
      <c r="Y618" s="548"/>
      <c r="Z618" s="548"/>
      <c r="AA618" s="548"/>
      <c r="AB618" s="548"/>
      <c r="AC618" s="548"/>
      <c r="AD618" s="548"/>
      <c r="AE618" s="548"/>
      <c r="AF618" s="548"/>
      <c r="AG618" s="549"/>
      <c r="AH618" s="518"/>
    </row>
    <row r="619">
      <c r="A619" s="546"/>
      <c r="B619" s="547"/>
      <c r="C619" s="547"/>
      <c r="D619" s="547"/>
      <c r="E619" s="547"/>
      <c r="F619" s="547"/>
      <c r="G619" s="547"/>
      <c r="H619" s="547"/>
      <c r="I619" s="547"/>
      <c r="J619" s="547"/>
      <c r="K619" s="547"/>
      <c r="L619" s="547"/>
      <c r="M619" s="547"/>
      <c r="N619" s="548"/>
      <c r="O619" s="548"/>
      <c r="P619" s="548"/>
      <c r="Q619" s="548"/>
      <c r="R619" s="548"/>
      <c r="S619" s="548"/>
      <c r="T619" s="548"/>
      <c r="U619" s="548"/>
      <c r="V619" s="548"/>
      <c r="W619" s="548"/>
      <c r="X619" s="548"/>
      <c r="Y619" s="548"/>
      <c r="Z619" s="548"/>
      <c r="AA619" s="548"/>
      <c r="AB619" s="548"/>
      <c r="AC619" s="548"/>
      <c r="AD619" s="548"/>
      <c r="AE619" s="548"/>
      <c r="AF619" s="548"/>
      <c r="AG619" s="549"/>
      <c r="AH619" s="518"/>
    </row>
    <row r="620">
      <c r="A620" s="546"/>
      <c r="B620" s="547"/>
      <c r="C620" s="547"/>
      <c r="D620" s="547"/>
      <c r="E620" s="547"/>
      <c r="F620" s="547"/>
      <c r="G620" s="547"/>
      <c r="H620" s="547"/>
      <c r="I620" s="547"/>
      <c r="J620" s="547"/>
      <c r="K620" s="547"/>
      <c r="L620" s="547"/>
      <c r="M620" s="547"/>
      <c r="N620" s="548"/>
      <c r="O620" s="548"/>
      <c r="P620" s="548"/>
      <c r="Q620" s="548"/>
      <c r="R620" s="548"/>
      <c r="S620" s="548"/>
      <c r="T620" s="548"/>
      <c r="U620" s="548"/>
      <c r="V620" s="548"/>
      <c r="W620" s="548"/>
      <c r="X620" s="548"/>
      <c r="Y620" s="548"/>
      <c r="Z620" s="548"/>
      <c r="AA620" s="548"/>
      <c r="AB620" s="548"/>
      <c r="AC620" s="548"/>
      <c r="AD620" s="548"/>
      <c r="AE620" s="548"/>
      <c r="AF620" s="548"/>
      <c r="AG620" s="549"/>
      <c r="AH620" s="518"/>
    </row>
    <row r="621">
      <c r="A621" s="546"/>
      <c r="B621" s="547"/>
      <c r="C621" s="547"/>
      <c r="D621" s="547"/>
      <c r="E621" s="547"/>
      <c r="F621" s="547"/>
      <c r="G621" s="547"/>
      <c r="H621" s="547"/>
      <c r="I621" s="547"/>
      <c r="J621" s="547"/>
      <c r="K621" s="547"/>
      <c r="L621" s="547"/>
      <c r="M621" s="547"/>
      <c r="N621" s="548"/>
      <c r="O621" s="548"/>
      <c r="P621" s="548"/>
      <c r="Q621" s="548"/>
      <c r="R621" s="548"/>
      <c r="S621" s="548"/>
      <c r="T621" s="548"/>
      <c r="U621" s="548"/>
      <c r="V621" s="548"/>
      <c r="W621" s="548"/>
      <c r="X621" s="548"/>
      <c r="Y621" s="548"/>
      <c r="Z621" s="548"/>
      <c r="AA621" s="548"/>
      <c r="AB621" s="548"/>
      <c r="AC621" s="548"/>
      <c r="AD621" s="548"/>
      <c r="AE621" s="548"/>
      <c r="AF621" s="548"/>
      <c r="AG621" s="549"/>
      <c r="AH621" s="518"/>
    </row>
    <row r="622">
      <c r="A622" s="546"/>
      <c r="B622" s="547"/>
      <c r="C622" s="547"/>
      <c r="D622" s="547"/>
      <c r="E622" s="547"/>
      <c r="F622" s="547"/>
      <c r="G622" s="547"/>
      <c r="H622" s="547"/>
      <c r="I622" s="547"/>
      <c r="J622" s="547"/>
      <c r="K622" s="547"/>
      <c r="L622" s="547"/>
      <c r="M622" s="547"/>
      <c r="N622" s="548"/>
      <c r="O622" s="548"/>
      <c r="P622" s="548"/>
      <c r="Q622" s="548"/>
      <c r="R622" s="548"/>
      <c r="S622" s="548"/>
      <c r="T622" s="548"/>
      <c r="U622" s="548"/>
      <c r="V622" s="548"/>
      <c r="W622" s="548"/>
      <c r="X622" s="548"/>
      <c r="Y622" s="548"/>
      <c r="Z622" s="548"/>
      <c r="AA622" s="548"/>
      <c r="AB622" s="548"/>
      <c r="AC622" s="548"/>
      <c r="AD622" s="548"/>
      <c r="AE622" s="548"/>
      <c r="AF622" s="548"/>
      <c r="AG622" s="549"/>
      <c r="AH622" s="518"/>
    </row>
    <row r="623">
      <c r="A623" s="546"/>
      <c r="B623" s="547"/>
      <c r="C623" s="547"/>
      <c r="D623" s="547"/>
      <c r="E623" s="547"/>
      <c r="F623" s="547"/>
      <c r="G623" s="547"/>
      <c r="H623" s="547"/>
      <c r="I623" s="547"/>
      <c r="J623" s="547"/>
      <c r="K623" s="547"/>
      <c r="L623" s="547"/>
      <c r="M623" s="547"/>
      <c r="N623" s="548"/>
      <c r="O623" s="548"/>
      <c r="P623" s="548"/>
      <c r="Q623" s="548"/>
      <c r="R623" s="548"/>
      <c r="S623" s="548"/>
      <c r="T623" s="548"/>
      <c r="U623" s="548"/>
      <c r="V623" s="548"/>
      <c r="W623" s="548"/>
      <c r="X623" s="548"/>
      <c r="Y623" s="548"/>
      <c r="Z623" s="548"/>
      <c r="AA623" s="548"/>
      <c r="AB623" s="548"/>
      <c r="AC623" s="548"/>
      <c r="AD623" s="548"/>
      <c r="AE623" s="548"/>
      <c r="AF623" s="548"/>
      <c r="AG623" s="549"/>
      <c r="AH623" s="518"/>
    </row>
    <row r="624">
      <c r="A624" s="546"/>
      <c r="B624" s="547"/>
      <c r="C624" s="547"/>
      <c r="D624" s="547"/>
      <c r="E624" s="547"/>
      <c r="F624" s="547"/>
      <c r="G624" s="547"/>
      <c r="H624" s="547"/>
      <c r="I624" s="547"/>
      <c r="J624" s="547"/>
      <c r="K624" s="547"/>
      <c r="L624" s="547"/>
      <c r="M624" s="547"/>
      <c r="N624" s="548"/>
      <c r="O624" s="548"/>
      <c r="P624" s="548"/>
      <c r="Q624" s="548"/>
      <c r="R624" s="548"/>
      <c r="S624" s="548"/>
      <c r="T624" s="548"/>
      <c r="U624" s="548"/>
      <c r="V624" s="548"/>
      <c r="W624" s="548"/>
      <c r="X624" s="548"/>
      <c r="Y624" s="548"/>
      <c r="Z624" s="548"/>
      <c r="AA624" s="548"/>
      <c r="AB624" s="548"/>
      <c r="AC624" s="548"/>
      <c r="AD624" s="548"/>
      <c r="AE624" s="548"/>
      <c r="AF624" s="548"/>
      <c r="AG624" s="549"/>
      <c r="AH624" s="518"/>
    </row>
    <row r="625">
      <c r="A625" s="546"/>
      <c r="B625" s="547"/>
      <c r="C625" s="547"/>
      <c r="D625" s="547"/>
      <c r="E625" s="547"/>
      <c r="F625" s="547"/>
      <c r="G625" s="547"/>
      <c r="H625" s="547"/>
      <c r="I625" s="547"/>
      <c r="J625" s="547"/>
      <c r="K625" s="547"/>
      <c r="L625" s="547"/>
      <c r="M625" s="547"/>
      <c r="N625" s="548"/>
      <c r="O625" s="548"/>
      <c r="P625" s="548"/>
      <c r="Q625" s="548"/>
      <c r="R625" s="548"/>
      <c r="S625" s="548"/>
      <c r="T625" s="548"/>
      <c r="U625" s="548"/>
      <c r="V625" s="548"/>
      <c r="W625" s="548"/>
      <c r="X625" s="548"/>
      <c r="Y625" s="548"/>
      <c r="Z625" s="548"/>
      <c r="AA625" s="548"/>
      <c r="AB625" s="548"/>
      <c r="AC625" s="548"/>
      <c r="AD625" s="548"/>
      <c r="AE625" s="548"/>
      <c r="AF625" s="548"/>
      <c r="AG625" s="549"/>
      <c r="AH625" s="518"/>
    </row>
    <row r="626">
      <c r="A626" s="546"/>
      <c r="B626" s="547"/>
      <c r="C626" s="547"/>
      <c r="D626" s="547"/>
      <c r="E626" s="547"/>
      <c r="F626" s="547"/>
      <c r="G626" s="547"/>
      <c r="H626" s="547"/>
      <c r="I626" s="547"/>
      <c r="J626" s="547"/>
      <c r="K626" s="547"/>
      <c r="L626" s="547"/>
      <c r="M626" s="547"/>
      <c r="N626" s="548"/>
      <c r="O626" s="548"/>
      <c r="P626" s="548"/>
      <c r="Q626" s="548"/>
      <c r="R626" s="548"/>
      <c r="S626" s="548"/>
      <c r="T626" s="548"/>
      <c r="U626" s="548"/>
      <c r="V626" s="548"/>
      <c r="W626" s="548"/>
      <c r="X626" s="548"/>
      <c r="Y626" s="548"/>
      <c r="Z626" s="548"/>
      <c r="AA626" s="548"/>
      <c r="AB626" s="548"/>
      <c r="AC626" s="548"/>
      <c r="AD626" s="548"/>
      <c r="AE626" s="548"/>
      <c r="AF626" s="548"/>
      <c r="AG626" s="549"/>
      <c r="AH626" s="518"/>
    </row>
    <row r="627">
      <c r="A627" s="546"/>
      <c r="B627" s="547"/>
      <c r="C627" s="547"/>
      <c r="D627" s="547"/>
      <c r="E627" s="547"/>
      <c r="F627" s="547"/>
      <c r="G627" s="547"/>
      <c r="H627" s="547"/>
      <c r="I627" s="547"/>
      <c r="J627" s="547"/>
      <c r="K627" s="547"/>
      <c r="L627" s="547"/>
      <c r="M627" s="547"/>
      <c r="N627" s="548"/>
      <c r="O627" s="548"/>
      <c r="P627" s="548"/>
      <c r="Q627" s="548"/>
      <c r="R627" s="548"/>
      <c r="S627" s="548"/>
      <c r="T627" s="548"/>
      <c r="U627" s="548"/>
      <c r="V627" s="548"/>
      <c r="W627" s="548"/>
      <c r="X627" s="548"/>
      <c r="Y627" s="548"/>
      <c r="Z627" s="548"/>
      <c r="AA627" s="548"/>
      <c r="AB627" s="548"/>
      <c r="AC627" s="548"/>
      <c r="AD627" s="548"/>
      <c r="AE627" s="548"/>
      <c r="AF627" s="548"/>
      <c r="AG627" s="549"/>
      <c r="AH627" s="518"/>
    </row>
    <row r="628">
      <c r="A628" s="546"/>
      <c r="B628" s="547"/>
      <c r="C628" s="547"/>
      <c r="D628" s="547"/>
      <c r="E628" s="547"/>
      <c r="F628" s="547"/>
      <c r="G628" s="547"/>
      <c r="H628" s="547"/>
      <c r="I628" s="547"/>
      <c r="J628" s="547"/>
      <c r="K628" s="547"/>
      <c r="L628" s="547"/>
      <c r="M628" s="547"/>
      <c r="N628" s="548"/>
      <c r="O628" s="548"/>
      <c r="P628" s="548"/>
      <c r="Q628" s="548"/>
      <c r="R628" s="548"/>
      <c r="S628" s="548"/>
      <c r="T628" s="548"/>
      <c r="U628" s="548"/>
      <c r="V628" s="548"/>
      <c r="W628" s="548"/>
      <c r="X628" s="548"/>
      <c r="Y628" s="548"/>
      <c r="Z628" s="548"/>
      <c r="AA628" s="548"/>
      <c r="AB628" s="548"/>
      <c r="AC628" s="548"/>
      <c r="AD628" s="548"/>
      <c r="AE628" s="548"/>
      <c r="AF628" s="548"/>
      <c r="AG628" s="549"/>
      <c r="AH628" s="518"/>
    </row>
    <row r="629">
      <c r="A629" s="546"/>
      <c r="B629" s="547"/>
      <c r="C629" s="547"/>
      <c r="D629" s="547"/>
      <c r="E629" s="547"/>
      <c r="F629" s="547"/>
      <c r="G629" s="547"/>
      <c r="H629" s="547"/>
      <c r="I629" s="547"/>
      <c r="J629" s="547"/>
      <c r="K629" s="547"/>
      <c r="L629" s="547"/>
      <c r="M629" s="547"/>
      <c r="N629" s="548"/>
      <c r="O629" s="548"/>
      <c r="P629" s="548"/>
      <c r="Q629" s="548"/>
      <c r="R629" s="548"/>
      <c r="S629" s="548"/>
      <c r="T629" s="548"/>
      <c r="U629" s="548"/>
      <c r="V629" s="548"/>
      <c r="W629" s="548"/>
      <c r="X629" s="548"/>
      <c r="Y629" s="548"/>
      <c r="Z629" s="548"/>
      <c r="AA629" s="548"/>
      <c r="AB629" s="548"/>
      <c r="AC629" s="548"/>
      <c r="AD629" s="548"/>
      <c r="AE629" s="548"/>
      <c r="AF629" s="548"/>
      <c r="AG629" s="549"/>
      <c r="AH629" s="518"/>
    </row>
    <row r="630">
      <c r="A630" s="546"/>
      <c r="B630" s="547"/>
      <c r="C630" s="547"/>
      <c r="D630" s="547"/>
      <c r="E630" s="547"/>
      <c r="F630" s="547"/>
      <c r="G630" s="547"/>
      <c r="H630" s="547"/>
      <c r="I630" s="547"/>
      <c r="J630" s="547"/>
      <c r="K630" s="547"/>
      <c r="L630" s="547"/>
      <c r="M630" s="547"/>
      <c r="N630" s="548"/>
      <c r="O630" s="548"/>
      <c r="P630" s="548"/>
      <c r="Q630" s="548"/>
      <c r="R630" s="548"/>
      <c r="S630" s="548"/>
      <c r="T630" s="548"/>
      <c r="U630" s="548"/>
      <c r="V630" s="548"/>
      <c r="W630" s="548"/>
      <c r="X630" s="548"/>
      <c r="Y630" s="548"/>
      <c r="Z630" s="548"/>
      <c r="AA630" s="548"/>
      <c r="AB630" s="548"/>
      <c r="AC630" s="548"/>
      <c r="AD630" s="548"/>
      <c r="AE630" s="548"/>
      <c r="AF630" s="548"/>
      <c r="AG630" s="549"/>
      <c r="AH630" s="518"/>
    </row>
    <row r="631">
      <c r="A631" s="546"/>
      <c r="B631" s="547"/>
      <c r="C631" s="547"/>
      <c r="D631" s="547"/>
      <c r="E631" s="547"/>
      <c r="F631" s="547"/>
      <c r="G631" s="547"/>
      <c r="H631" s="547"/>
      <c r="I631" s="547"/>
      <c r="J631" s="547"/>
      <c r="K631" s="547"/>
      <c r="L631" s="547"/>
      <c r="M631" s="547"/>
      <c r="N631" s="548"/>
      <c r="O631" s="548"/>
      <c r="P631" s="548"/>
      <c r="Q631" s="548"/>
      <c r="R631" s="548"/>
      <c r="S631" s="548"/>
      <c r="T631" s="548"/>
      <c r="U631" s="548"/>
      <c r="V631" s="548"/>
      <c r="W631" s="548"/>
      <c r="X631" s="548"/>
      <c r="Y631" s="548"/>
      <c r="Z631" s="548"/>
      <c r="AA631" s="548"/>
      <c r="AB631" s="548"/>
      <c r="AC631" s="548"/>
      <c r="AD631" s="548"/>
      <c r="AE631" s="548"/>
      <c r="AF631" s="548"/>
      <c r="AG631" s="549"/>
      <c r="AH631" s="518"/>
    </row>
    <row r="632">
      <c r="A632" s="546"/>
      <c r="B632" s="547"/>
      <c r="C632" s="547"/>
      <c r="D632" s="547"/>
      <c r="E632" s="547"/>
      <c r="F632" s="547"/>
      <c r="G632" s="547"/>
      <c r="H632" s="547"/>
      <c r="I632" s="547"/>
      <c r="J632" s="547"/>
      <c r="K632" s="547"/>
      <c r="L632" s="547"/>
      <c r="M632" s="547"/>
      <c r="N632" s="548"/>
      <c r="O632" s="548"/>
      <c r="P632" s="548"/>
      <c r="Q632" s="548"/>
      <c r="R632" s="548"/>
      <c r="S632" s="548"/>
      <c r="T632" s="548"/>
      <c r="U632" s="548"/>
      <c r="V632" s="548"/>
      <c r="W632" s="548"/>
      <c r="X632" s="548"/>
      <c r="Y632" s="548"/>
      <c r="Z632" s="548"/>
      <c r="AA632" s="548"/>
      <c r="AB632" s="548"/>
      <c r="AC632" s="548"/>
      <c r="AD632" s="548"/>
      <c r="AE632" s="548"/>
      <c r="AF632" s="548"/>
      <c r="AG632" s="549"/>
      <c r="AH632" s="518"/>
    </row>
    <row r="633">
      <c r="A633" s="546"/>
      <c r="B633" s="547"/>
      <c r="C633" s="547"/>
      <c r="D633" s="547"/>
      <c r="E633" s="547"/>
      <c r="F633" s="547"/>
      <c r="G633" s="547"/>
      <c r="H633" s="547"/>
      <c r="I633" s="547"/>
      <c r="J633" s="547"/>
      <c r="K633" s="547"/>
      <c r="L633" s="547"/>
      <c r="M633" s="547"/>
      <c r="N633" s="548"/>
      <c r="O633" s="548"/>
      <c r="P633" s="548"/>
      <c r="Q633" s="548"/>
      <c r="R633" s="548"/>
      <c r="S633" s="548"/>
      <c r="T633" s="548"/>
      <c r="U633" s="548"/>
      <c r="V633" s="548"/>
      <c r="W633" s="548"/>
      <c r="X633" s="548"/>
      <c r="Y633" s="548"/>
      <c r="Z633" s="548"/>
      <c r="AA633" s="548"/>
      <c r="AB633" s="548"/>
      <c r="AC633" s="548"/>
      <c r="AD633" s="548"/>
      <c r="AE633" s="548"/>
      <c r="AF633" s="548"/>
      <c r="AG633" s="549"/>
      <c r="AH633" s="518"/>
    </row>
    <row r="634">
      <c r="A634" s="546"/>
      <c r="B634" s="547"/>
      <c r="C634" s="547"/>
      <c r="D634" s="547"/>
      <c r="E634" s="547"/>
      <c r="F634" s="547"/>
      <c r="G634" s="547"/>
      <c r="H634" s="547"/>
      <c r="I634" s="547"/>
      <c r="J634" s="547"/>
      <c r="K634" s="547"/>
      <c r="L634" s="547"/>
      <c r="M634" s="547"/>
      <c r="N634" s="548"/>
      <c r="O634" s="548"/>
      <c r="P634" s="548"/>
      <c r="Q634" s="548"/>
      <c r="R634" s="548"/>
      <c r="S634" s="548"/>
      <c r="T634" s="548"/>
      <c r="U634" s="548"/>
      <c r="V634" s="548"/>
      <c r="W634" s="548"/>
      <c r="X634" s="548"/>
      <c r="Y634" s="548"/>
      <c r="Z634" s="548"/>
      <c r="AA634" s="548"/>
      <c r="AB634" s="548"/>
      <c r="AC634" s="548"/>
      <c r="AD634" s="548"/>
      <c r="AE634" s="548"/>
      <c r="AF634" s="548"/>
      <c r="AG634" s="549"/>
      <c r="AH634" s="518"/>
    </row>
    <row r="635">
      <c r="A635" s="546"/>
      <c r="B635" s="547"/>
      <c r="C635" s="547"/>
      <c r="D635" s="547"/>
      <c r="E635" s="547"/>
      <c r="F635" s="547"/>
      <c r="G635" s="547"/>
      <c r="H635" s="547"/>
      <c r="I635" s="547"/>
      <c r="J635" s="547"/>
      <c r="K635" s="547"/>
      <c r="L635" s="547"/>
      <c r="M635" s="547"/>
      <c r="N635" s="548"/>
      <c r="O635" s="548"/>
      <c r="P635" s="548"/>
      <c r="Q635" s="548"/>
      <c r="R635" s="548"/>
      <c r="S635" s="548"/>
      <c r="T635" s="548"/>
      <c r="U635" s="548"/>
      <c r="V635" s="548"/>
      <c r="W635" s="548"/>
      <c r="X635" s="548"/>
      <c r="Y635" s="548"/>
      <c r="Z635" s="548"/>
      <c r="AA635" s="548"/>
      <c r="AB635" s="548"/>
      <c r="AC635" s="548"/>
      <c r="AD635" s="548"/>
      <c r="AE635" s="548"/>
      <c r="AF635" s="548"/>
      <c r="AG635" s="549"/>
      <c r="AH635" s="518"/>
    </row>
    <row r="636">
      <c r="A636" s="546"/>
      <c r="B636" s="547"/>
      <c r="C636" s="547"/>
      <c r="D636" s="547"/>
      <c r="E636" s="547"/>
      <c r="F636" s="547"/>
      <c r="G636" s="547"/>
      <c r="H636" s="547"/>
      <c r="I636" s="547"/>
      <c r="J636" s="547"/>
      <c r="K636" s="547"/>
      <c r="L636" s="547"/>
      <c r="M636" s="547"/>
      <c r="N636" s="548"/>
      <c r="O636" s="548"/>
      <c r="P636" s="548"/>
      <c r="Q636" s="548"/>
      <c r="R636" s="548"/>
      <c r="S636" s="548"/>
      <c r="T636" s="548"/>
      <c r="U636" s="548"/>
      <c r="V636" s="548"/>
      <c r="W636" s="548"/>
      <c r="X636" s="548"/>
      <c r="Y636" s="548"/>
      <c r="Z636" s="548"/>
      <c r="AA636" s="548"/>
      <c r="AB636" s="548"/>
      <c r="AC636" s="548"/>
      <c r="AD636" s="548"/>
      <c r="AE636" s="548"/>
      <c r="AF636" s="548"/>
      <c r="AG636" s="549"/>
      <c r="AH636" s="518"/>
    </row>
    <row r="637">
      <c r="A637" s="546"/>
      <c r="B637" s="547"/>
      <c r="C637" s="547"/>
      <c r="D637" s="547"/>
      <c r="E637" s="547"/>
      <c r="F637" s="547"/>
      <c r="G637" s="547"/>
      <c r="H637" s="547"/>
      <c r="I637" s="547"/>
      <c r="J637" s="547"/>
      <c r="K637" s="547"/>
      <c r="L637" s="547"/>
      <c r="M637" s="547"/>
      <c r="N637" s="548"/>
      <c r="O637" s="548"/>
      <c r="P637" s="548"/>
      <c r="Q637" s="548"/>
      <c r="R637" s="548"/>
      <c r="S637" s="548"/>
      <c r="T637" s="548"/>
      <c r="U637" s="548"/>
      <c r="V637" s="548"/>
      <c r="W637" s="548"/>
      <c r="X637" s="548"/>
      <c r="Y637" s="548"/>
      <c r="Z637" s="548"/>
      <c r="AA637" s="548"/>
      <c r="AB637" s="548"/>
      <c r="AC637" s="548"/>
      <c r="AD637" s="548"/>
      <c r="AE637" s="548"/>
      <c r="AF637" s="548"/>
      <c r="AG637" s="549"/>
      <c r="AH637" s="518"/>
    </row>
    <row r="638">
      <c r="A638" s="546"/>
      <c r="B638" s="547"/>
      <c r="C638" s="547"/>
      <c r="D638" s="547"/>
      <c r="E638" s="547"/>
      <c r="F638" s="547"/>
      <c r="G638" s="547"/>
      <c r="H638" s="547"/>
      <c r="I638" s="547"/>
      <c r="J638" s="547"/>
      <c r="K638" s="547"/>
      <c r="L638" s="547"/>
      <c r="M638" s="547"/>
      <c r="N638" s="548"/>
      <c r="O638" s="548"/>
      <c r="P638" s="548"/>
      <c r="Q638" s="548"/>
      <c r="R638" s="548"/>
      <c r="S638" s="548"/>
      <c r="T638" s="548"/>
      <c r="U638" s="548"/>
      <c r="V638" s="548"/>
      <c r="W638" s="548"/>
      <c r="X638" s="548"/>
      <c r="Y638" s="548"/>
      <c r="Z638" s="548"/>
      <c r="AA638" s="548"/>
      <c r="AB638" s="548"/>
      <c r="AC638" s="548"/>
      <c r="AD638" s="548"/>
      <c r="AE638" s="548"/>
      <c r="AF638" s="548"/>
      <c r="AG638" s="549"/>
      <c r="AH638" s="518"/>
    </row>
    <row r="639">
      <c r="A639" s="546"/>
      <c r="B639" s="547"/>
      <c r="C639" s="547"/>
      <c r="D639" s="547"/>
      <c r="E639" s="547"/>
      <c r="F639" s="547"/>
      <c r="G639" s="547"/>
      <c r="H639" s="547"/>
      <c r="I639" s="547"/>
      <c r="J639" s="547"/>
      <c r="K639" s="547"/>
      <c r="L639" s="547"/>
      <c r="M639" s="547"/>
      <c r="N639" s="548"/>
      <c r="O639" s="548"/>
      <c r="P639" s="548"/>
      <c r="Q639" s="548"/>
      <c r="R639" s="548"/>
      <c r="S639" s="548"/>
      <c r="T639" s="548"/>
      <c r="U639" s="548"/>
      <c r="V639" s="548"/>
      <c r="W639" s="548"/>
      <c r="X639" s="548"/>
      <c r="Y639" s="548"/>
      <c r="Z639" s="548"/>
      <c r="AA639" s="548"/>
      <c r="AB639" s="548"/>
      <c r="AC639" s="548"/>
      <c r="AD639" s="548"/>
      <c r="AE639" s="548"/>
      <c r="AF639" s="548"/>
      <c r="AG639" s="549"/>
      <c r="AH639" s="518"/>
    </row>
    <row r="640">
      <c r="A640" s="546"/>
      <c r="B640" s="547"/>
      <c r="C640" s="547"/>
      <c r="D640" s="547"/>
      <c r="E640" s="547"/>
      <c r="F640" s="547"/>
      <c r="G640" s="547"/>
      <c r="H640" s="547"/>
      <c r="I640" s="547"/>
      <c r="J640" s="547"/>
      <c r="K640" s="547"/>
      <c r="L640" s="547"/>
      <c r="M640" s="547"/>
      <c r="N640" s="548"/>
      <c r="O640" s="548"/>
      <c r="P640" s="548"/>
      <c r="Q640" s="548"/>
      <c r="R640" s="548"/>
      <c r="S640" s="548"/>
      <c r="T640" s="548"/>
      <c r="U640" s="548"/>
      <c r="V640" s="548"/>
      <c r="W640" s="548"/>
      <c r="X640" s="548"/>
      <c r="Y640" s="548"/>
      <c r="Z640" s="548"/>
      <c r="AA640" s="548"/>
      <c r="AB640" s="548"/>
      <c r="AC640" s="548"/>
      <c r="AD640" s="548"/>
      <c r="AE640" s="548"/>
      <c r="AF640" s="548"/>
      <c r="AG640" s="549"/>
      <c r="AH640" s="518"/>
    </row>
    <row r="641">
      <c r="A641" s="546"/>
      <c r="B641" s="547"/>
      <c r="C641" s="547"/>
      <c r="D641" s="547"/>
      <c r="E641" s="547"/>
      <c r="F641" s="547"/>
      <c r="G641" s="547"/>
      <c r="H641" s="547"/>
      <c r="I641" s="547"/>
      <c r="J641" s="547"/>
      <c r="K641" s="547"/>
      <c r="L641" s="547"/>
      <c r="M641" s="547"/>
      <c r="N641" s="548"/>
      <c r="O641" s="548"/>
      <c r="P641" s="548"/>
      <c r="Q641" s="548"/>
      <c r="R641" s="548"/>
      <c r="S641" s="548"/>
      <c r="T641" s="548"/>
      <c r="U641" s="548"/>
      <c r="V641" s="548"/>
      <c r="W641" s="548"/>
      <c r="X641" s="548"/>
      <c r="Y641" s="548"/>
      <c r="Z641" s="548"/>
      <c r="AA641" s="548"/>
      <c r="AB641" s="548"/>
      <c r="AC641" s="548"/>
      <c r="AD641" s="548"/>
      <c r="AE641" s="548"/>
      <c r="AF641" s="548"/>
      <c r="AG641" s="549"/>
      <c r="AH641" s="518"/>
    </row>
    <row r="642">
      <c r="A642" s="546"/>
      <c r="B642" s="547"/>
      <c r="C642" s="547"/>
      <c r="D642" s="547"/>
      <c r="E642" s="547"/>
      <c r="F642" s="547"/>
      <c r="G642" s="547"/>
      <c r="H642" s="547"/>
      <c r="I642" s="547"/>
      <c r="J642" s="547"/>
      <c r="K642" s="547"/>
      <c r="L642" s="547"/>
      <c r="M642" s="547"/>
      <c r="N642" s="548"/>
      <c r="O642" s="548"/>
      <c r="P642" s="548"/>
      <c r="Q642" s="548"/>
      <c r="R642" s="548"/>
      <c r="S642" s="548"/>
      <c r="T642" s="548"/>
      <c r="U642" s="548"/>
      <c r="V642" s="548"/>
      <c r="W642" s="548"/>
      <c r="X642" s="548"/>
      <c r="Y642" s="548"/>
      <c r="Z642" s="548"/>
      <c r="AA642" s="548"/>
      <c r="AB642" s="548"/>
      <c r="AC642" s="548"/>
      <c r="AD642" s="548"/>
      <c r="AE642" s="548"/>
      <c r="AF642" s="548"/>
      <c r="AG642" s="549"/>
      <c r="AH642" s="518"/>
    </row>
    <row r="643">
      <c r="A643" s="546"/>
      <c r="B643" s="547"/>
      <c r="C643" s="547"/>
      <c r="D643" s="547"/>
      <c r="E643" s="547"/>
      <c r="F643" s="547"/>
      <c r="G643" s="547"/>
      <c r="H643" s="547"/>
      <c r="I643" s="547"/>
      <c r="J643" s="547"/>
      <c r="K643" s="547"/>
      <c r="L643" s="547"/>
      <c r="M643" s="547"/>
      <c r="N643" s="548"/>
      <c r="O643" s="548"/>
      <c r="P643" s="548"/>
      <c r="Q643" s="548"/>
      <c r="R643" s="548"/>
      <c r="S643" s="548"/>
      <c r="T643" s="548"/>
      <c r="U643" s="548"/>
      <c r="V643" s="548"/>
      <c r="W643" s="548"/>
      <c r="X643" s="548"/>
      <c r="Y643" s="548"/>
      <c r="Z643" s="548"/>
      <c r="AA643" s="548"/>
      <c r="AB643" s="548"/>
      <c r="AC643" s="548"/>
      <c r="AD643" s="548"/>
      <c r="AE643" s="548"/>
      <c r="AF643" s="548"/>
      <c r="AG643" s="549"/>
      <c r="AH643" s="518"/>
    </row>
    <row r="644">
      <c r="A644" s="546"/>
      <c r="B644" s="547"/>
      <c r="C644" s="547"/>
      <c r="D644" s="547"/>
      <c r="E644" s="547"/>
      <c r="F644" s="547"/>
      <c r="G644" s="547"/>
      <c r="H644" s="547"/>
      <c r="I644" s="547"/>
      <c r="J644" s="547"/>
      <c r="K644" s="547"/>
      <c r="L644" s="547"/>
      <c r="M644" s="547"/>
      <c r="N644" s="548"/>
      <c r="O644" s="548"/>
      <c r="P644" s="548"/>
      <c r="Q644" s="548"/>
      <c r="R644" s="548"/>
      <c r="S644" s="548"/>
      <c r="T644" s="548"/>
      <c r="U644" s="548"/>
      <c r="V644" s="548"/>
      <c r="W644" s="548"/>
      <c r="X644" s="548"/>
      <c r="Y644" s="548"/>
      <c r="Z644" s="548"/>
      <c r="AA644" s="548"/>
      <c r="AB644" s="548"/>
      <c r="AC644" s="548"/>
      <c r="AD644" s="548"/>
      <c r="AE644" s="548"/>
      <c r="AF644" s="548"/>
      <c r="AG644" s="549"/>
      <c r="AH644" s="518"/>
    </row>
    <row r="645">
      <c r="A645" s="546"/>
      <c r="B645" s="547"/>
      <c r="C645" s="547"/>
      <c r="D645" s="547"/>
      <c r="E645" s="547"/>
      <c r="F645" s="547"/>
      <c r="G645" s="547"/>
      <c r="H645" s="547"/>
      <c r="I645" s="547"/>
      <c r="J645" s="547"/>
      <c r="K645" s="547"/>
      <c r="L645" s="547"/>
      <c r="M645" s="547"/>
      <c r="N645" s="548"/>
      <c r="O645" s="548"/>
      <c r="P645" s="548"/>
      <c r="Q645" s="548"/>
      <c r="R645" s="548"/>
      <c r="S645" s="548"/>
      <c r="T645" s="548"/>
      <c r="U645" s="548"/>
      <c r="V645" s="548"/>
      <c r="W645" s="548"/>
      <c r="X645" s="548"/>
      <c r="Y645" s="548"/>
      <c r="Z645" s="548"/>
      <c r="AA645" s="548"/>
      <c r="AB645" s="548"/>
      <c r="AC645" s="548"/>
      <c r="AD645" s="548"/>
      <c r="AE645" s="548"/>
      <c r="AF645" s="548"/>
      <c r="AG645" s="549"/>
      <c r="AH645" s="518"/>
    </row>
    <row r="646">
      <c r="A646" s="546"/>
      <c r="B646" s="547"/>
      <c r="C646" s="547"/>
      <c r="D646" s="547"/>
      <c r="E646" s="547"/>
      <c r="F646" s="547"/>
      <c r="G646" s="547"/>
      <c r="H646" s="547"/>
      <c r="I646" s="547"/>
      <c r="J646" s="547"/>
      <c r="K646" s="547"/>
      <c r="L646" s="547"/>
      <c r="M646" s="547"/>
      <c r="N646" s="548"/>
      <c r="O646" s="548"/>
      <c r="P646" s="548"/>
      <c r="Q646" s="548"/>
      <c r="R646" s="548"/>
      <c r="S646" s="548"/>
      <c r="T646" s="548"/>
      <c r="U646" s="548"/>
      <c r="V646" s="548"/>
      <c r="W646" s="548"/>
      <c r="X646" s="548"/>
      <c r="Y646" s="548"/>
      <c r="Z646" s="548"/>
      <c r="AA646" s="548"/>
      <c r="AB646" s="548"/>
      <c r="AC646" s="548"/>
      <c r="AD646" s="548"/>
      <c r="AE646" s="548"/>
      <c r="AF646" s="548"/>
      <c r="AG646" s="549"/>
      <c r="AH646" s="518"/>
    </row>
    <row r="647">
      <c r="A647" s="546"/>
      <c r="B647" s="547"/>
      <c r="C647" s="547"/>
      <c r="D647" s="547"/>
      <c r="E647" s="547"/>
      <c r="F647" s="547"/>
      <c r="G647" s="547"/>
      <c r="H647" s="547"/>
      <c r="I647" s="547"/>
      <c r="J647" s="547"/>
      <c r="K647" s="547"/>
      <c r="L647" s="547"/>
      <c r="M647" s="547"/>
      <c r="N647" s="548"/>
      <c r="O647" s="548"/>
      <c r="P647" s="548"/>
      <c r="Q647" s="548"/>
      <c r="R647" s="548"/>
      <c r="S647" s="548"/>
      <c r="T647" s="548"/>
      <c r="U647" s="548"/>
      <c r="V647" s="548"/>
      <c r="W647" s="548"/>
      <c r="X647" s="548"/>
      <c r="Y647" s="548"/>
      <c r="Z647" s="548"/>
      <c r="AA647" s="548"/>
      <c r="AB647" s="548"/>
      <c r="AC647" s="548"/>
      <c r="AD647" s="548"/>
      <c r="AE647" s="548"/>
      <c r="AF647" s="548"/>
      <c r="AG647" s="549"/>
      <c r="AH647" s="518"/>
    </row>
    <row r="648">
      <c r="A648" s="546"/>
      <c r="B648" s="547"/>
      <c r="C648" s="547"/>
      <c r="D648" s="547"/>
      <c r="E648" s="547"/>
      <c r="F648" s="547"/>
      <c r="G648" s="547"/>
      <c r="H648" s="547"/>
      <c r="I648" s="547"/>
      <c r="J648" s="547"/>
      <c r="K648" s="547"/>
      <c r="L648" s="547"/>
      <c r="M648" s="547"/>
      <c r="N648" s="548"/>
      <c r="O648" s="548"/>
      <c r="P648" s="548"/>
      <c r="Q648" s="548"/>
      <c r="R648" s="548"/>
      <c r="S648" s="548"/>
      <c r="T648" s="548"/>
      <c r="U648" s="548"/>
      <c r="V648" s="548"/>
      <c r="W648" s="548"/>
      <c r="X648" s="548"/>
      <c r="Y648" s="548"/>
      <c r="Z648" s="548"/>
      <c r="AA648" s="548"/>
      <c r="AB648" s="548"/>
      <c r="AC648" s="548"/>
      <c r="AD648" s="548"/>
      <c r="AE648" s="548"/>
      <c r="AF648" s="548"/>
      <c r="AG648" s="549"/>
      <c r="AH648" s="518"/>
    </row>
    <row r="649">
      <c r="A649" s="546"/>
      <c r="B649" s="547"/>
      <c r="C649" s="547"/>
      <c r="D649" s="547"/>
      <c r="E649" s="547"/>
      <c r="F649" s="547"/>
      <c r="G649" s="547"/>
      <c r="H649" s="547"/>
      <c r="I649" s="547"/>
      <c r="J649" s="547"/>
      <c r="K649" s="547"/>
      <c r="L649" s="547"/>
      <c r="M649" s="547"/>
      <c r="N649" s="548"/>
      <c r="O649" s="548"/>
      <c r="P649" s="548"/>
      <c r="Q649" s="548"/>
      <c r="R649" s="548"/>
      <c r="S649" s="548"/>
      <c r="T649" s="548"/>
      <c r="U649" s="548"/>
      <c r="V649" s="548"/>
      <c r="W649" s="548"/>
      <c r="X649" s="548"/>
      <c r="Y649" s="548"/>
      <c r="Z649" s="548"/>
      <c r="AA649" s="548"/>
      <c r="AB649" s="548"/>
      <c r="AC649" s="548"/>
      <c r="AD649" s="548"/>
      <c r="AE649" s="548"/>
      <c r="AF649" s="548"/>
      <c r="AG649" s="549"/>
      <c r="AH649" s="518"/>
    </row>
    <row r="650">
      <c r="A650" s="546"/>
      <c r="B650" s="547"/>
      <c r="C650" s="547"/>
      <c r="D650" s="547"/>
      <c r="E650" s="547"/>
      <c r="F650" s="547"/>
      <c r="G650" s="547"/>
      <c r="H650" s="547"/>
      <c r="I650" s="547"/>
      <c r="J650" s="547"/>
      <c r="K650" s="547"/>
      <c r="L650" s="547"/>
      <c r="M650" s="547"/>
      <c r="N650" s="548"/>
      <c r="O650" s="548"/>
      <c r="P650" s="548"/>
      <c r="Q650" s="548"/>
      <c r="R650" s="548"/>
      <c r="S650" s="548"/>
      <c r="T650" s="548"/>
      <c r="U650" s="548"/>
      <c r="V650" s="548"/>
      <c r="W650" s="548"/>
      <c r="X650" s="548"/>
      <c r="Y650" s="548"/>
      <c r="Z650" s="548"/>
      <c r="AA650" s="548"/>
      <c r="AB650" s="548"/>
      <c r="AC650" s="548"/>
      <c r="AD650" s="548"/>
      <c r="AE650" s="548"/>
      <c r="AF650" s="548"/>
      <c r="AG650" s="549"/>
      <c r="AH650" s="518"/>
    </row>
    <row r="651">
      <c r="A651" s="546"/>
      <c r="B651" s="547"/>
      <c r="C651" s="547"/>
      <c r="D651" s="547"/>
      <c r="E651" s="547"/>
      <c r="F651" s="547"/>
      <c r="G651" s="547"/>
      <c r="H651" s="547"/>
      <c r="I651" s="547"/>
      <c r="J651" s="547"/>
      <c r="K651" s="547"/>
      <c r="L651" s="547"/>
      <c r="M651" s="547"/>
      <c r="N651" s="548"/>
      <c r="O651" s="548"/>
      <c r="P651" s="548"/>
      <c r="Q651" s="548"/>
      <c r="R651" s="548"/>
      <c r="S651" s="548"/>
      <c r="T651" s="548"/>
      <c r="U651" s="548"/>
      <c r="V651" s="548"/>
      <c r="W651" s="548"/>
      <c r="X651" s="548"/>
      <c r="Y651" s="548"/>
      <c r="Z651" s="548"/>
      <c r="AA651" s="548"/>
      <c r="AB651" s="548"/>
      <c r="AC651" s="548"/>
      <c r="AD651" s="548"/>
      <c r="AE651" s="548"/>
      <c r="AF651" s="548"/>
      <c r="AG651" s="549"/>
      <c r="AH651" s="518"/>
    </row>
    <row r="652">
      <c r="A652" s="546"/>
      <c r="B652" s="547"/>
      <c r="C652" s="547"/>
      <c r="D652" s="547"/>
      <c r="E652" s="547"/>
      <c r="F652" s="547"/>
      <c r="G652" s="547"/>
      <c r="H652" s="547"/>
      <c r="I652" s="547"/>
      <c r="J652" s="547"/>
      <c r="K652" s="547"/>
      <c r="L652" s="547"/>
      <c r="M652" s="547"/>
      <c r="N652" s="548"/>
      <c r="O652" s="548"/>
      <c r="P652" s="548"/>
      <c r="Q652" s="548"/>
      <c r="R652" s="548"/>
      <c r="S652" s="548"/>
      <c r="T652" s="548"/>
      <c r="U652" s="548"/>
      <c r="V652" s="548"/>
      <c r="W652" s="548"/>
      <c r="X652" s="548"/>
      <c r="Y652" s="548"/>
      <c r="Z652" s="548"/>
      <c r="AA652" s="548"/>
      <c r="AB652" s="548"/>
      <c r="AC652" s="548"/>
      <c r="AD652" s="548"/>
      <c r="AE652" s="548"/>
      <c r="AF652" s="548"/>
      <c r="AG652" s="549"/>
      <c r="AH652" s="518"/>
    </row>
    <row r="653">
      <c r="A653" s="546"/>
      <c r="B653" s="547"/>
      <c r="C653" s="547"/>
      <c r="D653" s="547"/>
      <c r="E653" s="547"/>
      <c r="F653" s="547"/>
      <c r="G653" s="547"/>
      <c r="H653" s="547"/>
      <c r="I653" s="547"/>
      <c r="J653" s="547"/>
      <c r="K653" s="547"/>
      <c r="L653" s="547"/>
      <c r="M653" s="547"/>
      <c r="N653" s="548"/>
      <c r="O653" s="548"/>
      <c r="P653" s="548"/>
      <c r="Q653" s="548"/>
      <c r="R653" s="548"/>
      <c r="S653" s="548"/>
      <c r="T653" s="548"/>
      <c r="U653" s="548"/>
      <c r="V653" s="548"/>
      <c r="W653" s="548"/>
      <c r="X653" s="548"/>
      <c r="Y653" s="548"/>
      <c r="Z653" s="548"/>
      <c r="AA653" s="548"/>
      <c r="AB653" s="548"/>
      <c r="AC653" s="548"/>
      <c r="AD653" s="548"/>
      <c r="AE653" s="548"/>
      <c r="AF653" s="548"/>
      <c r="AG653" s="549"/>
      <c r="AH653" s="518"/>
    </row>
    <row r="654">
      <c r="A654" s="546"/>
      <c r="B654" s="547"/>
      <c r="C654" s="547"/>
      <c r="D654" s="547"/>
      <c r="E654" s="547"/>
      <c r="F654" s="547"/>
      <c r="G654" s="547"/>
      <c r="H654" s="547"/>
      <c r="I654" s="547"/>
      <c r="J654" s="547"/>
      <c r="K654" s="547"/>
      <c r="L654" s="547"/>
      <c r="M654" s="547"/>
      <c r="N654" s="548"/>
      <c r="O654" s="548"/>
      <c r="P654" s="548"/>
      <c r="Q654" s="548"/>
      <c r="R654" s="548"/>
      <c r="S654" s="548"/>
      <c r="T654" s="548"/>
      <c r="U654" s="548"/>
      <c r="V654" s="548"/>
      <c r="W654" s="548"/>
      <c r="X654" s="548"/>
      <c r="Y654" s="548"/>
      <c r="Z654" s="548"/>
      <c r="AA654" s="548"/>
      <c r="AB654" s="548"/>
      <c r="AC654" s="548"/>
      <c r="AD654" s="548"/>
      <c r="AE654" s="548"/>
      <c r="AF654" s="548"/>
      <c r="AG654" s="549"/>
      <c r="AH654" s="518"/>
    </row>
    <row r="655">
      <c r="A655" s="546"/>
      <c r="B655" s="547"/>
      <c r="C655" s="547"/>
      <c r="D655" s="547"/>
      <c r="E655" s="547"/>
      <c r="F655" s="547"/>
      <c r="G655" s="547"/>
      <c r="H655" s="547"/>
      <c r="I655" s="547"/>
      <c r="J655" s="547"/>
      <c r="K655" s="547"/>
      <c r="L655" s="547"/>
      <c r="M655" s="547"/>
      <c r="N655" s="548"/>
      <c r="O655" s="548"/>
      <c r="P655" s="548"/>
      <c r="Q655" s="548"/>
      <c r="R655" s="548"/>
      <c r="S655" s="548"/>
      <c r="T655" s="548"/>
      <c r="U655" s="548"/>
      <c r="V655" s="548"/>
      <c r="W655" s="548"/>
      <c r="X655" s="548"/>
      <c r="Y655" s="548"/>
      <c r="Z655" s="548"/>
      <c r="AA655" s="548"/>
      <c r="AB655" s="548"/>
      <c r="AC655" s="548"/>
      <c r="AD655" s="548"/>
      <c r="AE655" s="548"/>
      <c r="AF655" s="548"/>
      <c r="AG655" s="549"/>
      <c r="AH655" s="518"/>
    </row>
    <row r="656">
      <c r="A656" s="546"/>
      <c r="B656" s="547"/>
      <c r="C656" s="547"/>
      <c r="D656" s="547"/>
      <c r="E656" s="547"/>
      <c r="F656" s="547"/>
      <c r="G656" s="547"/>
      <c r="H656" s="547"/>
      <c r="I656" s="547"/>
      <c r="J656" s="547"/>
      <c r="K656" s="547"/>
      <c r="L656" s="547"/>
      <c r="M656" s="547"/>
      <c r="N656" s="548"/>
      <c r="O656" s="548"/>
      <c r="P656" s="548"/>
      <c r="Q656" s="548"/>
      <c r="R656" s="548"/>
      <c r="S656" s="548"/>
      <c r="T656" s="548"/>
      <c r="U656" s="548"/>
      <c r="V656" s="548"/>
      <c r="W656" s="548"/>
      <c r="X656" s="548"/>
      <c r="Y656" s="548"/>
      <c r="Z656" s="548"/>
      <c r="AA656" s="548"/>
      <c r="AB656" s="548"/>
      <c r="AC656" s="548"/>
      <c r="AD656" s="548"/>
      <c r="AE656" s="548"/>
      <c r="AF656" s="548"/>
      <c r="AG656" s="549"/>
      <c r="AH656" s="518"/>
    </row>
    <row r="657">
      <c r="A657" s="546"/>
      <c r="B657" s="547"/>
      <c r="C657" s="547"/>
      <c r="D657" s="547"/>
      <c r="E657" s="547"/>
      <c r="F657" s="547"/>
      <c r="G657" s="547"/>
      <c r="H657" s="547"/>
      <c r="I657" s="547"/>
      <c r="J657" s="547"/>
      <c r="K657" s="547"/>
      <c r="L657" s="547"/>
      <c r="M657" s="547"/>
      <c r="N657" s="548"/>
      <c r="O657" s="548"/>
      <c r="P657" s="548"/>
      <c r="Q657" s="548"/>
      <c r="R657" s="548"/>
      <c r="S657" s="548"/>
      <c r="T657" s="548"/>
      <c r="U657" s="548"/>
      <c r="V657" s="548"/>
      <c r="W657" s="548"/>
      <c r="X657" s="548"/>
      <c r="Y657" s="548"/>
      <c r="Z657" s="548"/>
      <c r="AA657" s="548"/>
      <c r="AB657" s="548"/>
      <c r="AC657" s="548"/>
      <c r="AD657" s="548"/>
      <c r="AE657" s="548"/>
      <c r="AF657" s="548"/>
      <c r="AG657" s="549"/>
      <c r="AH657" s="518"/>
    </row>
    <row r="658">
      <c r="A658" s="546"/>
      <c r="B658" s="547"/>
      <c r="C658" s="547"/>
      <c r="D658" s="547"/>
      <c r="E658" s="547"/>
      <c r="F658" s="547"/>
      <c r="G658" s="547"/>
      <c r="H658" s="547"/>
      <c r="I658" s="547"/>
      <c r="J658" s="547"/>
      <c r="K658" s="547"/>
      <c r="L658" s="547"/>
      <c r="M658" s="547"/>
      <c r="N658" s="548"/>
      <c r="O658" s="548"/>
      <c r="P658" s="548"/>
      <c r="Q658" s="548"/>
      <c r="R658" s="548"/>
      <c r="S658" s="548"/>
      <c r="T658" s="548"/>
      <c r="U658" s="548"/>
      <c r="V658" s="548"/>
      <c r="W658" s="548"/>
      <c r="X658" s="548"/>
      <c r="Y658" s="548"/>
      <c r="Z658" s="548"/>
      <c r="AA658" s="548"/>
      <c r="AB658" s="548"/>
      <c r="AC658" s="548"/>
      <c r="AD658" s="548"/>
      <c r="AE658" s="548"/>
      <c r="AF658" s="548"/>
      <c r="AG658" s="549"/>
      <c r="AH658" s="518"/>
    </row>
    <row r="659">
      <c r="A659" s="546"/>
      <c r="B659" s="547"/>
      <c r="C659" s="547"/>
      <c r="D659" s="547"/>
      <c r="E659" s="547"/>
      <c r="F659" s="547"/>
      <c r="G659" s="547"/>
      <c r="H659" s="547"/>
      <c r="I659" s="547"/>
      <c r="J659" s="547"/>
      <c r="K659" s="547"/>
      <c r="L659" s="547"/>
      <c r="M659" s="547"/>
      <c r="N659" s="548"/>
      <c r="O659" s="548"/>
      <c r="P659" s="548"/>
      <c r="Q659" s="548"/>
      <c r="R659" s="548"/>
      <c r="S659" s="548"/>
      <c r="T659" s="548"/>
      <c r="U659" s="548"/>
      <c r="V659" s="548"/>
      <c r="W659" s="548"/>
      <c r="X659" s="548"/>
      <c r="Y659" s="548"/>
      <c r="Z659" s="548"/>
      <c r="AA659" s="548"/>
      <c r="AB659" s="548"/>
      <c r="AC659" s="548"/>
      <c r="AD659" s="548"/>
      <c r="AE659" s="548"/>
      <c r="AF659" s="548"/>
      <c r="AG659" s="549"/>
      <c r="AH659" s="518"/>
    </row>
    <row r="660">
      <c r="A660" s="546"/>
      <c r="B660" s="547"/>
      <c r="C660" s="547"/>
      <c r="D660" s="547"/>
      <c r="E660" s="547"/>
      <c r="F660" s="547"/>
      <c r="G660" s="547"/>
      <c r="H660" s="547"/>
      <c r="I660" s="547"/>
      <c r="J660" s="547"/>
      <c r="K660" s="547"/>
      <c r="L660" s="547"/>
      <c r="M660" s="547"/>
      <c r="N660" s="548"/>
      <c r="O660" s="548"/>
      <c r="P660" s="548"/>
      <c r="Q660" s="548"/>
      <c r="R660" s="548"/>
      <c r="S660" s="548"/>
      <c r="T660" s="548"/>
      <c r="U660" s="548"/>
      <c r="V660" s="548"/>
      <c r="W660" s="548"/>
      <c r="X660" s="548"/>
      <c r="Y660" s="548"/>
      <c r="Z660" s="548"/>
      <c r="AA660" s="548"/>
      <c r="AB660" s="548"/>
      <c r="AC660" s="548"/>
      <c r="AD660" s="548"/>
      <c r="AE660" s="548"/>
      <c r="AF660" s="548"/>
      <c r="AG660" s="549"/>
      <c r="AH660" s="518"/>
    </row>
    <row r="661">
      <c r="A661" s="546"/>
      <c r="B661" s="547"/>
      <c r="C661" s="547"/>
      <c r="D661" s="547"/>
      <c r="E661" s="547"/>
      <c r="F661" s="547"/>
      <c r="G661" s="547"/>
      <c r="H661" s="547"/>
      <c r="I661" s="547"/>
      <c r="J661" s="547"/>
      <c r="K661" s="547"/>
      <c r="L661" s="547"/>
      <c r="M661" s="547"/>
      <c r="N661" s="548"/>
      <c r="O661" s="548"/>
      <c r="P661" s="548"/>
      <c r="Q661" s="548"/>
      <c r="R661" s="548"/>
      <c r="S661" s="548"/>
      <c r="T661" s="548"/>
      <c r="U661" s="548"/>
      <c r="V661" s="548"/>
      <c r="W661" s="548"/>
      <c r="X661" s="548"/>
      <c r="Y661" s="548"/>
      <c r="Z661" s="548"/>
      <c r="AA661" s="548"/>
      <c r="AB661" s="548"/>
      <c r="AC661" s="548"/>
      <c r="AD661" s="548"/>
      <c r="AE661" s="548"/>
      <c r="AF661" s="548"/>
      <c r="AG661" s="549"/>
      <c r="AH661" s="518"/>
    </row>
    <row r="662">
      <c r="A662" s="546"/>
      <c r="B662" s="547"/>
      <c r="C662" s="547"/>
      <c r="D662" s="547"/>
      <c r="E662" s="547"/>
      <c r="F662" s="547"/>
      <c r="G662" s="547"/>
      <c r="H662" s="547"/>
      <c r="I662" s="547"/>
      <c r="J662" s="547"/>
      <c r="K662" s="547"/>
      <c r="L662" s="547"/>
      <c r="M662" s="547"/>
      <c r="N662" s="548"/>
      <c r="O662" s="548"/>
      <c r="P662" s="548"/>
      <c r="Q662" s="548"/>
      <c r="R662" s="548"/>
      <c r="S662" s="548"/>
      <c r="T662" s="548"/>
      <c r="U662" s="548"/>
      <c r="V662" s="548"/>
      <c r="W662" s="548"/>
      <c r="X662" s="548"/>
      <c r="Y662" s="548"/>
      <c r="Z662" s="548"/>
      <c r="AA662" s="548"/>
      <c r="AB662" s="548"/>
      <c r="AC662" s="548"/>
      <c r="AD662" s="548"/>
      <c r="AE662" s="548"/>
      <c r="AF662" s="548"/>
      <c r="AG662" s="549"/>
      <c r="AH662" s="518"/>
    </row>
    <row r="663">
      <c r="A663" s="546"/>
      <c r="B663" s="547"/>
      <c r="C663" s="547"/>
      <c r="D663" s="547"/>
      <c r="E663" s="547"/>
      <c r="F663" s="547"/>
      <c r="G663" s="547"/>
      <c r="H663" s="547"/>
      <c r="I663" s="547"/>
      <c r="J663" s="547"/>
      <c r="K663" s="547"/>
      <c r="L663" s="547"/>
      <c r="M663" s="547"/>
      <c r="N663" s="548"/>
      <c r="O663" s="548"/>
      <c r="P663" s="548"/>
      <c r="Q663" s="548"/>
      <c r="R663" s="548"/>
      <c r="S663" s="548"/>
      <c r="T663" s="548"/>
      <c r="U663" s="548"/>
      <c r="V663" s="548"/>
      <c r="W663" s="548"/>
      <c r="X663" s="548"/>
      <c r="Y663" s="548"/>
      <c r="Z663" s="548"/>
      <c r="AA663" s="548"/>
      <c r="AB663" s="548"/>
      <c r="AC663" s="548"/>
      <c r="AD663" s="548"/>
      <c r="AE663" s="548"/>
      <c r="AF663" s="548"/>
      <c r="AG663" s="549"/>
      <c r="AH663" s="518"/>
    </row>
    <row r="664">
      <c r="A664" s="546"/>
      <c r="B664" s="547"/>
      <c r="C664" s="547"/>
      <c r="D664" s="547"/>
      <c r="E664" s="547"/>
      <c r="F664" s="547"/>
      <c r="G664" s="547"/>
      <c r="H664" s="547"/>
      <c r="I664" s="547"/>
      <c r="J664" s="547"/>
      <c r="K664" s="547"/>
      <c r="L664" s="547"/>
      <c r="M664" s="547"/>
      <c r="N664" s="548"/>
      <c r="O664" s="548"/>
      <c r="P664" s="548"/>
      <c r="Q664" s="548"/>
      <c r="R664" s="548"/>
      <c r="S664" s="548"/>
      <c r="T664" s="548"/>
      <c r="U664" s="548"/>
      <c r="V664" s="548"/>
      <c r="W664" s="548"/>
      <c r="X664" s="548"/>
      <c r="Y664" s="548"/>
      <c r="Z664" s="548"/>
      <c r="AA664" s="548"/>
      <c r="AB664" s="548"/>
      <c r="AC664" s="548"/>
      <c r="AD664" s="548"/>
      <c r="AE664" s="548"/>
      <c r="AF664" s="548"/>
      <c r="AG664" s="549"/>
      <c r="AH664" s="518"/>
    </row>
    <row r="665">
      <c r="A665" s="546"/>
      <c r="B665" s="547"/>
      <c r="C665" s="547"/>
      <c r="D665" s="547"/>
      <c r="E665" s="547"/>
      <c r="F665" s="547"/>
      <c r="G665" s="547"/>
      <c r="H665" s="547"/>
      <c r="I665" s="547"/>
      <c r="J665" s="547"/>
      <c r="K665" s="547"/>
      <c r="L665" s="547"/>
      <c r="M665" s="547"/>
      <c r="N665" s="548"/>
      <c r="O665" s="548"/>
      <c r="P665" s="548"/>
      <c r="Q665" s="548"/>
      <c r="R665" s="548"/>
      <c r="S665" s="548"/>
      <c r="T665" s="548"/>
      <c r="U665" s="548"/>
      <c r="V665" s="548"/>
      <c r="W665" s="548"/>
      <c r="X665" s="548"/>
      <c r="Y665" s="548"/>
      <c r="Z665" s="548"/>
      <c r="AA665" s="548"/>
      <c r="AB665" s="548"/>
      <c r="AC665" s="548"/>
      <c r="AD665" s="548"/>
      <c r="AE665" s="548"/>
      <c r="AF665" s="548"/>
      <c r="AG665" s="549"/>
      <c r="AH665" s="518"/>
    </row>
    <row r="666">
      <c r="A666" s="546"/>
      <c r="B666" s="547"/>
      <c r="C666" s="547"/>
      <c r="D666" s="547"/>
      <c r="E666" s="547"/>
      <c r="F666" s="547"/>
      <c r="G666" s="547"/>
      <c r="H666" s="547"/>
      <c r="I666" s="547"/>
      <c r="J666" s="547"/>
      <c r="K666" s="547"/>
      <c r="L666" s="547"/>
      <c r="M666" s="547"/>
      <c r="N666" s="548"/>
      <c r="O666" s="548"/>
      <c r="P666" s="548"/>
      <c r="Q666" s="548"/>
      <c r="R666" s="548"/>
      <c r="S666" s="548"/>
      <c r="T666" s="548"/>
      <c r="U666" s="548"/>
      <c r="V666" s="548"/>
      <c r="W666" s="548"/>
      <c r="X666" s="548"/>
      <c r="Y666" s="548"/>
      <c r="Z666" s="548"/>
      <c r="AA666" s="548"/>
      <c r="AB666" s="548"/>
      <c r="AC666" s="548"/>
      <c r="AD666" s="548"/>
      <c r="AE666" s="548"/>
      <c r="AF666" s="548"/>
      <c r="AG666" s="549"/>
      <c r="AH666" s="518"/>
    </row>
    <row r="667">
      <c r="A667" s="546"/>
      <c r="B667" s="547"/>
      <c r="C667" s="547"/>
      <c r="D667" s="547"/>
      <c r="E667" s="547"/>
      <c r="F667" s="547"/>
      <c r="G667" s="547"/>
      <c r="H667" s="547"/>
      <c r="I667" s="547"/>
      <c r="J667" s="547"/>
      <c r="K667" s="547"/>
      <c r="L667" s="547"/>
      <c r="M667" s="547"/>
      <c r="N667" s="548"/>
      <c r="O667" s="548"/>
      <c r="P667" s="548"/>
      <c r="Q667" s="548"/>
      <c r="R667" s="548"/>
      <c r="S667" s="548"/>
      <c r="T667" s="548"/>
      <c r="U667" s="548"/>
      <c r="V667" s="548"/>
      <c r="W667" s="548"/>
      <c r="X667" s="548"/>
      <c r="Y667" s="548"/>
      <c r="Z667" s="548"/>
      <c r="AA667" s="548"/>
      <c r="AB667" s="548"/>
      <c r="AC667" s="548"/>
      <c r="AD667" s="548"/>
      <c r="AE667" s="548"/>
      <c r="AF667" s="548"/>
      <c r="AG667" s="549"/>
      <c r="AH667" s="518"/>
    </row>
    <row r="668">
      <c r="A668" s="546"/>
      <c r="B668" s="547"/>
      <c r="C668" s="547"/>
      <c r="D668" s="547"/>
      <c r="E668" s="547"/>
      <c r="F668" s="547"/>
      <c r="G668" s="547"/>
      <c r="H668" s="547"/>
      <c r="I668" s="547"/>
      <c r="J668" s="547"/>
      <c r="K668" s="547"/>
      <c r="L668" s="547"/>
      <c r="M668" s="547"/>
      <c r="N668" s="548"/>
      <c r="O668" s="548"/>
      <c r="P668" s="548"/>
      <c r="Q668" s="548"/>
      <c r="R668" s="548"/>
      <c r="S668" s="548"/>
      <c r="T668" s="548"/>
      <c r="U668" s="548"/>
      <c r="V668" s="548"/>
      <c r="W668" s="548"/>
      <c r="X668" s="548"/>
      <c r="Y668" s="548"/>
      <c r="Z668" s="548"/>
      <c r="AA668" s="548"/>
      <c r="AB668" s="548"/>
      <c r="AC668" s="548"/>
      <c r="AD668" s="548"/>
      <c r="AE668" s="548"/>
      <c r="AF668" s="548"/>
      <c r="AG668" s="549"/>
      <c r="AH668" s="518"/>
    </row>
    <row r="669">
      <c r="A669" s="546"/>
      <c r="B669" s="547"/>
      <c r="C669" s="547"/>
      <c r="D669" s="547"/>
      <c r="E669" s="547"/>
      <c r="F669" s="547"/>
      <c r="G669" s="547"/>
      <c r="H669" s="547"/>
      <c r="I669" s="547"/>
      <c r="J669" s="547"/>
      <c r="K669" s="547"/>
      <c r="L669" s="547"/>
      <c r="M669" s="547"/>
      <c r="N669" s="548"/>
      <c r="O669" s="548"/>
      <c r="P669" s="548"/>
      <c r="Q669" s="548"/>
      <c r="R669" s="548"/>
      <c r="S669" s="548"/>
      <c r="T669" s="548"/>
      <c r="U669" s="548"/>
      <c r="V669" s="548"/>
      <c r="W669" s="548"/>
      <c r="X669" s="548"/>
      <c r="Y669" s="548"/>
      <c r="Z669" s="548"/>
      <c r="AA669" s="548"/>
      <c r="AB669" s="548"/>
      <c r="AC669" s="548"/>
      <c r="AD669" s="548"/>
      <c r="AE669" s="548"/>
      <c r="AF669" s="548"/>
      <c r="AG669" s="549"/>
      <c r="AH669" s="518"/>
    </row>
    <row r="670">
      <c r="A670" s="546"/>
      <c r="B670" s="547"/>
      <c r="C670" s="547"/>
      <c r="D670" s="547"/>
      <c r="E670" s="547"/>
      <c r="F670" s="547"/>
      <c r="G670" s="547"/>
      <c r="H670" s="547"/>
      <c r="I670" s="547"/>
      <c r="J670" s="547"/>
      <c r="K670" s="547"/>
      <c r="L670" s="547"/>
      <c r="M670" s="547"/>
      <c r="N670" s="548"/>
      <c r="O670" s="548"/>
      <c r="P670" s="548"/>
      <c r="Q670" s="548"/>
      <c r="R670" s="548"/>
      <c r="S670" s="548"/>
      <c r="T670" s="548"/>
      <c r="U670" s="548"/>
      <c r="V670" s="548"/>
      <c r="W670" s="548"/>
      <c r="X670" s="548"/>
      <c r="Y670" s="548"/>
      <c r="Z670" s="548"/>
      <c r="AA670" s="548"/>
      <c r="AB670" s="548"/>
      <c r="AC670" s="548"/>
      <c r="AD670" s="548"/>
      <c r="AE670" s="548"/>
      <c r="AF670" s="548"/>
      <c r="AG670" s="549"/>
      <c r="AH670" s="518"/>
    </row>
    <row r="671">
      <c r="A671" s="546"/>
      <c r="B671" s="547"/>
      <c r="C671" s="547"/>
      <c r="D671" s="547"/>
      <c r="E671" s="547"/>
      <c r="F671" s="547"/>
      <c r="G671" s="547"/>
      <c r="H671" s="547"/>
      <c r="I671" s="547"/>
      <c r="J671" s="547"/>
      <c r="K671" s="547"/>
      <c r="L671" s="547"/>
      <c r="M671" s="547"/>
      <c r="N671" s="548"/>
      <c r="O671" s="548"/>
      <c r="P671" s="548"/>
      <c r="Q671" s="548"/>
      <c r="R671" s="548"/>
      <c r="S671" s="548"/>
      <c r="T671" s="548"/>
      <c r="U671" s="548"/>
      <c r="V671" s="548"/>
      <c r="W671" s="548"/>
      <c r="X671" s="548"/>
      <c r="Y671" s="548"/>
      <c r="Z671" s="548"/>
      <c r="AA671" s="548"/>
      <c r="AB671" s="548"/>
      <c r="AC671" s="548"/>
      <c r="AD671" s="548"/>
      <c r="AE671" s="548"/>
      <c r="AF671" s="548"/>
      <c r="AG671" s="549"/>
      <c r="AH671" s="518"/>
    </row>
    <row r="672">
      <c r="A672" s="546"/>
      <c r="B672" s="547"/>
      <c r="C672" s="547"/>
      <c r="D672" s="547"/>
      <c r="E672" s="547"/>
      <c r="F672" s="547"/>
      <c r="G672" s="547"/>
      <c r="H672" s="547"/>
      <c r="I672" s="547"/>
      <c r="J672" s="547"/>
      <c r="K672" s="547"/>
      <c r="L672" s="547"/>
      <c r="M672" s="547"/>
      <c r="N672" s="548"/>
      <c r="O672" s="548"/>
      <c r="P672" s="548"/>
      <c r="Q672" s="548"/>
      <c r="R672" s="548"/>
      <c r="S672" s="548"/>
      <c r="T672" s="548"/>
      <c r="U672" s="548"/>
      <c r="V672" s="548"/>
      <c r="W672" s="548"/>
      <c r="X672" s="548"/>
      <c r="Y672" s="548"/>
      <c r="Z672" s="548"/>
      <c r="AA672" s="548"/>
      <c r="AB672" s="548"/>
      <c r="AC672" s="548"/>
      <c r="AD672" s="548"/>
      <c r="AE672" s="548"/>
      <c r="AF672" s="548"/>
      <c r="AG672" s="549"/>
      <c r="AH672" s="518"/>
    </row>
    <row r="673">
      <c r="A673" s="546"/>
      <c r="B673" s="547"/>
      <c r="C673" s="547"/>
      <c r="D673" s="547"/>
      <c r="E673" s="547"/>
      <c r="F673" s="547"/>
      <c r="G673" s="547"/>
      <c r="H673" s="547"/>
      <c r="I673" s="547"/>
      <c r="J673" s="547"/>
      <c r="K673" s="547"/>
      <c r="L673" s="547"/>
      <c r="M673" s="547"/>
      <c r="N673" s="548"/>
      <c r="O673" s="548"/>
      <c r="P673" s="548"/>
      <c r="Q673" s="548"/>
      <c r="R673" s="548"/>
      <c r="S673" s="548"/>
      <c r="T673" s="548"/>
      <c r="U673" s="548"/>
      <c r="V673" s="548"/>
      <c r="W673" s="548"/>
      <c r="X673" s="548"/>
      <c r="Y673" s="548"/>
      <c r="Z673" s="548"/>
      <c r="AA673" s="548"/>
      <c r="AB673" s="548"/>
      <c r="AC673" s="548"/>
      <c r="AD673" s="548"/>
      <c r="AE673" s="548"/>
      <c r="AF673" s="548"/>
      <c r="AG673" s="549"/>
      <c r="AH673" s="518"/>
    </row>
    <row r="674">
      <c r="A674" s="546"/>
      <c r="B674" s="547"/>
      <c r="C674" s="547"/>
      <c r="D674" s="547"/>
      <c r="E674" s="547"/>
      <c r="F674" s="547"/>
      <c r="G674" s="547"/>
      <c r="H674" s="547"/>
      <c r="I674" s="547"/>
      <c r="J674" s="547"/>
      <c r="K674" s="547"/>
      <c r="L674" s="547"/>
      <c r="M674" s="547"/>
      <c r="N674" s="548"/>
      <c r="O674" s="548"/>
      <c r="P674" s="548"/>
      <c r="Q674" s="548"/>
      <c r="R674" s="548"/>
      <c r="S674" s="548"/>
      <c r="T674" s="548"/>
      <c r="U674" s="548"/>
      <c r="V674" s="548"/>
      <c r="W674" s="548"/>
      <c r="X674" s="548"/>
      <c r="Y674" s="548"/>
      <c r="Z674" s="548"/>
      <c r="AA674" s="548"/>
      <c r="AB674" s="548"/>
      <c r="AC674" s="548"/>
      <c r="AD674" s="548"/>
      <c r="AE674" s="548"/>
      <c r="AF674" s="548"/>
      <c r="AG674" s="549"/>
      <c r="AH674" s="518"/>
    </row>
    <row r="675">
      <c r="A675" s="546"/>
      <c r="B675" s="547"/>
      <c r="C675" s="547"/>
      <c r="D675" s="547"/>
      <c r="E675" s="547"/>
      <c r="F675" s="547"/>
      <c r="G675" s="547"/>
      <c r="H675" s="547"/>
      <c r="I675" s="547"/>
      <c r="J675" s="547"/>
      <c r="K675" s="547"/>
      <c r="L675" s="547"/>
      <c r="M675" s="547"/>
      <c r="N675" s="548"/>
      <c r="O675" s="548"/>
      <c r="P675" s="548"/>
      <c r="Q675" s="548"/>
      <c r="R675" s="548"/>
      <c r="S675" s="548"/>
      <c r="T675" s="548"/>
      <c r="U675" s="548"/>
      <c r="V675" s="548"/>
      <c r="W675" s="548"/>
      <c r="X675" s="548"/>
      <c r="Y675" s="548"/>
      <c r="Z675" s="548"/>
      <c r="AA675" s="548"/>
      <c r="AB675" s="548"/>
      <c r="AC675" s="548"/>
      <c r="AD675" s="548"/>
      <c r="AE675" s="548"/>
      <c r="AF675" s="548"/>
      <c r="AG675" s="549"/>
      <c r="AH675" s="518"/>
    </row>
    <row r="676">
      <c r="A676" s="546"/>
      <c r="B676" s="547"/>
      <c r="C676" s="547"/>
      <c r="D676" s="547"/>
      <c r="E676" s="547"/>
      <c r="F676" s="547"/>
      <c r="G676" s="547"/>
      <c r="H676" s="547"/>
      <c r="I676" s="547"/>
      <c r="J676" s="547"/>
      <c r="K676" s="547"/>
      <c r="L676" s="547"/>
      <c r="M676" s="547"/>
      <c r="N676" s="548"/>
      <c r="O676" s="548"/>
      <c r="P676" s="548"/>
      <c r="Q676" s="548"/>
      <c r="R676" s="548"/>
      <c r="S676" s="548"/>
      <c r="T676" s="548"/>
      <c r="U676" s="548"/>
      <c r="V676" s="548"/>
      <c r="W676" s="548"/>
      <c r="X676" s="548"/>
      <c r="Y676" s="548"/>
      <c r="Z676" s="548"/>
      <c r="AA676" s="548"/>
      <c r="AB676" s="548"/>
      <c r="AC676" s="548"/>
      <c r="AD676" s="548"/>
      <c r="AE676" s="548"/>
      <c r="AF676" s="548"/>
      <c r="AG676" s="549"/>
      <c r="AH676" s="518"/>
    </row>
    <row r="677">
      <c r="A677" s="546"/>
      <c r="B677" s="547"/>
      <c r="C677" s="547"/>
      <c r="D677" s="547"/>
      <c r="E677" s="547"/>
      <c r="F677" s="547"/>
      <c r="G677" s="547"/>
      <c r="H677" s="547"/>
      <c r="I677" s="547"/>
      <c r="J677" s="547"/>
      <c r="K677" s="547"/>
      <c r="L677" s="547"/>
      <c r="M677" s="547"/>
      <c r="N677" s="548"/>
      <c r="O677" s="548"/>
      <c r="P677" s="548"/>
      <c r="Q677" s="548"/>
      <c r="R677" s="548"/>
      <c r="S677" s="548"/>
      <c r="T677" s="548"/>
      <c r="U677" s="548"/>
      <c r="V677" s="548"/>
      <c r="W677" s="548"/>
      <c r="X677" s="548"/>
      <c r="Y677" s="548"/>
      <c r="Z677" s="548"/>
      <c r="AA677" s="548"/>
      <c r="AB677" s="548"/>
      <c r="AC677" s="548"/>
      <c r="AD677" s="548"/>
      <c r="AE677" s="548"/>
      <c r="AF677" s="548"/>
      <c r="AG677" s="549"/>
      <c r="AH677" s="518"/>
    </row>
    <row r="678">
      <c r="A678" s="546"/>
      <c r="B678" s="547"/>
      <c r="C678" s="547"/>
      <c r="D678" s="547"/>
      <c r="E678" s="547"/>
      <c r="F678" s="547"/>
      <c r="G678" s="547"/>
      <c r="H678" s="547"/>
      <c r="I678" s="547"/>
      <c r="J678" s="547"/>
      <c r="K678" s="547"/>
      <c r="L678" s="547"/>
      <c r="M678" s="547"/>
      <c r="N678" s="548"/>
      <c r="O678" s="548"/>
      <c r="P678" s="548"/>
      <c r="Q678" s="548"/>
      <c r="R678" s="548"/>
      <c r="S678" s="548"/>
      <c r="T678" s="548"/>
      <c r="U678" s="548"/>
      <c r="V678" s="548"/>
      <c r="W678" s="548"/>
      <c r="X678" s="548"/>
      <c r="Y678" s="548"/>
      <c r="Z678" s="548"/>
      <c r="AA678" s="548"/>
      <c r="AB678" s="548"/>
      <c r="AC678" s="548"/>
      <c r="AD678" s="548"/>
      <c r="AE678" s="548"/>
      <c r="AF678" s="548"/>
      <c r="AG678" s="549"/>
      <c r="AH678" s="518"/>
    </row>
    <row r="679">
      <c r="A679" s="546"/>
      <c r="B679" s="547"/>
      <c r="C679" s="547"/>
      <c r="D679" s="547"/>
      <c r="E679" s="547"/>
      <c r="F679" s="547"/>
      <c r="G679" s="547"/>
      <c r="H679" s="547"/>
      <c r="I679" s="547"/>
      <c r="J679" s="547"/>
      <c r="K679" s="547"/>
      <c r="L679" s="547"/>
      <c r="M679" s="547"/>
      <c r="N679" s="548"/>
      <c r="O679" s="548"/>
      <c r="P679" s="548"/>
      <c r="Q679" s="548"/>
      <c r="R679" s="548"/>
      <c r="S679" s="548"/>
      <c r="T679" s="548"/>
      <c r="U679" s="548"/>
      <c r="V679" s="548"/>
      <c r="W679" s="548"/>
      <c r="X679" s="548"/>
      <c r="Y679" s="548"/>
      <c r="Z679" s="548"/>
      <c r="AA679" s="548"/>
      <c r="AB679" s="548"/>
      <c r="AC679" s="548"/>
      <c r="AD679" s="548"/>
      <c r="AE679" s="548"/>
      <c r="AF679" s="548"/>
      <c r="AG679" s="549"/>
      <c r="AH679" s="518"/>
    </row>
    <row r="680">
      <c r="A680" s="546"/>
      <c r="B680" s="547"/>
      <c r="C680" s="547"/>
      <c r="D680" s="547"/>
      <c r="E680" s="547"/>
      <c r="F680" s="547"/>
      <c r="G680" s="547"/>
      <c r="H680" s="547"/>
      <c r="I680" s="547"/>
      <c r="J680" s="547"/>
      <c r="K680" s="547"/>
      <c r="L680" s="547"/>
      <c r="M680" s="547"/>
      <c r="N680" s="548"/>
      <c r="O680" s="548"/>
      <c r="P680" s="548"/>
      <c r="Q680" s="548"/>
      <c r="R680" s="548"/>
      <c r="S680" s="548"/>
      <c r="T680" s="548"/>
      <c r="U680" s="548"/>
      <c r="V680" s="548"/>
      <c r="W680" s="548"/>
      <c r="X680" s="548"/>
      <c r="Y680" s="548"/>
      <c r="Z680" s="548"/>
      <c r="AA680" s="548"/>
      <c r="AB680" s="548"/>
      <c r="AC680" s="548"/>
      <c r="AD680" s="548"/>
      <c r="AE680" s="548"/>
      <c r="AF680" s="548"/>
      <c r="AG680" s="549"/>
      <c r="AH680" s="518"/>
    </row>
    <row r="681">
      <c r="A681" s="546"/>
      <c r="B681" s="547"/>
      <c r="C681" s="547"/>
      <c r="D681" s="547"/>
      <c r="E681" s="547"/>
      <c r="F681" s="547"/>
      <c r="G681" s="547"/>
      <c r="H681" s="547"/>
      <c r="I681" s="547"/>
      <c r="J681" s="547"/>
      <c r="K681" s="547"/>
      <c r="L681" s="547"/>
      <c r="M681" s="547"/>
      <c r="N681" s="548"/>
      <c r="O681" s="548"/>
      <c r="P681" s="548"/>
      <c r="Q681" s="548"/>
      <c r="R681" s="548"/>
      <c r="S681" s="548"/>
      <c r="T681" s="548"/>
      <c r="U681" s="548"/>
      <c r="V681" s="548"/>
      <c r="W681" s="548"/>
      <c r="X681" s="548"/>
      <c r="Y681" s="548"/>
      <c r="Z681" s="548"/>
      <c r="AA681" s="548"/>
      <c r="AB681" s="548"/>
      <c r="AC681" s="548"/>
      <c r="AD681" s="548"/>
      <c r="AE681" s="548"/>
      <c r="AF681" s="548"/>
      <c r="AG681" s="549"/>
      <c r="AH681" s="518"/>
    </row>
    <row r="682">
      <c r="A682" s="546"/>
      <c r="B682" s="547"/>
      <c r="C682" s="547"/>
      <c r="D682" s="547"/>
      <c r="E682" s="547"/>
      <c r="F682" s="547"/>
      <c r="G682" s="547"/>
      <c r="H682" s="547"/>
      <c r="I682" s="547"/>
      <c r="J682" s="547"/>
      <c r="K682" s="547"/>
      <c r="L682" s="547"/>
      <c r="M682" s="547"/>
      <c r="N682" s="548"/>
      <c r="O682" s="548"/>
      <c r="P682" s="548"/>
      <c r="Q682" s="548"/>
      <c r="R682" s="548"/>
      <c r="S682" s="548"/>
      <c r="T682" s="548"/>
      <c r="U682" s="548"/>
      <c r="V682" s="548"/>
      <c r="W682" s="548"/>
      <c r="X682" s="548"/>
      <c r="Y682" s="548"/>
      <c r="Z682" s="548"/>
      <c r="AA682" s="548"/>
      <c r="AB682" s="548"/>
      <c r="AC682" s="548"/>
      <c r="AD682" s="548"/>
      <c r="AE682" s="548"/>
      <c r="AF682" s="548"/>
      <c r="AG682" s="549"/>
      <c r="AH682" s="518"/>
    </row>
    <row r="683">
      <c r="A683" s="546"/>
      <c r="B683" s="547"/>
      <c r="C683" s="547"/>
      <c r="D683" s="547"/>
      <c r="E683" s="547"/>
      <c r="F683" s="547"/>
      <c r="G683" s="547"/>
      <c r="H683" s="547"/>
      <c r="I683" s="547"/>
      <c r="J683" s="547"/>
      <c r="K683" s="547"/>
      <c r="L683" s="547"/>
      <c r="M683" s="547"/>
      <c r="N683" s="548"/>
      <c r="O683" s="548"/>
      <c r="P683" s="548"/>
      <c r="Q683" s="548"/>
      <c r="R683" s="548"/>
      <c r="S683" s="548"/>
      <c r="T683" s="548"/>
      <c r="U683" s="548"/>
      <c r="V683" s="548"/>
      <c r="W683" s="548"/>
      <c r="X683" s="548"/>
      <c r="Y683" s="548"/>
      <c r="Z683" s="548"/>
      <c r="AA683" s="548"/>
      <c r="AB683" s="548"/>
      <c r="AC683" s="548"/>
      <c r="AD683" s="548"/>
      <c r="AE683" s="548"/>
      <c r="AF683" s="548"/>
      <c r="AG683" s="549"/>
      <c r="AH683" s="518"/>
    </row>
    <row r="684">
      <c r="A684" s="546"/>
      <c r="B684" s="547"/>
      <c r="C684" s="547"/>
      <c r="D684" s="547"/>
      <c r="E684" s="547"/>
      <c r="F684" s="547"/>
      <c r="G684" s="547"/>
      <c r="H684" s="547"/>
      <c r="I684" s="547"/>
      <c r="J684" s="547"/>
      <c r="K684" s="547"/>
      <c r="L684" s="547"/>
      <c r="M684" s="547"/>
      <c r="N684" s="548"/>
      <c r="O684" s="548"/>
      <c r="P684" s="548"/>
      <c r="Q684" s="548"/>
      <c r="R684" s="548"/>
      <c r="S684" s="548"/>
      <c r="T684" s="548"/>
      <c r="U684" s="548"/>
      <c r="V684" s="548"/>
      <c r="W684" s="548"/>
      <c r="X684" s="548"/>
      <c r="Y684" s="548"/>
      <c r="Z684" s="548"/>
      <c r="AA684" s="548"/>
      <c r="AB684" s="548"/>
      <c r="AC684" s="548"/>
      <c r="AD684" s="548"/>
      <c r="AE684" s="548"/>
      <c r="AF684" s="548"/>
      <c r="AG684" s="549"/>
      <c r="AH684" s="518"/>
    </row>
    <row r="685">
      <c r="A685" s="546"/>
      <c r="B685" s="547"/>
      <c r="C685" s="547"/>
      <c r="D685" s="547"/>
      <c r="E685" s="547"/>
      <c r="F685" s="547"/>
      <c r="G685" s="547"/>
      <c r="H685" s="547"/>
      <c r="I685" s="547"/>
      <c r="J685" s="547"/>
      <c r="K685" s="547"/>
      <c r="L685" s="547"/>
      <c r="M685" s="547"/>
      <c r="N685" s="548"/>
      <c r="O685" s="548"/>
      <c r="P685" s="548"/>
      <c r="Q685" s="548"/>
      <c r="R685" s="548"/>
      <c r="S685" s="548"/>
      <c r="T685" s="548"/>
      <c r="U685" s="548"/>
      <c r="V685" s="548"/>
      <c r="W685" s="548"/>
      <c r="X685" s="548"/>
      <c r="Y685" s="548"/>
      <c r="Z685" s="548"/>
      <c r="AA685" s="548"/>
      <c r="AB685" s="548"/>
      <c r="AC685" s="548"/>
      <c r="AD685" s="548"/>
      <c r="AE685" s="548"/>
      <c r="AF685" s="548"/>
      <c r="AG685" s="549"/>
      <c r="AH685" s="518"/>
    </row>
    <row r="686">
      <c r="A686" s="546"/>
      <c r="B686" s="547"/>
      <c r="C686" s="547"/>
      <c r="D686" s="547"/>
      <c r="E686" s="547"/>
      <c r="F686" s="547"/>
      <c r="G686" s="547"/>
      <c r="H686" s="547"/>
      <c r="I686" s="547"/>
      <c r="J686" s="547"/>
      <c r="K686" s="547"/>
      <c r="L686" s="547"/>
      <c r="M686" s="547"/>
      <c r="N686" s="548"/>
      <c r="O686" s="548"/>
      <c r="P686" s="548"/>
      <c r="Q686" s="548"/>
      <c r="R686" s="548"/>
      <c r="S686" s="548"/>
      <c r="T686" s="548"/>
      <c r="U686" s="548"/>
      <c r="V686" s="548"/>
      <c r="W686" s="548"/>
      <c r="X686" s="548"/>
      <c r="Y686" s="548"/>
      <c r="Z686" s="548"/>
      <c r="AA686" s="548"/>
      <c r="AB686" s="548"/>
      <c r="AC686" s="548"/>
      <c r="AD686" s="548"/>
      <c r="AE686" s="548"/>
      <c r="AF686" s="548"/>
      <c r="AG686" s="549"/>
      <c r="AH686" s="518"/>
    </row>
    <row r="687">
      <c r="A687" s="546"/>
      <c r="B687" s="547"/>
      <c r="C687" s="547"/>
      <c r="D687" s="547"/>
      <c r="E687" s="547"/>
      <c r="F687" s="547"/>
      <c r="G687" s="547"/>
      <c r="H687" s="547"/>
      <c r="I687" s="547"/>
      <c r="J687" s="547"/>
      <c r="K687" s="547"/>
      <c r="L687" s="547"/>
      <c r="M687" s="547"/>
      <c r="N687" s="548"/>
      <c r="O687" s="548"/>
      <c r="P687" s="548"/>
      <c r="Q687" s="548"/>
      <c r="R687" s="548"/>
      <c r="S687" s="548"/>
      <c r="T687" s="548"/>
      <c r="U687" s="548"/>
      <c r="V687" s="548"/>
      <c r="W687" s="548"/>
      <c r="X687" s="548"/>
      <c r="Y687" s="548"/>
      <c r="Z687" s="548"/>
      <c r="AA687" s="548"/>
      <c r="AB687" s="548"/>
      <c r="AC687" s="548"/>
      <c r="AD687" s="548"/>
      <c r="AE687" s="548"/>
      <c r="AF687" s="548"/>
      <c r="AG687" s="549"/>
      <c r="AH687" s="518"/>
    </row>
    <row r="688">
      <c r="A688" s="546"/>
      <c r="B688" s="547"/>
      <c r="C688" s="547"/>
      <c r="D688" s="547"/>
      <c r="E688" s="547"/>
      <c r="F688" s="547"/>
      <c r="G688" s="547"/>
      <c r="H688" s="547"/>
      <c r="I688" s="547"/>
      <c r="J688" s="547"/>
      <c r="K688" s="547"/>
      <c r="L688" s="547"/>
      <c r="M688" s="547"/>
      <c r="N688" s="548"/>
      <c r="O688" s="548"/>
      <c r="P688" s="548"/>
      <c r="Q688" s="548"/>
      <c r="R688" s="548"/>
      <c r="S688" s="548"/>
      <c r="T688" s="548"/>
      <c r="U688" s="548"/>
      <c r="V688" s="548"/>
      <c r="W688" s="548"/>
      <c r="X688" s="548"/>
      <c r="Y688" s="548"/>
      <c r="Z688" s="548"/>
      <c r="AA688" s="548"/>
      <c r="AB688" s="548"/>
      <c r="AC688" s="548"/>
      <c r="AD688" s="548"/>
      <c r="AE688" s="548"/>
      <c r="AF688" s="548"/>
      <c r="AG688" s="549"/>
      <c r="AH688" s="518"/>
    </row>
    <row r="689">
      <c r="A689" s="546"/>
      <c r="B689" s="547"/>
      <c r="C689" s="547"/>
      <c r="D689" s="547"/>
      <c r="E689" s="547"/>
      <c r="F689" s="547"/>
      <c r="G689" s="547"/>
      <c r="H689" s="547"/>
      <c r="I689" s="547"/>
      <c r="J689" s="547"/>
      <c r="K689" s="547"/>
      <c r="L689" s="547"/>
      <c r="M689" s="547"/>
      <c r="N689" s="548"/>
      <c r="O689" s="548"/>
      <c r="P689" s="548"/>
      <c r="Q689" s="548"/>
      <c r="R689" s="548"/>
      <c r="S689" s="548"/>
      <c r="T689" s="548"/>
      <c r="U689" s="548"/>
      <c r="V689" s="548"/>
      <c r="W689" s="548"/>
      <c r="X689" s="548"/>
      <c r="Y689" s="548"/>
      <c r="Z689" s="548"/>
      <c r="AA689" s="548"/>
      <c r="AB689" s="548"/>
      <c r="AC689" s="548"/>
      <c r="AD689" s="548"/>
      <c r="AE689" s="548"/>
      <c r="AF689" s="548"/>
      <c r="AG689" s="549"/>
      <c r="AH689" s="518"/>
    </row>
    <row r="690">
      <c r="A690" s="546"/>
      <c r="B690" s="547"/>
      <c r="C690" s="547"/>
      <c r="D690" s="547"/>
      <c r="E690" s="547"/>
      <c r="F690" s="547"/>
      <c r="G690" s="547"/>
      <c r="H690" s="547"/>
      <c r="I690" s="547"/>
      <c r="J690" s="547"/>
      <c r="K690" s="547"/>
      <c r="L690" s="547"/>
      <c r="M690" s="547"/>
      <c r="N690" s="548"/>
      <c r="O690" s="548"/>
      <c r="P690" s="548"/>
      <c r="Q690" s="548"/>
      <c r="R690" s="548"/>
      <c r="S690" s="548"/>
      <c r="T690" s="548"/>
      <c r="U690" s="548"/>
      <c r="V690" s="548"/>
      <c r="W690" s="548"/>
      <c r="X690" s="548"/>
      <c r="Y690" s="548"/>
      <c r="Z690" s="548"/>
      <c r="AA690" s="548"/>
      <c r="AB690" s="548"/>
      <c r="AC690" s="548"/>
      <c r="AD690" s="548"/>
      <c r="AE690" s="548"/>
      <c r="AF690" s="548"/>
      <c r="AG690" s="549"/>
      <c r="AH690" s="518"/>
    </row>
    <row r="691">
      <c r="A691" s="546"/>
      <c r="B691" s="547"/>
      <c r="C691" s="547"/>
      <c r="D691" s="547"/>
      <c r="E691" s="547"/>
      <c r="F691" s="547"/>
      <c r="G691" s="547"/>
      <c r="H691" s="547"/>
      <c r="I691" s="547"/>
      <c r="J691" s="547"/>
      <c r="K691" s="547"/>
      <c r="L691" s="547"/>
      <c r="M691" s="547"/>
      <c r="N691" s="548"/>
      <c r="O691" s="548"/>
      <c r="P691" s="548"/>
      <c r="Q691" s="548"/>
      <c r="R691" s="548"/>
      <c r="S691" s="548"/>
      <c r="T691" s="548"/>
      <c r="U691" s="548"/>
      <c r="V691" s="548"/>
      <c r="W691" s="548"/>
      <c r="X691" s="548"/>
      <c r="Y691" s="548"/>
      <c r="Z691" s="548"/>
      <c r="AA691" s="548"/>
      <c r="AB691" s="548"/>
      <c r="AC691" s="548"/>
      <c r="AD691" s="548"/>
      <c r="AE691" s="548"/>
      <c r="AF691" s="548"/>
      <c r="AG691" s="549"/>
      <c r="AH691" s="518"/>
    </row>
    <row r="692">
      <c r="A692" s="546"/>
      <c r="B692" s="547"/>
      <c r="C692" s="547"/>
      <c r="D692" s="547"/>
      <c r="E692" s="547"/>
      <c r="F692" s="547"/>
      <c r="G692" s="547"/>
      <c r="H692" s="547"/>
      <c r="I692" s="547"/>
      <c r="J692" s="547"/>
      <c r="K692" s="547"/>
      <c r="L692" s="547"/>
      <c r="M692" s="547"/>
      <c r="N692" s="548"/>
      <c r="O692" s="548"/>
      <c r="P692" s="548"/>
      <c r="Q692" s="548"/>
      <c r="R692" s="548"/>
      <c r="S692" s="548"/>
      <c r="T692" s="548"/>
      <c r="U692" s="548"/>
      <c r="V692" s="548"/>
      <c r="W692" s="548"/>
      <c r="X692" s="548"/>
      <c r="Y692" s="548"/>
      <c r="Z692" s="548"/>
      <c r="AA692" s="548"/>
      <c r="AB692" s="548"/>
      <c r="AC692" s="548"/>
      <c r="AD692" s="548"/>
      <c r="AE692" s="548"/>
      <c r="AF692" s="548"/>
      <c r="AG692" s="549"/>
      <c r="AH692" s="518"/>
    </row>
    <row r="693">
      <c r="A693" s="546"/>
      <c r="B693" s="547"/>
      <c r="C693" s="547"/>
      <c r="D693" s="547"/>
      <c r="E693" s="547"/>
      <c r="F693" s="547"/>
      <c r="G693" s="547"/>
      <c r="H693" s="547"/>
      <c r="I693" s="547"/>
      <c r="J693" s="547"/>
      <c r="K693" s="547"/>
      <c r="L693" s="547"/>
      <c r="M693" s="547"/>
      <c r="N693" s="548"/>
      <c r="O693" s="548"/>
      <c r="P693" s="548"/>
      <c r="Q693" s="548"/>
      <c r="R693" s="548"/>
      <c r="S693" s="548"/>
      <c r="T693" s="548"/>
      <c r="U693" s="548"/>
      <c r="V693" s="548"/>
      <c r="W693" s="548"/>
      <c r="X693" s="548"/>
      <c r="Y693" s="548"/>
      <c r="Z693" s="548"/>
      <c r="AA693" s="548"/>
      <c r="AB693" s="548"/>
      <c r="AC693" s="548"/>
      <c r="AD693" s="548"/>
      <c r="AE693" s="548"/>
      <c r="AF693" s="548"/>
      <c r="AG693" s="549"/>
      <c r="AH693" s="518"/>
    </row>
    <row r="694">
      <c r="A694" s="546"/>
      <c r="B694" s="547"/>
      <c r="C694" s="547"/>
      <c r="D694" s="547"/>
      <c r="E694" s="547"/>
      <c r="F694" s="547"/>
      <c r="G694" s="547"/>
      <c r="H694" s="547"/>
      <c r="I694" s="547"/>
      <c r="J694" s="547"/>
      <c r="K694" s="547"/>
      <c r="L694" s="547"/>
      <c r="M694" s="547"/>
      <c r="N694" s="548"/>
      <c r="O694" s="548"/>
      <c r="P694" s="548"/>
      <c r="Q694" s="548"/>
      <c r="R694" s="548"/>
      <c r="S694" s="548"/>
      <c r="T694" s="548"/>
      <c r="U694" s="548"/>
      <c r="V694" s="548"/>
      <c r="W694" s="548"/>
      <c r="X694" s="548"/>
      <c r="Y694" s="548"/>
      <c r="Z694" s="548"/>
      <c r="AA694" s="548"/>
      <c r="AB694" s="548"/>
      <c r="AC694" s="548"/>
      <c r="AD694" s="548"/>
      <c r="AE694" s="548"/>
      <c r="AF694" s="548"/>
      <c r="AG694" s="549"/>
      <c r="AH694" s="518"/>
    </row>
    <row r="695">
      <c r="A695" s="546"/>
      <c r="B695" s="547"/>
      <c r="C695" s="547"/>
      <c r="D695" s="547"/>
      <c r="E695" s="547"/>
      <c r="F695" s="547"/>
      <c r="G695" s="547"/>
      <c r="H695" s="547"/>
      <c r="I695" s="547"/>
      <c r="J695" s="547"/>
      <c r="K695" s="547"/>
      <c r="L695" s="547"/>
      <c r="M695" s="547"/>
      <c r="N695" s="548"/>
      <c r="O695" s="548"/>
      <c r="P695" s="548"/>
      <c r="Q695" s="548"/>
      <c r="R695" s="548"/>
      <c r="S695" s="548"/>
      <c r="T695" s="548"/>
      <c r="U695" s="548"/>
      <c r="V695" s="548"/>
      <c r="W695" s="548"/>
      <c r="X695" s="548"/>
      <c r="Y695" s="548"/>
      <c r="Z695" s="548"/>
      <c r="AA695" s="548"/>
      <c r="AB695" s="548"/>
      <c r="AC695" s="548"/>
      <c r="AD695" s="548"/>
      <c r="AE695" s="548"/>
      <c r="AF695" s="548"/>
      <c r="AG695" s="549"/>
      <c r="AH695" s="518"/>
    </row>
    <row r="696">
      <c r="A696" s="546"/>
      <c r="B696" s="547"/>
      <c r="C696" s="547"/>
      <c r="D696" s="547"/>
      <c r="E696" s="547"/>
      <c r="F696" s="547"/>
      <c r="G696" s="547"/>
      <c r="H696" s="547"/>
      <c r="I696" s="547"/>
      <c r="J696" s="547"/>
      <c r="K696" s="547"/>
      <c r="L696" s="547"/>
      <c r="M696" s="547"/>
      <c r="N696" s="548"/>
      <c r="O696" s="548"/>
      <c r="P696" s="548"/>
      <c r="Q696" s="548"/>
      <c r="R696" s="548"/>
      <c r="S696" s="548"/>
      <c r="T696" s="548"/>
      <c r="U696" s="548"/>
      <c r="V696" s="548"/>
      <c r="W696" s="548"/>
      <c r="X696" s="548"/>
      <c r="Y696" s="548"/>
      <c r="Z696" s="548"/>
      <c r="AA696" s="548"/>
      <c r="AB696" s="548"/>
      <c r="AC696" s="548"/>
      <c r="AD696" s="548"/>
      <c r="AE696" s="548"/>
      <c r="AF696" s="548"/>
      <c r="AG696" s="549"/>
      <c r="AH696" s="518"/>
    </row>
    <row r="697">
      <c r="A697" s="546"/>
      <c r="B697" s="547"/>
      <c r="C697" s="547"/>
      <c r="D697" s="547"/>
      <c r="E697" s="547"/>
      <c r="F697" s="547"/>
      <c r="G697" s="547"/>
      <c r="H697" s="547"/>
      <c r="I697" s="547"/>
      <c r="J697" s="547"/>
      <c r="K697" s="547"/>
      <c r="L697" s="547"/>
      <c r="M697" s="547"/>
      <c r="N697" s="548"/>
      <c r="O697" s="548"/>
      <c r="P697" s="548"/>
      <c r="Q697" s="548"/>
      <c r="R697" s="548"/>
      <c r="S697" s="548"/>
      <c r="T697" s="548"/>
      <c r="U697" s="548"/>
      <c r="V697" s="548"/>
      <c r="W697" s="548"/>
      <c r="X697" s="548"/>
      <c r="Y697" s="548"/>
      <c r="Z697" s="548"/>
      <c r="AA697" s="548"/>
      <c r="AB697" s="548"/>
      <c r="AC697" s="548"/>
      <c r="AD697" s="548"/>
      <c r="AE697" s="548"/>
      <c r="AF697" s="548"/>
      <c r="AG697" s="549"/>
      <c r="AH697" s="518"/>
    </row>
    <row r="698">
      <c r="A698" s="546"/>
      <c r="B698" s="547"/>
      <c r="C698" s="547"/>
      <c r="D698" s="547"/>
      <c r="E698" s="547"/>
      <c r="F698" s="547"/>
      <c r="G698" s="547"/>
      <c r="H698" s="547"/>
      <c r="I698" s="547"/>
      <c r="J698" s="547"/>
      <c r="K698" s="547"/>
      <c r="L698" s="547"/>
      <c r="M698" s="547"/>
      <c r="N698" s="548"/>
      <c r="O698" s="548"/>
      <c r="P698" s="548"/>
      <c r="Q698" s="548"/>
      <c r="R698" s="548"/>
      <c r="S698" s="548"/>
      <c r="T698" s="548"/>
      <c r="U698" s="548"/>
      <c r="V698" s="548"/>
      <c r="W698" s="548"/>
      <c r="X698" s="548"/>
      <c r="Y698" s="548"/>
      <c r="Z698" s="548"/>
      <c r="AA698" s="548"/>
      <c r="AB698" s="548"/>
      <c r="AC698" s="548"/>
      <c r="AD698" s="548"/>
      <c r="AE698" s="548"/>
      <c r="AF698" s="548"/>
      <c r="AG698" s="549"/>
      <c r="AH698" s="518"/>
    </row>
    <row r="699">
      <c r="A699" s="546"/>
      <c r="B699" s="547"/>
      <c r="C699" s="547"/>
      <c r="D699" s="547"/>
      <c r="E699" s="547"/>
      <c r="F699" s="547"/>
      <c r="G699" s="547"/>
      <c r="H699" s="547"/>
      <c r="I699" s="547"/>
      <c r="J699" s="547"/>
      <c r="K699" s="547"/>
      <c r="L699" s="547"/>
      <c r="M699" s="547"/>
      <c r="N699" s="548"/>
      <c r="O699" s="548"/>
      <c r="P699" s="548"/>
      <c r="Q699" s="548"/>
      <c r="R699" s="548"/>
      <c r="S699" s="548"/>
      <c r="T699" s="548"/>
      <c r="U699" s="548"/>
      <c r="V699" s="548"/>
      <c r="W699" s="548"/>
      <c r="X699" s="548"/>
      <c r="Y699" s="548"/>
      <c r="Z699" s="548"/>
      <c r="AA699" s="548"/>
      <c r="AB699" s="548"/>
      <c r="AC699" s="548"/>
      <c r="AD699" s="548"/>
      <c r="AE699" s="548"/>
      <c r="AF699" s="548"/>
      <c r="AG699" s="549"/>
      <c r="AH699" s="518"/>
    </row>
    <row r="700">
      <c r="A700" s="546"/>
      <c r="B700" s="547"/>
      <c r="C700" s="547"/>
      <c r="D700" s="547"/>
      <c r="E700" s="547"/>
      <c r="F700" s="547"/>
      <c r="G700" s="547"/>
      <c r="H700" s="547"/>
      <c r="I700" s="547"/>
      <c r="J700" s="547"/>
      <c r="K700" s="547"/>
      <c r="L700" s="547"/>
      <c r="M700" s="547"/>
      <c r="N700" s="548"/>
      <c r="O700" s="548"/>
      <c r="P700" s="548"/>
      <c r="Q700" s="548"/>
      <c r="R700" s="548"/>
      <c r="S700" s="548"/>
      <c r="T700" s="548"/>
      <c r="U700" s="548"/>
      <c r="V700" s="548"/>
      <c r="W700" s="548"/>
      <c r="X700" s="548"/>
      <c r="Y700" s="548"/>
      <c r="Z700" s="548"/>
      <c r="AA700" s="548"/>
      <c r="AB700" s="548"/>
      <c r="AC700" s="548"/>
      <c r="AD700" s="548"/>
      <c r="AE700" s="548"/>
      <c r="AF700" s="548"/>
      <c r="AG700" s="549"/>
      <c r="AH700" s="518"/>
    </row>
    <row r="701">
      <c r="A701" s="546"/>
      <c r="B701" s="547"/>
      <c r="C701" s="547"/>
      <c r="D701" s="547"/>
      <c r="E701" s="547"/>
      <c r="F701" s="547"/>
      <c r="G701" s="547"/>
      <c r="H701" s="547"/>
      <c r="I701" s="547"/>
      <c r="J701" s="547"/>
      <c r="K701" s="547"/>
      <c r="L701" s="547"/>
      <c r="M701" s="547"/>
      <c r="N701" s="548"/>
      <c r="O701" s="548"/>
      <c r="P701" s="548"/>
      <c r="Q701" s="548"/>
      <c r="R701" s="548"/>
      <c r="S701" s="548"/>
      <c r="T701" s="548"/>
      <c r="U701" s="548"/>
      <c r="V701" s="548"/>
      <c r="W701" s="548"/>
      <c r="X701" s="548"/>
      <c r="Y701" s="548"/>
      <c r="Z701" s="548"/>
      <c r="AA701" s="548"/>
      <c r="AB701" s="548"/>
      <c r="AC701" s="548"/>
      <c r="AD701" s="548"/>
      <c r="AE701" s="548"/>
      <c r="AF701" s="548"/>
      <c r="AG701" s="549"/>
      <c r="AH701" s="518"/>
    </row>
    <row r="702">
      <c r="A702" s="546"/>
      <c r="B702" s="547"/>
      <c r="C702" s="547"/>
      <c r="D702" s="547"/>
      <c r="E702" s="547"/>
      <c r="F702" s="547"/>
      <c r="G702" s="547"/>
      <c r="H702" s="547"/>
      <c r="I702" s="547"/>
      <c r="J702" s="547"/>
      <c r="K702" s="547"/>
      <c r="L702" s="547"/>
      <c r="M702" s="547"/>
      <c r="N702" s="548"/>
      <c r="O702" s="548"/>
      <c r="P702" s="548"/>
      <c r="Q702" s="548"/>
      <c r="R702" s="548"/>
      <c r="S702" s="548"/>
      <c r="T702" s="548"/>
      <c r="U702" s="548"/>
      <c r="V702" s="548"/>
      <c r="W702" s="548"/>
      <c r="X702" s="548"/>
      <c r="Y702" s="548"/>
      <c r="Z702" s="548"/>
      <c r="AA702" s="548"/>
      <c r="AB702" s="548"/>
      <c r="AC702" s="548"/>
      <c r="AD702" s="548"/>
      <c r="AE702" s="548"/>
      <c r="AF702" s="548"/>
      <c r="AG702" s="549"/>
      <c r="AH702" s="518"/>
    </row>
    <row r="703">
      <c r="A703" s="546"/>
      <c r="B703" s="547"/>
      <c r="C703" s="547"/>
      <c r="D703" s="547"/>
      <c r="E703" s="547"/>
      <c r="F703" s="547"/>
      <c r="G703" s="547"/>
      <c r="H703" s="547"/>
      <c r="I703" s="547"/>
      <c r="J703" s="547"/>
      <c r="K703" s="547"/>
      <c r="L703" s="547"/>
      <c r="M703" s="547"/>
      <c r="N703" s="548"/>
      <c r="O703" s="548"/>
      <c r="P703" s="548"/>
      <c r="Q703" s="548"/>
      <c r="R703" s="548"/>
      <c r="S703" s="548"/>
      <c r="T703" s="548"/>
      <c r="U703" s="548"/>
      <c r="V703" s="548"/>
      <c r="W703" s="548"/>
      <c r="X703" s="548"/>
      <c r="Y703" s="548"/>
      <c r="Z703" s="548"/>
      <c r="AA703" s="548"/>
      <c r="AB703" s="548"/>
      <c r="AC703" s="548"/>
      <c r="AD703" s="548"/>
      <c r="AE703" s="548"/>
      <c r="AF703" s="548"/>
      <c r="AG703" s="549"/>
      <c r="AH703" s="518"/>
    </row>
    <row r="704">
      <c r="A704" s="546"/>
      <c r="B704" s="547"/>
      <c r="C704" s="547"/>
      <c r="D704" s="547"/>
      <c r="E704" s="547"/>
      <c r="F704" s="547"/>
      <c r="G704" s="547"/>
      <c r="H704" s="547"/>
      <c r="I704" s="547"/>
      <c r="J704" s="547"/>
      <c r="K704" s="547"/>
      <c r="L704" s="547"/>
      <c r="M704" s="547"/>
      <c r="N704" s="548"/>
      <c r="O704" s="548"/>
      <c r="P704" s="548"/>
      <c r="Q704" s="548"/>
      <c r="R704" s="548"/>
      <c r="S704" s="548"/>
      <c r="T704" s="548"/>
      <c r="U704" s="548"/>
      <c r="V704" s="548"/>
      <c r="W704" s="548"/>
      <c r="X704" s="548"/>
      <c r="Y704" s="548"/>
      <c r="Z704" s="548"/>
      <c r="AA704" s="548"/>
      <c r="AB704" s="548"/>
      <c r="AC704" s="548"/>
      <c r="AD704" s="548"/>
      <c r="AE704" s="548"/>
      <c r="AF704" s="548"/>
      <c r="AG704" s="549"/>
      <c r="AH704" s="518"/>
    </row>
    <row r="705">
      <c r="A705" s="546"/>
      <c r="B705" s="547"/>
      <c r="C705" s="547"/>
      <c r="D705" s="547"/>
      <c r="E705" s="547"/>
      <c r="F705" s="547"/>
      <c r="G705" s="547"/>
      <c r="H705" s="547"/>
      <c r="I705" s="547"/>
      <c r="J705" s="547"/>
      <c r="K705" s="547"/>
      <c r="L705" s="547"/>
      <c r="M705" s="547"/>
      <c r="N705" s="548"/>
      <c r="O705" s="548"/>
      <c r="P705" s="548"/>
      <c r="Q705" s="548"/>
      <c r="R705" s="548"/>
      <c r="S705" s="548"/>
      <c r="T705" s="548"/>
      <c r="U705" s="548"/>
      <c r="V705" s="548"/>
      <c r="W705" s="548"/>
      <c r="X705" s="548"/>
      <c r="Y705" s="548"/>
      <c r="Z705" s="548"/>
      <c r="AA705" s="548"/>
      <c r="AB705" s="548"/>
      <c r="AC705" s="548"/>
      <c r="AD705" s="548"/>
      <c r="AE705" s="548"/>
      <c r="AF705" s="548"/>
      <c r="AG705" s="549"/>
      <c r="AH705" s="518"/>
    </row>
    <row r="706">
      <c r="A706" s="546"/>
      <c r="B706" s="547"/>
      <c r="C706" s="547"/>
      <c r="D706" s="547"/>
      <c r="E706" s="547"/>
      <c r="F706" s="547"/>
      <c r="G706" s="547"/>
      <c r="H706" s="547"/>
      <c r="I706" s="547"/>
      <c r="J706" s="547"/>
      <c r="K706" s="547"/>
      <c r="L706" s="547"/>
      <c r="M706" s="547"/>
      <c r="N706" s="548"/>
      <c r="O706" s="548"/>
      <c r="P706" s="548"/>
      <c r="Q706" s="548"/>
      <c r="R706" s="548"/>
      <c r="S706" s="548"/>
      <c r="T706" s="548"/>
      <c r="U706" s="548"/>
      <c r="V706" s="548"/>
      <c r="W706" s="548"/>
      <c r="X706" s="548"/>
      <c r="Y706" s="548"/>
      <c r="Z706" s="548"/>
      <c r="AA706" s="548"/>
      <c r="AB706" s="548"/>
      <c r="AC706" s="548"/>
      <c r="AD706" s="548"/>
      <c r="AE706" s="548"/>
      <c r="AF706" s="548"/>
      <c r="AG706" s="549"/>
      <c r="AH706" s="518"/>
    </row>
    <row r="707">
      <c r="A707" s="546"/>
      <c r="B707" s="547"/>
      <c r="C707" s="547"/>
      <c r="D707" s="547"/>
      <c r="E707" s="547"/>
      <c r="F707" s="547"/>
      <c r="G707" s="547"/>
      <c r="H707" s="547"/>
      <c r="I707" s="547"/>
      <c r="J707" s="547"/>
      <c r="K707" s="547"/>
      <c r="L707" s="547"/>
      <c r="M707" s="547"/>
      <c r="N707" s="548"/>
      <c r="O707" s="548"/>
      <c r="P707" s="548"/>
      <c r="Q707" s="548"/>
      <c r="R707" s="548"/>
      <c r="S707" s="548"/>
      <c r="T707" s="548"/>
      <c r="U707" s="548"/>
      <c r="V707" s="548"/>
      <c r="W707" s="548"/>
      <c r="X707" s="548"/>
      <c r="Y707" s="548"/>
      <c r="Z707" s="548"/>
      <c r="AA707" s="548"/>
      <c r="AB707" s="548"/>
      <c r="AC707" s="548"/>
      <c r="AD707" s="548"/>
      <c r="AE707" s="548"/>
      <c r="AF707" s="548"/>
      <c r="AG707" s="549"/>
      <c r="AH707" s="518"/>
    </row>
    <row r="708">
      <c r="A708" s="546"/>
      <c r="B708" s="547"/>
      <c r="C708" s="547"/>
      <c r="D708" s="547"/>
      <c r="E708" s="547"/>
      <c r="F708" s="547"/>
      <c r="G708" s="547"/>
      <c r="H708" s="547"/>
      <c r="I708" s="547"/>
      <c r="J708" s="547"/>
      <c r="K708" s="547"/>
      <c r="L708" s="547"/>
      <c r="M708" s="547"/>
      <c r="N708" s="548"/>
      <c r="O708" s="548"/>
      <c r="P708" s="548"/>
      <c r="Q708" s="548"/>
      <c r="R708" s="548"/>
      <c r="S708" s="548"/>
      <c r="T708" s="548"/>
      <c r="U708" s="548"/>
      <c r="V708" s="548"/>
      <c r="W708" s="548"/>
      <c r="X708" s="548"/>
      <c r="Y708" s="548"/>
      <c r="Z708" s="548"/>
      <c r="AA708" s="548"/>
      <c r="AB708" s="548"/>
      <c r="AC708" s="548"/>
      <c r="AD708" s="548"/>
      <c r="AE708" s="548"/>
      <c r="AF708" s="548"/>
      <c r="AG708" s="549"/>
      <c r="AH708" s="518"/>
    </row>
    <row r="709">
      <c r="A709" s="546"/>
      <c r="B709" s="547"/>
      <c r="C709" s="547"/>
      <c r="D709" s="547"/>
      <c r="E709" s="547"/>
      <c r="F709" s="547"/>
      <c r="G709" s="547"/>
      <c r="H709" s="547"/>
      <c r="I709" s="547"/>
      <c r="J709" s="547"/>
      <c r="K709" s="547"/>
      <c r="L709" s="547"/>
      <c r="M709" s="547"/>
      <c r="N709" s="548"/>
      <c r="O709" s="548"/>
      <c r="P709" s="548"/>
      <c r="Q709" s="548"/>
      <c r="R709" s="548"/>
      <c r="S709" s="548"/>
      <c r="T709" s="548"/>
      <c r="U709" s="548"/>
      <c r="V709" s="548"/>
      <c r="W709" s="548"/>
      <c r="X709" s="548"/>
      <c r="Y709" s="548"/>
      <c r="Z709" s="548"/>
      <c r="AA709" s="548"/>
      <c r="AB709" s="548"/>
      <c r="AC709" s="548"/>
      <c r="AD709" s="548"/>
      <c r="AE709" s="548"/>
      <c r="AF709" s="548"/>
      <c r="AG709" s="549"/>
      <c r="AH709" s="518"/>
    </row>
    <row r="710">
      <c r="A710" s="546"/>
      <c r="B710" s="547"/>
      <c r="C710" s="547"/>
      <c r="D710" s="547"/>
      <c r="E710" s="547"/>
      <c r="F710" s="547"/>
      <c r="G710" s="547"/>
      <c r="H710" s="547"/>
      <c r="I710" s="547"/>
      <c r="J710" s="547"/>
      <c r="K710" s="547"/>
      <c r="L710" s="547"/>
      <c r="M710" s="547"/>
      <c r="N710" s="548"/>
      <c r="O710" s="548"/>
      <c r="P710" s="548"/>
      <c r="Q710" s="548"/>
      <c r="R710" s="548"/>
      <c r="S710" s="548"/>
      <c r="T710" s="548"/>
      <c r="U710" s="548"/>
      <c r="V710" s="548"/>
      <c r="W710" s="548"/>
      <c r="X710" s="548"/>
      <c r="Y710" s="548"/>
      <c r="Z710" s="548"/>
      <c r="AA710" s="548"/>
      <c r="AB710" s="548"/>
      <c r="AC710" s="548"/>
      <c r="AD710" s="548"/>
      <c r="AE710" s="548"/>
      <c r="AF710" s="548"/>
      <c r="AG710" s="549"/>
      <c r="AH710" s="518"/>
    </row>
    <row r="711">
      <c r="A711" s="546"/>
      <c r="B711" s="547"/>
      <c r="C711" s="547"/>
      <c r="D711" s="547"/>
      <c r="E711" s="547"/>
      <c r="F711" s="547"/>
      <c r="G711" s="547"/>
      <c r="H711" s="547"/>
      <c r="I711" s="547"/>
      <c r="J711" s="547"/>
      <c r="K711" s="547"/>
      <c r="L711" s="547"/>
      <c r="M711" s="547"/>
      <c r="N711" s="548"/>
      <c r="O711" s="548"/>
      <c r="P711" s="548"/>
      <c r="Q711" s="548"/>
      <c r="R711" s="548"/>
      <c r="S711" s="548"/>
      <c r="T711" s="548"/>
      <c r="U711" s="548"/>
      <c r="V711" s="548"/>
      <c r="W711" s="548"/>
      <c r="X711" s="548"/>
      <c r="Y711" s="548"/>
      <c r="Z711" s="548"/>
      <c r="AA711" s="548"/>
      <c r="AB711" s="548"/>
      <c r="AC711" s="548"/>
      <c r="AD711" s="548"/>
      <c r="AE711" s="548"/>
      <c r="AF711" s="548"/>
      <c r="AG711" s="549"/>
      <c r="AH711" s="518"/>
    </row>
    <row r="712">
      <c r="A712" s="546"/>
      <c r="B712" s="547"/>
      <c r="C712" s="547"/>
      <c r="D712" s="547"/>
      <c r="E712" s="547"/>
      <c r="F712" s="547"/>
      <c r="G712" s="547"/>
      <c r="H712" s="547"/>
      <c r="I712" s="547"/>
      <c r="J712" s="547"/>
      <c r="K712" s="547"/>
      <c r="L712" s="547"/>
      <c r="M712" s="547"/>
      <c r="N712" s="548"/>
      <c r="O712" s="548"/>
      <c r="P712" s="548"/>
      <c r="Q712" s="548"/>
      <c r="R712" s="548"/>
      <c r="S712" s="548"/>
      <c r="T712" s="548"/>
      <c r="U712" s="548"/>
      <c r="V712" s="548"/>
      <c r="W712" s="548"/>
      <c r="X712" s="548"/>
      <c r="Y712" s="548"/>
      <c r="Z712" s="548"/>
      <c r="AA712" s="548"/>
      <c r="AB712" s="548"/>
      <c r="AC712" s="548"/>
      <c r="AD712" s="548"/>
      <c r="AE712" s="548"/>
      <c r="AF712" s="548"/>
      <c r="AG712" s="549"/>
      <c r="AH712" s="518"/>
    </row>
    <row r="713">
      <c r="A713" s="546"/>
      <c r="B713" s="547"/>
      <c r="C713" s="547"/>
      <c r="D713" s="547"/>
      <c r="E713" s="547"/>
      <c r="F713" s="547"/>
      <c r="G713" s="547"/>
      <c r="H713" s="547"/>
      <c r="I713" s="547"/>
      <c r="J713" s="547"/>
      <c r="K713" s="547"/>
      <c r="L713" s="547"/>
      <c r="M713" s="547"/>
      <c r="N713" s="548"/>
      <c r="O713" s="548"/>
      <c r="P713" s="548"/>
      <c r="Q713" s="548"/>
      <c r="R713" s="548"/>
      <c r="S713" s="548"/>
      <c r="T713" s="548"/>
      <c r="U713" s="548"/>
      <c r="V713" s="548"/>
      <c r="W713" s="548"/>
      <c r="X713" s="548"/>
      <c r="Y713" s="548"/>
      <c r="Z713" s="548"/>
      <c r="AA713" s="548"/>
      <c r="AB713" s="548"/>
      <c r="AC713" s="548"/>
      <c r="AD713" s="548"/>
      <c r="AE713" s="548"/>
      <c r="AF713" s="548"/>
      <c r="AG713" s="549"/>
      <c r="AH713" s="518"/>
    </row>
    <row r="714">
      <c r="A714" s="546"/>
      <c r="B714" s="547"/>
      <c r="C714" s="547"/>
      <c r="D714" s="547"/>
      <c r="E714" s="547"/>
      <c r="F714" s="547"/>
      <c r="G714" s="547"/>
      <c r="H714" s="547"/>
      <c r="I714" s="547"/>
      <c r="J714" s="547"/>
      <c r="K714" s="547"/>
      <c r="L714" s="547"/>
      <c r="M714" s="547"/>
      <c r="N714" s="548"/>
      <c r="O714" s="548"/>
      <c r="P714" s="548"/>
      <c r="Q714" s="548"/>
      <c r="R714" s="548"/>
      <c r="S714" s="548"/>
      <c r="T714" s="548"/>
      <c r="U714" s="548"/>
      <c r="V714" s="548"/>
      <c r="W714" s="548"/>
      <c r="X714" s="548"/>
      <c r="Y714" s="548"/>
      <c r="Z714" s="548"/>
      <c r="AA714" s="548"/>
      <c r="AB714" s="548"/>
      <c r="AC714" s="548"/>
      <c r="AD714" s="548"/>
      <c r="AE714" s="548"/>
      <c r="AF714" s="548"/>
      <c r="AG714" s="549"/>
      <c r="AH714" s="518"/>
    </row>
    <row r="715">
      <c r="A715" s="546"/>
      <c r="B715" s="547"/>
      <c r="C715" s="547"/>
      <c r="D715" s="547"/>
      <c r="E715" s="547"/>
      <c r="F715" s="547"/>
      <c r="G715" s="547"/>
      <c r="H715" s="547"/>
      <c r="I715" s="547"/>
      <c r="J715" s="547"/>
      <c r="K715" s="547"/>
      <c r="L715" s="547"/>
      <c r="M715" s="547"/>
      <c r="N715" s="548"/>
      <c r="O715" s="548"/>
      <c r="P715" s="548"/>
      <c r="Q715" s="548"/>
      <c r="R715" s="548"/>
      <c r="S715" s="548"/>
      <c r="T715" s="548"/>
      <c r="U715" s="548"/>
      <c r="V715" s="548"/>
      <c r="W715" s="548"/>
      <c r="X715" s="548"/>
      <c r="Y715" s="548"/>
      <c r="Z715" s="548"/>
      <c r="AA715" s="548"/>
      <c r="AB715" s="548"/>
      <c r="AC715" s="548"/>
      <c r="AD715" s="548"/>
      <c r="AE715" s="548"/>
      <c r="AF715" s="548"/>
      <c r="AG715" s="549"/>
      <c r="AH715" s="518"/>
    </row>
    <row r="716">
      <c r="A716" s="546"/>
      <c r="B716" s="547"/>
      <c r="C716" s="547"/>
      <c r="D716" s="547"/>
      <c r="E716" s="547"/>
      <c r="F716" s="547"/>
      <c r="G716" s="547"/>
      <c r="H716" s="547"/>
      <c r="I716" s="547"/>
      <c r="J716" s="547"/>
      <c r="K716" s="547"/>
      <c r="L716" s="547"/>
      <c r="M716" s="547"/>
      <c r="N716" s="548"/>
      <c r="O716" s="548"/>
      <c r="P716" s="548"/>
      <c r="Q716" s="548"/>
      <c r="R716" s="548"/>
      <c r="S716" s="548"/>
      <c r="T716" s="548"/>
      <c r="U716" s="548"/>
      <c r="V716" s="548"/>
      <c r="W716" s="548"/>
      <c r="X716" s="548"/>
      <c r="Y716" s="548"/>
      <c r="Z716" s="548"/>
      <c r="AA716" s="548"/>
      <c r="AB716" s="548"/>
      <c r="AC716" s="548"/>
      <c r="AD716" s="548"/>
      <c r="AE716" s="548"/>
      <c r="AF716" s="548"/>
      <c r="AG716" s="549"/>
      <c r="AH716" s="518"/>
    </row>
    <row r="717">
      <c r="A717" s="546"/>
      <c r="B717" s="547"/>
      <c r="C717" s="547"/>
      <c r="D717" s="547"/>
      <c r="E717" s="547"/>
      <c r="F717" s="547"/>
      <c r="G717" s="547"/>
      <c r="H717" s="547"/>
      <c r="I717" s="547"/>
      <c r="J717" s="547"/>
      <c r="K717" s="547"/>
      <c r="L717" s="547"/>
      <c r="M717" s="547"/>
      <c r="N717" s="548"/>
      <c r="O717" s="548"/>
      <c r="P717" s="548"/>
      <c r="Q717" s="548"/>
      <c r="R717" s="548"/>
      <c r="S717" s="548"/>
      <c r="T717" s="548"/>
      <c r="U717" s="548"/>
      <c r="V717" s="548"/>
      <c r="W717" s="548"/>
      <c r="X717" s="548"/>
      <c r="Y717" s="548"/>
      <c r="Z717" s="548"/>
      <c r="AA717" s="548"/>
      <c r="AB717" s="548"/>
      <c r="AC717" s="548"/>
      <c r="AD717" s="548"/>
      <c r="AE717" s="548"/>
      <c r="AF717" s="548"/>
      <c r="AG717" s="549"/>
      <c r="AH717" s="518"/>
    </row>
    <row r="718">
      <c r="A718" s="546"/>
      <c r="B718" s="547"/>
      <c r="C718" s="547"/>
      <c r="D718" s="547"/>
      <c r="E718" s="547"/>
      <c r="F718" s="547"/>
      <c r="G718" s="547"/>
      <c r="H718" s="547"/>
      <c r="I718" s="547"/>
      <c r="J718" s="547"/>
      <c r="K718" s="547"/>
      <c r="L718" s="547"/>
      <c r="M718" s="547"/>
      <c r="N718" s="548"/>
      <c r="O718" s="548"/>
      <c r="P718" s="548"/>
      <c r="Q718" s="548"/>
      <c r="R718" s="548"/>
      <c r="S718" s="548"/>
      <c r="T718" s="548"/>
      <c r="U718" s="548"/>
      <c r="V718" s="548"/>
      <c r="W718" s="548"/>
      <c r="X718" s="548"/>
      <c r="Y718" s="548"/>
      <c r="Z718" s="548"/>
      <c r="AA718" s="548"/>
      <c r="AB718" s="548"/>
      <c r="AC718" s="548"/>
      <c r="AD718" s="548"/>
      <c r="AE718" s="548"/>
      <c r="AF718" s="548"/>
      <c r="AG718" s="549"/>
      <c r="AH718" s="518"/>
    </row>
    <row r="719">
      <c r="A719" s="546"/>
      <c r="B719" s="547"/>
      <c r="C719" s="547"/>
      <c r="D719" s="547"/>
      <c r="E719" s="547"/>
      <c r="F719" s="547"/>
      <c r="G719" s="547"/>
      <c r="H719" s="547"/>
      <c r="I719" s="547"/>
      <c r="J719" s="547"/>
      <c r="K719" s="547"/>
      <c r="L719" s="547"/>
      <c r="M719" s="547"/>
      <c r="N719" s="548"/>
      <c r="O719" s="548"/>
      <c r="P719" s="548"/>
      <c r="Q719" s="548"/>
      <c r="R719" s="548"/>
      <c r="S719" s="548"/>
      <c r="T719" s="548"/>
      <c r="U719" s="548"/>
      <c r="V719" s="548"/>
      <c r="W719" s="548"/>
      <c r="X719" s="548"/>
      <c r="Y719" s="548"/>
      <c r="Z719" s="548"/>
      <c r="AA719" s="548"/>
      <c r="AB719" s="548"/>
      <c r="AC719" s="548"/>
      <c r="AD719" s="548"/>
      <c r="AE719" s="548"/>
      <c r="AF719" s="548"/>
      <c r="AG719" s="549"/>
      <c r="AH719" s="518"/>
    </row>
    <row r="720">
      <c r="A720" s="546"/>
      <c r="B720" s="547"/>
      <c r="C720" s="547"/>
      <c r="D720" s="547"/>
      <c r="E720" s="547"/>
      <c r="F720" s="547"/>
      <c r="G720" s="547"/>
      <c r="H720" s="547"/>
      <c r="I720" s="547"/>
      <c r="J720" s="547"/>
      <c r="K720" s="547"/>
      <c r="L720" s="547"/>
      <c r="M720" s="547"/>
      <c r="N720" s="548"/>
      <c r="O720" s="548"/>
      <c r="P720" s="548"/>
      <c r="Q720" s="548"/>
      <c r="R720" s="548"/>
      <c r="S720" s="548"/>
      <c r="T720" s="548"/>
      <c r="U720" s="548"/>
      <c r="V720" s="548"/>
      <c r="W720" s="548"/>
      <c r="X720" s="548"/>
      <c r="Y720" s="548"/>
      <c r="Z720" s="548"/>
      <c r="AA720" s="548"/>
      <c r="AB720" s="548"/>
      <c r="AC720" s="548"/>
      <c r="AD720" s="548"/>
      <c r="AE720" s="548"/>
      <c r="AF720" s="548"/>
      <c r="AG720" s="549"/>
      <c r="AH720" s="518"/>
    </row>
    <row r="721">
      <c r="A721" s="546"/>
      <c r="B721" s="547"/>
      <c r="C721" s="547"/>
      <c r="D721" s="547"/>
      <c r="E721" s="547"/>
      <c r="F721" s="547"/>
      <c r="G721" s="547"/>
      <c r="H721" s="547"/>
      <c r="I721" s="547"/>
      <c r="J721" s="547"/>
      <c r="K721" s="547"/>
      <c r="L721" s="547"/>
      <c r="M721" s="547"/>
      <c r="N721" s="548"/>
      <c r="O721" s="548"/>
      <c r="P721" s="548"/>
      <c r="Q721" s="548"/>
      <c r="R721" s="548"/>
      <c r="S721" s="548"/>
      <c r="T721" s="548"/>
      <c r="U721" s="548"/>
      <c r="V721" s="548"/>
      <c r="W721" s="548"/>
      <c r="X721" s="548"/>
      <c r="Y721" s="548"/>
      <c r="Z721" s="548"/>
      <c r="AA721" s="548"/>
      <c r="AB721" s="548"/>
      <c r="AC721" s="548"/>
      <c r="AD721" s="548"/>
      <c r="AE721" s="548"/>
      <c r="AF721" s="548"/>
      <c r="AG721" s="549"/>
      <c r="AH721" s="518"/>
    </row>
    <row r="722">
      <c r="A722" s="546"/>
      <c r="B722" s="547"/>
      <c r="C722" s="547"/>
      <c r="D722" s="547"/>
      <c r="E722" s="547"/>
      <c r="F722" s="547"/>
      <c r="G722" s="547"/>
      <c r="H722" s="547"/>
      <c r="I722" s="547"/>
      <c r="J722" s="547"/>
      <c r="K722" s="547"/>
      <c r="L722" s="547"/>
      <c r="M722" s="547"/>
      <c r="N722" s="548"/>
      <c r="O722" s="548"/>
      <c r="P722" s="548"/>
      <c r="Q722" s="548"/>
      <c r="R722" s="548"/>
      <c r="S722" s="548"/>
      <c r="T722" s="548"/>
      <c r="U722" s="548"/>
      <c r="V722" s="548"/>
      <c r="W722" s="548"/>
      <c r="X722" s="548"/>
      <c r="Y722" s="548"/>
      <c r="Z722" s="548"/>
      <c r="AA722" s="548"/>
      <c r="AB722" s="548"/>
      <c r="AC722" s="548"/>
      <c r="AD722" s="548"/>
      <c r="AE722" s="548"/>
      <c r="AF722" s="548"/>
      <c r="AG722" s="549"/>
      <c r="AH722" s="518"/>
    </row>
    <row r="723">
      <c r="A723" s="546"/>
      <c r="B723" s="547"/>
      <c r="C723" s="547"/>
      <c r="D723" s="547"/>
      <c r="E723" s="547"/>
      <c r="F723" s="547"/>
      <c r="G723" s="547"/>
      <c r="H723" s="547"/>
      <c r="I723" s="547"/>
      <c r="J723" s="547"/>
      <c r="K723" s="547"/>
      <c r="L723" s="547"/>
      <c r="M723" s="547"/>
      <c r="N723" s="548"/>
      <c r="O723" s="548"/>
      <c r="P723" s="548"/>
      <c r="Q723" s="548"/>
      <c r="R723" s="548"/>
      <c r="S723" s="548"/>
      <c r="T723" s="548"/>
      <c r="U723" s="548"/>
      <c r="V723" s="548"/>
      <c r="W723" s="548"/>
      <c r="X723" s="548"/>
      <c r="Y723" s="548"/>
      <c r="Z723" s="548"/>
      <c r="AA723" s="548"/>
      <c r="AB723" s="548"/>
      <c r="AC723" s="548"/>
      <c r="AD723" s="548"/>
      <c r="AE723" s="548"/>
      <c r="AF723" s="548"/>
      <c r="AG723" s="549"/>
      <c r="AH723" s="518"/>
    </row>
    <row r="724">
      <c r="A724" s="546"/>
      <c r="B724" s="547"/>
      <c r="C724" s="547"/>
      <c r="D724" s="547"/>
      <c r="E724" s="547"/>
      <c r="F724" s="547"/>
      <c r="G724" s="547"/>
      <c r="H724" s="547"/>
      <c r="I724" s="547"/>
      <c r="J724" s="547"/>
      <c r="K724" s="547"/>
      <c r="L724" s="547"/>
      <c r="M724" s="547"/>
      <c r="N724" s="548"/>
      <c r="O724" s="548"/>
      <c r="P724" s="548"/>
      <c r="Q724" s="548"/>
      <c r="R724" s="548"/>
      <c r="S724" s="548"/>
      <c r="T724" s="548"/>
      <c r="U724" s="548"/>
      <c r="V724" s="548"/>
      <c r="W724" s="548"/>
      <c r="X724" s="548"/>
      <c r="Y724" s="548"/>
      <c r="Z724" s="548"/>
      <c r="AA724" s="548"/>
      <c r="AB724" s="548"/>
      <c r="AC724" s="548"/>
      <c r="AD724" s="548"/>
      <c r="AE724" s="548"/>
      <c r="AF724" s="548"/>
      <c r="AG724" s="549"/>
      <c r="AH724" s="518"/>
    </row>
    <row r="725">
      <c r="A725" s="546"/>
      <c r="B725" s="547"/>
      <c r="C725" s="547"/>
      <c r="D725" s="547"/>
      <c r="E725" s="547"/>
      <c r="F725" s="547"/>
      <c r="G725" s="547"/>
      <c r="H725" s="547"/>
      <c r="I725" s="547"/>
      <c r="J725" s="547"/>
      <c r="K725" s="547"/>
      <c r="L725" s="547"/>
      <c r="M725" s="547"/>
      <c r="N725" s="548"/>
      <c r="O725" s="548"/>
      <c r="P725" s="548"/>
      <c r="Q725" s="548"/>
      <c r="R725" s="548"/>
      <c r="S725" s="548"/>
      <c r="T725" s="548"/>
      <c r="U725" s="548"/>
      <c r="V725" s="548"/>
      <c r="W725" s="548"/>
      <c r="X725" s="548"/>
      <c r="Y725" s="548"/>
      <c r="Z725" s="548"/>
      <c r="AA725" s="548"/>
      <c r="AB725" s="548"/>
      <c r="AC725" s="548"/>
      <c r="AD725" s="548"/>
      <c r="AE725" s="548"/>
      <c r="AF725" s="548"/>
      <c r="AG725" s="549"/>
      <c r="AH725" s="518"/>
    </row>
    <row r="726">
      <c r="A726" s="546"/>
      <c r="B726" s="547"/>
      <c r="C726" s="547"/>
      <c r="D726" s="547"/>
      <c r="E726" s="547"/>
      <c r="F726" s="547"/>
      <c r="G726" s="547"/>
      <c r="H726" s="547"/>
      <c r="I726" s="547"/>
      <c r="J726" s="547"/>
      <c r="K726" s="547"/>
      <c r="L726" s="547"/>
      <c r="M726" s="547"/>
      <c r="N726" s="548"/>
      <c r="O726" s="548"/>
      <c r="P726" s="548"/>
      <c r="Q726" s="548"/>
      <c r="R726" s="548"/>
      <c r="S726" s="548"/>
      <c r="T726" s="548"/>
      <c r="U726" s="548"/>
      <c r="V726" s="548"/>
      <c r="W726" s="548"/>
      <c r="X726" s="548"/>
      <c r="Y726" s="548"/>
      <c r="Z726" s="548"/>
      <c r="AA726" s="548"/>
      <c r="AB726" s="548"/>
      <c r="AC726" s="548"/>
      <c r="AD726" s="548"/>
      <c r="AE726" s="548"/>
      <c r="AF726" s="548"/>
      <c r="AG726" s="549"/>
      <c r="AH726" s="518"/>
    </row>
    <row r="727">
      <c r="A727" s="546"/>
      <c r="B727" s="547"/>
      <c r="C727" s="547"/>
      <c r="D727" s="547"/>
      <c r="E727" s="547"/>
      <c r="F727" s="547"/>
      <c r="G727" s="547"/>
      <c r="H727" s="547"/>
      <c r="I727" s="547"/>
      <c r="J727" s="547"/>
      <c r="K727" s="547"/>
      <c r="L727" s="547"/>
      <c r="M727" s="547"/>
      <c r="N727" s="548"/>
      <c r="O727" s="548"/>
      <c r="P727" s="548"/>
      <c r="Q727" s="548"/>
      <c r="R727" s="548"/>
      <c r="S727" s="548"/>
      <c r="T727" s="548"/>
      <c r="U727" s="548"/>
      <c r="V727" s="548"/>
      <c r="W727" s="548"/>
      <c r="X727" s="548"/>
      <c r="Y727" s="548"/>
      <c r="Z727" s="548"/>
      <c r="AA727" s="548"/>
      <c r="AB727" s="548"/>
      <c r="AC727" s="548"/>
      <c r="AD727" s="548"/>
      <c r="AE727" s="548"/>
      <c r="AF727" s="548"/>
      <c r="AG727" s="549"/>
      <c r="AH727" s="518"/>
    </row>
    <row r="728">
      <c r="A728" s="546"/>
      <c r="B728" s="547"/>
      <c r="C728" s="547"/>
      <c r="D728" s="547"/>
      <c r="E728" s="547"/>
      <c r="F728" s="547"/>
      <c r="G728" s="547"/>
      <c r="H728" s="547"/>
      <c r="I728" s="547"/>
      <c r="J728" s="547"/>
      <c r="K728" s="547"/>
      <c r="L728" s="547"/>
      <c r="M728" s="547"/>
      <c r="N728" s="548"/>
      <c r="O728" s="548"/>
      <c r="P728" s="548"/>
      <c r="Q728" s="548"/>
      <c r="R728" s="548"/>
      <c r="S728" s="548"/>
      <c r="T728" s="548"/>
      <c r="U728" s="548"/>
      <c r="V728" s="548"/>
      <c r="W728" s="548"/>
      <c r="X728" s="548"/>
      <c r="Y728" s="548"/>
      <c r="Z728" s="548"/>
      <c r="AA728" s="548"/>
      <c r="AB728" s="548"/>
      <c r="AC728" s="548"/>
      <c r="AD728" s="548"/>
      <c r="AE728" s="548"/>
      <c r="AF728" s="548"/>
      <c r="AG728" s="549"/>
      <c r="AH728" s="518"/>
    </row>
    <row r="729">
      <c r="A729" s="546"/>
      <c r="B729" s="547"/>
      <c r="C729" s="547"/>
      <c r="D729" s="547"/>
      <c r="E729" s="547"/>
      <c r="F729" s="547"/>
      <c r="G729" s="547"/>
      <c r="H729" s="547"/>
      <c r="I729" s="547"/>
      <c r="J729" s="547"/>
      <c r="K729" s="547"/>
      <c r="L729" s="547"/>
      <c r="M729" s="547"/>
      <c r="N729" s="548"/>
      <c r="O729" s="548"/>
      <c r="P729" s="548"/>
      <c r="Q729" s="548"/>
      <c r="R729" s="548"/>
      <c r="S729" s="548"/>
      <c r="T729" s="548"/>
      <c r="U729" s="548"/>
      <c r="V729" s="548"/>
      <c r="W729" s="548"/>
      <c r="X729" s="548"/>
      <c r="Y729" s="548"/>
      <c r="Z729" s="548"/>
      <c r="AA729" s="548"/>
      <c r="AB729" s="548"/>
      <c r="AC729" s="548"/>
      <c r="AD729" s="548"/>
      <c r="AE729" s="548"/>
      <c r="AF729" s="548"/>
      <c r="AG729" s="549"/>
      <c r="AH729" s="518"/>
    </row>
    <row r="730">
      <c r="A730" s="546"/>
      <c r="B730" s="547"/>
      <c r="C730" s="547"/>
      <c r="D730" s="547"/>
      <c r="E730" s="547"/>
      <c r="F730" s="547"/>
      <c r="G730" s="547"/>
      <c r="H730" s="547"/>
      <c r="I730" s="547"/>
      <c r="J730" s="547"/>
      <c r="K730" s="547"/>
      <c r="L730" s="547"/>
      <c r="M730" s="547"/>
      <c r="N730" s="548"/>
      <c r="O730" s="548"/>
      <c r="P730" s="548"/>
      <c r="Q730" s="548"/>
      <c r="R730" s="548"/>
      <c r="S730" s="548"/>
      <c r="T730" s="548"/>
      <c r="U730" s="548"/>
      <c r="V730" s="548"/>
      <c r="W730" s="548"/>
      <c r="X730" s="548"/>
      <c r="Y730" s="548"/>
      <c r="Z730" s="548"/>
      <c r="AA730" s="548"/>
      <c r="AB730" s="548"/>
      <c r="AC730" s="548"/>
      <c r="AD730" s="548"/>
      <c r="AE730" s="548"/>
      <c r="AF730" s="548"/>
      <c r="AG730" s="549"/>
      <c r="AH730" s="518"/>
    </row>
    <row r="731">
      <c r="A731" s="546"/>
      <c r="B731" s="547"/>
      <c r="C731" s="547"/>
      <c r="D731" s="547"/>
      <c r="E731" s="547"/>
      <c r="F731" s="547"/>
      <c r="G731" s="547"/>
      <c r="H731" s="547"/>
      <c r="I731" s="547"/>
      <c r="J731" s="547"/>
      <c r="K731" s="547"/>
      <c r="L731" s="547"/>
      <c r="M731" s="547"/>
      <c r="N731" s="548"/>
      <c r="O731" s="548"/>
      <c r="P731" s="548"/>
      <c r="Q731" s="548"/>
      <c r="R731" s="548"/>
      <c r="S731" s="548"/>
      <c r="T731" s="548"/>
      <c r="U731" s="548"/>
      <c r="V731" s="548"/>
      <c r="W731" s="548"/>
      <c r="X731" s="548"/>
      <c r="Y731" s="548"/>
      <c r="Z731" s="548"/>
      <c r="AA731" s="548"/>
      <c r="AB731" s="548"/>
      <c r="AC731" s="548"/>
      <c r="AD731" s="548"/>
      <c r="AE731" s="548"/>
      <c r="AF731" s="548"/>
      <c r="AG731" s="549"/>
      <c r="AH731" s="518"/>
    </row>
    <row r="732">
      <c r="A732" s="546"/>
      <c r="B732" s="547"/>
      <c r="C732" s="547"/>
      <c r="D732" s="547"/>
      <c r="E732" s="547"/>
      <c r="F732" s="547"/>
      <c r="G732" s="547"/>
      <c r="H732" s="547"/>
      <c r="I732" s="547"/>
      <c r="J732" s="547"/>
      <c r="K732" s="547"/>
      <c r="L732" s="547"/>
      <c r="M732" s="547"/>
      <c r="N732" s="548"/>
      <c r="O732" s="548"/>
      <c r="P732" s="548"/>
      <c r="Q732" s="548"/>
      <c r="R732" s="548"/>
      <c r="S732" s="548"/>
      <c r="T732" s="548"/>
      <c r="U732" s="548"/>
      <c r="V732" s="548"/>
      <c r="W732" s="548"/>
      <c r="X732" s="548"/>
      <c r="Y732" s="548"/>
      <c r="Z732" s="548"/>
      <c r="AA732" s="548"/>
      <c r="AB732" s="548"/>
      <c r="AC732" s="548"/>
      <c r="AD732" s="548"/>
      <c r="AE732" s="548"/>
      <c r="AF732" s="548"/>
      <c r="AG732" s="549"/>
      <c r="AH732" s="518"/>
    </row>
    <row r="733">
      <c r="A733" s="546"/>
      <c r="B733" s="547"/>
      <c r="C733" s="547"/>
      <c r="D733" s="547"/>
      <c r="E733" s="547"/>
      <c r="F733" s="547"/>
      <c r="G733" s="547"/>
      <c r="H733" s="547"/>
      <c r="I733" s="547"/>
      <c r="J733" s="547"/>
      <c r="K733" s="547"/>
      <c r="L733" s="547"/>
      <c r="M733" s="547"/>
      <c r="N733" s="548"/>
      <c r="O733" s="548"/>
      <c r="P733" s="548"/>
      <c r="Q733" s="548"/>
      <c r="R733" s="548"/>
      <c r="S733" s="548"/>
      <c r="T733" s="548"/>
      <c r="U733" s="548"/>
      <c r="V733" s="548"/>
      <c r="W733" s="548"/>
      <c r="X733" s="548"/>
      <c r="Y733" s="548"/>
      <c r="Z733" s="548"/>
      <c r="AA733" s="548"/>
      <c r="AB733" s="548"/>
      <c r="AC733" s="548"/>
      <c r="AD733" s="548"/>
      <c r="AE733" s="548"/>
      <c r="AF733" s="548"/>
      <c r="AG733" s="549"/>
      <c r="AH733" s="518"/>
    </row>
    <row r="734">
      <c r="A734" s="546"/>
      <c r="B734" s="547"/>
      <c r="C734" s="547"/>
      <c r="D734" s="547"/>
      <c r="E734" s="547"/>
      <c r="F734" s="547"/>
      <c r="G734" s="547"/>
      <c r="H734" s="547"/>
      <c r="I734" s="547"/>
      <c r="J734" s="547"/>
      <c r="K734" s="547"/>
      <c r="L734" s="547"/>
      <c r="M734" s="547"/>
      <c r="N734" s="548"/>
      <c r="O734" s="548"/>
      <c r="P734" s="548"/>
      <c r="Q734" s="548"/>
      <c r="R734" s="548"/>
      <c r="S734" s="548"/>
      <c r="T734" s="548"/>
      <c r="U734" s="548"/>
      <c r="V734" s="548"/>
      <c r="W734" s="548"/>
      <c r="X734" s="548"/>
      <c r="Y734" s="548"/>
      <c r="Z734" s="548"/>
      <c r="AA734" s="548"/>
      <c r="AB734" s="548"/>
      <c r="AC734" s="548"/>
      <c r="AD734" s="548"/>
      <c r="AE734" s="548"/>
      <c r="AF734" s="548"/>
      <c r="AG734" s="549"/>
      <c r="AH734" s="518"/>
    </row>
    <row r="735">
      <c r="A735" s="546"/>
      <c r="B735" s="547"/>
      <c r="C735" s="547"/>
      <c r="D735" s="547"/>
      <c r="E735" s="547"/>
      <c r="F735" s="547"/>
      <c r="G735" s="547"/>
      <c r="H735" s="547"/>
      <c r="I735" s="547"/>
      <c r="J735" s="547"/>
      <c r="K735" s="547"/>
      <c r="L735" s="547"/>
      <c r="M735" s="547"/>
      <c r="N735" s="548"/>
      <c r="O735" s="548"/>
      <c r="P735" s="548"/>
      <c r="Q735" s="548"/>
      <c r="R735" s="548"/>
      <c r="S735" s="548"/>
      <c r="T735" s="548"/>
      <c r="U735" s="548"/>
      <c r="V735" s="548"/>
      <c r="W735" s="548"/>
      <c r="X735" s="548"/>
      <c r="Y735" s="548"/>
      <c r="Z735" s="548"/>
      <c r="AA735" s="548"/>
      <c r="AB735" s="548"/>
      <c r="AC735" s="548"/>
      <c r="AD735" s="548"/>
      <c r="AE735" s="548"/>
      <c r="AF735" s="548"/>
      <c r="AG735" s="549"/>
      <c r="AH735" s="518"/>
    </row>
    <row r="736">
      <c r="A736" s="546"/>
      <c r="B736" s="547"/>
      <c r="C736" s="547"/>
      <c r="D736" s="547"/>
      <c r="E736" s="547"/>
      <c r="F736" s="547"/>
      <c r="G736" s="547"/>
      <c r="H736" s="547"/>
      <c r="I736" s="547"/>
      <c r="J736" s="547"/>
      <c r="K736" s="547"/>
      <c r="L736" s="547"/>
      <c r="M736" s="547"/>
      <c r="N736" s="548"/>
      <c r="O736" s="548"/>
      <c r="P736" s="548"/>
      <c r="Q736" s="548"/>
      <c r="R736" s="548"/>
      <c r="S736" s="548"/>
      <c r="T736" s="548"/>
      <c r="U736" s="548"/>
      <c r="V736" s="548"/>
      <c r="W736" s="548"/>
      <c r="X736" s="548"/>
      <c r="Y736" s="548"/>
      <c r="Z736" s="548"/>
      <c r="AA736" s="548"/>
      <c r="AB736" s="548"/>
      <c r="AC736" s="548"/>
      <c r="AD736" s="548"/>
      <c r="AE736" s="548"/>
      <c r="AF736" s="548"/>
      <c r="AG736" s="549"/>
      <c r="AH736" s="518"/>
    </row>
    <row r="737">
      <c r="A737" s="546"/>
      <c r="B737" s="547"/>
      <c r="C737" s="547"/>
      <c r="D737" s="547"/>
      <c r="E737" s="547"/>
      <c r="F737" s="547"/>
      <c r="G737" s="547"/>
      <c r="H737" s="547"/>
      <c r="I737" s="547"/>
      <c r="J737" s="547"/>
      <c r="K737" s="547"/>
      <c r="L737" s="547"/>
      <c r="M737" s="547"/>
      <c r="N737" s="548"/>
      <c r="O737" s="548"/>
      <c r="P737" s="548"/>
      <c r="Q737" s="548"/>
      <c r="R737" s="548"/>
      <c r="S737" s="548"/>
      <c r="T737" s="548"/>
      <c r="U737" s="548"/>
      <c r="V737" s="548"/>
      <c r="W737" s="548"/>
      <c r="X737" s="548"/>
      <c r="Y737" s="548"/>
      <c r="Z737" s="548"/>
      <c r="AA737" s="548"/>
      <c r="AB737" s="548"/>
      <c r="AC737" s="548"/>
      <c r="AD737" s="548"/>
      <c r="AE737" s="548"/>
      <c r="AF737" s="548"/>
      <c r="AG737" s="549"/>
      <c r="AH737" s="518"/>
    </row>
    <row r="738">
      <c r="A738" s="546"/>
      <c r="B738" s="547"/>
      <c r="C738" s="547"/>
      <c r="D738" s="547"/>
      <c r="E738" s="547"/>
      <c r="F738" s="547"/>
      <c r="G738" s="547"/>
      <c r="H738" s="547"/>
      <c r="I738" s="547"/>
      <c r="J738" s="547"/>
      <c r="K738" s="547"/>
      <c r="L738" s="547"/>
      <c r="M738" s="547"/>
      <c r="N738" s="548"/>
      <c r="O738" s="548"/>
      <c r="P738" s="548"/>
      <c r="Q738" s="548"/>
      <c r="R738" s="548"/>
      <c r="S738" s="548"/>
      <c r="T738" s="548"/>
      <c r="U738" s="548"/>
      <c r="V738" s="548"/>
      <c r="W738" s="548"/>
      <c r="X738" s="548"/>
      <c r="Y738" s="548"/>
      <c r="Z738" s="548"/>
      <c r="AA738" s="548"/>
      <c r="AB738" s="548"/>
      <c r="AC738" s="548"/>
      <c r="AD738" s="548"/>
      <c r="AE738" s="548"/>
      <c r="AF738" s="548"/>
      <c r="AG738" s="549"/>
      <c r="AH738" s="518"/>
    </row>
    <row r="739">
      <c r="A739" s="546"/>
      <c r="B739" s="547"/>
      <c r="C739" s="547"/>
      <c r="D739" s="547"/>
      <c r="E739" s="547"/>
      <c r="F739" s="547"/>
      <c r="G739" s="547"/>
      <c r="H739" s="547"/>
      <c r="I739" s="547"/>
      <c r="J739" s="547"/>
      <c r="K739" s="547"/>
      <c r="L739" s="547"/>
      <c r="M739" s="547"/>
      <c r="N739" s="548"/>
      <c r="O739" s="548"/>
      <c r="P739" s="548"/>
      <c r="Q739" s="548"/>
      <c r="R739" s="548"/>
      <c r="S739" s="548"/>
      <c r="T739" s="548"/>
      <c r="U739" s="548"/>
      <c r="V739" s="548"/>
      <c r="W739" s="548"/>
      <c r="X739" s="548"/>
      <c r="Y739" s="548"/>
      <c r="Z739" s="548"/>
      <c r="AA739" s="548"/>
      <c r="AB739" s="548"/>
      <c r="AC739" s="548"/>
      <c r="AD739" s="548"/>
      <c r="AE739" s="548"/>
      <c r="AF739" s="548"/>
      <c r="AG739" s="549"/>
      <c r="AH739" s="518"/>
    </row>
    <row r="740">
      <c r="A740" s="546"/>
      <c r="B740" s="547"/>
      <c r="C740" s="547"/>
      <c r="D740" s="547"/>
      <c r="E740" s="547"/>
      <c r="F740" s="547"/>
      <c r="G740" s="547"/>
      <c r="H740" s="547"/>
      <c r="I740" s="547"/>
      <c r="J740" s="547"/>
      <c r="K740" s="547"/>
      <c r="L740" s="547"/>
      <c r="M740" s="547"/>
      <c r="N740" s="548"/>
      <c r="O740" s="548"/>
      <c r="P740" s="548"/>
      <c r="Q740" s="548"/>
      <c r="R740" s="548"/>
      <c r="S740" s="548"/>
      <c r="T740" s="548"/>
      <c r="U740" s="548"/>
      <c r="V740" s="548"/>
      <c r="W740" s="548"/>
      <c r="X740" s="548"/>
      <c r="Y740" s="548"/>
      <c r="Z740" s="548"/>
      <c r="AA740" s="548"/>
      <c r="AB740" s="548"/>
      <c r="AC740" s="548"/>
      <c r="AD740" s="548"/>
      <c r="AE740" s="548"/>
      <c r="AF740" s="548"/>
      <c r="AG740" s="549"/>
      <c r="AH740" s="518"/>
    </row>
    <row r="741">
      <c r="A741" s="546"/>
      <c r="B741" s="547"/>
      <c r="C741" s="547"/>
      <c r="D741" s="547"/>
      <c r="E741" s="547"/>
      <c r="F741" s="547"/>
      <c r="G741" s="547"/>
      <c r="H741" s="547"/>
      <c r="I741" s="547"/>
      <c r="J741" s="547"/>
      <c r="K741" s="547"/>
      <c r="L741" s="547"/>
      <c r="M741" s="547"/>
      <c r="N741" s="548"/>
      <c r="O741" s="548"/>
      <c r="P741" s="548"/>
      <c r="Q741" s="548"/>
      <c r="R741" s="548"/>
      <c r="S741" s="548"/>
      <c r="T741" s="548"/>
      <c r="U741" s="548"/>
      <c r="V741" s="548"/>
      <c r="W741" s="548"/>
      <c r="X741" s="548"/>
      <c r="Y741" s="548"/>
      <c r="Z741" s="548"/>
      <c r="AA741" s="548"/>
      <c r="AB741" s="548"/>
      <c r="AC741" s="548"/>
      <c r="AD741" s="548"/>
      <c r="AE741" s="548"/>
      <c r="AF741" s="548"/>
      <c r="AG741" s="549"/>
      <c r="AH741" s="518"/>
    </row>
    <row r="742">
      <c r="A742" s="546"/>
      <c r="B742" s="547"/>
      <c r="C742" s="547"/>
      <c r="D742" s="547"/>
      <c r="E742" s="547"/>
      <c r="F742" s="547"/>
      <c r="G742" s="547"/>
      <c r="H742" s="547"/>
      <c r="I742" s="547"/>
      <c r="J742" s="547"/>
      <c r="K742" s="547"/>
      <c r="L742" s="547"/>
      <c r="M742" s="547"/>
      <c r="N742" s="548"/>
      <c r="O742" s="548"/>
      <c r="P742" s="548"/>
      <c r="Q742" s="548"/>
      <c r="R742" s="548"/>
      <c r="S742" s="548"/>
      <c r="T742" s="548"/>
      <c r="U742" s="548"/>
      <c r="V742" s="548"/>
      <c r="W742" s="548"/>
      <c r="X742" s="548"/>
      <c r="Y742" s="548"/>
      <c r="Z742" s="548"/>
      <c r="AA742" s="548"/>
      <c r="AB742" s="548"/>
      <c r="AC742" s="548"/>
      <c r="AD742" s="548"/>
      <c r="AE742" s="548"/>
      <c r="AF742" s="548"/>
      <c r="AG742" s="549"/>
      <c r="AH742" s="518"/>
    </row>
    <row r="743">
      <c r="A743" s="546"/>
      <c r="B743" s="547"/>
      <c r="C743" s="547"/>
      <c r="D743" s="547"/>
      <c r="E743" s="547"/>
      <c r="F743" s="547"/>
      <c r="G743" s="547"/>
      <c r="H743" s="547"/>
      <c r="I743" s="547"/>
      <c r="J743" s="547"/>
      <c r="K743" s="547"/>
      <c r="L743" s="547"/>
      <c r="M743" s="547"/>
      <c r="N743" s="548"/>
      <c r="O743" s="548"/>
      <c r="P743" s="548"/>
      <c r="Q743" s="548"/>
      <c r="R743" s="548"/>
      <c r="S743" s="548"/>
      <c r="T743" s="548"/>
      <c r="U743" s="548"/>
      <c r="V743" s="548"/>
      <c r="W743" s="548"/>
      <c r="X743" s="548"/>
      <c r="Y743" s="548"/>
      <c r="Z743" s="548"/>
      <c r="AA743" s="548"/>
      <c r="AB743" s="548"/>
      <c r="AC743" s="548"/>
      <c r="AD743" s="548"/>
      <c r="AE743" s="548"/>
      <c r="AF743" s="548"/>
      <c r="AG743" s="549"/>
      <c r="AH743" s="518"/>
    </row>
    <row r="744">
      <c r="A744" s="546"/>
      <c r="B744" s="547"/>
      <c r="C744" s="547"/>
      <c r="D744" s="547"/>
      <c r="E744" s="547"/>
      <c r="F744" s="547"/>
      <c r="G744" s="547"/>
      <c r="H744" s="547"/>
      <c r="I744" s="547"/>
      <c r="J744" s="547"/>
      <c r="K744" s="547"/>
      <c r="L744" s="547"/>
      <c r="M744" s="547"/>
      <c r="N744" s="548"/>
      <c r="O744" s="548"/>
      <c r="P744" s="548"/>
      <c r="Q744" s="548"/>
      <c r="R744" s="548"/>
      <c r="S744" s="548"/>
      <c r="T744" s="548"/>
      <c r="U744" s="548"/>
      <c r="V744" s="548"/>
      <c r="W744" s="548"/>
      <c r="X744" s="548"/>
      <c r="Y744" s="548"/>
      <c r="Z744" s="548"/>
      <c r="AA744" s="548"/>
      <c r="AB744" s="548"/>
      <c r="AC744" s="548"/>
      <c r="AD744" s="548"/>
      <c r="AE744" s="548"/>
      <c r="AF744" s="548"/>
      <c r="AG744" s="549"/>
      <c r="AH744" s="518"/>
    </row>
    <row r="745">
      <c r="A745" s="546"/>
      <c r="B745" s="547"/>
      <c r="C745" s="547"/>
      <c r="D745" s="547"/>
      <c r="E745" s="547"/>
      <c r="F745" s="547"/>
      <c r="G745" s="547"/>
      <c r="H745" s="547"/>
      <c r="I745" s="547"/>
      <c r="J745" s="547"/>
      <c r="K745" s="547"/>
      <c r="L745" s="547"/>
      <c r="M745" s="547"/>
      <c r="N745" s="548"/>
      <c r="O745" s="548"/>
      <c r="P745" s="548"/>
      <c r="Q745" s="548"/>
      <c r="R745" s="548"/>
      <c r="S745" s="548"/>
      <c r="T745" s="548"/>
      <c r="U745" s="548"/>
      <c r="V745" s="548"/>
      <c r="W745" s="548"/>
      <c r="X745" s="548"/>
      <c r="Y745" s="548"/>
      <c r="Z745" s="548"/>
      <c r="AA745" s="548"/>
      <c r="AB745" s="548"/>
      <c r="AC745" s="548"/>
      <c r="AD745" s="548"/>
      <c r="AE745" s="548"/>
      <c r="AF745" s="548"/>
      <c r="AG745" s="549"/>
      <c r="AH745" s="518"/>
    </row>
    <row r="746">
      <c r="A746" s="546"/>
      <c r="B746" s="547"/>
      <c r="C746" s="547"/>
      <c r="D746" s="547"/>
      <c r="E746" s="547"/>
      <c r="F746" s="547"/>
      <c r="G746" s="547"/>
      <c r="H746" s="547"/>
      <c r="I746" s="547"/>
      <c r="J746" s="547"/>
      <c r="K746" s="547"/>
      <c r="L746" s="547"/>
      <c r="M746" s="547"/>
      <c r="N746" s="548"/>
      <c r="O746" s="548"/>
      <c r="P746" s="548"/>
      <c r="Q746" s="548"/>
      <c r="R746" s="548"/>
      <c r="S746" s="548"/>
      <c r="T746" s="548"/>
      <c r="U746" s="548"/>
      <c r="V746" s="548"/>
      <c r="W746" s="548"/>
      <c r="X746" s="548"/>
      <c r="Y746" s="548"/>
      <c r="Z746" s="548"/>
      <c r="AA746" s="548"/>
      <c r="AB746" s="548"/>
      <c r="AC746" s="548"/>
      <c r="AD746" s="548"/>
      <c r="AE746" s="548"/>
      <c r="AF746" s="548"/>
      <c r="AG746" s="549"/>
      <c r="AH746" s="518"/>
    </row>
    <row r="747">
      <c r="A747" s="546"/>
      <c r="B747" s="547"/>
      <c r="C747" s="547"/>
      <c r="D747" s="547"/>
      <c r="E747" s="547"/>
      <c r="F747" s="547"/>
      <c r="G747" s="547"/>
      <c r="H747" s="547"/>
      <c r="I747" s="547"/>
      <c r="J747" s="547"/>
      <c r="K747" s="547"/>
      <c r="L747" s="547"/>
      <c r="M747" s="547"/>
      <c r="N747" s="548"/>
      <c r="O747" s="548"/>
      <c r="P747" s="548"/>
      <c r="Q747" s="548"/>
      <c r="R747" s="548"/>
      <c r="S747" s="548"/>
      <c r="T747" s="548"/>
      <c r="U747" s="548"/>
      <c r="V747" s="548"/>
      <c r="W747" s="548"/>
      <c r="X747" s="548"/>
      <c r="Y747" s="548"/>
      <c r="Z747" s="548"/>
      <c r="AA747" s="548"/>
      <c r="AB747" s="548"/>
      <c r="AC747" s="548"/>
      <c r="AD747" s="548"/>
      <c r="AE747" s="548"/>
      <c r="AF747" s="548"/>
      <c r="AG747" s="549"/>
      <c r="AH747" s="518"/>
    </row>
    <row r="748">
      <c r="A748" s="546"/>
      <c r="B748" s="547"/>
      <c r="C748" s="547"/>
      <c r="D748" s="547"/>
      <c r="E748" s="547"/>
      <c r="F748" s="547"/>
      <c r="G748" s="547"/>
      <c r="H748" s="547"/>
      <c r="I748" s="547"/>
      <c r="J748" s="547"/>
      <c r="K748" s="547"/>
      <c r="L748" s="547"/>
      <c r="M748" s="547"/>
      <c r="N748" s="548"/>
      <c r="O748" s="548"/>
      <c r="P748" s="548"/>
      <c r="Q748" s="548"/>
      <c r="R748" s="548"/>
      <c r="S748" s="548"/>
      <c r="T748" s="548"/>
      <c r="U748" s="548"/>
      <c r="V748" s="548"/>
      <c r="W748" s="548"/>
      <c r="X748" s="548"/>
      <c r="Y748" s="548"/>
      <c r="Z748" s="548"/>
      <c r="AA748" s="548"/>
      <c r="AB748" s="548"/>
      <c r="AC748" s="548"/>
      <c r="AD748" s="548"/>
      <c r="AE748" s="548"/>
      <c r="AF748" s="548"/>
      <c r="AG748" s="549"/>
      <c r="AH748" s="518"/>
    </row>
    <row r="749">
      <c r="A749" s="546"/>
      <c r="B749" s="547"/>
      <c r="C749" s="547"/>
      <c r="D749" s="547"/>
      <c r="E749" s="547"/>
      <c r="F749" s="547"/>
      <c r="G749" s="547"/>
      <c r="H749" s="547"/>
      <c r="I749" s="547"/>
      <c r="J749" s="547"/>
      <c r="K749" s="547"/>
      <c r="L749" s="547"/>
      <c r="M749" s="547"/>
      <c r="N749" s="548"/>
      <c r="O749" s="548"/>
      <c r="P749" s="548"/>
      <c r="Q749" s="548"/>
      <c r="R749" s="548"/>
      <c r="S749" s="548"/>
      <c r="T749" s="548"/>
      <c r="U749" s="548"/>
      <c r="V749" s="548"/>
      <c r="W749" s="548"/>
      <c r="X749" s="548"/>
      <c r="Y749" s="548"/>
      <c r="Z749" s="548"/>
      <c r="AA749" s="548"/>
      <c r="AB749" s="548"/>
      <c r="AC749" s="548"/>
      <c r="AD749" s="548"/>
      <c r="AE749" s="548"/>
      <c r="AF749" s="548"/>
      <c r="AG749" s="549"/>
      <c r="AH749" s="518"/>
    </row>
    <row r="750">
      <c r="A750" s="546"/>
      <c r="B750" s="547"/>
      <c r="C750" s="547"/>
      <c r="D750" s="547"/>
      <c r="E750" s="547"/>
      <c r="F750" s="547"/>
      <c r="G750" s="547"/>
      <c r="H750" s="547"/>
      <c r="I750" s="547"/>
      <c r="J750" s="547"/>
      <c r="K750" s="547"/>
      <c r="L750" s="547"/>
      <c r="M750" s="547"/>
      <c r="N750" s="548"/>
      <c r="O750" s="548"/>
      <c r="P750" s="548"/>
      <c r="Q750" s="548"/>
      <c r="R750" s="548"/>
      <c r="S750" s="548"/>
      <c r="T750" s="548"/>
      <c r="U750" s="548"/>
      <c r="V750" s="548"/>
      <c r="W750" s="548"/>
      <c r="X750" s="548"/>
      <c r="Y750" s="548"/>
      <c r="Z750" s="548"/>
      <c r="AA750" s="548"/>
      <c r="AB750" s="548"/>
      <c r="AC750" s="548"/>
      <c r="AD750" s="548"/>
      <c r="AE750" s="548"/>
      <c r="AF750" s="548"/>
      <c r="AG750" s="549"/>
      <c r="AH750" s="518"/>
    </row>
    <row r="751">
      <c r="A751" s="546"/>
      <c r="B751" s="547"/>
      <c r="C751" s="547"/>
      <c r="D751" s="547"/>
      <c r="E751" s="547"/>
      <c r="F751" s="547"/>
      <c r="G751" s="547"/>
      <c r="H751" s="547"/>
      <c r="I751" s="547"/>
      <c r="J751" s="547"/>
      <c r="K751" s="547"/>
      <c r="L751" s="547"/>
      <c r="M751" s="547"/>
      <c r="N751" s="548"/>
      <c r="O751" s="548"/>
      <c r="P751" s="548"/>
      <c r="Q751" s="548"/>
      <c r="R751" s="548"/>
      <c r="S751" s="548"/>
      <c r="T751" s="548"/>
      <c r="U751" s="548"/>
      <c r="V751" s="548"/>
      <c r="W751" s="548"/>
      <c r="X751" s="548"/>
      <c r="Y751" s="548"/>
      <c r="Z751" s="548"/>
      <c r="AA751" s="548"/>
      <c r="AB751" s="548"/>
      <c r="AC751" s="548"/>
      <c r="AD751" s="548"/>
      <c r="AE751" s="548"/>
      <c r="AF751" s="548"/>
      <c r="AG751" s="549"/>
      <c r="AH751" s="518"/>
    </row>
    <row r="752">
      <c r="A752" s="546"/>
      <c r="B752" s="547"/>
      <c r="C752" s="547"/>
      <c r="D752" s="547"/>
      <c r="E752" s="547"/>
      <c r="F752" s="547"/>
      <c r="G752" s="547"/>
      <c r="H752" s="547"/>
      <c r="I752" s="547"/>
      <c r="J752" s="547"/>
      <c r="K752" s="547"/>
      <c r="L752" s="547"/>
      <c r="M752" s="547"/>
      <c r="N752" s="548"/>
      <c r="O752" s="548"/>
      <c r="P752" s="548"/>
      <c r="Q752" s="548"/>
      <c r="R752" s="548"/>
      <c r="S752" s="548"/>
      <c r="T752" s="548"/>
      <c r="U752" s="548"/>
      <c r="V752" s="548"/>
      <c r="W752" s="548"/>
      <c r="X752" s="548"/>
      <c r="Y752" s="548"/>
      <c r="Z752" s="548"/>
      <c r="AA752" s="548"/>
      <c r="AB752" s="548"/>
      <c r="AC752" s="548"/>
      <c r="AD752" s="548"/>
      <c r="AE752" s="548"/>
      <c r="AF752" s="548"/>
      <c r="AG752" s="549"/>
      <c r="AH752" s="518"/>
    </row>
    <row r="753">
      <c r="A753" s="546"/>
      <c r="B753" s="547"/>
      <c r="C753" s="547"/>
      <c r="D753" s="547"/>
      <c r="E753" s="547"/>
      <c r="F753" s="547"/>
      <c r="G753" s="547"/>
      <c r="H753" s="547"/>
      <c r="I753" s="547"/>
      <c r="J753" s="547"/>
      <c r="K753" s="547"/>
      <c r="L753" s="547"/>
      <c r="M753" s="547"/>
      <c r="N753" s="548"/>
      <c r="O753" s="548"/>
      <c r="P753" s="548"/>
      <c r="Q753" s="548"/>
      <c r="R753" s="548"/>
      <c r="S753" s="548"/>
      <c r="T753" s="548"/>
      <c r="U753" s="548"/>
      <c r="V753" s="548"/>
      <c r="W753" s="548"/>
      <c r="X753" s="548"/>
      <c r="Y753" s="548"/>
      <c r="Z753" s="548"/>
      <c r="AA753" s="548"/>
      <c r="AB753" s="548"/>
      <c r="AC753" s="548"/>
      <c r="AD753" s="548"/>
      <c r="AE753" s="548"/>
      <c r="AF753" s="548"/>
      <c r="AG753" s="549"/>
      <c r="AH753" s="518"/>
    </row>
    <row r="754">
      <c r="A754" s="546"/>
      <c r="B754" s="547"/>
      <c r="C754" s="547"/>
      <c r="D754" s="547"/>
      <c r="E754" s="547"/>
      <c r="F754" s="547"/>
      <c r="G754" s="547"/>
      <c r="H754" s="547"/>
      <c r="I754" s="547"/>
      <c r="J754" s="547"/>
      <c r="K754" s="547"/>
      <c r="L754" s="547"/>
      <c r="M754" s="547"/>
      <c r="N754" s="548"/>
      <c r="O754" s="548"/>
      <c r="P754" s="548"/>
      <c r="Q754" s="548"/>
      <c r="R754" s="548"/>
      <c r="S754" s="548"/>
      <c r="T754" s="548"/>
      <c r="U754" s="548"/>
      <c r="V754" s="548"/>
      <c r="W754" s="548"/>
      <c r="X754" s="548"/>
      <c r="Y754" s="548"/>
      <c r="Z754" s="548"/>
      <c r="AA754" s="548"/>
      <c r="AB754" s="548"/>
      <c r="AC754" s="548"/>
      <c r="AD754" s="548"/>
      <c r="AE754" s="548"/>
      <c r="AF754" s="548"/>
      <c r="AG754" s="549"/>
      <c r="AH754" s="518"/>
    </row>
    <row r="755">
      <c r="A755" s="546"/>
      <c r="B755" s="547"/>
      <c r="C755" s="547"/>
      <c r="D755" s="547"/>
      <c r="E755" s="547"/>
      <c r="F755" s="547"/>
      <c r="G755" s="547"/>
      <c r="H755" s="547"/>
      <c r="I755" s="547"/>
      <c r="J755" s="547"/>
      <c r="K755" s="547"/>
      <c r="L755" s="547"/>
      <c r="M755" s="547"/>
      <c r="N755" s="548"/>
      <c r="O755" s="548"/>
      <c r="P755" s="548"/>
      <c r="Q755" s="548"/>
      <c r="R755" s="548"/>
      <c r="S755" s="548"/>
      <c r="T755" s="548"/>
      <c r="U755" s="548"/>
      <c r="V755" s="548"/>
      <c r="W755" s="548"/>
      <c r="X755" s="548"/>
      <c r="Y755" s="548"/>
      <c r="Z755" s="548"/>
      <c r="AA755" s="548"/>
      <c r="AB755" s="548"/>
      <c r="AC755" s="548"/>
      <c r="AD755" s="548"/>
      <c r="AE755" s="548"/>
      <c r="AF755" s="548"/>
      <c r="AG755" s="549"/>
      <c r="AH755" s="518"/>
    </row>
    <row r="756">
      <c r="A756" s="546"/>
      <c r="B756" s="547"/>
      <c r="C756" s="547"/>
      <c r="D756" s="547"/>
      <c r="E756" s="547"/>
      <c r="F756" s="547"/>
      <c r="G756" s="547"/>
      <c r="H756" s="547"/>
      <c r="I756" s="547"/>
      <c r="J756" s="547"/>
      <c r="K756" s="547"/>
      <c r="L756" s="547"/>
      <c r="M756" s="547"/>
      <c r="N756" s="548"/>
      <c r="O756" s="548"/>
      <c r="P756" s="548"/>
      <c r="Q756" s="548"/>
      <c r="R756" s="548"/>
      <c r="S756" s="548"/>
      <c r="T756" s="548"/>
      <c r="U756" s="548"/>
      <c r="V756" s="548"/>
      <c r="W756" s="548"/>
      <c r="X756" s="548"/>
      <c r="Y756" s="548"/>
      <c r="Z756" s="548"/>
      <c r="AA756" s="548"/>
      <c r="AB756" s="548"/>
      <c r="AC756" s="548"/>
      <c r="AD756" s="548"/>
      <c r="AE756" s="548"/>
      <c r="AF756" s="548"/>
      <c r="AG756" s="549"/>
      <c r="AH756" s="518"/>
    </row>
    <row r="757">
      <c r="A757" s="546"/>
      <c r="B757" s="547"/>
      <c r="C757" s="547"/>
      <c r="D757" s="547"/>
      <c r="E757" s="547"/>
      <c r="F757" s="547"/>
      <c r="G757" s="547"/>
      <c r="H757" s="547"/>
      <c r="I757" s="547"/>
      <c r="J757" s="547"/>
      <c r="K757" s="547"/>
      <c r="L757" s="547"/>
      <c r="M757" s="547"/>
      <c r="N757" s="548"/>
      <c r="O757" s="548"/>
      <c r="P757" s="548"/>
      <c r="Q757" s="548"/>
      <c r="R757" s="548"/>
      <c r="S757" s="548"/>
      <c r="T757" s="548"/>
      <c r="U757" s="548"/>
      <c r="V757" s="548"/>
      <c r="W757" s="548"/>
      <c r="X757" s="548"/>
      <c r="Y757" s="548"/>
      <c r="Z757" s="548"/>
      <c r="AA757" s="548"/>
      <c r="AB757" s="548"/>
      <c r="AC757" s="548"/>
      <c r="AD757" s="548"/>
      <c r="AE757" s="548"/>
      <c r="AF757" s="548"/>
      <c r="AG757" s="549"/>
      <c r="AH757" s="518"/>
    </row>
    <row r="758">
      <c r="A758" s="546"/>
      <c r="B758" s="547"/>
      <c r="C758" s="547"/>
      <c r="D758" s="547"/>
      <c r="E758" s="547"/>
      <c r="F758" s="547"/>
      <c r="G758" s="547"/>
      <c r="H758" s="547"/>
      <c r="I758" s="547"/>
      <c r="J758" s="547"/>
      <c r="K758" s="547"/>
      <c r="L758" s="547"/>
      <c r="M758" s="547"/>
      <c r="N758" s="548"/>
      <c r="O758" s="548"/>
      <c r="P758" s="548"/>
      <c r="Q758" s="548"/>
      <c r="R758" s="548"/>
      <c r="S758" s="548"/>
      <c r="T758" s="548"/>
      <c r="U758" s="548"/>
      <c r="V758" s="548"/>
      <c r="W758" s="548"/>
      <c r="X758" s="548"/>
      <c r="Y758" s="548"/>
      <c r="Z758" s="548"/>
      <c r="AA758" s="548"/>
      <c r="AB758" s="548"/>
      <c r="AC758" s="548"/>
      <c r="AD758" s="548"/>
      <c r="AE758" s="548"/>
      <c r="AF758" s="548"/>
      <c r="AG758" s="549"/>
      <c r="AH758" s="518"/>
    </row>
    <row r="759">
      <c r="A759" s="546"/>
      <c r="B759" s="547"/>
      <c r="C759" s="547"/>
      <c r="D759" s="547"/>
      <c r="E759" s="547"/>
      <c r="F759" s="547"/>
      <c r="G759" s="547"/>
      <c r="H759" s="547"/>
      <c r="I759" s="547"/>
      <c r="J759" s="547"/>
      <c r="K759" s="547"/>
      <c r="L759" s="547"/>
      <c r="M759" s="547"/>
      <c r="N759" s="548"/>
      <c r="O759" s="548"/>
      <c r="P759" s="548"/>
      <c r="Q759" s="548"/>
      <c r="R759" s="548"/>
      <c r="S759" s="548"/>
      <c r="T759" s="548"/>
      <c r="U759" s="548"/>
      <c r="V759" s="548"/>
      <c r="W759" s="548"/>
      <c r="X759" s="548"/>
      <c r="Y759" s="548"/>
      <c r="Z759" s="548"/>
      <c r="AA759" s="548"/>
      <c r="AB759" s="548"/>
      <c r="AC759" s="548"/>
      <c r="AD759" s="548"/>
      <c r="AE759" s="548"/>
      <c r="AF759" s="548"/>
      <c r="AG759" s="549"/>
      <c r="AH759" s="518"/>
    </row>
    <row r="760">
      <c r="A760" s="546"/>
      <c r="B760" s="547"/>
      <c r="C760" s="547"/>
      <c r="D760" s="547"/>
      <c r="E760" s="547"/>
      <c r="F760" s="547"/>
      <c r="G760" s="547"/>
      <c r="H760" s="547"/>
      <c r="I760" s="547"/>
      <c r="J760" s="547"/>
      <c r="K760" s="547"/>
      <c r="L760" s="547"/>
      <c r="M760" s="547"/>
      <c r="N760" s="548"/>
      <c r="O760" s="548"/>
      <c r="P760" s="548"/>
      <c r="Q760" s="548"/>
      <c r="R760" s="548"/>
      <c r="S760" s="548"/>
      <c r="T760" s="548"/>
      <c r="U760" s="548"/>
      <c r="V760" s="548"/>
      <c r="W760" s="548"/>
      <c r="X760" s="548"/>
      <c r="Y760" s="548"/>
      <c r="Z760" s="548"/>
      <c r="AA760" s="548"/>
      <c r="AB760" s="548"/>
      <c r="AC760" s="548"/>
      <c r="AD760" s="548"/>
      <c r="AE760" s="548"/>
      <c r="AF760" s="548"/>
      <c r="AG760" s="549"/>
      <c r="AH760" s="518"/>
    </row>
    <row r="761">
      <c r="A761" s="546"/>
      <c r="B761" s="547"/>
      <c r="C761" s="547"/>
      <c r="D761" s="547"/>
      <c r="E761" s="547"/>
      <c r="F761" s="547"/>
      <c r="G761" s="547"/>
      <c r="H761" s="547"/>
      <c r="I761" s="547"/>
      <c r="J761" s="547"/>
      <c r="K761" s="547"/>
      <c r="L761" s="547"/>
      <c r="M761" s="547"/>
      <c r="N761" s="548"/>
      <c r="O761" s="548"/>
      <c r="P761" s="548"/>
      <c r="Q761" s="548"/>
      <c r="R761" s="548"/>
      <c r="S761" s="548"/>
      <c r="T761" s="548"/>
      <c r="U761" s="548"/>
      <c r="V761" s="548"/>
      <c r="W761" s="548"/>
      <c r="X761" s="548"/>
      <c r="Y761" s="548"/>
      <c r="Z761" s="548"/>
      <c r="AA761" s="548"/>
      <c r="AB761" s="548"/>
      <c r="AC761" s="548"/>
      <c r="AD761" s="548"/>
      <c r="AE761" s="548"/>
      <c r="AF761" s="548"/>
      <c r="AG761" s="549"/>
      <c r="AH761" s="518"/>
    </row>
    <row r="762">
      <c r="A762" s="546"/>
      <c r="B762" s="547"/>
      <c r="C762" s="547"/>
      <c r="D762" s="547"/>
      <c r="E762" s="547"/>
      <c r="F762" s="547"/>
      <c r="G762" s="547"/>
      <c r="H762" s="547"/>
      <c r="I762" s="547"/>
      <c r="J762" s="547"/>
      <c r="K762" s="547"/>
      <c r="L762" s="547"/>
      <c r="M762" s="547"/>
      <c r="N762" s="548"/>
      <c r="O762" s="548"/>
      <c r="P762" s="548"/>
      <c r="Q762" s="548"/>
      <c r="R762" s="548"/>
      <c r="S762" s="548"/>
      <c r="T762" s="548"/>
      <c r="U762" s="548"/>
      <c r="V762" s="548"/>
      <c r="W762" s="548"/>
      <c r="X762" s="548"/>
      <c r="Y762" s="548"/>
      <c r="Z762" s="548"/>
      <c r="AA762" s="548"/>
      <c r="AB762" s="548"/>
      <c r="AC762" s="548"/>
      <c r="AD762" s="548"/>
      <c r="AE762" s="548"/>
      <c r="AF762" s="548"/>
      <c r="AG762" s="549"/>
      <c r="AH762" s="518"/>
    </row>
    <row r="763">
      <c r="A763" s="546"/>
      <c r="B763" s="547"/>
      <c r="C763" s="547"/>
      <c r="D763" s="547"/>
      <c r="E763" s="547"/>
      <c r="F763" s="547"/>
      <c r="G763" s="547"/>
      <c r="H763" s="547"/>
      <c r="I763" s="547"/>
      <c r="J763" s="547"/>
      <c r="K763" s="547"/>
      <c r="L763" s="547"/>
      <c r="M763" s="547"/>
      <c r="N763" s="548"/>
      <c r="O763" s="548"/>
      <c r="P763" s="548"/>
      <c r="Q763" s="548"/>
      <c r="R763" s="548"/>
      <c r="S763" s="548"/>
      <c r="T763" s="548"/>
      <c r="U763" s="548"/>
      <c r="V763" s="548"/>
      <c r="W763" s="548"/>
      <c r="X763" s="548"/>
      <c r="Y763" s="548"/>
      <c r="Z763" s="548"/>
      <c r="AA763" s="548"/>
      <c r="AB763" s="548"/>
      <c r="AC763" s="548"/>
      <c r="AD763" s="548"/>
      <c r="AE763" s="548"/>
      <c r="AF763" s="548"/>
      <c r="AG763" s="549"/>
      <c r="AH763" s="518"/>
    </row>
    <row r="764">
      <c r="A764" s="546"/>
      <c r="B764" s="547"/>
      <c r="C764" s="547"/>
      <c r="D764" s="547"/>
      <c r="E764" s="547"/>
      <c r="F764" s="547"/>
      <c r="G764" s="547"/>
      <c r="H764" s="547"/>
      <c r="I764" s="547"/>
      <c r="J764" s="547"/>
      <c r="K764" s="547"/>
      <c r="L764" s="547"/>
      <c r="M764" s="547"/>
      <c r="N764" s="548"/>
      <c r="O764" s="548"/>
      <c r="P764" s="548"/>
      <c r="Q764" s="548"/>
      <c r="R764" s="548"/>
      <c r="S764" s="548"/>
      <c r="T764" s="548"/>
      <c r="U764" s="548"/>
      <c r="V764" s="548"/>
      <c r="W764" s="548"/>
      <c r="X764" s="548"/>
      <c r="Y764" s="548"/>
      <c r="Z764" s="548"/>
      <c r="AA764" s="548"/>
      <c r="AB764" s="548"/>
      <c r="AC764" s="548"/>
      <c r="AD764" s="548"/>
      <c r="AE764" s="548"/>
      <c r="AF764" s="548"/>
      <c r="AG764" s="549"/>
      <c r="AH764" s="518"/>
    </row>
    <row r="765">
      <c r="A765" s="546"/>
      <c r="B765" s="547"/>
      <c r="C765" s="547"/>
      <c r="D765" s="547"/>
      <c r="E765" s="547"/>
      <c r="F765" s="547"/>
      <c r="G765" s="547"/>
      <c r="H765" s="547"/>
      <c r="I765" s="547"/>
      <c r="J765" s="547"/>
      <c r="K765" s="547"/>
      <c r="L765" s="547"/>
      <c r="M765" s="547"/>
      <c r="N765" s="548"/>
      <c r="O765" s="548"/>
      <c r="P765" s="548"/>
      <c r="Q765" s="548"/>
      <c r="R765" s="548"/>
      <c r="S765" s="548"/>
      <c r="T765" s="548"/>
      <c r="U765" s="548"/>
      <c r="V765" s="548"/>
      <c r="W765" s="548"/>
      <c r="X765" s="548"/>
      <c r="Y765" s="548"/>
      <c r="Z765" s="548"/>
      <c r="AA765" s="548"/>
      <c r="AB765" s="548"/>
      <c r="AC765" s="548"/>
      <c r="AD765" s="548"/>
      <c r="AE765" s="548"/>
      <c r="AF765" s="548"/>
      <c r="AG765" s="549"/>
      <c r="AH765" s="518"/>
    </row>
    <row r="766">
      <c r="A766" s="546"/>
      <c r="B766" s="547"/>
      <c r="C766" s="547"/>
      <c r="D766" s="547"/>
      <c r="E766" s="547"/>
      <c r="F766" s="547"/>
      <c r="G766" s="547"/>
      <c r="H766" s="547"/>
      <c r="I766" s="547"/>
      <c r="J766" s="547"/>
      <c r="K766" s="547"/>
      <c r="L766" s="547"/>
      <c r="M766" s="547"/>
      <c r="N766" s="548"/>
      <c r="O766" s="548"/>
      <c r="P766" s="548"/>
      <c r="Q766" s="548"/>
      <c r="R766" s="548"/>
      <c r="S766" s="548"/>
      <c r="T766" s="548"/>
      <c r="U766" s="548"/>
      <c r="V766" s="548"/>
      <c r="W766" s="548"/>
      <c r="X766" s="548"/>
      <c r="Y766" s="548"/>
      <c r="Z766" s="548"/>
      <c r="AA766" s="548"/>
      <c r="AB766" s="548"/>
      <c r="AC766" s="548"/>
      <c r="AD766" s="548"/>
      <c r="AE766" s="548"/>
      <c r="AF766" s="548"/>
      <c r="AG766" s="549"/>
      <c r="AH766" s="518"/>
    </row>
    <row r="767">
      <c r="A767" s="546"/>
      <c r="B767" s="547"/>
      <c r="C767" s="547"/>
      <c r="D767" s="547"/>
      <c r="E767" s="547"/>
      <c r="F767" s="547"/>
      <c r="G767" s="547"/>
      <c r="H767" s="547"/>
      <c r="I767" s="547"/>
      <c r="J767" s="547"/>
      <c r="K767" s="547"/>
      <c r="L767" s="547"/>
      <c r="M767" s="547"/>
      <c r="N767" s="548"/>
      <c r="O767" s="548"/>
      <c r="P767" s="548"/>
      <c r="Q767" s="548"/>
      <c r="R767" s="548"/>
      <c r="S767" s="548"/>
      <c r="T767" s="548"/>
      <c r="U767" s="548"/>
      <c r="V767" s="548"/>
      <c r="W767" s="548"/>
      <c r="X767" s="548"/>
      <c r="Y767" s="548"/>
      <c r="Z767" s="548"/>
      <c r="AA767" s="548"/>
      <c r="AB767" s="548"/>
      <c r="AC767" s="548"/>
      <c r="AD767" s="548"/>
      <c r="AE767" s="548"/>
      <c r="AF767" s="548"/>
      <c r="AG767" s="549"/>
      <c r="AH767" s="518"/>
    </row>
    <row r="768">
      <c r="A768" s="546"/>
      <c r="B768" s="547"/>
      <c r="C768" s="547"/>
      <c r="D768" s="547"/>
      <c r="E768" s="547"/>
      <c r="F768" s="547"/>
      <c r="G768" s="547"/>
      <c r="H768" s="547"/>
      <c r="I768" s="547"/>
      <c r="J768" s="547"/>
      <c r="K768" s="547"/>
      <c r="L768" s="547"/>
      <c r="M768" s="547"/>
      <c r="N768" s="548"/>
      <c r="O768" s="548"/>
      <c r="P768" s="548"/>
      <c r="Q768" s="548"/>
      <c r="R768" s="548"/>
      <c r="S768" s="548"/>
      <c r="T768" s="548"/>
      <c r="U768" s="548"/>
      <c r="V768" s="548"/>
      <c r="W768" s="548"/>
      <c r="X768" s="548"/>
      <c r="Y768" s="548"/>
      <c r="Z768" s="548"/>
      <c r="AA768" s="548"/>
      <c r="AB768" s="548"/>
      <c r="AC768" s="548"/>
      <c r="AD768" s="548"/>
      <c r="AE768" s="548"/>
      <c r="AF768" s="548"/>
      <c r="AG768" s="549"/>
      <c r="AH768" s="518"/>
    </row>
    <row r="769">
      <c r="A769" s="546"/>
      <c r="B769" s="547"/>
      <c r="C769" s="547"/>
      <c r="D769" s="547"/>
      <c r="E769" s="547"/>
      <c r="F769" s="547"/>
      <c r="G769" s="547"/>
      <c r="H769" s="547"/>
      <c r="I769" s="547"/>
      <c r="J769" s="547"/>
      <c r="K769" s="547"/>
      <c r="L769" s="547"/>
      <c r="M769" s="547"/>
      <c r="N769" s="548"/>
      <c r="O769" s="548"/>
      <c r="P769" s="548"/>
      <c r="Q769" s="548"/>
      <c r="R769" s="548"/>
      <c r="S769" s="548"/>
      <c r="T769" s="548"/>
      <c r="U769" s="548"/>
      <c r="V769" s="548"/>
      <c r="W769" s="548"/>
      <c r="X769" s="548"/>
      <c r="Y769" s="548"/>
      <c r="Z769" s="548"/>
      <c r="AA769" s="548"/>
      <c r="AB769" s="548"/>
      <c r="AC769" s="548"/>
      <c r="AD769" s="548"/>
      <c r="AE769" s="548"/>
      <c r="AF769" s="548"/>
      <c r="AG769" s="549"/>
      <c r="AH769" s="518"/>
    </row>
    <row r="770">
      <c r="A770" s="546"/>
      <c r="B770" s="547"/>
      <c r="C770" s="547"/>
      <c r="D770" s="547"/>
      <c r="E770" s="547"/>
      <c r="F770" s="547"/>
      <c r="G770" s="547"/>
      <c r="H770" s="547"/>
      <c r="I770" s="547"/>
      <c r="J770" s="547"/>
      <c r="K770" s="547"/>
      <c r="L770" s="547"/>
      <c r="M770" s="547"/>
      <c r="N770" s="548"/>
      <c r="O770" s="548"/>
      <c r="P770" s="548"/>
      <c r="Q770" s="548"/>
      <c r="R770" s="548"/>
      <c r="S770" s="548"/>
      <c r="T770" s="548"/>
      <c r="U770" s="548"/>
      <c r="V770" s="548"/>
      <c r="W770" s="548"/>
      <c r="X770" s="548"/>
      <c r="Y770" s="548"/>
      <c r="Z770" s="548"/>
      <c r="AA770" s="548"/>
      <c r="AB770" s="548"/>
      <c r="AC770" s="548"/>
      <c r="AD770" s="548"/>
      <c r="AE770" s="548"/>
      <c r="AF770" s="548"/>
      <c r="AG770" s="549"/>
      <c r="AH770" s="518"/>
    </row>
    <row r="771">
      <c r="A771" s="546"/>
      <c r="B771" s="547"/>
      <c r="C771" s="547"/>
      <c r="D771" s="547"/>
      <c r="E771" s="547"/>
      <c r="F771" s="547"/>
      <c r="G771" s="547"/>
      <c r="H771" s="547"/>
      <c r="I771" s="547"/>
      <c r="J771" s="547"/>
      <c r="K771" s="547"/>
      <c r="L771" s="547"/>
      <c r="M771" s="547"/>
      <c r="N771" s="548"/>
      <c r="O771" s="548"/>
      <c r="P771" s="548"/>
      <c r="Q771" s="548"/>
      <c r="R771" s="548"/>
      <c r="S771" s="548"/>
      <c r="T771" s="548"/>
      <c r="U771" s="548"/>
      <c r="V771" s="548"/>
      <c r="W771" s="548"/>
      <c r="X771" s="548"/>
      <c r="Y771" s="548"/>
      <c r="Z771" s="548"/>
      <c r="AA771" s="548"/>
      <c r="AB771" s="548"/>
      <c r="AC771" s="548"/>
      <c r="AD771" s="548"/>
      <c r="AE771" s="548"/>
      <c r="AF771" s="548"/>
      <c r="AG771" s="549"/>
      <c r="AH771" s="518"/>
    </row>
    <row r="772">
      <c r="A772" s="546"/>
      <c r="B772" s="547"/>
      <c r="C772" s="547"/>
      <c r="D772" s="547"/>
      <c r="E772" s="547"/>
      <c r="F772" s="547"/>
      <c r="G772" s="547"/>
      <c r="H772" s="547"/>
      <c r="I772" s="547"/>
      <c r="J772" s="547"/>
      <c r="K772" s="547"/>
      <c r="L772" s="547"/>
      <c r="M772" s="547"/>
      <c r="N772" s="548"/>
      <c r="O772" s="548"/>
      <c r="P772" s="548"/>
      <c r="Q772" s="548"/>
      <c r="R772" s="548"/>
      <c r="S772" s="548"/>
      <c r="T772" s="548"/>
      <c r="U772" s="548"/>
      <c r="V772" s="548"/>
      <c r="W772" s="548"/>
      <c r="X772" s="548"/>
      <c r="Y772" s="548"/>
      <c r="Z772" s="548"/>
      <c r="AA772" s="548"/>
      <c r="AB772" s="548"/>
      <c r="AC772" s="548"/>
      <c r="AD772" s="548"/>
      <c r="AE772" s="548"/>
      <c r="AF772" s="548"/>
      <c r="AG772" s="549"/>
      <c r="AH772" s="518"/>
    </row>
    <row r="773">
      <c r="A773" s="546"/>
      <c r="B773" s="547"/>
      <c r="C773" s="547"/>
      <c r="D773" s="547"/>
      <c r="E773" s="547"/>
      <c r="F773" s="547"/>
      <c r="G773" s="547"/>
      <c r="H773" s="547"/>
      <c r="I773" s="547"/>
      <c r="J773" s="547"/>
      <c r="K773" s="547"/>
      <c r="L773" s="547"/>
      <c r="M773" s="547"/>
      <c r="N773" s="548"/>
      <c r="O773" s="548"/>
      <c r="P773" s="548"/>
      <c r="Q773" s="548"/>
      <c r="R773" s="548"/>
      <c r="S773" s="548"/>
      <c r="T773" s="548"/>
      <c r="U773" s="548"/>
      <c r="V773" s="548"/>
      <c r="W773" s="548"/>
      <c r="X773" s="548"/>
      <c r="Y773" s="548"/>
      <c r="Z773" s="548"/>
      <c r="AA773" s="548"/>
      <c r="AB773" s="548"/>
      <c r="AC773" s="548"/>
      <c r="AD773" s="548"/>
      <c r="AE773" s="548"/>
      <c r="AF773" s="548"/>
      <c r="AG773" s="549"/>
      <c r="AH773" s="518"/>
    </row>
    <row r="774">
      <c r="A774" s="546"/>
      <c r="B774" s="547"/>
      <c r="C774" s="547"/>
      <c r="D774" s="547"/>
      <c r="E774" s="547"/>
      <c r="F774" s="547"/>
      <c r="G774" s="547"/>
      <c r="H774" s="547"/>
      <c r="I774" s="547"/>
      <c r="J774" s="547"/>
      <c r="K774" s="547"/>
      <c r="L774" s="547"/>
      <c r="M774" s="547"/>
      <c r="N774" s="548"/>
      <c r="O774" s="548"/>
      <c r="P774" s="548"/>
      <c r="Q774" s="548"/>
      <c r="R774" s="548"/>
      <c r="S774" s="548"/>
      <c r="T774" s="548"/>
      <c r="U774" s="548"/>
      <c r="V774" s="548"/>
      <c r="W774" s="548"/>
      <c r="X774" s="548"/>
      <c r="Y774" s="548"/>
      <c r="Z774" s="548"/>
      <c r="AA774" s="548"/>
      <c r="AB774" s="548"/>
      <c r="AC774" s="548"/>
      <c r="AD774" s="548"/>
      <c r="AE774" s="548"/>
      <c r="AF774" s="548"/>
      <c r="AG774" s="549"/>
      <c r="AH774" s="518"/>
    </row>
    <row r="775">
      <c r="A775" s="546"/>
      <c r="B775" s="547"/>
      <c r="C775" s="547"/>
      <c r="D775" s="547"/>
      <c r="E775" s="547"/>
      <c r="F775" s="547"/>
      <c r="G775" s="547"/>
      <c r="H775" s="547"/>
      <c r="I775" s="547"/>
      <c r="J775" s="547"/>
      <c r="K775" s="547"/>
      <c r="L775" s="547"/>
      <c r="M775" s="547"/>
      <c r="N775" s="548"/>
      <c r="O775" s="548"/>
      <c r="P775" s="548"/>
      <c r="Q775" s="548"/>
      <c r="R775" s="548"/>
      <c r="S775" s="548"/>
      <c r="T775" s="548"/>
      <c r="U775" s="548"/>
      <c r="V775" s="548"/>
      <c r="W775" s="548"/>
      <c r="X775" s="548"/>
      <c r="Y775" s="548"/>
      <c r="Z775" s="548"/>
      <c r="AA775" s="548"/>
      <c r="AB775" s="548"/>
      <c r="AC775" s="548"/>
      <c r="AD775" s="548"/>
      <c r="AE775" s="548"/>
      <c r="AF775" s="548"/>
      <c r="AG775" s="549"/>
      <c r="AH775" s="518"/>
    </row>
    <row r="776">
      <c r="A776" s="546"/>
      <c r="B776" s="547"/>
      <c r="C776" s="547"/>
      <c r="D776" s="547"/>
      <c r="E776" s="547"/>
      <c r="F776" s="547"/>
      <c r="G776" s="547"/>
      <c r="H776" s="547"/>
      <c r="I776" s="547"/>
      <c r="J776" s="547"/>
      <c r="K776" s="547"/>
      <c r="L776" s="547"/>
      <c r="M776" s="547"/>
      <c r="N776" s="548"/>
      <c r="O776" s="548"/>
      <c r="P776" s="548"/>
      <c r="Q776" s="548"/>
      <c r="R776" s="548"/>
      <c r="S776" s="548"/>
      <c r="T776" s="548"/>
      <c r="U776" s="548"/>
      <c r="V776" s="548"/>
      <c r="W776" s="548"/>
      <c r="X776" s="548"/>
      <c r="Y776" s="548"/>
      <c r="Z776" s="548"/>
      <c r="AA776" s="548"/>
      <c r="AB776" s="548"/>
      <c r="AC776" s="548"/>
      <c r="AD776" s="548"/>
      <c r="AE776" s="548"/>
      <c r="AF776" s="548"/>
      <c r="AG776" s="549"/>
      <c r="AH776" s="518"/>
    </row>
    <row r="777">
      <c r="A777" s="546"/>
      <c r="B777" s="547"/>
      <c r="C777" s="547"/>
      <c r="D777" s="547"/>
      <c r="E777" s="547"/>
      <c r="F777" s="547"/>
      <c r="G777" s="547"/>
      <c r="H777" s="547"/>
      <c r="I777" s="547"/>
      <c r="J777" s="547"/>
      <c r="K777" s="547"/>
      <c r="L777" s="547"/>
      <c r="M777" s="547"/>
      <c r="N777" s="548"/>
      <c r="O777" s="548"/>
      <c r="P777" s="548"/>
      <c r="Q777" s="548"/>
      <c r="R777" s="548"/>
      <c r="S777" s="548"/>
      <c r="T777" s="548"/>
      <c r="U777" s="548"/>
      <c r="V777" s="548"/>
      <c r="W777" s="548"/>
      <c r="X777" s="548"/>
      <c r="Y777" s="548"/>
      <c r="Z777" s="548"/>
      <c r="AA777" s="548"/>
      <c r="AB777" s="548"/>
      <c r="AC777" s="548"/>
      <c r="AD777" s="548"/>
      <c r="AE777" s="548"/>
      <c r="AF777" s="548"/>
      <c r="AG777" s="549"/>
      <c r="AH777" s="518"/>
    </row>
    <row r="778">
      <c r="A778" s="546"/>
      <c r="B778" s="547"/>
      <c r="C778" s="547"/>
      <c r="D778" s="547"/>
      <c r="E778" s="547"/>
      <c r="F778" s="547"/>
      <c r="G778" s="547"/>
      <c r="H778" s="547"/>
      <c r="I778" s="547"/>
      <c r="J778" s="547"/>
      <c r="K778" s="547"/>
      <c r="L778" s="547"/>
      <c r="M778" s="547"/>
      <c r="N778" s="548"/>
      <c r="O778" s="548"/>
      <c r="P778" s="548"/>
      <c r="Q778" s="548"/>
      <c r="R778" s="548"/>
      <c r="S778" s="548"/>
      <c r="T778" s="548"/>
      <c r="U778" s="548"/>
      <c r="V778" s="548"/>
      <c r="W778" s="548"/>
      <c r="X778" s="548"/>
      <c r="Y778" s="548"/>
      <c r="Z778" s="548"/>
      <c r="AA778" s="548"/>
      <c r="AB778" s="548"/>
      <c r="AC778" s="548"/>
      <c r="AD778" s="548"/>
      <c r="AE778" s="548"/>
      <c r="AF778" s="548"/>
      <c r="AG778" s="549"/>
      <c r="AH778" s="518"/>
    </row>
    <row r="779">
      <c r="A779" s="546"/>
      <c r="B779" s="547"/>
      <c r="C779" s="547"/>
      <c r="D779" s="547"/>
      <c r="E779" s="547"/>
      <c r="F779" s="547"/>
      <c r="G779" s="547"/>
      <c r="H779" s="547"/>
      <c r="I779" s="547"/>
      <c r="J779" s="547"/>
      <c r="K779" s="547"/>
      <c r="L779" s="547"/>
      <c r="M779" s="547"/>
      <c r="N779" s="548"/>
      <c r="O779" s="548"/>
      <c r="P779" s="548"/>
      <c r="Q779" s="548"/>
      <c r="R779" s="548"/>
      <c r="S779" s="548"/>
      <c r="T779" s="548"/>
      <c r="U779" s="548"/>
      <c r="V779" s="548"/>
      <c r="W779" s="548"/>
      <c r="X779" s="548"/>
      <c r="Y779" s="548"/>
      <c r="Z779" s="548"/>
      <c r="AA779" s="548"/>
      <c r="AB779" s="548"/>
      <c r="AC779" s="548"/>
      <c r="AD779" s="548"/>
      <c r="AE779" s="548"/>
      <c r="AF779" s="548"/>
      <c r="AG779" s="549"/>
      <c r="AH779" s="518"/>
    </row>
    <row r="780">
      <c r="A780" s="546"/>
      <c r="B780" s="547"/>
      <c r="C780" s="547"/>
      <c r="D780" s="547"/>
      <c r="E780" s="547"/>
      <c r="F780" s="547"/>
      <c r="G780" s="547"/>
      <c r="H780" s="547"/>
      <c r="I780" s="547"/>
      <c r="J780" s="547"/>
      <c r="K780" s="547"/>
      <c r="L780" s="547"/>
      <c r="M780" s="547"/>
      <c r="N780" s="548"/>
      <c r="O780" s="548"/>
      <c r="P780" s="548"/>
      <c r="Q780" s="548"/>
      <c r="R780" s="548"/>
      <c r="S780" s="548"/>
      <c r="T780" s="548"/>
      <c r="U780" s="548"/>
      <c r="V780" s="548"/>
      <c r="W780" s="548"/>
      <c r="X780" s="548"/>
      <c r="Y780" s="548"/>
      <c r="Z780" s="548"/>
      <c r="AA780" s="548"/>
      <c r="AB780" s="548"/>
      <c r="AC780" s="548"/>
      <c r="AD780" s="548"/>
      <c r="AE780" s="548"/>
      <c r="AF780" s="548"/>
      <c r="AG780" s="549"/>
      <c r="AH780" s="518"/>
    </row>
    <row r="781">
      <c r="A781" s="546"/>
      <c r="B781" s="547"/>
      <c r="C781" s="547"/>
      <c r="D781" s="547"/>
      <c r="E781" s="547"/>
      <c r="F781" s="547"/>
      <c r="G781" s="547"/>
      <c r="H781" s="547"/>
      <c r="I781" s="547"/>
      <c r="J781" s="547"/>
      <c r="K781" s="547"/>
      <c r="L781" s="547"/>
      <c r="M781" s="547"/>
      <c r="N781" s="548"/>
      <c r="O781" s="548"/>
      <c r="P781" s="548"/>
      <c r="Q781" s="548"/>
      <c r="R781" s="548"/>
      <c r="S781" s="548"/>
      <c r="T781" s="548"/>
      <c r="U781" s="548"/>
      <c r="V781" s="548"/>
      <c r="W781" s="548"/>
      <c r="X781" s="548"/>
      <c r="Y781" s="548"/>
      <c r="Z781" s="548"/>
      <c r="AA781" s="548"/>
      <c r="AB781" s="548"/>
      <c r="AC781" s="548"/>
      <c r="AD781" s="548"/>
      <c r="AE781" s="548"/>
      <c r="AF781" s="548"/>
      <c r="AG781" s="549"/>
      <c r="AH781" s="518"/>
    </row>
    <row r="782">
      <c r="A782" s="546"/>
      <c r="B782" s="547"/>
      <c r="C782" s="547"/>
      <c r="D782" s="547"/>
      <c r="E782" s="547"/>
      <c r="F782" s="547"/>
      <c r="G782" s="547"/>
      <c r="H782" s="547"/>
      <c r="I782" s="547"/>
      <c r="J782" s="547"/>
      <c r="K782" s="547"/>
      <c r="L782" s="547"/>
      <c r="M782" s="547"/>
      <c r="N782" s="548"/>
      <c r="O782" s="548"/>
      <c r="P782" s="548"/>
      <c r="Q782" s="548"/>
      <c r="R782" s="548"/>
      <c r="S782" s="548"/>
      <c r="T782" s="548"/>
      <c r="U782" s="548"/>
      <c r="V782" s="548"/>
      <c r="W782" s="548"/>
      <c r="X782" s="548"/>
      <c r="Y782" s="548"/>
      <c r="Z782" s="548"/>
      <c r="AA782" s="548"/>
      <c r="AB782" s="548"/>
      <c r="AC782" s="548"/>
      <c r="AD782" s="548"/>
      <c r="AE782" s="548"/>
      <c r="AF782" s="548"/>
      <c r="AG782" s="549"/>
      <c r="AH782" s="518"/>
    </row>
    <row r="783">
      <c r="A783" s="546"/>
      <c r="B783" s="547"/>
      <c r="C783" s="547"/>
      <c r="D783" s="547"/>
      <c r="E783" s="547"/>
      <c r="F783" s="547"/>
      <c r="G783" s="547"/>
      <c r="H783" s="547"/>
      <c r="I783" s="547"/>
      <c r="J783" s="547"/>
      <c r="K783" s="547"/>
      <c r="L783" s="547"/>
      <c r="M783" s="547"/>
      <c r="N783" s="548"/>
      <c r="O783" s="548"/>
      <c r="P783" s="548"/>
      <c r="Q783" s="548"/>
      <c r="R783" s="548"/>
      <c r="S783" s="548"/>
      <c r="T783" s="548"/>
      <c r="U783" s="548"/>
      <c r="V783" s="548"/>
      <c r="W783" s="548"/>
      <c r="X783" s="548"/>
      <c r="Y783" s="548"/>
      <c r="Z783" s="548"/>
      <c r="AA783" s="548"/>
      <c r="AB783" s="548"/>
      <c r="AC783" s="548"/>
      <c r="AD783" s="548"/>
      <c r="AE783" s="548"/>
      <c r="AF783" s="548"/>
      <c r="AG783" s="549"/>
      <c r="AH783" s="518"/>
    </row>
    <row r="784">
      <c r="A784" s="546"/>
      <c r="B784" s="547"/>
      <c r="C784" s="547"/>
      <c r="D784" s="547"/>
      <c r="E784" s="547"/>
      <c r="F784" s="547"/>
      <c r="G784" s="547"/>
      <c r="H784" s="547"/>
      <c r="I784" s="547"/>
      <c r="J784" s="547"/>
      <c r="K784" s="547"/>
      <c r="L784" s="547"/>
      <c r="M784" s="547"/>
      <c r="N784" s="548"/>
      <c r="O784" s="548"/>
      <c r="P784" s="548"/>
      <c r="Q784" s="548"/>
      <c r="R784" s="548"/>
      <c r="S784" s="548"/>
      <c r="T784" s="548"/>
      <c r="U784" s="548"/>
      <c r="V784" s="548"/>
      <c r="W784" s="548"/>
      <c r="X784" s="548"/>
      <c r="Y784" s="548"/>
      <c r="Z784" s="548"/>
      <c r="AA784" s="548"/>
      <c r="AB784" s="548"/>
      <c r="AC784" s="548"/>
      <c r="AD784" s="548"/>
      <c r="AE784" s="548"/>
      <c r="AF784" s="548"/>
      <c r="AG784" s="549"/>
      <c r="AH784" s="518"/>
    </row>
    <row r="785">
      <c r="A785" s="546"/>
      <c r="B785" s="547"/>
      <c r="C785" s="547"/>
      <c r="D785" s="547"/>
      <c r="E785" s="547"/>
      <c r="F785" s="547"/>
      <c r="G785" s="547"/>
      <c r="H785" s="547"/>
      <c r="I785" s="547"/>
      <c r="J785" s="547"/>
      <c r="K785" s="547"/>
      <c r="L785" s="547"/>
      <c r="M785" s="547"/>
      <c r="N785" s="548"/>
      <c r="O785" s="548"/>
      <c r="P785" s="548"/>
      <c r="Q785" s="548"/>
      <c r="R785" s="548"/>
      <c r="S785" s="548"/>
      <c r="T785" s="548"/>
      <c r="U785" s="548"/>
      <c r="V785" s="548"/>
      <c r="W785" s="548"/>
      <c r="X785" s="548"/>
      <c r="Y785" s="548"/>
      <c r="Z785" s="548"/>
      <c r="AA785" s="548"/>
      <c r="AB785" s="548"/>
      <c r="AC785" s="548"/>
      <c r="AD785" s="548"/>
      <c r="AE785" s="548"/>
      <c r="AF785" s="548"/>
      <c r="AG785" s="549"/>
      <c r="AH785" s="518"/>
    </row>
    <row r="786">
      <c r="A786" s="546"/>
      <c r="B786" s="547"/>
      <c r="C786" s="547"/>
      <c r="D786" s="547"/>
      <c r="E786" s="547"/>
      <c r="F786" s="547"/>
      <c r="G786" s="547"/>
      <c r="H786" s="547"/>
      <c r="I786" s="547"/>
      <c r="J786" s="547"/>
      <c r="K786" s="547"/>
      <c r="L786" s="547"/>
      <c r="M786" s="547"/>
      <c r="N786" s="548"/>
      <c r="O786" s="548"/>
      <c r="P786" s="548"/>
      <c r="Q786" s="548"/>
      <c r="R786" s="548"/>
      <c r="S786" s="548"/>
      <c r="T786" s="548"/>
      <c r="U786" s="548"/>
      <c r="V786" s="548"/>
      <c r="W786" s="548"/>
      <c r="X786" s="548"/>
      <c r="Y786" s="548"/>
      <c r="Z786" s="548"/>
      <c r="AA786" s="548"/>
      <c r="AB786" s="548"/>
      <c r="AC786" s="548"/>
      <c r="AD786" s="548"/>
      <c r="AE786" s="548"/>
      <c r="AF786" s="548"/>
      <c r="AG786" s="549"/>
      <c r="AH786" s="518"/>
    </row>
    <row r="787">
      <c r="A787" s="546"/>
      <c r="B787" s="547"/>
      <c r="C787" s="547"/>
      <c r="D787" s="547"/>
      <c r="E787" s="547"/>
      <c r="F787" s="547"/>
      <c r="G787" s="547"/>
      <c r="H787" s="547"/>
      <c r="I787" s="547"/>
      <c r="J787" s="547"/>
      <c r="K787" s="547"/>
      <c r="L787" s="547"/>
      <c r="M787" s="547"/>
      <c r="N787" s="548"/>
      <c r="O787" s="548"/>
      <c r="P787" s="548"/>
      <c r="Q787" s="548"/>
      <c r="R787" s="548"/>
      <c r="S787" s="548"/>
      <c r="T787" s="548"/>
      <c r="U787" s="548"/>
      <c r="V787" s="548"/>
      <c r="W787" s="548"/>
      <c r="X787" s="548"/>
      <c r="Y787" s="548"/>
      <c r="Z787" s="548"/>
      <c r="AA787" s="548"/>
      <c r="AB787" s="548"/>
      <c r="AC787" s="548"/>
      <c r="AD787" s="548"/>
      <c r="AE787" s="548"/>
      <c r="AF787" s="548"/>
      <c r="AG787" s="549"/>
      <c r="AH787" s="518"/>
    </row>
    <row r="788">
      <c r="A788" s="546"/>
      <c r="B788" s="547"/>
      <c r="C788" s="547"/>
      <c r="D788" s="547"/>
      <c r="E788" s="547"/>
      <c r="F788" s="547"/>
      <c r="G788" s="547"/>
      <c r="H788" s="547"/>
      <c r="I788" s="547"/>
      <c r="J788" s="547"/>
      <c r="K788" s="547"/>
      <c r="L788" s="547"/>
      <c r="M788" s="547"/>
      <c r="N788" s="548"/>
      <c r="O788" s="548"/>
      <c r="P788" s="548"/>
      <c r="Q788" s="548"/>
      <c r="R788" s="548"/>
      <c r="S788" s="548"/>
      <c r="T788" s="548"/>
      <c r="U788" s="548"/>
      <c r="V788" s="548"/>
      <c r="W788" s="548"/>
      <c r="X788" s="548"/>
      <c r="Y788" s="548"/>
      <c r="Z788" s="548"/>
      <c r="AA788" s="548"/>
      <c r="AB788" s="548"/>
      <c r="AC788" s="548"/>
      <c r="AD788" s="548"/>
      <c r="AE788" s="548"/>
      <c r="AF788" s="548"/>
      <c r="AG788" s="549"/>
      <c r="AH788" s="518"/>
    </row>
    <row r="789">
      <c r="A789" s="546"/>
      <c r="B789" s="547"/>
      <c r="C789" s="547"/>
      <c r="D789" s="547"/>
      <c r="E789" s="547"/>
      <c r="F789" s="547"/>
      <c r="G789" s="547"/>
      <c r="H789" s="547"/>
      <c r="I789" s="547"/>
      <c r="J789" s="547"/>
      <c r="K789" s="547"/>
      <c r="L789" s="547"/>
      <c r="M789" s="547"/>
      <c r="N789" s="548"/>
      <c r="O789" s="548"/>
      <c r="P789" s="548"/>
      <c r="Q789" s="548"/>
      <c r="R789" s="548"/>
      <c r="S789" s="548"/>
      <c r="T789" s="548"/>
      <c r="U789" s="548"/>
      <c r="V789" s="548"/>
      <c r="W789" s="548"/>
      <c r="X789" s="548"/>
      <c r="Y789" s="548"/>
      <c r="Z789" s="548"/>
      <c r="AA789" s="548"/>
      <c r="AB789" s="548"/>
      <c r="AC789" s="548"/>
      <c r="AD789" s="548"/>
      <c r="AE789" s="548"/>
      <c r="AF789" s="548"/>
      <c r="AG789" s="549"/>
      <c r="AH789" s="518"/>
    </row>
    <row r="790">
      <c r="A790" s="546"/>
      <c r="B790" s="547"/>
      <c r="C790" s="547"/>
      <c r="D790" s="547"/>
      <c r="E790" s="547"/>
      <c r="F790" s="547"/>
      <c r="G790" s="547"/>
      <c r="H790" s="547"/>
      <c r="I790" s="547"/>
      <c r="J790" s="547"/>
      <c r="K790" s="547"/>
      <c r="L790" s="547"/>
      <c r="M790" s="547"/>
      <c r="N790" s="548"/>
      <c r="O790" s="548"/>
      <c r="P790" s="548"/>
      <c r="Q790" s="548"/>
      <c r="R790" s="548"/>
      <c r="S790" s="548"/>
      <c r="T790" s="548"/>
      <c r="U790" s="548"/>
      <c r="V790" s="548"/>
      <c r="W790" s="548"/>
      <c r="X790" s="548"/>
      <c r="Y790" s="548"/>
      <c r="Z790" s="548"/>
      <c r="AA790" s="548"/>
      <c r="AB790" s="548"/>
      <c r="AC790" s="548"/>
      <c r="AD790" s="548"/>
      <c r="AE790" s="548"/>
      <c r="AF790" s="548"/>
      <c r="AG790" s="549"/>
      <c r="AH790" s="518"/>
    </row>
    <row r="791">
      <c r="A791" s="546"/>
      <c r="B791" s="547"/>
      <c r="C791" s="547"/>
      <c r="D791" s="547"/>
      <c r="E791" s="547"/>
      <c r="F791" s="547"/>
      <c r="G791" s="547"/>
      <c r="H791" s="547"/>
      <c r="I791" s="547"/>
      <c r="J791" s="547"/>
      <c r="K791" s="547"/>
      <c r="L791" s="547"/>
      <c r="M791" s="547"/>
      <c r="N791" s="548"/>
      <c r="O791" s="548"/>
      <c r="P791" s="548"/>
      <c r="Q791" s="548"/>
      <c r="R791" s="548"/>
      <c r="S791" s="548"/>
      <c r="T791" s="548"/>
      <c r="U791" s="548"/>
      <c r="V791" s="548"/>
      <c r="W791" s="548"/>
      <c r="X791" s="548"/>
      <c r="Y791" s="548"/>
      <c r="Z791" s="548"/>
      <c r="AA791" s="548"/>
      <c r="AB791" s="548"/>
      <c r="AC791" s="548"/>
      <c r="AD791" s="548"/>
      <c r="AE791" s="548"/>
      <c r="AF791" s="548"/>
      <c r="AG791" s="549"/>
      <c r="AH791" s="518"/>
    </row>
    <row r="792">
      <c r="A792" s="546"/>
      <c r="B792" s="547"/>
      <c r="C792" s="547"/>
      <c r="D792" s="547"/>
      <c r="E792" s="547"/>
      <c r="F792" s="547"/>
      <c r="G792" s="547"/>
      <c r="H792" s="547"/>
      <c r="I792" s="547"/>
      <c r="J792" s="547"/>
      <c r="K792" s="547"/>
      <c r="L792" s="547"/>
      <c r="M792" s="547"/>
      <c r="N792" s="548"/>
      <c r="O792" s="548"/>
      <c r="P792" s="548"/>
      <c r="Q792" s="548"/>
      <c r="R792" s="548"/>
      <c r="S792" s="548"/>
      <c r="T792" s="548"/>
      <c r="U792" s="548"/>
      <c r="V792" s="548"/>
      <c r="W792" s="548"/>
      <c r="X792" s="548"/>
      <c r="Y792" s="548"/>
      <c r="Z792" s="548"/>
      <c r="AA792" s="548"/>
      <c r="AB792" s="548"/>
      <c r="AC792" s="548"/>
      <c r="AD792" s="548"/>
      <c r="AE792" s="548"/>
      <c r="AF792" s="548"/>
      <c r="AG792" s="549"/>
      <c r="AH792" s="518"/>
    </row>
    <row r="793">
      <c r="A793" s="546"/>
      <c r="B793" s="547"/>
      <c r="C793" s="547"/>
      <c r="D793" s="547"/>
      <c r="E793" s="547"/>
      <c r="F793" s="547"/>
      <c r="G793" s="547"/>
      <c r="H793" s="547"/>
      <c r="I793" s="547"/>
      <c r="J793" s="547"/>
      <c r="K793" s="547"/>
      <c r="L793" s="547"/>
      <c r="M793" s="547"/>
      <c r="N793" s="548"/>
      <c r="O793" s="548"/>
      <c r="P793" s="548"/>
      <c r="Q793" s="548"/>
      <c r="R793" s="548"/>
      <c r="S793" s="548"/>
      <c r="T793" s="548"/>
      <c r="U793" s="548"/>
      <c r="V793" s="548"/>
      <c r="W793" s="548"/>
      <c r="X793" s="548"/>
      <c r="Y793" s="548"/>
      <c r="Z793" s="548"/>
      <c r="AA793" s="548"/>
      <c r="AB793" s="548"/>
      <c r="AC793" s="548"/>
      <c r="AD793" s="548"/>
      <c r="AE793" s="548"/>
      <c r="AF793" s="548"/>
      <c r="AG793" s="549"/>
      <c r="AH793" s="518"/>
    </row>
    <row r="794">
      <c r="A794" s="546"/>
      <c r="B794" s="547"/>
      <c r="C794" s="547"/>
      <c r="D794" s="547"/>
      <c r="E794" s="547"/>
      <c r="F794" s="547"/>
      <c r="G794" s="547"/>
      <c r="H794" s="547"/>
      <c r="I794" s="547"/>
      <c r="J794" s="547"/>
      <c r="K794" s="547"/>
      <c r="L794" s="547"/>
      <c r="M794" s="547"/>
      <c r="N794" s="548"/>
      <c r="O794" s="548"/>
      <c r="P794" s="548"/>
      <c r="Q794" s="548"/>
      <c r="R794" s="548"/>
      <c r="S794" s="548"/>
      <c r="T794" s="548"/>
      <c r="U794" s="548"/>
      <c r="V794" s="548"/>
      <c r="W794" s="548"/>
      <c r="X794" s="548"/>
      <c r="Y794" s="548"/>
      <c r="Z794" s="548"/>
      <c r="AA794" s="548"/>
      <c r="AB794" s="548"/>
      <c r="AC794" s="548"/>
      <c r="AD794" s="548"/>
      <c r="AE794" s="548"/>
      <c r="AF794" s="548"/>
      <c r="AG794" s="549"/>
      <c r="AH794" s="518"/>
    </row>
    <row r="795">
      <c r="A795" s="546"/>
      <c r="B795" s="547"/>
      <c r="C795" s="547"/>
      <c r="D795" s="547"/>
      <c r="E795" s="547"/>
      <c r="F795" s="547"/>
      <c r="G795" s="547"/>
      <c r="H795" s="547"/>
      <c r="I795" s="547"/>
      <c r="J795" s="547"/>
      <c r="K795" s="547"/>
      <c r="L795" s="547"/>
      <c r="M795" s="547"/>
      <c r="N795" s="548"/>
      <c r="O795" s="548"/>
      <c r="P795" s="548"/>
      <c r="Q795" s="548"/>
      <c r="R795" s="548"/>
      <c r="S795" s="548"/>
      <c r="T795" s="548"/>
      <c r="U795" s="548"/>
      <c r="V795" s="548"/>
      <c r="W795" s="548"/>
      <c r="X795" s="548"/>
      <c r="Y795" s="548"/>
      <c r="Z795" s="548"/>
      <c r="AA795" s="548"/>
      <c r="AB795" s="548"/>
      <c r="AC795" s="548"/>
      <c r="AD795" s="548"/>
      <c r="AE795" s="548"/>
      <c r="AF795" s="548"/>
      <c r="AG795" s="549"/>
      <c r="AH795" s="518"/>
    </row>
    <row r="796">
      <c r="A796" s="546"/>
      <c r="B796" s="547"/>
      <c r="C796" s="547"/>
      <c r="D796" s="547"/>
      <c r="E796" s="547"/>
      <c r="F796" s="547"/>
      <c r="G796" s="547"/>
      <c r="H796" s="547"/>
      <c r="I796" s="547"/>
      <c r="J796" s="547"/>
      <c r="K796" s="547"/>
      <c r="L796" s="547"/>
      <c r="M796" s="547"/>
      <c r="N796" s="548"/>
      <c r="O796" s="548"/>
      <c r="P796" s="548"/>
      <c r="Q796" s="548"/>
      <c r="R796" s="548"/>
      <c r="S796" s="548"/>
      <c r="T796" s="548"/>
      <c r="U796" s="548"/>
      <c r="V796" s="548"/>
      <c r="W796" s="548"/>
      <c r="X796" s="548"/>
      <c r="Y796" s="548"/>
      <c r="Z796" s="548"/>
      <c r="AA796" s="548"/>
      <c r="AB796" s="548"/>
      <c r="AC796" s="548"/>
      <c r="AD796" s="548"/>
      <c r="AE796" s="548"/>
      <c r="AF796" s="548"/>
      <c r="AG796" s="549"/>
      <c r="AH796" s="518"/>
    </row>
    <row r="797">
      <c r="A797" s="546"/>
      <c r="B797" s="547"/>
      <c r="C797" s="547"/>
      <c r="D797" s="547"/>
      <c r="E797" s="547"/>
      <c r="F797" s="547"/>
      <c r="G797" s="547"/>
      <c r="H797" s="547"/>
      <c r="I797" s="547"/>
      <c r="J797" s="547"/>
      <c r="K797" s="547"/>
      <c r="L797" s="547"/>
      <c r="M797" s="547"/>
      <c r="N797" s="548"/>
      <c r="O797" s="548"/>
      <c r="P797" s="548"/>
      <c r="Q797" s="548"/>
      <c r="R797" s="548"/>
      <c r="S797" s="548"/>
      <c r="T797" s="548"/>
      <c r="U797" s="548"/>
      <c r="V797" s="548"/>
      <c r="W797" s="548"/>
      <c r="X797" s="548"/>
      <c r="Y797" s="548"/>
      <c r="Z797" s="548"/>
      <c r="AA797" s="548"/>
      <c r="AB797" s="548"/>
      <c r="AC797" s="548"/>
      <c r="AD797" s="548"/>
      <c r="AE797" s="548"/>
      <c r="AF797" s="548"/>
      <c r="AG797" s="549"/>
      <c r="AH797" s="518"/>
    </row>
    <row r="798">
      <c r="A798" s="546"/>
      <c r="B798" s="547"/>
      <c r="C798" s="547"/>
      <c r="D798" s="547"/>
      <c r="E798" s="547"/>
      <c r="F798" s="547"/>
      <c r="G798" s="547"/>
      <c r="H798" s="547"/>
      <c r="I798" s="547"/>
      <c r="J798" s="547"/>
      <c r="K798" s="547"/>
      <c r="L798" s="547"/>
      <c r="M798" s="547"/>
      <c r="N798" s="548"/>
      <c r="O798" s="548"/>
      <c r="P798" s="548"/>
      <c r="Q798" s="548"/>
      <c r="R798" s="548"/>
      <c r="S798" s="548"/>
      <c r="T798" s="548"/>
      <c r="U798" s="548"/>
      <c r="V798" s="548"/>
      <c r="W798" s="548"/>
      <c r="X798" s="548"/>
      <c r="Y798" s="548"/>
      <c r="Z798" s="548"/>
      <c r="AA798" s="548"/>
      <c r="AB798" s="548"/>
      <c r="AC798" s="548"/>
      <c r="AD798" s="548"/>
      <c r="AE798" s="548"/>
      <c r="AF798" s="548"/>
      <c r="AG798" s="549"/>
      <c r="AH798" s="518"/>
    </row>
    <row r="799">
      <c r="A799" s="546"/>
      <c r="B799" s="547"/>
      <c r="C799" s="547"/>
      <c r="D799" s="547"/>
      <c r="E799" s="547"/>
      <c r="F799" s="547"/>
      <c r="G799" s="547"/>
      <c r="H799" s="547"/>
      <c r="I799" s="547"/>
      <c r="J799" s="547"/>
      <c r="K799" s="547"/>
      <c r="L799" s="547"/>
      <c r="M799" s="547"/>
      <c r="N799" s="548"/>
      <c r="O799" s="548"/>
      <c r="P799" s="548"/>
      <c r="Q799" s="548"/>
      <c r="R799" s="548"/>
      <c r="S799" s="548"/>
      <c r="T799" s="548"/>
      <c r="U799" s="548"/>
      <c r="V799" s="548"/>
      <c r="W799" s="548"/>
      <c r="X799" s="548"/>
      <c r="Y799" s="548"/>
      <c r="Z799" s="548"/>
      <c r="AA799" s="548"/>
      <c r="AB799" s="548"/>
      <c r="AC799" s="548"/>
      <c r="AD799" s="548"/>
      <c r="AE799" s="548"/>
      <c r="AF799" s="548"/>
      <c r="AG799" s="549"/>
      <c r="AH799" s="518"/>
    </row>
    <row r="800">
      <c r="A800" s="546"/>
      <c r="B800" s="547"/>
      <c r="C800" s="547"/>
      <c r="D800" s="547"/>
      <c r="E800" s="547"/>
      <c r="F800" s="547"/>
      <c r="G800" s="547"/>
      <c r="H800" s="547"/>
      <c r="I800" s="547"/>
      <c r="J800" s="547"/>
      <c r="K800" s="547"/>
      <c r="L800" s="547"/>
      <c r="M800" s="547"/>
      <c r="N800" s="548"/>
      <c r="O800" s="548"/>
      <c r="P800" s="548"/>
      <c r="Q800" s="548"/>
      <c r="R800" s="548"/>
      <c r="S800" s="548"/>
      <c r="T800" s="548"/>
      <c r="U800" s="548"/>
      <c r="V800" s="548"/>
      <c r="W800" s="548"/>
      <c r="X800" s="548"/>
      <c r="Y800" s="548"/>
      <c r="Z800" s="548"/>
      <c r="AA800" s="548"/>
      <c r="AB800" s="548"/>
      <c r="AC800" s="548"/>
      <c r="AD800" s="548"/>
      <c r="AE800" s="548"/>
      <c r="AF800" s="548"/>
      <c r="AG800" s="549"/>
      <c r="AH800" s="518"/>
    </row>
    <row r="801">
      <c r="A801" s="546"/>
      <c r="B801" s="547"/>
      <c r="C801" s="547"/>
      <c r="D801" s="547"/>
      <c r="E801" s="547"/>
      <c r="F801" s="547"/>
      <c r="G801" s="547"/>
      <c r="H801" s="547"/>
      <c r="I801" s="547"/>
      <c r="J801" s="547"/>
      <c r="K801" s="547"/>
      <c r="L801" s="547"/>
      <c r="M801" s="547"/>
      <c r="N801" s="548"/>
      <c r="O801" s="548"/>
      <c r="P801" s="548"/>
      <c r="Q801" s="548"/>
      <c r="R801" s="548"/>
      <c r="S801" s="548"/>
      <c r="T801" s="548"/>
      <c r="U801" s="548"/>
      <c r="V801" s="548"/>
      <c r="W801" s="548"/>
      <c r="X801" s="548"/>
      <c r="Y801" s="548"/>
      <c r="Z801" s="548"/>
      <c r="AA801" s="548"/>
      <c r="AB801" s="548"/>
      <c r="AC801" s="548"/>
      <c r="AD801" s="548"/>
      <c r="AE801" s="548"/>
      <c r="AF801" s="548"/>
      <c r="AG801" s="549"/>
      <c r="AH801" s="518"/>
    </row>
    <row r="802">
      <c r="A802" s="546"/>
      <c r="B802" s="547"/>
      <c r="C802" s="547"/>
      <c r="D802" s="547"/>
      <c r="E802" s="547"/>
      <c r="F802" s="547"/>
      <c r="G802" s="547"/>
      <c r="H802" s="547"/>
      <c r="I802" s="547"/>
      <c r="J802" s="547"/>
      <c r="K802" s="547"/>
      <c r="L802" s="547"/>
      <c r="M802" s="547"/>
      <c r="N802" s="548"/>
      <c r="O802" s="548"/>
      <c r="P802" s="548"/>
      <c r="Q802" s="548"/>
      <c r="R802" s="548"/>
      <c r="S802" s="548"/>
      <c r="T802" s="548"/>
      <c r="U802" s="548"/>
      <c r="V802" s="548"/>
      <c r="W802" s="548"/>
      <c r="X802" s="548"/>
      <c r="Y802" s="548"/>
      <c r="Z802" s="548"/>
      <c r="AA802" s="548"/>
      <c r="AB802" s="548"/>
      <c r="AC802" s="548"/>
      <c r="AD802" s="548"/>
      <c r="AE802" s="548"/>
      <c r="AF802" s="548"/>
      <c r="AG802" s="549"/>
      <c r="AH802" s="518"/>
    </row>
    <row r="803">
      <c r="A803" s="546"/>
      <c r="B803" s="547"/>
      <c r="C803" s="547"/>
      <c r="D803" s="547"/>
      <c r="E803" s="547"/>
      <c r="F803" s="547"/>
      <c r="G803" s="547"/>
      <c r="H803" s="547"/>
      <c r="I803" s="547"/>
      <c r="J803" s="547"/>
      <c r="K803" s="547"/>
      <c r="L803" s="547"/>
      <c r="M803" s="547"/>
      <c r="N803" s="548"/>
      <c r="O803" s="548"/>
      <c r="P803" s="548"/>
      <c r="Q803" s="548"/>
      <c r="R803" s="548"/>
      <c r="S803" s="548"/>
      <c r="T803" s="548"/>
      <c r="U803" s="548"/>
      <c r="V803" s="548"/>
      <c r="W803" s="548"/>
      <c r="X803" s="548"/>
      <c r="Y803" s="548"/>
      <c r="Z803" s="548"/>
      <c r="AA803" s="548"/>
      <c r="AB803" s="548"/>
      <c r="AC803" s="548"/>
      <c r="AD803" s="548"/>
      <c r="AE803" s="548"/>
      <c r="AF803" s="548"/>
      <c r="AG803" s="549"/>
      <c r="AH803" s="518"/>
    </row>
    <row r="804">
      <c r="A804" s="546"/>
      <c r="B804" s="547"/>
      <c r="C804" s="547"/>
      <c r="D804" s="547"/>
      <c r="E804" s="547"/>
      <c r="F804" s="547"/>
      <c r="G804" s="547"/>
      <c r="H804" s="547"/>
      <c r="I804" s="547"/>
      <c r="J804" s="547"/>
      <c r="K804" s="547"/>
      <c r="L804" s="547"/>
      <c r="M804" s="547"/>
      <c r="N804" s="548"/>
      <c r="O804" s="548"/>
      <c r="P804" s="548"/>
      <c r="Q804" s="548"/>
      <c r="R804" s="548"/>
      <c r="S804" s="548"/>
      <c r="T804" s="548"/>
      <c r="U804" s="548"/>
      <c r="V804" s="548"/>
      <c r="W804" s="548"/>
      <c r="X804" s="548"/>
      <c r="Y804" s="548"/>
      <c r="Z804" s="548"/>
      <c r="AA804" s="548"/>
      <c r="AB804" s="548"/>
      <c r="AC804" s="548"/>
      <c r="AD804" s="548"/>
      <c r="AE804" s="548"/>
      <c r="AF804" s="548"/>
      <c r="AG804" s="549"/>
      <c r="AH804" s="518"/>
    </row>
    <row r="805">
      <c r="A805" s="546"/>
      <c r="B805" s="547"/>
      <c r="C805" s="547"/>
      <c r="D805" s="547"/>
      <c r="E805" s="547"/>
      <c r="F805" s="547"/>
      <c r="G805" s="547"/>
      <c r="H805" s="547"/>
      <c r="I805" s="547"/>
      <c r="J805" s="547"/>
      <c r="K805" s="547"/>
      <c r="L805" s="547"/>
      <c r="M805" s="547"/>
      <c r="N805" s="548"/>
      <c r="O805" s="548"/>
      <c r="P805" s="548"/>
      <c r="Q805" s="548"/>
      <c r="R805" s="548"/>
      <c r="S805" s="548"/>
      <c r="T805" s="548"/>
      <c r="U805" s="548"/>
      <c r="V805" s="548"/>
      <c r="W805" s="548"/>
      <c r="X805" s="548"/>
      <c r="Y805" s="548"/>
      <c r="Z805" s="548"/>
      <c r="AA805" s="548"/>
      <c r="AB805" s="548"/>
      <c r="AC805" s="548"/>
      <c r="AD805" s="548"/>
      <c r="AE805" s="548"/>
      <c r="AF805" s="548"/>
      <c r="AG805" s="549"/>
      <c r="AH805" s="518"/>
    </row>
    <row r="806">
      <c r="A806" s="546"/>
      <c r="B806" s="547"/>
      <c r="C806" s="547"/>
      <c r="D806" s="547"/>
      <c r="E806" s="547"/>
      <c r="F806" s="547"/>
      <c r="G806" s="547"/>
      <c r="H806" s="547"/>
      <c r="I806" s="547"/>
      <c r="J806" s="547"/>
      <c r="K806" s="547"/>
      <c r="L806" s="547"/>
      <c r="M806" s="547"/>
      <c r="N806" s="548"/>
      <c r="O806" s="548"/>
      <c r="P806" s="548"/>
      <c r="Q806" s="548"/>
      <c r="R806" s="548"/>
      <c r="S806" s="548"/>
      <c r="T806" s="548"/>
      <c r="U806" s="548"/>
      <c r="V806" s="548"/>
      <c r="W806" s="548"/>
      <c r="X806" s="548"/>
      <c r="Y806" s="548"/>
      <c r="Z806" s="548"/>
      <c r="AA806" s="548"/>
      <c r="AB806" s="548"/>
      <c r="AC806" s="548"/>
      <c r="AD806" s="548"/>
      <c r="AE806" s="548"/>
      <c r="AF806" s="548"/>
      <c r="AG806" s="549"/>
      <c r="AH806" s="518"/>
    </row>
    <row r="807">
      <c r="A807" s="546"/>
      <c r="B807" s="547"/>
      <c r="C807" s="547"/>
      <c r="D807" s="547"/>
      <c r="E807" s="547"/>
      <c r="F807" s="547"/>
      <c r="G807" s="547"/>
      <c r="H807" s="547"/>
      <c r="I807" s="547"/>
      <c r="J807" s="547"/>
      <c r="K807" s="547"/>
      <c r="L807" s="547"/>
      <c r="M807" s="547"/>
      <c r="N807" s="548"/>
      <c r="O807" s="548"/>
      <c r="P807" s="548"/>
      <c r="Q807" s="548"/>
      <c r="R807" s="548"/>
      <c r="S807" s="548"/>
      <c r="T807" s="548"/>
      <c r="U807" s="548"/>
      <c r="V807" s="548"/>
      <c r="W807" s="548"/>
      <c r="X807" s="548"/>
      <c r="Y807" s="548"/>
      <c r="Z807" s="548"/>
      <c r="AA807" s="548"/>
      <c r="AB807" s="548"/>
      <c r="AC807" s="548"/>
      <c r="AD807" s="548"/>
      <c r="AE807" s="548"/>
      <c r="AF807" s="548"/>
      <c r="AG807" s="549"/>
      <c r="AH807" s="518"/>
    </row>
    <row r="808">
      <c r="A808" s="546"/>
      <c r="B808" s="547"/>
      <c r="C808" s="547"/>
      <c r="D808" s="547"/>
      <c r="E808" s="547"/>
      <c r="F808" s="547"/>
      <c r="G808" s="547"/>
      <c r="H808" s="547"/>
      <c r="I808" s="547"/>
      <c r="J808" s="547"/>
      <c r="K808" s="547"/>
      <c r="L808" s="547"/>
      <c r="M808" s="547"/>
      <c r="N808" s="548"/>
      <c r="O808" s="548"/>
      <c r="P808" s="548"/>
      <c r="Q808" s="548"/>
      <c r="R808" s="548"/>
      <c r="S808" s="548"/>
      <c r="T808" s="548"/>
      <c r="U808" s="548"/>
      <c r="V808" s="548"/>
      <c r="W808" s="548"/>
      <c r="X808" s="548"/>
      <c r="Y808" s="548"/>
      <c r="Z808" s="548"/>
      <c r="AA808" s="548"/>
      <c r="AB808" s="548"/>
      <c r="AC808" s="548"/>
      <c r="AD808" s="548"/>
      <c r="AE808" s="548"/>
      <c r="AF808" s="548"/>
      <c r="AG808" s="549"/>
      <c r="AH808" s="518"/>
    </row>
    <row r="809">
      <c r="A809" s="546"/>
      <c r="B809" s="547"/>
      <c r="C809" s="547"/>
      <c r="D809" s="547"/>
      <c r="E809" s="547"/>
      <c r="F809" s="547"/>
      <c r="G809" s="547"/>
      <c r="H809" s="547"/>
      <c r="I809" s="547"/>
      <c r="J809" s="547"/>
      <c r="K809" s="547"/>
      <c r="L809" s="547"/>
      <c r="M809" s="547"/>
      <c r="N809" s="548"/>
      <c r="O809" s="548"/>
      <c r="P809" s="548"/>
      <c r="Q809" s="548"/>
      <c r="R809" s="548"/>
      <c r="S809" s="548"/>
      <c r="T809" s="548"/>
      <c r="U809" s="548"/>
      <c r="V809" s="548"/>
      <c r="W809" s="548"/>
      <c r="X809" s="548"/>
      <c r="Y809" s="548"/>
      <c r="Z809" s="548"/>
      <c r="AA809" s="548"/>
      <c r="AB809" s="548"/>
      <c r="AC809" s="548"/>
      <c r="AD809" s="548"/>
      <c r="AE809" s="548"/>
      <c r="AF809" s="548"/>
      <c r="AG809" s="549"/>
      <c r="AH809" s="518"/>
    </row>
    <row r="810">
      <c r="A810" s="546"/>
      <c r="B810" s="547"/>
      <c r="C810" s="547"/>
      <c r="D810" s="547"/>
      <c r="E810" s="547"/>
      <c r="F810" s="547"/>
      <c r="G810" s="547"/>
      <c r="H810" s="547"/>
      <c r="I810" s="547"/>
      <c r="J810" s="547"/>
      <c r="K810" s="547"/>
      <c r="L810" s="547"/>
      <c r="M810" s="547"/>
      <c r="N810" s="548"/>
      <c r="O810" s="548"/>
      <c r="P810" s="548"/>
      <c r="Q810" s="548"/>
      <c r="R810" s="548"/>
      <c r="S810" s="548"/>
      <c r="T810" s="548"/>
      <c r="U810" s="548"/>
      <c r="V810" s="548"/>
      <c r="W810" s="548"/>
      <c r="X810" s="548"/>
      <c r="Y810" s="548"/>
      <c r="Z810" s="548"/>
      <c r="AA810" s="548"/>
      <c r="AB810" s="548"/>
      <c r="AC810" s="548"/>
      <c r="AD810" s="548"/>
      <c r="AE810" s="548"/>
      <c r="AF810" s="548"/>
      <c r="AG810" s="549"/>
      <c r="AH810" s="518"/>
    </row>
    <row r="811">
      <c r="A811" s="546"/>
      <c r="B811" s="547"/>
      <c r="C811" s="547"/>
      <c r="D811" s="547"/>
      <c r="E811" s="547"/>
      <c r="F811" s="547"/>
      <c r="G811" s="547"/>
      <c r="H811" s="547"/>
      <c r="I811" s="547"/>
      <c r="J811" s="547"/>
      <c r="K811" s="547"/>
      <c r="L811" s="547"/>
      <c r="M811" s="547"/>
      <c r="N811" s="548"/>
      <c r="O811" s="548"/>
      <c r="P811" s="548"/>
      <c r="Q811" s="548"/>
      <c r="R811" s="548"/>
      <c r="S811" s="548"/>
      <c r="T811" s="548"/>
      <c r="U811" s="548"/>
      <c r="V811" s="548"/>
      <c r="W811" s="548"/>
      <c r="X811" s="548"/>
      <c r="Y811" s="548"/>
      <c r="Z811" s="548"/>
      <c r="AA811" s="548"/>
      <c r="AB811" s="548"/>
      <c r="AC811" s="548"/>
      <c r="AD811" s="548"/>
      <c r="AE811" s="548"/>
      <c r="AF811" s="548"/>
      <c r="AG811" s="549"/>
      <c r="AH811" s="518"/>
    </row>
    <row r="812">
      <c r="A812" s="546"/>
      <c r="B812" s="547"/>
      <c r="C812" s="547"/>
      <c r="D812" s="547"/>
      <c r="E812" s="547"/>
      <c r="F812" s="547"/>
      <c r="G812" s="547"/>
      <c r="H812" s="547"/>
      <c r="I812" s="547"/>
      <c r="J812" s="547"/>
      <c r="K812" s="547"/>
      <c r="L812" s="547"/>
      <c r="M812" s="547"/>
      <c r="N812" s="548"/>
      <c r="O812" s="548"/>
      <c r="P812" s="548"/>
      <c r="Q812" s="548"/>
      <c r="R812" s="548"/>
      <c r="S812" s="548"/>
      <c r="T812" s="548"/>
      <c r="U812" s="548"/>
      <c r="V812" s="548"/>
      <c r="W812" s="548"/>
      <c r="X812" s="548"/>
      <c r="Y812" s="548"/>
      <c r="Z812" s="548"/>
      <c r="AA812" s="548"/>
      <c r="AB812" s="548"/>
      <c r="AC812" s="548"/>
      <c r="AD812" s="548"/>
      <c r="AE812" s="548"/>
      <c r="AF812" s="548"/>
      <c r="AG812" s="549"/>
      <c r="AH812" s="518"/>
    </row>
    <row r="813">
      <c r="A813" s="546"/>
      <c r="B813" s="547"/>
      <c r="C813" s="547"/>
      <c r="D813" s="547"/>
      <c r="E813" s="547"/>
      <c r="F813" s="547"/>
      <c r="G813" s="547"/>
      <c r="H813" s="547"/>
      <c r="I813" s="547"/>
      <c r="J813" s="547"/>
      <c r="K813" s="547"/>
      <c r="L813" s="547"/>
      <c r="M813" s="547"/>
      <c r="N813" s="548"/>
      <c r="O813" s="548"/>
      <c r="P813" s="548"/>
      <c r="Q813" s="548"/>
      <c r="R813" s="548"/>
      <c r="S813" s="548"/>
      <c r="T813" s="548"/>
      <c r="U813" s="548"/>
      <c r="V813" s="548"/>
      <c r="W813" s="548"/>
      <c r="X813" s="548"/>
      <c r="Y813" s="548"/>
      <c r="Z813" s="548"/>
      <c r="AA813" s="548"/>
      <c r="AB813" s="548"/>
      <c r="AC813" s="548"/>
      <c r="AD813" s="548"/>
      <c r="AE813" s="548"/>
      <c r="AF813" s="548"/>
      <c r="AG813" s="549"/>
      <c r="AH813" s="518"/>
    </row>
    <row r="814">
      <c r="A814" s="546"/>
      <c r="B814" s="547"/>
      <c r="C814" s="547"/>
      <c r="D814" s="547"/>
      <c r="E814" s="547"/>
      <c r="F814" s="547"/>
      <c r="G814" s="547"/>
      <c r="H814" s="547"/>
      <c r="I814" s="547"/>
      <c r="J814" s="547"/>
      <c r="K814" s="547"/>
      <c r="L814" s="547"/>
      <c r="M814" s="547"/>
      <c r="N814" s="548"/>
      <c r="O814" s="548"/>
      <c r="P814" s="548"/>
      <c r="Q814" s="548"/>
      <c r="R814" s="548"/>
      <c r="S814" s="548"/>
      <c r="T814" s="548"/>
      <c r="U814" s="548"/>
      <c r="V814" s="548"/>
      <c r="W814" s="548"/>
      <c r="X814" s="548"/>
      <c r="Y814" s="548"/>
      <c r="Z814" s="548"/>
      <c r="AA814" s="548"/>
      <c r="AB814" s="548"/>
      <c r="AC814" s="548"/>
      <c r="AD814" s="548"/>
      <c r="AE814" s="548"/>
      <c r="AF814" s="548"/>
      <c r="AG814" s="549"/>
      <c r="AH814" s="518"/>
    </row>
    <row r="815">
      <c r="A815" s="546"/>
      <c r="B815" s="547"/>
      <c r="C815" s="547"/>
      <c r="D815" s="547"/>
      <c r="E815" s="547"/>
      <c r="F815" s="547"/>
      <c r="G815" s="547"/>
      <c r="H815" s="547"/>
      <c r="I815" s="547"/>
      <c r="J815" s="547"/>
      <c r="K815" s="547"/>
      <c r="L815" s="547"/>
      <c r="M815" s="547"/>
      <c r="N815" s="548"/>
      <c r="O815" s="548"/>
      <c r="P815" s="548"/>
      <c r="Q815" s="548"/>
      <c r="R815" s="548"/>
      <c r="S815" s="548"/>
      <c r="T815" s="548"/>
      <c r="U815" s="548"/>
      <c r="V815" s="548"/>
      <c r="W815" s="548"/>
      <c r="X815" s="548"/>
      <c r="Y815" s="548"/>
      <c r="Z815" s="548"/>
      <c r="AA815" s="548"/>
      <c r="AB815" s="548"/>
      <c r="AC815" s="548"/>
      <c r="AD815" s="548"/>
      <c r="AE815" s="548"/>
      <c r="AF815" s="548"/>
      <c r="AG815" s="549"/>
      <c r="AH815" s="518"/>
    </row>
    <row r="816">
      <c r="A816" s="546"/>
      <c r="B816" s="547"/>
      <c r="C816" s="547"/>
      <c r="D816" s="547"/>
      <c r="E816" s="547"/>
      <c r="F816" s="547"/>
      <c r="G816" s="547"/>
      <c r="H816" s="547"/>
      <c r="I816" s="547"/>
      <c r="J816" s="547"/>
      <c r="K816" s="547"/>
      <c r="L816" s="547"/>
      <c r="M816" s="547"/>
      <c r="N816" s="548"/>
      <c r="O816" s="548"/>
      <c r="P816" s="548"/>
      <c r="Q816" s="548"/>
      <c r="R816" s="548"/>
      <c r="S816" s="548"/>
      <c r="T816" s="548"/>
      <c r="U816" s="548"/>
      <c r="V816" s="548"/>
      <c r="W816" s="548"/>
      <c r="X816" s="548"/>
      <c r="Y816" s="548"/>
      <c r="Z816" s="548"/>
      <c r="AA816" s="548"/>
      <c r="AB816" s="548"/>
      <c r="AC816" s="548"/>
      <c r="AD816" s="548"/>
      <c r="AE816" s="548"/>
      <c r="AF816" s="548"/>
      <c r="AG816" s="549"/>
      <c r="AH816" s="518"/>
    </row>
    <row r="817">
      <c r="A817" s="546"/>
      <c r="B817" s="547"/>
      <c r="C817" s="547"/>
      <c r="D817" s="547"/>
      <c r="E817" s="547"/>
      <c r="F817" s="547"/>
      <c r="G817" s="547"/>
      <c r="H817" s="547"/>
      <c r="I817" s="547"/>
      <c r="J817" s="547"/>
      <c r="K817" s="547"/>
      <c r="L817" s="547"/>
      <c r="M817" s="547"/>
      <c r="N817" s="548"/>
      <c r="O817" s="548"/>
      <c r="P817" s="548"/>
      <c r="Q817" s="548"/>
      <c r="R817" s="548"/>
      <c r="S817" s="548"/>
      <c r="T817" s="548"/>
      <c r="U817" s="548"/>
      <c r="V817" s="548"/>
      <c r="W817" s="548"/>
      <c r="X817" s="548"/>
      <c r="Y817" s="548"/>
      <c r="Z817" s="548"/>
      <c r="AA817" s="548"/>
      <c r="AB817" s="548"/>
      <c r="AC817" s="548"/>
      <c r="AD817" s="548"/>
      <c r="AE817" s="548"/>
      <c r="AF817" s="548"/>
      <c r="AG817" s="549"/>
      <c r="AH817" s="518"/>
    </row>
    <row r="818">
      <c r="A818" s="546"/>
      <c r="B818" s="547"/>
      <c r="C818" s="547"/>
      <c r="D818" s="547"/>
      <c r="E818" s="547"/>
      <c r="F818" s="547"/>
      <c r="G818" s="547"/>
      <c r="H818" s="547"/>
      <c r="I818" s="547"/>
      <c r="J818" s="547"/>
      <c r="K818" s="547"/>
      <c r="L818" s="547"/>
      <c r="M818" s="547"/>
      <c r="N818" s="548"/>
      <c r="O818" s="548"/>
      <c r="P818" s="548"/>
      <c r="Q818" s="548"/>
      <c r="R818" s="548"/>
      <c r="S818" s="548"/>
      <c r="T818" s="548"/>
      <c r="U818" s="548"/>
      <c r="V818" s="548"/>
      <c r="W818" s="548"/>
      <c r="X818" s="548"/>
      <c r="Y818" s="548"/>
      <c r="Z818" s="548"/>
      <c r="AA818" s="548"/>
      <c r="AB818" s="548"/>
      <c r="AC818" s="548"/>
      <c r="AD818" s="548"/>
      <c r="AE818" s="548"/>
      <c r="AF818" s="548"/>
      <c r="AG818" s="549"/>
      <c r="AH818" s="518"/>
    </row>
    <row r="819">
      <c r="A819" s="546"/>
      <c r="B819" s="547"/>
      <c r="C819" s="547"/>
      <c r="D819" s="547"/>
      <c r="E819" s="547"/>
      <c r="F819" s="547"/>
      <c r="G819" s="547"/>
      <c r="H819" s="547"/>
      <c r="I819" s="547"/>
      <c r="J819" s="547"/>
      <c r="K819" s="547"/>
      <c r="L819" s="547"/>
      <c r="M819" s="547"/>
      <c r="N819" s="548"/>
      <c r="O819" s="548"/>
      <c r="P819" s="548"/>
      <c r="Q819" s="548"/>
      <c r="R819" s="548"/>
      <c r="S819" s="548"/>
      <c r="T819" s="548"/>
      <c r="U819" s="548"/>
      <c r="V819" s="548"/>
      <c r="W819" s="548"/>
      <c r="X819" s="548"/>
      <c r="Y819" s="548"/>
      <c r="Z819" s="548"/>
      <c r="AA819" s="548"/>
      <c r="AB819" s="548"/>
      <c r="AC819" s="548"/>
      <c r="AD819" s="548"/>
      <c r="AE819" s="548"/>
      <c r="AF819" s="548"/>
      <c r="AG819" s="549"/>
      <c r="AH819" s="518"/>
    </row>
    <row r="820">
      <c r="A820" s="546"/>
      <c r="B820" s="547"/>
      <c r="C820" s="547"/>
      <c r="D820" s="547"/>
      <c r="E820" s="547"/>
      <c r="F820" s="547"/>
      <c r="G820" s="547"/>
      <c r="H820" s="547"/>
      <c r="I820" s="547"/>
      <c r="J820" s="547"/>
      <c r="K820" s="547"/>
      <c r="L820" s="547"/>
      <c r="M820" s="547"/>
      <c r="N820" s="548"/>
      <c r="O820" s="548"/>
      <c r="P820" s="548"/>
      <c r="Q820" s="548"/>
      <c r="R820" s="548"/>
      <c r="S820" s="548"/>
      <c r="T820" s="548"/>
      <c r="U820" s="548"/>
      <c r="V820" s="548"/>
      <c r="W820" s="548"/>
      <c r="X820" s="548"/>
      <c r="Y820" s="548"/>
      <c r="Z820" s="548"/>
      <c r="AA820" s="548"/>
      <c r="AB820" s="548"/>
      <c r="AC820" s="548"/>
      <c r="AD820" s="548"/>
      <c r="AE820" s="548"/>
      <c r="AF820" s="548"/>
      <c r="AG820" s="549"/>
      <c r="AH820" s="518"/>
    </row>
    <row r="821">
      <c r="A821" s="546"/>
      <c r="B821" s="547"/>
      <c r="C821" s="547"/>
      <c r="D821" s="547"/>
      <c r="E821" s="547"/>
      <c r="F821" s="547"/>
      <c r="G821" s="547"/>
      <c r="H821" s="547"/>
      <c r="I821" s="547"/>
      <c r="J821" s="547"/>
      <c r="K821" s="547"/>
      <c r="L821" s="547"/>
      <c r="M821" s="547"/>
      <c r="N821" s="548"/>
      <c r="O821" s="548"/>
      <c r="P821" s="548"/>
      <c r="Q821" s="548"/>
      <c r="R821" s="548"/>
      <c r="S821" s="548"/>
      <c r="T821" s="548"/>
      <c r="U821" s="548"/>
      <c r="V821" s="548"/>
      <c r="W821" s="548"/>
      <c r="X821" s="548"/>
      <c r="Y821" s="548"/>
      <c r="Z821" s="548"/>
      <c r="AA821" s="548"/>
      <c r="AB821" s="548"/>
      <c r="AC821" s="548"/>
      <c r="AD821" s="548"/>
      <c r="AE821" s="548"/>
      <c r="AF821" s="548"/>
      <c r="AG821" s="549"/>
      <c r="AH821" s="518"/>
    </row>
    <row r="822">
      <c r="A822" s="546"/>
      <c r="B822" s="547"/>
      <c r="C822" s="547"/>
      <c r="D822" s="547"/>
      <c r="E822" s="547"/>
      <c r="F822" s="547"/>
      <c r="G822" s="547"/>
      <c r="H822" s="547"/>
      <c r="I822" s="547"/>
      <c r="J822" s="547"/>
      <c r="K822" s="547"/>
      <c r="L822" s="547"/>
      <c r="M822" s="547"/>
      <c r="N822" s="548"/>
      <c r="O822" s="548"/>
      <c r="P822" s="548"/>
      <c r="Q822" s="548"/>
      <c r="R822" s="548"/>
      <c r="S822" s="548"/>
      <c r="T822" s="548"/>
      <c r="U822" s="548"/>
      <c r="V822" s="548"/>
      <c r="W822" s="548"/>
      <c r="X822" s="548"/>
      <c r="Y822" s="548"/>
      <c r="Z822" s="548"/>
      <c r="AA822" s="548"/>
      <c r="AB822" s="548"/>
      <c r="AC822" s="548"/>
      <c r="AD822" s="548"/>
      <c r="AE822" s="548"/>
      <c r="AF822" s="548"/>
      <c r="AG822" s="549"/>
      <c r="AH822" s="518"/>
    </row>
    <row r="823">
      <c r="A823" s="546"/>
      <c r="B823" s="547"/>
      <c r="C823" s="547"/>
      <c r="D823" s="547"/>
      <c r="E823" s="547"/>
      <c r="F823" s="547"/>
      <c r="G823" s="547"/>
      <c r="H823" s="547"/>
      <c r="I823" s="547"/>
      <c r="J823" s="547"/>
      <c r="K823" s="547"/>
      <c r="L823" s="547"/>
      <c r="M823" s="547"/>
      <c r="N823" s="548"/>
      <c r="O823" s="548"/>
      <c r="P823" s="548"/>
      <c r="Q823" s="548"/>
      <c r="R823" s="548"/>
      <c r="S823" s="548"/>
      <c r="T823" s="548"/>
      <c r="U823" s="548"/>
      <c r="V823" s="548"/>
      <c r="W823" s="548"/>
      <c r="X823" s="548"/>
      <c r="Y823" s="548"/>
      <c r="Z823" s="548"/>
      <c r="AA823" s="548"/>
      <c r="AB823" s="548"/>
      <c r="AC823" s="548"/>
      <c r="AD823" s="548"/>
      <c r="AE823" s="548"/>
      <c r="AF823" s="548"/>
      <c r="AG823" s="549"/>
      <c r="AH823" s="518"/>
    </row>
    <row r="824">
      <c r="A824" s="546"/>
      <c r="B824" s="547"/>
      <c r="C824" s="547"/>
      <c r="D824" s="547"/>
      <c r="E824" s="547"/>
      <c r="F824" s="547"/>
      <c r="G824" s="547"/>
      <c r="H824" s="547"/>
      <c r="I824" s="547"/>
      <c r="J824" s="547"/>
      <c r="K824" s="547"/>
      <c r="L824" s="547"/>
      <c r="M824" s="547"/>
      <c r="N824" s="548"/>
      <c r="O824" s="548"/>
      <c r="P824" s="548"/>
      <c r="Q824" s="548"/>
      <c r="R824" s="548"/>
      <c r="S824" s="548"/>
      <c r="T824" s="548"/>
      <c r="U824" s="548"/>
      <c r="V824" s="548"/>
      <c r="W824" s="548"/>
      <c r="X824" s="548"/>
      <c r="Y824" s="548"/>
      <c r="Z824" s="548"/>
      <c r="AA824" s="548"/>
      <c r="AB824" s="548"/>
      <c r="AC824" s="548"/>
      <c r="AD824" s="548"/>
      <c r="AE824" s="548"/>
      <c r="AF824" s="548"/>
      <c r="AG824" s="549"/>
      <c r="AH824" s="518"/>
    </row>
    <row r="825">
      <c r="A825" s="546"/>
      <c r="B825" s="547"/>
      <c r="C825" s="547"/>
      <c r="D825" s="547"/>
      <c r="E825" s="547"/>
      <c r="F825" s="547"/>
      <c r="G825" s="547"/>
      <c r="H825" s="547"/>
      <c r="I825" s="547"/>
      <c r="J825" s="547"/>
      <c r="K825" s="547"/>
      <c r="L825" s="547"/>
      <c r="M825" s="547"/>
      <c r="N825" s="548"/>
      <c r="O825" s="548"/>
      <c r="P825" s="548"/>
      <c r="Q825" s="548"/>
      <c r="R825" s="548"/>
      <c r="S825" s="548"/>
      <c r="T825" s="548"/>
      <c r="U825" s="548"/>
      <c r="V825" s="548"/>
      <c r="W825" s="548"/>
      <c r="X825" s="548"/>
      <c r="Y825" s="548"/>
      <c r="Z825" s="548"/>
      <c r="AA825" s="548"/>
      <c r="AB825" s="548"/>
      <c r="AC825" s="548"/>
      <c r="AD825" s="548"/>
      <c r="AE825" s="548"/>
      <c r="AF825" s="548"/>
      <c r="AG825" s="549"/>
      <c r="AH825" s="518"/>
    </row>
    <row r="826">
      <c r="A826" s="546"/>
      <c r="B826" s="547"/>
      <c r="C826" s="547"/>
      <c r="D826" s="547"/>
      <c r="E826" s="547"/>
      <c r="F826" s="547"/>
      <c r="G826" s="547"/>
      <c r="H826" s="547"/>
      <c r="I826" s="547"/>
      <c r="J826" s="547"/>
      <c r="K826" s="547"/>
      <c r="L826" s="547"/>
      <c r="M826" s="547"/>
      <c r="N826" s="548"/>
      <c r="O826" s="548"/>
      <c r="P826" s="548"/>
      <c r="Q826" s="548"/>
      <c r="R826" s="548"/>
      <c r="S826" s="548"/>
      <c r="T826" s="548"/>
      <c r="U826" s="548"/>
      <c r="V826" s="548"/>
      <c r="W826" s="548"/>
      <c r="X826" s="548"/>
      <c r="Y826" s="548"/>
      <c r="Z826" s="548"/>
      <c r="AA826" s="548"/>
      <c r="AB826" s="548"/>
      <c r="AC826" s="548"/>
      <c r="AD826" s="548"/>
      <c r="AE826" s="548"/>
      <c r="AF826" s="548"/>
      <c r="AG826" s="549"/>
      <c r="AH826" s="518"/>
    </row>
    <row r="827">
      <c r="A827" s="546"/>
      <c r="B827" s="547"/>
      <c r="C827" s="547"/>
      <c r="D827" s="547"/>
      <c r="E827" s="547"/>
      <c r="F827" s="547"/>
      <c r="G827" s="547"/>
      <c r="H827" s="547"/>
      <c r="I827" s="547"/>
      <c r="J827" s="547"/>
      <c r="K827" s="547"/>
      <c r="L827" s="547"/>
      <c r="M827" s="547"/>
      <c r="N827" s="548"/>
      <c r="O827" s="548"/>
      <c r="P827" s="548"/>
      <c r="Q827" s="548"/>
      <c r="R827" s="548"/>
      <c r="S827" s="548"/>
      <c r="T827" s="548"/>
      <c r="U827" s="548"/>
      <c r="V827" s="548"/>
      <c r="W827" s="548"/>
      <c r="X827" s="548"/>
      <c r="Y827" s="548"/>
      <c r="Z827" s="548"/>
      <c r="AA827" s="548"/>
      <c r="AB827" s="548"/>
      <c r="AC827" s="548"/>
      <c r="AD827" s="548"/>
      <c r="AE827" s="548"/>
      <c r="AF827" s="548"/>
      <c r="AG827" s="549"/>
      <c r="AH827" s="518"/>
    </row>
    <row r="828">
      <c r="A828" s="546"/>
      <c r="B828" s="547"/>
      <c r="C828" s="547"/>
      <c r="D828" s="547"/>
      <c r="E828" s="547"/>
      <c r="F828" s="547"/>
      <c r="G828" s="547"/>
      <c r="H828" s="547"/>
      <c r="I828" s="547"/>
      <c r="J828" s="547"/>
      <c r="K828" s="547"/>
      <c r="L828" s="547"/>
      <c r="M828" s="547"/>
      <c r="N828" s="548"/>
      <c r="O828" s="548"/>
      <c r="P828" s="548"/>
      <c r="Q828" s="548"/>
      <c r="R828" s="548"/>
      <c r="S828" s="548"/>
      <c r="T828" s="548"/>
      <c r="U828" s="548"/>
      <c r="V828" s="548"/>
      <c r="W828" s="548"/>
      <c r="X828" s="548"/>
      <c r="Y828" s="548"/>
      <c r="Z828" s="548"/>
      <c r="AA828" s="548"/>
      <c r="AB828" s="548"/>
      <c r="AC828" s="548"/>
      <c r="AD828" s="548"/>
      <c r="AE828" s="548"/>
      <c r="AF828" s="548"/>
      <c r="AG828" s="549"/>
      <c r="AH828" s="518"/>
    </row>
    <row r="829">
      <c r="A829" s="546"/>
      <c r="B829" s="547"/>
      <c r="C829" s="547"/>
      <c r="D829" s="547"/>
      <c r="E829" s="547"/>
      <c r="F829" s="547"/>
      <c r="G829" s="547"/>
      <c r="H829" s="547"/>
      <c r="I829" s="547"/>
      <c r="J829" s="547"/>
      <c r="K829" s="547"/>
      <c r="L829" s="547"/>
      <c r="M829" s="547"/>
      <c r="N829" s="548"/>
      <c r="O829" s="548"/>
      <c r="P829" s="548"/>
      <c r="Q829" s="548"/>
      <c r="R829" s="548"/>
      <c r="S829" s="548"/>
      <c r="T829" s="548"/>
      <c r="U829" s="548"/>
      <c r="V829" s="548"/>
      <c r="W829" s="548"/>
      <c r="X829" s="548"/>
      <c r="Y829" s="548"/>
      <c r="Z829" s="548"/>
      <c r="AA829" s="548"/>
      <c r="AB829" s="548"/>
      <c r="AC829" s="548"/>
      <c r="AD829" s="548"/>
      <c r="AE829" s="548"/>
      <c r="AF829" s="548"/>
      <c r="AG829" s="549"/>
      <c r="AH829" s="518"/>
    </row>
    <row r="830">
      <c r="A830" s="546"/>
      <c r="B830" s="547"/>
      <c r="C830" s="547"/>
      <c r="D830" s="547"/>
      <c r="E830" s="547"/>
      <c r="F830" s="547"/>
      <c r="G830" s="547"/>
      <c r="H830" s="547"/>
      <c r="I830" s="547"/>
      <c r="J830" s="547"/>
      <c r="K830" s="547"/>
      <c r="L830" s="547"/>
      <c r="M830" s="547"/>
      <c r="N830" s="548"/>
      <c r="O830" s="548"/>
      <c r="P830" s="548"/>
      <c r="Q830" s="548"/>
      <c r="R830" s="548"/>
      <c r="S830" s="548"/>
      <c r="T830" s="548"/>
      <c r="U830" s="548"/>
      <c r="V830" s="548"/>
      <c r="W830" s="548"/>
      <c r="X830" s="548"/>
      <c r="Y830" s="548"/>
      <c r="Z830" s="548"/>
      <c r="AA830" s="548"/>
      <c r="AB830" s="548"/>
      <c r="AC830" s="548"/>
      <c r="AD830" s="548"/>
      <c r="AE830" s="548"/>
      <c r="AF830" s="548"/>
      <c r="AG830" s="549"/>
      <c r="AH830" s="518"/>
    </row>
    <row r="831">
      <c r="A831" s="546"/>
      <c r="B831" s="547"/>
      <c r="C831" s="547"/>
      <c r="D831" s="547"/>
      <c r="E831" s="547"/>
      <c r="F831" s="547"/>
      <c r="G831" s="547"/>
      <c r="H831" s="547"/>
      <c r="I831" s="547"/>
      <c r="J831" s="547"/>
      <c r="K831" s="547"/>
      <c r="L831" s="547"/>
      <c r="M831" s="547"/>
      <c r="N831" s="548"/>
      <c r="O831" s="548"/>
      <c r="P831" s="548"/>
      <c r="Q831" s="548"/>
      <c r="R831" s="548"/>
      <c r="S831" s="548"/>
      <c r="T831" s="548"/>
      <c r="U831" s="548"/>
      <c r="V831" s="548"/>
      <c r="W831" s="548"/>
      <c r="X831" s="548"/>
      <c r="Y831" s="548"/>
      <c r="Z831" s="548"/>
      <c r="AA831" s="548"/>
      <c r="AB831" s="548"/>
      <c r="AC831" s="548"/>
      <c r="AD831" s="548"/>
      <c r="AE831" s="548"/>
      <c r="AF831" s="548"/>
      <c r="AG831" s="549"/>
      <c r="AH831" s="518"/>
    </row>
    <row r="832">
      <c r="A832" s="546"/>
      <c r="B832" s="547"/>
      <c r="C832" s="547"/>
      <c r="D832" s="547"/>
      <c r="E832" s="547"/>
      <c r="F832" s="547"/>
      <c r="G832" s="547"/>
      <c r="H832" s="547"/>
      <c r="I832" s="547"/>
      <c r="J832" s="547"/>
      <c r="K832" s="547"/>
      <c r="L832" s="547"/>
      <c r="M832" s="547"/>
      <c r="N832" s="548"/>
      <c r="O832" s="548"/>
      <c r="P832" s="548"/>
      <c r="Q832" s="548"/>
      <c r="R832" s="548"/>
      <c r="S832" s="548"/>
      <c r="T832" s="548"/>
      <c r="U832" s="548"/>
      <c r="V832" s="548"/>
      <c r="W832" s="548"/>
      <c r="X832" s="548"/>
      <c r="Y832" s="548"/>
      <c r="Z832" s="548"/>
      <c r="AA832" s="548"/>
      <c r="AB832" s="548"/>
      <c r="AC832" s="548"/>
      <c r="AD832" s="548"/>
      <c r="AE832" s="548"/>
      <c r="AF832" s="548"/>
      <c r="AG832" s="549"/>
      <c r="AH832" s="518"/>
    </row>
    <row r="833">
      <c r="A833" s="546"/>
      <c r="B833" s="547"/>
      <c r="C833" s="547"/>
      <c r="D833" s="547"/>
      <c r="E833" s="547"/>
      <c r="F833" s="547"/>
      <c r="G833" s="547"/>
      <c r="H833" s="547"/>
      <c r="I833" s="547"/>
      <c r="J833" s="547"/>
      <c r="K833" s="547"/>
      <c r="L833" s="547"/>
      <c r="M833" s="547"/>
      <c r="N833" s="548"/>
      <c r="O833" s="548"/>
      <c r="P833" s="548"/>
      <c r="Q833" s="548"/>
      <c r="R833" s="548"/>
      <c r="S833" s="548"/>
      <c r="T833" s="548"/>
      <c r="U833" s="548"/>
      <c r="V833" s="548"/>
      <c r="W833" s="548"/>
      <c r="X833" s="548"/>
      <c r="Y833" s="548"/>
      <c r="Z833" s="548"/>
      <c r="AA833" s="548"/>
      <c r="AB833" s="548"/>
      <c r="AC833" s="548"/>
      <c r="AD833" s="548"/>
      <c r="AE833" s="548"/>
      <c r="AF833" s="548"/>
      <c r="AG833" s="549"/>
      <c r="AH833" s="518"/>
    </row>
    <row r="834">
      <c r="A834" s="546"/>
      <c r="B834" s="547"/>
      <c r="C834" s="547"/>
      <c r="D834" s="547"/>
      <c r="E834" s="547"/>
      <c r="F834" s="547"/>
      <c r="G834" s="547"/>
      <c r="H834" s="547"/>
      <c r="I834" s="547"/>
      <c r="J834" s="547"/>
      <c r="K834" s="547"/>
      <c r="L834" s="547"/>
      <c r="M834" s="547"/>
      <c r="N834" s="548"/>
      <c r="O834" s="548"/>
      <c r="P834" s="548"/>
      <c r="Q834" s="548"/>
      <c r="R834" s="548"/>
      <c r="S834" s="548"/>
      <c r="T834" s="548"/>
      <c r="U834" s="548"/>
      <c r="V834" s="548"/>
      <c r="W834" s="548"/>
      <c r="X834" s="548"/>
      <c r="Y834" s="548"/>
      <c r="Z834" s="548"/>
      <c r="AA834" s="548"/>
      <c r="AB834" s="548"/>
      <c r="AC834" s="548"/>
      <c r="AD834" s="548"/>
      <c r="AE834" s="548"/>
      <c r="AF834" s="548"/>
      <c r="AG834" s="549"/>
      <c r="AH834" s="518"/>
    </row>
    <row r="835">
      <c r="A835" s="546"/>
      <c r="B835" s="547"/>
      <c r="C835" s="547"/>
      <c r="D835" s="547"/>
      <c r="E835" s="547"/>
      <c r="F835" s="547"/>
      <c r="G835" s="547"/>
      <c r="H835" s="547"/>
      <c r="I835" s="547"/>
      <c r="J835" s="547"/>
      <c r="K835" s="547"/>
      <c r="L835" s="547"/>
      <c r="M835" s="547"/>
      <c r="N835" s="548"/>
      <c r="O835" s="548"/>
      <c r="P835" s="548"/>
      <c r="Q835" s="548"/>
      <c r="R835" s="548"/>
      <c r="S835" s="548"/>
      <c r="T835" s="548"/>
      <c r="U835" s="548"/>
      <c r="V835" s="548"/>
      <c r="W835" s="548"/>
      <c r="X835" s="548"/>
      <c r="Y835" s="548"/>
      <c r="Z835" s="548"/>
      <c r="AA835" s="548"/>
      <c r="AB835" s="548"/>
      <c r="AC835" s="548"/>
      <c r="AD835" s="548"/>
      <c r="AE835" s="548"/>
      <c r="AF835" s="548"/>
      <c r="AG835" s="549"/>
      <c r="AH835" s="518"/>
    </row>
    <row r="836">
      <c r="A836" s="546"/>
      <c r="B836" s="547"/>
      <c r="C836" s="547"/>
      <c r="D836" s="547"/>
      <c r="E836" s="547"/>
      <c r="F836" s="547"/>
      <c r="G836" s="547"/>
      <c r="H836" s="547"/>
      <c r="I836" s="547"/>
      <c r="J836" s="547"/>
      <c r="K836" s="547"/>
      <c r="L836" s="547"/>
      <c r="M836" s="547"/>
      <c r="N836" s="548"/>
      <c r="O836" s="548"/>
      <c r="P836" s="548"/>
      <c r="Q836" s="548"/>
      <c r="R836" s="548"/>
      <c r="S836" s="548"/>
      <c r="T836" s="548"/>
      <c r="U836" s="548"/>
      <c r="V836" s="548"/>
      <c r="W836" s="548"/>
      <c r="X836" s="548"/>
      <c r="Y836" s="548"/>
      <c r="Z836" s="548"/>
      <c r="AA836" s="548"/>
      <c r="AB836" s="548"/>
      <c r="AC836" s="548"/>
      <c r="AD836" s="548"/>
      <c r="AE836" s="548"/>
      <c r="AF836" s="548"/>
      <c r="AG836" s="549"/>
      <c r="AH836" s="518"/>
    </row>
    <row r="837">
      <c r="A837" s="546"/>
      <c r="B837" s="547"/>
      <c r="C837" s="547"/>
      <c r="D837" s="547"/>
      <c r="E837" s="547"/>
      <c r="F837" s="547"/>
      <c r="G837" s="547"/>
      <c r="H837" s="547"/>
      <c r="I837" s="547"/>
      <c r="J837" s="547"/>
      <c r="K837" s="547"/>
      <c r="L837" s="547"/>
      <c r="M837" s="547"/>
      <c r="N837" s="548"/>
      <c r="O837" s="548"/>
      <c r="P837" s="548"/>
      <c r="Q837" s="548"/>
      <c r="R837" s="548"/>
      <c r="S837" s="548"/>
      <c r="T837" s="548"/>
      <c r="U837" s="548"/>
      <c r="V837" s="548"/>
      <c r="W837" s="548"/>
      <c r="X837" s="548"/>
      <c r="Y837" s="548"/>
      <c r="Z837" s="548"/>
      <c r="AA837" s="548"/>
      <c r="AB837" s="548"/>
      <c r="AC837" s="548"/>
      <c r="AD837" s="548"/>
      <c r="AE837" s="548"/>
      <c r="AF837" s="548"/>
      <c r="AG837" s="549"/>
      <c r="AH837" s="518"/>
    </row>
    <row r="838">
      <c r="A838" s="546"/>
      <c r="B838" s="547"/>
      <c r="C838" s="547"/>
      <c r="D838" s="547"/>
      <c r="E838" s="547"/>
      <c r="F838" s="547"/>
      <c r="G838" s="547"/>
      <c r="H838" s="547"/>
      <c r="I838" s="547"/>
      <c r="J838" s="547"/>
      <c r="K838" s="547"/>
      <c r="L838" s="547"/>
      <c r="M838" s="547"/>
      <c r="N838" s="548"/>
      <c r="O838" s="548"/>
      <c r="P838" s="548"/>
      <c r="Q838" s="548"/>
      <c r="R838" s="548"/>
      <c r="S838" s="548"/>
      <c r="T838" s="548"/>
      <c r="U838" s="548"/>
      <c r="V838" s="548"/>
      <c r="W838" s="548"/>
      <c r="X838" s="548"/>
      <c r="Y838" s="548"/>
      <c r="Z838" s="548"/>
      <c r="AA838" s="548"/>
      <c r="AB838" s="548"/>
      <c r="AC838" s="548"/>
      <c r="AD838" s="548"/>
      <c r="AE838" s="548"/>
      <c r="AF838" s="548"/>
      <c r="AG838" s="549"/>
      <c r="AH838" s="518"/>
    </row>
    <row r="839">
      <c r="A839" s="546"/>
      <c r="B839" s="547"/>
      <c r="C839" s="547"/>
      <c r="D839" s="547"/>
      <c r="E839" s="547"/>
      <c r="F839" s="547"/>
      <c r="G839" s="547"/>
      <c r="H839" s="547"/>
      <c r="I839" s="547"/>
      <c r="J839" s="547"/>
      <c r="K839" s="547"/>
      <c r="L839" s="547"/>
      <c r="M839" s="547"/>
      <c r="N839" s="548"/>
      <c r="O839" s="548"/>
      <c r="P839" s="548"/>
      <c r="Q839" s="548"/>
      <c r="R839" s="548"/>
      <c r="S839" s="548"/>
      <c r="T839" s="548"/>
      <c r="U839" s="548"/>
      <c r="V839" s="548"/>
      <c r="W839" s="548"/>
      <c r="X839" s="548"/>
      <c r="Y839" s="548"/>
      <c r="Z839" s="548"/>
      <c r="AA839" s="548"/>
      <c r="AB839" s="548"/>
      <c r="AC839" s="548"/>
      <c r="AD839" s="548"/>
      <c r="AE839" s="548"/>
      <c r="AF839" s="548"/>
      <c r="AG839" s="549"/>
      <c r="AH839" s="518"/>
    </row>
    <row r="840">
      <c r="A840" s="546"/>
      <c r="B840" s="547"/>
      <c r="C840" s="547"/>
      <c r="D840" s="547"/>
      <c r="E840" s="547"/>
      <c r="F840" s="547"/>
      <c r="G840" s="547"/>
      <c r="H840" s="547"/>
      <c r="I840" s="547"/>
      <c r="J840" s="547"/>
      <c r="K840" s="547"/>
      <c r="L840" s="547"/>
      <c r="M840" s="547"/>
      <c r="N840" s="548"/>
      <c r="O840" s="548"/>
      <c r="P840" s="548"/>
      <c r="Q840" s="548"/>
      <c r="R840" s="548"/>
      <c r="S840" s="548"/>
      <c r="T840" s="548"/>
      <c r="U840" s="548"/>
      <c r="V840" s="548"/>
      <c r="W840" s="548"/>
      <c r="X840" s="548"/>
      <c r="Y840" s="548"/>
      <c r="Z840" s="548"/>
      <c r="AA840" s="548"/>
      <c r="AB840" s="548"/>
      <c r="AC840" s="548"/>
      <c r="AD840" s="548"/>
      <c r="AE840" s="548"/>
      <c r="AF840" s="548"/>
      <c r="AG840" s="549"/>
      <c r="AH840" s="518"/>
    </row>
    <row r="841">
      <c r="A841" s="546"/>
      <c r="B841" s="547"/>
      <c r="C841" s="547"/>
      <c r="D841" s="547"/>
      <c r="E841" s="547"/>
      <c r="F841" s="547"/>
      <c r="G841" s="547"/>
      <c r="H841" s="547"/>
      <c r="I841" s="547"/>
      <c r="J841" s="547"/>
      <c r="K841" s="547"/>
      <c r="L841" s="547"/>
      <c r="M841" s="547"/>
      <c r="N841" s="548"/>
      <c r="O841" s="548"/>
      <c r="P841" s="548"/>
      <c r="Q841" s="548"/>
      <c r="R841" s="548"/>
      <c r="S841" s="548"/>
      <c r="T841" s="548"/>
      <c r="U841" s="548"/>
      <c r="V841" s="548"/>
      <c r="W841" s="548"/>
      <c r="X841" s="548"/>
      <c r="Y841" s="548"/>
      <c r="Z841" s="548"/>
      <c r="AA841" s="548"/>
      <c r="AB841" s="548"/>
      <c r="AC841" s="548"/>
      <c r="AD841" s="548"/>
      <c r="AE841" s="548"/>
      <c r="AF841" s="548"/>
      <c r="AG841" s="549"/>
      <c r="AH841" s="518"/>
    </row>
    <row r="842">
      <c r="A842" s="546"/>
      <c r="B842" s="547"/>
      <c r="C842" s="547"/>
      <c r="D842" s="547"/>
      <c r="E842" s="547"/>
      <c r="F842" s="547"/>
      <c r="G842" s="547"/>
      <c r="H842" s="547"/>
      <c r="I842" s="547"/>
      <c r="J842" s="547"/>
      <c r="K842" s="547"/>
      <c r="L842" s="547"/>
      <c r="M842" s="547"/>
      <c r="N842" s="548"/>
      <c r="O842" s="548"/>
      <c r="P842" s="548"/>
      <c r="Q842" s="548"/>
      <c r="R842" s="548"/>
      <c r="S842" s="548"/>
      <c r="T842" s="548"/>
      <c r="U842" s="548"/>
      <c r="V842" s="548"/>
      <c r="W842" s="548"/>
      <c r="X842" s="548"/>
      <c r="Y842" s="548"/>
      <c r="Z842" s="548"/>
      <c r="AA842" s="548"/>
      <c r="AB842" s="548"/>
      <c r="AC842" s="548"/>
      <c r="AD842" s="548"/>
      <c r="AE842" s="548"/>
      <c r="AF842" s="548"/>
      <c r="AG842" s="549"/>
      <c r="AH842" s="518"/>
    </row>
    <row r="843">
      <c r="A843" s="546"/>
      <c r="B843" s="547"/>
      <c r="C843" s="547"/>
      <c r="D843" s="547"/>
      <c r="E843" s="547"/>
      <c r="F843" s="547"/>
      <c r="G843" s="547"/>
      <c r="H843" s="547"/>
      <c r="I843" s="547"/>
      <c r="J843" s="547"/>
      <c r="K843" s="547"/>
      <c r="L843" s="547"/>
      <c r="M843" s="547"/>
      <c r="N843" s="548"/>
      <c r="O843" s="548"/>
      <c r="P843" s="548"/>
      <c r="Q843" s="548"/>
      <c r="R843" s="548"/>
      <c r="S843" s="548"/>
      <c r="T843" s="548"/>
      <c r="U843" s="548"/>
      <c r="V843" s="548"/>
      <c r="W843" s="548"/>
      <c r="X843" s="548"/>
      <c r="Y843" s="548"/>
      <c r="Z843" s="548"/>
      <c r="AA843" s="548"/>
      <c r="AB843" s="548"/>
      <c r="AC843" s="548"/>
      <c r="AD843" s="548"/>
      <c r="AE843" s="548"/>
      <c r="AF843" s="548"/>
      <c r="AG843" s="549"/>
      <c r="AH843" s="518"/>
    </row>
    <row r="844">
      <c r="A844" s="546"/>
      <c r="B844" s="547"/>
      <c r="C844" s="547"/>
      <c r="D844" s="547"/>
      <c r="E844" s="547"/>
      <c r="F844" s="547"/>
      <c r="G844" s="547"/>
      <c r="H844" s="547"/>
      <c r="I844" s="547"/>
      <c r="J844" s="547"/>
      <c r="K844" s="547"/>
      <c r="L844" s="547"/>
      <c r="M844" s="547"/>
      <c r="N844" s="548"/>
      <c r="O844" s="548"/>
      <c r="P844" s="548"/>
      <c r="Q844" s="548"/>
      <c r="R844" s="548"/>
      <c r="S844" s="548"/>
      <c r="T844" s="548"/>
      <c r="U844" s="548"/>
      <c r="V844" s="548"/>
      <c r="W844" s="548"/>
      <c r="X844" s="548"/>
      <c r="Y844" s="548"/>
      <c r="Z844" s="548"/>
      <c r="AA844" s="548"/>
      <c r="AB844" s="548"/>
      <c r="AC844" s="548"/>
      <c r="AD844" s="548"/>
      <c r="AE844" s="548"/>
      <c r="AF844" s="548"/>
      <c r="AG844" s="549"/>
      <c r="AH844" s="518"/>
    </row>
    <row r="845">
      <c r="A845" s="546"/>
      <c r="B845" s="547"/>
      <c r="C845" s="547"/>
      <c r="D845" s="547"/>
      <c r="E845" s="547"/>
      <c r="F845" s="547"/>
      <c r="G845" s="547"/>
      <c r="H845" s="547"/>
      <c r="I845" s="547"/>
      <c r="J845" s="547"/>
      <c r="K845" s="547"/>
      <c r="L845" s="547"/>
      <c r="M845" s="547"/>
      <c r="N845" s="548"/>
      <c r="O845" s="548"/>
      <c r="P845" s="548"/>
      <c r="Q845" s="548"/>
      <c r="R845" s="548"/>
      <c r="S845" s="548"/>
      <c r="T845" s="548"/>
      <c r="U845" s="548"/>
      <c r="V845" s="548"/>
      <c r="W845" s="548"/>
      <c r="X845" s="548"/>
      <c r="Y845" s="548"/>
      <c r="Z845" s="548"/>
      <c r="AA845" s="548"/>
      <c r="AB845" s="548"/>
      <c r="AC845" s="548"/>
      <c r="AD845" s="548"/>
      <c r="AE845" s="548"/>
      <c r="AF845" s="548"/>
      <c r="AG845" s="549"/>
      <c r="AH845" s="518"/>
    </row>
    <row r="846">
      <c r="A846" s="546"/>
      <c r="B846" s="547"/>
      <c r="C846" s="547"/>
      <c r="D846" s="547"/>
      <c r="E846" s="547"/>
      <c r="F846" s="547"/>
      <c r="G846" s="547"/>
      <c r="H846" s="547"/>
      <c r="I846" s="547"/>
      <c r="J846" s="547"/>
      <c r="K846" s="547"/>
      <c r="L846" s="547"/>
      <c r="M846" s="547"/>
      <c r="N846" s="548"/>
      <c r="O846" s="548"/>
      <c r="P846" s="548"/>
      <c r="Q846" s="548"/>
      <c r="R846" s="548"/>
      <c r="S846" s="548"/>
      <c r="T846" s="548"/>
      <c r="U846" s="548"/>
      <c r="V846" s="548"/>
      <c r="W846" s="548"/>
      <c r="X846" s="548"/>
      <c r="Y846" s="548"/>
      <c r="Z846" s="548"/>
      <c r="AA846" s="548"/>
      <c r="AB846" s="548"/>
      <c r="AC846" s="548"/>
      <c r="AD846" s="548"/>
      <c r="AE846" s="548"/>
      <c r="AF846" s="548"/>
      <c r="AG846" s="549"/>
      <c r="AH846" s="518"/>
    </row>
    <row r="847">
      <c r="A847" s="546"/>
      <c r="B847" s="547"/>
      <c r="C847" s="547"/>
      <c r="D847" s="547"/>
      <c r="E847" s="547"/>
      <c r="F847" s="547"/>
      <c r="G847" s="547"/>
      <c r="H847" s="547"/>
      <c r="I847" s="547"/>
      <c r="J847" s="547"/>
      <c r="K847" s="547"/>
      <c r="L847" s="547"/>
      <c r="M847" s="547"/>
      <c r="N847" s="548"/>
      <c r="O847" s="548"/>
      <c r="P847" s="548"/>
      <c r="Q847" s="548"/>
      <c r="R847" s="548"/>
      <c r="S847" s="548"/>
      <c r="T847" s="548"/>
      <c r="U847" s="548"/>
      <c r="V847" s="548"/>
      <c r="W847" s="548"/>
      <c r="X847" s="548"/>
      <c r="Y847" s="548"/>
      <c r="Z847" s="548"/>
      <c r="AA847" s="548"/>
      <c r="AB847" s="548"/>
      <c r="AC847" s="548"/>
      <c r="AD847" s="548"/>
      <c r="AE847" s="548"/>
      <c r="AF847" s="548"/>
      <c r="AG847" s="549"/>
      <c r="AH847" s="518"/>
    </row>
    <row r="848">
      <c r="A848" s="546"/>
      <c r="B848" s="547"/>
      <c r="C848" s="547"/>
      <c r="D848" s="547"/>
      <c r="E848" s="547"/>
      <c r="F848" s="547"/>
      <c r="G848" s="547"/>
      <c r="H848" s="547"/>
      <c r="I848" s="547"/>
      <c r="J848" s="547"/>
      <c r="K848" s="547"/>
      <c r="L848" s="547"/>
      <c r="M848" s="547"/>
      <c r="N848" s="548"/>
      <c r="O848" s="548"/>
      <c r="P848" s="548"/>
      <c r="Q848" s="548"/>
      <c r="R848" s="548"/>
      <c r="S848" s="548"/>
      <c r="T848" s="548"/>
      <c r="U848" s="548"/>
      <c r="V848" s="548"/>
      <c r="W848" s="548"/>
      <c r="X848" s="548"/>
      <c r="Y848" s="548"/>
      <c r="Z848" s="548"/>
      <c r="AA848" s="548"/>
      <c r="AB848" s="548"/>
      <c r="AC848" s="548"/>
      <c r="AD848" s="548"/>
      <c r="AE848" s="548"/>
      <c r="AF848" s="548"/>
      <c r="AG848" s="549"/>
      <c r="AH848" s="518"/>
    </row>
    <row r="849">
      <c r="A849" s="546"/>
      <c r="B849" s="547"/>
      <c r="C849" s="547"/>
      <c r="D849" s="547"/>
      <c r="E849" s="547"/>
      <c r="F849" s="547"/>
      <c r="G849" s="547"/>
      <c r="H849" s="547"/>
      <c r="I849" s="547"/>
      <c r="J849" s="547"/>
      <c r="K849" s="547"/>
      <c r="L849" s="547"/>
      <c r="M849" s="547"/>
      <c r="N849" s="548"/>
      <c r="O849" s="548"/>
      <c r="P849" s="548"/>
      <c r="Q849" s="548"/>
      <c r="R849" s="548"/>
      <c r="S849" s="548"/>
      <c r="T849" s="548"/>
      <c r="U849" s="548"/>
      <c r="V849" s="548"/>
      <c r="W849" s="548"/>
      <c r="X849" s="548"/>
      <c r="Y849" s="548"/>
      <c r="Z849" s="548"/>
      <c r="AA849" s="548"/>
      <c r="AB849" s="548"/>
      <c r="AC849" s="548"/>
      <c r="AD849" s="548"/>
      <c r="AE849" s="548"/>
      <c r="AF849" s="548"/>
      <c r="AG849" s="549"/>
      <c r="AH849" s="518"/>
    </row>
    <row r="850">
      <c r="A850" s="546"/>
      <c r="B850" s="547"/>
      <c r="C850" s="547"/>
      <c r="D850" s="547"/>
      <c r="E850" s="547"/>
      <c r="F850" s="547"/>
      <c r="G850" s="547"/>
      <c r="H850" s="547"/>
      <c r="I850" s="547"/>
      <c r="J850" s="547"/>
      <c r="K850" s="547"/>
      <c r="L850" s="547"/>
      <c r="M850" s="547"/>
      <c r="N850" s="548"/>
      <c r="O850" s="548"/>
      <c r="P850" s="548"/>
      <c r="Q850" s="548"/>
      <c r="R850" s="548"/>
      <c r="S850" s="548"/>
      <c r="T850" s="548"/>
      <c r="U850" s="548"/>
      <c r="V850" s="548"/>
      <c r="W850" s="548"/>
      <c r="X850" s="548"/>
      <c r="Y850" s="548"/>
      <c r="Z850" s="548"/>
      <c r="AA850" s="548"/>
      <c r="AB850" s="548"/>
      <c r="AC850" s="548"/>
      <c r="AD850" s="548"/>
      <c r="AE850" s="548"/>
      <c r="AF850" s="548"/>
      <c r="AG850" s="549"/>
      <c r="AH850" s="518"/>
    </row>
    <row r="851">
      <c r="A851" s="546"/>
      <c r="B851" s="547"/>
      <c r="C851" s="547"/>
      <c r="D851" s="547"/>
      <c r="E851" s="547"/>
      <c r="F851" s="547"/>
      <c r="G851" s="547"/>
      <c r="H851" s="547"/>
      <c r="I851" s="547"/>
      <c r="J851" s="547"/>
      <c r="K851" s="547"/>
      <c r="L851" s="547"/>
      <c r="M851" s="547"/>
      <c r="N851" s="548"/>
      <c r="O851" s="548"/>
      <c r="P851" s="548"/>
      <c r="Q851" s="548"/>
      <c r="R851" s="548"/>
      <c r="S851" s="548"/>
      <c r="T851" s="548"/>
      <c r="U851" s="548"/>
      <c r="V851" s="548"/>
      <c r="W851" s="548"/>
      <c r="X851" s="548"/>
      <c r="Y851" s="548"/>
      <c r="Z851" s="548"/>
      <c r="AA851" s="548"/>
      <c r="AB851" s="548"/>
      <c r="AC851" s="548"/>
      <c r="AD851" s="548"/>
      <c r="AE851" s="548"/>
      <c r="AF851" s="548"/>
      <c r="AG851" s="549"/>
      <c r="AH851" s="518"/>
    </row>
    <row r="852">
      <c r="A852" s="546"/>
      <c r="B852" s="547"/>
      <c r="C852" s="547"/>
      <c r="D852" s="547"/>
      <c r="E852" s="547"/>
      <c r="F852" s="547"/>
      <c r="G852" s="547"/>
      <c r="H852" s="547"/>
      <c r="I852" s="547"/>
      <c r="J852" s="547"/>
      <c r="K852" s="547"/>
      <c r="L852" s="547"/>
      <c r="M852" s="547"/>
      <c r="N852" s="548"/>
      <c r="O852" s="548"/>
      <c r="P852" s="548"/>
      <c r="Q852" s="548"/>
      <c r="R852" s="548"/>
      <c r="S852" s="548"/>
      <c r="T852" s="548"/>
      <c r="U852" s="548"/>
      <c r="V852" s="548"/>
      <c r="W852" s="548"/>
      <c r="X852" s="548"/>
      <c r="Y852" s="548"/>
      <c r="Z852" s="548"/>
      <c r="AA852" s="548"/>
      <c r="AB852" s="548"/>
      <c r="AC852" s="548"/>
      <c r="AD852" s="548"/>
      <c r="AE852" s="548"/>
      <c r="AF852" s="548"/>
      <c r="AG852" s="549"/>
      <c r="AH852" s="518"/>
    </row>
    <row r="853">
      <c r="A853" s="546"/>
      <c r="B853" s="547"/>
      <c r="C853" s="547"/>
      <c r="D853" s="547"/>
      <c r="E853" s="547"/>
      <c r="F853" s="547"/>
      <c r="G853" s="547"/>
      <c r="H853" s="547"/>
      <c r="I853" s="547"/>
      <c r="J853" s="547"/>
      <c r="K853" s="547"/>
      <c r="L853" s="547"/>
      <c r="M853" s="547"/>
      <c r="N853" s="548"/>
      <c r="O853" s="548"/>
      <c r="P853" s="548"/>
      <c r="Q853" s="548"/>
      <c r="R853" s="548"/>
      <c r="S853" s="548"/>
      <c r="T853" s="548"/>
      <c r="U853" s="548"/>
      <c r="V853" s="548"/>
      <c r="W853" s="548"/>
      <c r="X853" s="548"/>
      <c r="Y853" s="548"/>
      <c r="Z853" s="548"/>
      <c r="AA853" s="548"/>
      <c r="AB853" s="548"/>
      <c r="AC853" s="548"/>
      <c r="AD853" s="548"/>
      <c r="AE853" s="548"/>
      <c r="AF853" s="548"/>
      <c r="AG853" s="549"/>
      <c r="AH853" s="518"/>
    </row>
    <row r="854">
      <c r="A854" s="546"/>
      <c r="B854" s="547"/>
      <c r="C854" s="547"/>
      <c r="D854" s="547"/>
      <c r="E854" s="547"/>
      <c r="F854" s="547"/>
      <c r="G854" s="547"/>
      <c r="H854" s="547"/>
      <c r="I854" s="547"/>
      <c r="J854" s="547"/>
      <c r="K854" s="547"/>
      <c r="L854" s="547"/>
      <c r="M854" s="547"/>
      <c r="N854" s="548"/>
      <c r="O854" s="548"/>
      <c r="P854" s="548"/>
      <c r="Q854" s="548"/>
      <c r="R854" s="548"/>
      <c r="S854" s="548"/>
      <c r="T854" s="548"/>
      <c r="U854" s="548"/>
      <c r="V854" s="548"/>
      <c r="W854" s="548"/>
      <c r="X854" s="548"/>
      <c r="Y854" s="548"/>
      <c r="Z854" s="548"/>
      <c r="AA854" s="548"/>
      <c r="AB854" s="548"/>
      <c r="AC854" s="548"/>
      <c r="AD854" s="548"/>
      <c r="AE854" s="548"/>
      <c r="AF854" s="548"/>
      <c r="AG854" s="549"/>
      <c r="AH854" s="518"/>
    </row>
    <row r="855">
      <c r="A855" s="546"/>
      <c r="B855" s="547"/>
      <c r="C855" s="547"/>
      <c r="D855" s="547"/>
      <c r="E855" s="547"/>
      <c r="F855" s="547"/>
      <c r="G855" s="547"/>
      <c r="H855" s="547"/>
      <c r="I855" s="547"/>
      <c r="J855" s="547"/>
      <c r="K855" s="547"/>
      <c r="L855" s="547"/>
      <c r="M855" s="547"/>
      <c r="N855" s="548"/>
      <c r="O855" s="548"/>
      <c r="P855" s="548"/>
      <c r="Q855" s="548"/>
      <c r="R855" s="548"/>
      <c r="S855" s="548"/>
      <c r="T855" s="548"/>
      <c r="U855" s="548"/>
      <c r="V855" s="548"/>
      <c r="W855" s="548"/>
      <c r="X855" s="548"/>
      <c r="Y855" s="548"/>
      <c r="Z855" s="548"/>
      <c r="AA855" s="548"/>
      <c r="AB855" s="548"/>
      <c r="AC855" s="548"/>
      <c r="AD855" s="548"/>
      <c r="AE855" s="548"/>
      <c r="AF855" s="548"/>
      <c r="AG855" s="549"/>
      <c r="AH855" s="518"/>
    </row>
    <row r="856">
      <c r="A856" s="546"/>
      <c r="B856" s="547"/>
      <c r="C856" s="547"/>
      <c r="D856" s="547"/>
      <c r="E856" s="547"/>
      <c r="F856" s="547"/>
      <c r="G856" s="547"/>
      <c r="H856" s="547"/>
      <c r="I856" s="547"/>
      <c r="J856" s="547"/>
      <c r="K856" s="547"/>
      <c r="L856" s="547"/>
      <c r="M856" s="547"/>
      <c r="N856" s="548"/>
      <c r="O856" s="548"/>
      <c r="P856" s="548"/>
      <c r="Q856" s="548"/>
      <c r="R856" s="548"/>
      <c r="S856" s="548"/>
      <c r="T856" s="548"/>
      <c r="U856" s="548"/>
      <c r="V856" s="548"/>
      <c r="W856" s="548"/>
      <c r="X856" s="548"/>
      <c r="Y856" s="548"/>
      <c r="Z856" s="548"/>
      <c r="AA856" s="548"/>
      <c r="AB856" s="548"/>
      <c r="AC856" s="548"/>
      <c r="AD856" s="548"/>
      <c r="AE856" s="548"/>
      <c r="AF856" s="548"/>
      <c r="AG856" s="549"/>
      <c r="AH856" s="518"/>
    </row>
    <row r="857">
      <c r="A857" s="546"/>
      <c r="B857" s="547"/>
      <c r="C857" s="547"/>
      <c r="D857" s="547"/>
      <c r="E857" s="547"/>
      <c r="F857" s="547"/>
      <c r="G857" s="547"/>
      <c r="H857" s="547"/>
      <c r="I857" s="547"/>
      <c r="J857" s="547"/>
      <c r="K857" s="547"/>
      <c r="L857" s="547"/>
      <c r="M857" s="547"/>
      <c r="N857" s="548"/>
      <c r="O857" s="548"/>
      <c r="P857" s="548"/>
      <c r="Q857" s="548"/>
      <c r="R857" s="548"/>
      <c r="S857" s="548"/>
      <c r="T857" s="548"/>
      <c r="U857" s="548"/>
      <c r="V857" s="548"/>
      <c r="W857" s="548"/>
      <c r="X857" s="548"/>
      <c r="Y857" s="548"/>
      <c r="Z857" s="548"/>
      <c r="AA857" s="548"/>
      <c r="AB857" s="548"/>
      <c r="AC857" s="548"/>
      <c r="AD857" s="548"/>
      <c r="AE857" s="548"/>
      <c r="AF857" s="548"/>
      <c r="AG857" s="549"/>
      <c r="AH857" s="518"/>
    </row>
    <row r="858">
      <c r="A858" s="546"/>
      <c r="B858" s="547"/>
      <c r="C858" s="547"/>
      <c r="D858" s="547"/>
      <c r="E858" s="547"/>
      <c r="F858" s="547"/>
      <c r="G858" s="547"/>
      <c r="H858" s="547"/>
      <c r="I858" s="547"/>
      <c r="J858" s="547"/>
      <c r="K858" s="547"/>
      <c r="L858" s="547"/>
      <c r="M858" s="547"/>
      <c r="N858" s="548"/>
      <c r="O858" s="548"/>
      <c r="P858" s="548"/>
      <c r="Q858" s="548"/>
      <c r="R858" s="548"/>
      <c r="S858" s="548"/>
      <c r="T858" s="548"/>
      <c r="U858" s="548"/>
      <c r="V858" s="548"/>
      <c r="W858" s="548"/>
      <c r="X858" s="548"/>
      <c r="Y858" s="548"/>
      <c r="Z858" s="548"/>
      <c r="AA858" s="548"/>
      <c r="AB858" s="548"/>
      <c r="AC858" s="548"/>
      <c r="AD858" s="548"/>
      <c r="AE858" s="548"/>
      <c r="AF858" s="548"/>
      <c r="AG858" s="549"/>
      <c r="AH858" s="518"/>
    </row>
    <row r="859">
      <c r="A859" s="546"/>
      <c r="B859" s="547"/>
      <c r="C859" s="547"/>
      <c r="D859" s="547"/>
      <c r="E859" s="547"/>
      <c r="F859" s="547"/>
      <c r="G859" s="547"/>
      <c r="H859" s="547"/>
      <c r="I859" s="547"/>
      <c r="J859" s="547"/>
      <c r="K859" s="547"/>
      <c r="L859" s="547"/>
      <c r="M859" s="547"/>
      <c r="N859" s="548"/>
      <c r="O859" s="548"/>
      <c r="P859" s="548"/>
      <c r="Q859" s="548"/>
      <c r="R859" s="548"/>
      <c r="S859" s="548"/>
      <c r="T859" s="548"/>
      <c r="U859" s="548"/>
      <c r="V859" s="548"/>
      <c r="W859" s="548"/>
      <c r="X859" s="548"/>
      <c r="Y859" s="548"/>
      <c r="Z859" s="548"/>
      <c r="AA859" s="548"/>
      <c r="AB859" s="548"/>
      <c r="AC859" s="548"/>
      <c r="AD859" s="548"/>
      <c r="AE859" s="548"/>
      <c r="AF859" s="548"/>
      <c r="AG859" s="549"/>
      <c r="AH859" s="518"/>
    </row>
    <row r="860">
      <c r="A860" s="546"/>
      <c r="B860" s="547"/>
      <c r="C860" s="547"/>
      <c r="D860" s="547"/>
      <c r="E860" s="547"/>
      <c r="F860" s="547"/>
      <c r="G860" s="547"/>
      <c r="H860" s="547"/>
      <c r="I860" s="547"/>
      <c r="J860" s="547"/>
      <c r="K860" s="547"/>
      <c r="L860" s="547"/>
      <c r="M860" s="547"/>
      <c r="N860" s="548"/>
      <c r="O860" s="548"/>
      <c r="P860" s="548"/>
      <c r="Q860" s="548"/>
      <c r="R860" s="548"/>
      <c r="S860" s="548"/>
      <c r="T860" s="548"/>
      <c r="U860" s="548"/>
      <c r="V860" s="548"/>
      <c r="W860" s="548"/>
      <c r="X860" s="548"/>
      <c r="Y860" s="548"/>
      <c r="Z860" s="548"/>
      <c r="AA860" s="548"/>
      <c r="AB860" s="548"/>
      <c r="AC860" s="548"/>
      <c r="AD860" s="548"/>
      <c r="AE860" s="548"/>
      <c r="AF860" s="548"/>
      <c r="AG860" s="549"/>
      <c r="AH860" s="518"/>
    </row>
    <row r="861">
      <c r="A861" s="546"/>
      <c r="B861" s="547"/>
      <c r="C861" s="547"/>
      <c r="D861" s="547"/>
      <c r="E861" s="547"/>
      <c r="F861" s="547"/>
      <c r="G861" s="547"/>
      <c r="H861" s="547"/>
      <c r="I861" s="547"/>
      <c r="J861" s="547"/>
      <c r="K861" s="547"/>
      <c r="L861" s="547"/>
      <c r="M861" s="547"/>
      <c r="N861" s="548"/>
      <c r="O861" s="548"/>
      <c r="P861" s="548"/>
      <c r="Q861" s="548"/>
      <c r="R861" s="548"/>
      <c r="S861" s="548"/>
      <c r="T861" s="548"/>
      <c r="U861" s="548"/>
      <c r="V861" s="548"/>
      <c r="W861" s="548"/>
      <c r="X861" s="548"/>
      <c r="Y861" s="548"/>
      <c r="Z861" s="548"/>
      <c r="AA861" s="548"/>
      <c r="AB861" s="548"/>
      <c r="AC861" s="548"/>
      <c r="AD861" s="548"/>
      <c r="AE861" s="548"/>
      <c r="AF861" s="548"/>
      <c r="AG861" s="549"/>
      <c r="AH861" s="518"/>
    </row>
    <row r="862">
      <c r="A862" s="546"/>
      <c r="B862" s="547"/>
      <c r="C862" s="547"/>
      <c r="D862" s="547"/>
      <c r="E862" s="547"/>
      <c r="F862" s="547"/>
      <c r="G862" s="547"/>
      <c r="H862" s="547"/>
      <c r="I862" s="547"/>
      <c r="J862" s="547"/>
      <c r="K862" s="547"/>
      <c r="L862" s="547"/>
      <c r="M862" s="547"/>
      <c r="N862" s="548"/>
      <c r="O862" s="548"/>
      <c r="P862" s="548"/>
      <c r="Q862" s="548"/>
      <c r="R862" s="548"/>
      <c r="S862" s="548"/>
      <c r="T862" s="548"/>
      <c r="U862" s="548"/>
      <c r="V862" s="548"/>
      <c r="W862" s="548"/>
      <c r="X862" s="548"/>
      <c r="Y862" s="548"/>
      <c r="Z862" s="548"/>
      <c r="AA862" s="548"/>
      <c r="AB862" s="548"/>
      <c r="AC862" s="548"/>
      <c r="AD862" s="548"/>
      <c r="AE862" s="548"/>
      <c r="AF862" s="548"/>
      <c r="AG862" s="549"/>
      <c r="AH862" s="518"/>
    </row>
    <row r="863">
      <c r="A863" s="546"/>
      <c r="B863" s="547"/>
      <c r="C863" s="547"/>
      <c r="D863" s="547"/>
      <c r="E863" s="547"/>
      <c r="F863" s="547"/>
      <c r="G863" s="547"/>
      <c r="H863" s="547"/>
      <c r="I863" s="547"/>
      <c r="J863" s="547"/>
      <c r="K863" s="547"/>
      <c r="L863" s="547"/>
      <c r="M863" s="547"/>
      <c r="N863" s="548"/>
      <c r="O863" s="548"/>
      <c r="P863" s="548"/>
      <c r="Q863" s="548"/>
      <c r="R863" s="548"/>
      <c r="S863" s="548"/>
      <c r="T863" s="548"/>
      <c r="U863" s="548"/>
      <c r="V863" s="548"/>
      <c r="W863" s="548"/>
      <c r="X863" s="548"/>
      <c r="Y863" s="548"/>
      <c r="Z863" s="548"/>
      <c r="AA863" s="548"/>
      <c r="AB863" s="548"/>
      <c r="AC863" s="548"/>
      <c r="AD863" s="548"/>
      <c r="AE863" s="548"/>
      <c r="AF863" s="548"/>
      <c r="AG863" s="549"/>
      <c r="AH863" s="518"/>
    </row>
    <row r="864">
      <c r="A864" s="546"/>
      <c r="B864" s="547"/>
      <c r="C864" s="547"/>
      <c r="D864" s="547"/>
      <c r="E864" s="547"/>
      <c r="F864" s="547"/>
      <c r="G864" s="547"/>
      <c r="H864" s="547"/>
      <c r="I864" s="547"/>
      <c r="J864" s="547"/>
      <c r="K864" s="547"/>
      <c r="L864" s="547"/>
      <c r="M864" s="547"/>
      <c r="N864" s="548"/>
      <c r="O864" s="548"/>
      <c r="P864" s="548"/>
      <c r="Q864" s="548"/>
      <c r="R864" s="548"/>
      <c r="S864" s="548"/>
      <c r="T864" s="548"/>
      <c r="U864" s="548"/>
      <c r="V864" s="548"/>
      <c r="W864" s="548"/>
      <c r="X864" s="548"/>
      <c r="Y864" s="548"/>
      <c r="Z864" s="548"/>
      <c r="AA864" s="548"/>
      <c r="AB864" s="548"/>
      <c r="AC864" s="548"/>
      <c r="AD864" s="548"/>
      <c r="AE864" s="548"/>
      <c r="AF864" s="548"/>
      <c r="AG864" s="549"/>
      <c r="AH864" s="518"/>
    </row>
    <row r="865">
      <c r="A865" s="546"/>
      <c r="B865" s="547"/>
      <c r="C865" s="547"/>
      <c r="D865" s="547"/>
      <c r="E865" s="547"/>
      <c r="F865" s="547"/>
      <c r="G865" s="547"/>
      <c r="H865" s="547"/>
      <c r="I865" s="547"/>
      <c r="J865" s="547"/>
      <c r="K865" s="547"/>
      <c r="L865" s="547"/>
      <c r="M865" s="547"/>
      <c r="N865" s="548"/>
      <c r="O865" s="548"/>
      <c r="P865" s="548"/>
      <c r="Q865" s="548"/>
      <c r="R865" s="548"/>
      <c r="S865" s="548"/>
      <c r="T865" s="548"/>
      <c r="U865" s="548"/>
      <c r="V865" s="548"/>
      <c r="W865" s="548"/>
      <c r="X865" s="548"/>
      <c r="Y865" s="548"/>
      <c r="Z865" s="548"/>
      <c r="AA865" s="548"/>
      <c r="AB865" s="548"/>
      <c r="AC865" s="548"/>
      <c r="AD865" s="548"/>
      <c r="AE865" s="548"/>
      <c r="AF865" s="548"/>
      <c r="AG865" s="549"/>
      <c r="AH865" s="518"/>
    </row>
    <row r="866">
      <c r="A866" s="546"/>
      <c r="B866" s="547"/>
      <c r="C866" s="547"/>
      <c r="D866" s="547"/>
      <c r="E866" s="547"/>
      <c r="F866" s="547"/>
      <c r="G866" s="547"/>
      <c r="H866" s="547"/>
      <c r="I866" s="547"/>
      <c r="J866" s="547"/>
      <c r="K866" s="547"/>
      <c r="L866" s="547"/>
      <c r="M866" s="547"/>
      <c r="N866" s="548"/>
      <c r="O866" s="548"/>
      <c r="P866" s="548"/>
      <c r="Q866" s="548"/>
      <c r="R866" s="548"/>
      <c r="S866" s="548"/>
      <c r="T866" s="548"/>
      <c r="U866" s="548"/>
      <c r="V866" s="548"/>
      <c r="W866" s="548"/>
      <c r="X866" s="548"/>
      <c r="Y866" s="548"/>
      <c r="Z866" s="548"/>
      <c r="AA866" s="548"/>
      <c r="AB866" s="548"/>
      <c r="AC866" s="548"/>
      <c r="AD866" s="548"/>
      <c r="AE866" s="548"/>
      <c r="AF866" s="548"/>
      <c r="AG866" s="549"/>
      <c r="AH866" s="518"/>
    </row>
    <row r="867">
      <c r="A867" s="546"/>
      <c r="B867" s="547"/>
      <c r="C867" s="547"/>
      <c r="D867" s="547"/>
      <c r="E867" s="547"/>
      <c r="F867" s="547"/>
      <c r="G867" s="547"/>
      <c r="H867" s="547"/>
      <c r="I867" s="547"/>
      <c r="J867" s="547"/>
      <c r="K867" s="547"/>
      <c r="L867" s="547"/>
      <c r="M867" s="547"/>
      <c r="N867" s="548"/>
      <c r="O867" s="548"/>
      <c r="P867" s="548"/>
      <c r="Q867" s="548"/>
      <c r="R867" s="548"/>
      <c r="S867" s="548"/>
      <c r="T867" s="548"/>
      <c r="U867" s="548"/>
      <c r="V867" s="548"/>
      <c r="W867" s="548"/>
      <c r="X867" s="548"/>
      <c r="Y867" s="548"/>
      <c r="Z867" s="548"/>
      <c r="AA867" s="548"/>
      <c r="AB867" s="548"/>
      <c r="AC867" s="548"/>
      <c r="AD867" s="548"/>
      <c r="AE867" s="548"/>
      <c r="AF867" s="548"/>
      <c r="AG867" s="549"/>
      <c r="AH867" s="518"/>
    </row>
    <row r="868">
      <c r="A868" s="546"/>
      <c r="B868" s="547"/>
      <c r="C868" s="547"/>
      <c r="D868" s="547"/>
      <c r="E868" s="547"/>
      <c r="F868" s="547"/>
      <c r="G868" s="547"/>
      <c r="H868" s="547"/>
      <c r="I868" s="547"/>
      <c r="J868" s="547"/>
      <c r="K868" s="547"/>
      <c r="L868" s="547"/>
      <c r="M868" s="547"/>
      <c r="N868" s="548"/>
      <c r="O868" s="548"/>
      <c r="P868" s="548"/>
      <c r="Q868" s="548"/>
      <c r="R868" s="548"/>
      <c r="S868" s="548"/>
      <c r="T868" s="548"/>
      <c r="U868" s="548"/>
      <c r="V868" s="548"/>
      <c r="W868" s="548"/>
      <c r="X868" s="548"/>
      <c r="Y868" s="548"/>
      <c r="Z868" s="548"/>
      <c r="AA868" s="548"/>
      <c r="AB868" s="548"/>
      <c r="AC868" s="548"/>
      <c r="AD868" s="548"/>
      <c r="AE868" s="548"/>
      <c r="AF868" s="548"/>
      <c r="AG868" s="549"/>
      <c r="AH868" s="518"/>
    </row>
    <row r="869">
      <c r="A869" s="546"/>
      <c r="B869" s="547"/>
      <c r="C869" s="547"/>
      <c r="D869" s="547"/>
      <c r="E869" s="547"/>
      <c r="F869" s="547"/>
      <c r="G869" s="547"/>
      <c r="H869" s="547"/>
      <c r="I869" s="547"/>
      <c r="J869" s="547"/>
      <c r="K869" s="547"/>
      <c r="L869" s="547"/>
      <c r="M869" s="547"/>
      <c r="N869" s="548"/>
      <c r="O869" s="548"/>
      <c r="P869" s="548"/>
      <c r="Q869" s="548"/>
      <c r="R869" s="548"/>
      <c r="S869" s="548"/>
      <c r="T869" s="548"/>
      <c r="U869" s="548"/>
      <c r="V869" s="548"/>
      <c r="W869" s="548"/>
      <c r="X869" s="548"/>
      <c r="Y869" s="548"/>
      <c r="Z869" s="548"/>
      <c r="AA869" s="548"/>
      <c r="AB869" s="548"/>
      <c r="AC869" s="548"/>
      <c r="AD869" s="548"/>
      <c r="AE869" s="548"/>
      <c r="AF869" s="548"/>
      <c r="AG869" s="549"/>
      <c r="AH869" s="518"/>
    </row>
    <row r="870">
      <c r="A870" s="546"/>
      <c r="B870" s="547"/>
      <c r="C870" s="547"/>
      <c r="D870" s="547"/>
      <c r="E870" s="547"/>
      <c r="F870" s="547"/>
      <c r="G870" s="547"/>
      <c r="H870" s="547"/>
      <c r="I870" s="547"/>
      <c r="J870" s="547"/>
      <c r="K870" s="547"/>
      <c r="L870" s="547"/>
      <c r="M870" s="547"/>
      <c r="N870" s="548"/>
      <c r="O870" s="548"/>
      <c r="P870" s="548"/>
      <c r="Q870" s="548"/>
      <c r="R870" s="548"/>
      <c r="S870" s="548"/>
      <c r="T870" s="548"/>
      <c r="U870" s="548"/>
      <c r="V870" s="548"/>
      <c r="W870" s="548"/>
      <c r="X870" s="548"/>
      <c r="Y870" s="548"/>
      <c r="Z870" s="548"/>
      <c r="AA870" s="548"/>
      <c r="AB870" s="548"/>
      <c r="AC870" s="548"/>
      <c r="AD870" s="548"/>
      <c r="AE870" s="548"/>
      <c r="AF870" s="548"/>
      <c r="AG870" s="549"/>
      <c r="AH870" s="518"/>
    </row>
    <row r="871">
      <c r="A871" s="546"/>
      <c r="B871" s="547"/>
      <c r="C871" s="547"/>
      <c r="D871" s="547"/>
      <c r="E871" s="547"/>
      <c r="F871" s="547"/>
      <c r="G871" s="547"/>
      <c r="H871" s="547"/>
      <c r="I871" s="547"/>
      <c r="J871" s="547"/>
      <c r="K871" s="547"/>
      <c r="L871" s="547"/>
      <c r="M871" s="547"/>
      <c r="N871" s="548"/>
      <c r="O871" s="548"/>
      <c r="P871" s="548"/>
      <c r="Q871" s="548"/>
      <c r="R871" s="548"/>
      <c r="S871" s="548"/>
      <c r="T871" s="548"/>
      <c r="U871" s="548"/>
      <c r="V871" s="548"/>
      <c r="W871" s="548"/>
      <c r="X871" s="548"/>
      <c r="Y871" s="548"/>
      <c r="Z871" s="548"/>
      <c r="AA871" s="548"/>
      <c r="AB871" s="548"/>
      <c r="AC871" s="548"/>
      <c r="AD871" s="548"/>
      <c r="AE871" s="548"/>
      <c r="AF871" s="548"/>
      <c r="AG871" s="549"/>
      <c r="AH871" s="518"/>
    </row>
    <row r="872">
      <c r="A872" s="546"/>
      <c r="B872" s="547"/>
      <c r="C872" s="547"/>
      <c r="D872" s="547"/>
      <c r="E872" s="547"/>
      <c r="F872" s="547"/>
      <c r="G872" s="547"/>
      <c r="H872" s="547"/>
      <c r="I872" s="547"/>
      <c r="J872" s="547"/>
      <c r="K872" s="547"/>
      <c r="L872" s="547"/>
      <c r="M872" s="547"/>
      <c r="N872" s="548"/>
      <c r="O872" s="548"/>
      <c r="P872" s="548"/>
      <c r="Q872" s="548"/>
      <c r="R872" s="548"/>
      <c r="S872" s="548"/>
      <c r="T872" s="548"/>
      <c r="U872" s="548"/>
      <c r="V872" s="548"/>
      <c r="W872" s="548"/>
      <c r="X872" s="548"/>
      <c r="Y872" s="548"/>
      <c r="Z872" s="548"/>
      <c r="AA872" s="548"/>
      <c r="AB872" s="548"/>
      <c r="AC872" s="548"/>
      <c r="AD872" s="548"/>
      <c r="AE872" s="548"/>
      <c r="AF872" s="548"/>
      <c r="AG872" s="549"/>
      <c r="AH872" s="518"/>
    </row>
    <row r="873">
      <c r="A873" s="546"/>
      <c r="B873" s="547"/>
      <c r="C873" s="547"/>
      <c r="D873" s="547"/>
      <c r="E873" s="547"/>
      <c r="F873" s="547"/>
      <c r="G873" s="547"/>
      <c r="H873" s="547"/>
      <c r="I873" s="547"/>
      <c r="J873" s="547"/>
      <c r="K873" s="547"/>
      <c r="L873" s="547"/>
      <c r="M873" s="547"/>
      <c r="N873" s="548"/>
      <c r="O873" s="548"/>
      <c r="P873" s="548"/>
      <c r="Q873" s="548"/>
      <c r="R873" s="548"/>
      <c r="S873" s="548"/>
      <c r="T873" s="548"/>
      <c r="U873" s="548"/>
      <c r="V873" s="548"/>
      <c r="W873" s="548"/>
      <c r="X873" s="548"/>
      <c r="Y873" s="548"/>
      <c r="Z873" s="548"/>
      <c r="AA873" s="548"/>
      <c r="AB873" s="548"/>
      <c r="AC873" s="548"/>
      <c r="AD873" s="548"/>
      <c r="AE873" s="548"/>
      <c r="AF873" s="548"/>
      <c r="AG873" s="549"/>
      <c r="AH873" s="518"/>
    </row>
    <row r="874">
      <c r="A874" s="546"/>
      <c r="B874" s="547"/>
      <c r="C874" s="547"/>
      <c r="D874" s="547"/>
      <c r="E874" s="547"/>
      <c r="F874" s="547"/>
      <c r="G874" s="547"/>
      <c r="H874" s="547"/>
      <c r="I874" s="547"/>
      <c r="J874" s="547"/>
      <c r="K874" s="547"/>
      <c r="L874" s="547"/>
      <c r="M874" s="547"/>
      <c r="N874" s="548"/>
      <c r="O874" s="548"/>
      <c r="P874" s="548"/>
      <c r="Q874" s="548"/>
      <c r="R874" s="548"/>
      <c r="S874" s="548"/>
      <c r="T874" s="548"/>
      <c r="U874" s="548"/>
      <c r="V874" s="548"/>
      <c r="W874" s="548"/>
      <c r="X874" s="548"/>
      <c r="Y874" s="548"/>
      <c r="Z874" s="548"/>
      <c r="AA874" s="548"/>
      <c r="AB874" s="548"/>
      <c r="AC874" s="548"/>
      <c r="AD874" s="548"/>
      <c r="AE874" s="548"/>
      <c r="AF874" s="548"/>
      <c r="AG874" s="549"/>
      <c r="AH874" s="518"/>
    </row>
    <row r="875">
      <c r="A875" s="546"/>
      <c r="B875" s="547"/>
      <c r="C875" s="547"/>
      <c r="D875" s="547"/>
      <c r="E875" s="547"/>
      <c r="F875" s="547"/>
      <c r="G875" s="547"/>
      <c r="H875" s="547"/>
      <c r="I875" s="547"/>
      <c r="J875" s="547"/>
      <c r="K875" s="547"/>
      <c r="L875" s="547"/>
      <c r="M875" s="547"/>
      <c r="N875" s="548"/>
      <c r="O875" s="548"/>
      <c r="P875" s="548"/>
      <c r="Q875" s="548"/>
      <c r="R875" s="548"/>
      <c r="S875" s="548"/>
      <c r="T875" s="548"/>
      <c r="U875" s="548"/>
      <c r="V875" s="548"/>
      <c r="W875" s="548"/>
      <c r="X875" s="548"/>
      <c r="Y875" s="548"/>
      <c r="Z875" s="548"/>
      <c r="AA875" s="548"/>
      <c r="AB875" s="548"/>
      <c r="AC875" s="548"/>
      <c r="AD875" s="548"/>
      <c r="AE875" s="548"/>
      <c r="AF875" s="548"/>
      <c r="AG875" s="549"/>
      <c r="AH875" s="518"/>
    </row>
    <row r="876">
      <c r="A876" s="546"/>
      <c r="B876" s="547"/>
      <c r="C876" s="547"/>
      <c r="D876" s="547"/>
      <c r="E876" s="547"/>
      <c r="F876" s="547"/>
      <c r="G876" s="547"/>
      <c r="H876" s="547"/>
      <c r="I876" s="547"/>
      <c r="J876" s="547"/>
      <c r="K876" s="547"/>
      <c r="L876" s="547"/>
      <c r="M876" s="547"/>
      <c r="N876" s="548"/>
      <c r="O876" s="548"/>
      <c r="P876" s="548"/>
      <c r="Q876" s="548"/>
      <c r="R876" s="548"/>
      <c r="S876" s="548"/>
      <c r="T876" s="548"/>
      <c r="U876" s="548"/>
      <c r="V876" s="548"/>
      <c r="W876" s="548"/>
      <c r="X876" s="548"/>
      <c r="Y876" s="548"/>
      <c r="Z876" s="548"/>
      <c r="AA876" s="548"/>
      <c r="AB876" s="548"/>
      <c r="AC876" s="548"/>
      <c r="AD876" s="548"/>
      <c r="AE876" s="548"/>
      <c r="AF876" s="548"/>
      <c r="AG876" s="549"/>
      <c r="AH876" s="518"/>
    </row>
    <row r="877">
      <c r="A877" s="546"/>
      <c r="B877" s="547"/>
      <c r="C877" s="547"/>
      <c r="D877" s="547"/>
      <c r="E877" s="547"/>
      <c r="F877" s="547"/>
      <c r="G877" s="547"/>
      <c r="H877" s="547"/>
      <c r="I877" s="547"/>
      <c r="J877" s="547"/>
      <c r="K877" s="547"/>
      <c r="L877" s="547"/>
      <c r="M877" s="547"/>
      <c r="N877" s="548"/>
      <c r="O877" s="548"/>
      <c r="P877" s="548"/>
      <c r="Q877" s="548"/>
      <c r="R877" s="548"/>
      <c r="S877" s="548"/>
      <c r="T877" s="548"/>
      <c r="U877" s="548"/>
      <c r="V877" s="548"/>
      <c r="W877" s="548"/>
      <c r="X877" s="548"/>
      <c r="Y877" s="548"/>
      <c r="Z877" s="548"/>
      <c r="AA877" s="548"/>
      <c r="AB877" s="548"/>
      <c r="AC877" s="548"/>
      <c r="AD877" s="548"/>
      <c r="AE877" s="548"/>
      <c r="AF877" s="548"/>
      <c r="AG877" s="549"/>
      <c r="AH877" s="518"/>
    </row>
    <row r="878">
      <c r="A878" s="546"/>
      <c r="B878" s="547"/>
      <c r="C878" s="547"/>
      <c r="D878" s="547"/>
      <c r="E878" s="547"/>
      <c r="F878" s="547"/>
      <c r="G878" s="547"/>
      <c r="H878" s="547"/>
      <c r="I878" s="547"/>
      <c r="J878" s="547"/>
      <c r="K878" s="547"/>
      <c r="L878" s="547"/>
      <c r="M878" s="547"/>
      <c r="N878" s="548"/>
      <c r="O878" s="548"/>
      <c r="P878" s="548"/>
      <c r="Q878" s="548"/>
      <c r="R878" s="548"/>
      <c r="S878" s="548"/>
      <c r="T878" s="548"/>
      <c r="U878" s="548"/>
      <c r="V878" s="548"/>
      <c r="W878" s="548"/>
      <c r="X878" s="548"/>
      <c r="Y878" s="548"/>
      <c r="Z878" s="548"/>
      <c r="AA878" s="548"/>
      <c r="AB878" s="548"/>
      <c r="AC878" s="548"/>
      <c r="AD878" s="548"/>
      <c r="AE878" s="548"/>
      <c r="AF878" s="548"/>
      <c r="AG878" s="549"/>
      <c r="AH878" s="518"/>
    </row>
    <row r="879">
      <c r="A879" s="546"/>
      <c r="B879" s="547"/>
      <c r="C879" s="547"/>
      <c r="D879" s="547"/>
      <c r="E879" s="547"/>
      <c r="F879" s="547"/>
      <c r="G879" s="547"/>
      <c r="H879" s="547"/>
      <c r="I879" s="547"/>
      <c r="J879" s="547"/>
      <c r="K879" s="547"/>
      <c r="L879" s="547"/>
      <c r="M879" s="547"/>
      <c r="N879" s="548"/>
      <c r="O879" s="548"/>
      <c r="P879" s="548"/>
      <c r="Q879" s="548"/>
      <c r="R879" s="548"/>
      <c r="S879" s="548"/>
      <c r="T879" s="548"/>
      <c r="U879" s="548"/>
      <c r="V879" s="548"/>
      <c r="W879" s="548"/>
      <c r="X879" s="548"/>
      <c r="Y879" s="548"/>
      <c r="Z879" s="548"/>
      <c r="AA879" s="548"/>
      <c r="AB879" s="548"/>
      <c r="AC879" s="548"/>
      <c r="AD879" s="548"/>
      <c r="AE879" s="548"/>
      <c r="AF879" s="548"/>
      <c r="AG879" s="549"/>
      <c r="AH879" s="518"/>
    </row>
    <row r="880">
      <c r="A880" s="546"/>
      <c r="B880" s="547"/>
      <c r="C880" s="547"/>
      <c r="D880" s="547"/>
      <c r="E880" s="547"/>
      <c r="F880" s="547"/>
      <c r="G880" s="547"/>
      <c r="H880" s="547"/>
      <c r="I880" s="547"/>
      <c r="J880" s="547"/>
      <c r="K880" s="547"/>
      <c r="L880" s="547"/>
      <c r="M880" s="547"/>
      <c r="N880" s="548"/>
      <c r="O880" s="548"/>
      <c r="P880" s="548"/>
      <c r="Q880" s="548"/>
      <c r="R880" s="548"/>
      <c r="S880" s="548"/>
      <c r="T880" s="548"/>
      <c r="U880" s="548"/>
      <c r="V880" s="548"/>
      <c r="W880" s="548"/>
      <c r="X880" s="548"/>
      <c r="Y880" s="548"/>
      <c r="Z880" s="548"/>
      <c r="AA880" s="548"/>
      <c r="AB880" s="548"/>
      <c r="AC880" s="548"/>
      <c r="AD880" s="548"/>
      <c r="AE880" s="548"/>
      <c r="AF880" s="548"/>
      <c r="AG880" s="549"/>
      <c r="AH880" s="518"/>
    </row>
    <row r="881">
      <c r="A881" s="546"/>
      <c r="B881" s="547"/>
      <c r="C881" s="547"/>
      <c r="D881" s="547"/>
      <c r="E881" s="547"/>
      <c r="F881" s="547"/>
      <c r="G881" s="547"/>
      <c r="H881" s="547"/>
      <c r="I881" s="547"/>
      <c r="J881" s="547"/>
      <c r="K881" s="547"/>
      <c r="L881" s="547"/>
      <c r="M881" s="547"/>
      <c r="N881" s="548"/>
      <c r="O881" s="548"/>
      <c r="P881" s="548"/>
      <c r="Q881" s="548"/>
      <c r="R881" s="548"/>
      <c r="S881" s="548"/>
      <c r="T881" s="548"/>
      <c r="U881" s="548"/>
      <c r="V881" s="548"/>
      <c r="W881" s="548"/>
      <c r="X881" s="548"/>
      <c r="Y881" s="548"/>
      <c r="Z881" s="548"/>
      <c r="AA881" s="548"/>
      <c r="AB881" s="548"/>
      <c r="AC881" s="548"/>
      <c r="AD881" s="548"/>
      <c r="AE881" s="548"/>
      <c r="AF881" s="548"/>
      <c r="AG881" s="549"/>
      <c r="AH881" s="518"/>
    </row>
    <row r="882">
      <c r="A882" s="546"/>
      <c r="B882" s="547"/>
      <c r="C882" s="547"/>
      <c r="D882" s="547"/>
      <c r="E882" s="547"/>
      <c r="F882" s="547"/>
      <c r="G882" s="547"/>
      <c r="H882" s="547"/>
      <c r="I882" s="547"/>
      <c r="J882" s="547"/>
      <c r="K882" s="547"/>
      <c r="L882" s="547"/>
      <c r="M882" s="547"/>
      <c r="N882" s="548"/>
      <c r="O882" s="548"/>
      <c r="P882" s="548"/>
      <c r="Q882" s="548"/>
      <c r="R882" s="548"/>
      <c r="S882" s="548"/>
      <c r="T882" s="548"/>
      <c r="U882" s="548"/>
      <c r="V882" s="548"/>
      <c r="W882" s="548"/>
      <c r="X882" s="548"/>
      <c r="Y882" s="548"/>
      <c r="Z882" s="548"/>
      <c r="AA882" s="548"/>
      <c r="AB882" s="548"/>
      <c r="AC882" s="548"/>
      <c r="AD882" s="548"/>
      <c r="AE882" s="548"/>
      <c r="AF882" s="548"/>
      <c r="AG882" s="549"/>
      <c r="AH882" s="518"/>
    </row>
    <row r="883">
      <c r="A883" s="546"/>
      <c r="B883" s="547"/>
      <c r="C883" s="547"/>
      <c r="D883" s="547"/>
      <c r="E883" s="547"/>
      <c r="F883" s="547"/>
      <c r="G883" s="547"/>
      <c r="H883" s="547"/>
      <c r="I883" s="547"/>
      <c r="J883" s="547"/>
      <c r="K883" s="547"/>
      <c r="L883" s="547"/>
      <c r="M883" s="547"/>
      <c r="N883" s="548"/>
      <c r="O883" s="548"/>
      <c r="P883" s="548"/>
      <c r="Q883" s="548"/>
      <c r="R883" s="548"/>
      <c r="S883" s="548"/>
      <c r="T883" s="548"/>
      <c r="U883" s="548"/>
      <c r="V883" s="548"/>
      <c r="W883" s="548"/>
      <c r="X883" s="548"/>
      <c r="Y883" s="548"/>
      <c r="Z883" s="548"/>
      <c r="AA883" s="548"/>
      <c r="AB883" s="548"/>
      <c r="AC883" s="548"/>
      <c r="AD883" s="548"/>
      <c r="AE883" s="548"/>
      <c r="AF883" s="548"/>
      <c r="AG883" s="549"/>
      <c r="AH883" s="518"/>
    </row>
    <row r="884">
      <c r="A884" s="546"/>
      <c r="B884" s="547"/>
      <c r="C884" s="547"/>
      <c r="D884" s="547"/>
      <c r="E884" s="547"/>
      <c r="F884" s="547"/>
      <c r="G884" s="547"/>
      <c r="H884" s="547"/>
      <c r="I884" s="547"/>
      <c r="J884" s="547"/>
      <c r="K884" s="547"/>
      <c r="L884" s="547"/>
      <c r="M884" s="547"/>
      <c r="N884" s="548"/>
      <c r="O884" s="548"/>
      <c r="P884" s="548"/>
      <c r="Q884" s="548"/>
      <c r="R884" s="548"/>
      <c r="S884" s="548"/>
      <c r="T884" s="548"/>
      <c r="U884" s="548"/>
      <c r="V884" s="548"/>
      <c r="W884" s="548"/>
      <c r="X884" s="548"/>
      <c r="Y884" s="548"/>
      <c r="Z884" s="548"/>
      <c r="AA884" s="548"/>
      <c r="AB884" s="548"/>
      <c r="AC884" s="548"/>
      <c r="AD884" s="548"/>
      <c r="AE884" s="548"/>
      <c r="AF884" s="548"/>
      <c r="AG884" s="549"/>
      <c r="AH884" s="518"/>
    </row>
    <row r="885">
      <c r="A885" s="546"/>
      <c r="B885" s="547"/>
      <c r="C885" s="547"/>
      <c r="D885" s="547"/>
      <c r="E885" s="547"/>
      <c r="F885" s="547"/>
      <c r="G885" s="547"/>
      <c r="H885" s="547"/>
      <c r="I885" s="547"/>
      <c r="J885" s="547"/>
      <c r="K885" s="547"/>
      <c r="L885" s="547"/>
      <c r="M885" s="547"/>
      <c r="N885" s="548"/>
      <c r="O885" s="548"/>
      <c r="P885" s="548"/>
      <c r="Q885" s="548"/>
      <c r="R885" s="548"/>
      <c r="S885" s="548"/>
      <c r="T885" s="548"/>
      <c r="U885" s="548"/>
      <c r="V885" s="548"/>
      <c r="W885" s="548"/>
      <c r="X885" s="548"/>
      <c r="Y885" s="548"/>
      <c r="Z885" s="548"/>
      <c r="AA885" s="548"/>
      <c r="AB885" s="548"/>
      <c r="AC885" s="548"/>
      <c r="AD885" s="548"/>
      <c r="AE885" s="548"/>
      <c r="AF885" s="548"/>
      <c r="AG885" s="549"/>
      <c r="AH885" s="518"/>
    </row>
    <row r="886">
      <c r="A886" s="546"/>
      <c r="B886" s="547"/>
      <c r="C886" s="547"/>
      <c r="D886" s="547"/>
      <c r="E886" s="547"/>
      <c r="F886" s="547"/>
      <c r="G886" s="547"/>
      <c r="H886" s="547"/>
      <c r="I886" s="547"/>
      <c r="J886" s="547"/>
      <c r="K886" s="547"/>
      <c r="L886" s="547"/>
      <c r="M886" s="547"/>
      <c r="N886" s="548"/>
      <c r="O886" s="548"/>
      <c r="P886" s="548"/>
      <c r="Q886" s="548"/>
      <c r="R886" s="548"/>
      <c r="S886" s="548"/>
      <c r="T886" s="548"/>
      <c r="U886" s="548"/>
      <c r="V886" s="548"/>
      <c r="W886" s="548"/>
      <c r="X886" s="548"/>
      <c r="Y886" s="548"/>
      <c r="Z886" s="548"/>
      <c r="AA886" s="548"/>
      <c r="AB886" s="548"/>
      <c r="AC886" s="548"/>
      <c r="AD886" s="548"/>
      <c r="AE886" s="548"/>
      <c r="AF886" s="548"/>
      <c r="AG886" s="549"/>
      <c r="AH886" s="518"/>
    </row>
    <row r="887">
      <c r="A887" s="546"/>
      <c r="B887" s="547"/>
      <c r="C887" s="547"/>
      <c r="D887" s="547"/>
      <c r="E887" s="547"/>
      <c r="F887" s="547"/>
      <c r="G887" s="547"/>
      <c r="H887" s="547"/>
      <c r="I887" s="547"/>
      <c r="J887" s="547"/>
      <c r="K887" s="547"/>
      <c r="L887" s="547"/>
      <c r="M887" s="547"/>
      <c r="N887" s="548"/>
      <c r="O887" s="548"/>
      <c r="P887" s="548"/>
      <c r="Q887" s="548"/>
      <c r="R887" s="548"/>
      <c r="S887" s="548"/>
      <c r="T887" s="548"/>
      <c r="U887" s="548"/>
      <c r="V887" s="548"/>
      <c r="W887" s="548"/>
      <c r="X887" s="548"/>
      <c r="Y887" s="548"/>
      <c r="Z887" s="548"/>
      <c r="AA887" s="548"/>
      <c r="AB887" s="548"/>
      <c r="AC887" s="548"/>
      <c r="AD887" s="548"/>
      <c r="AE887" s="548"/>
      <c r="AF887" s="548"/>
      <c r="AG887" s="549"/>
      <c r="AH887" s="518"/>
    </row>
    <row r="888">
      <c r="A888" s="546"/>
      <c r="B888" s="547"/>
      <c r="C888" s="547"/>
      <c r="D888" s="547"/>
      <c r="E888" s="547"/>
      <c r="F888" s="547"/>
      <c r="G888" s="547"/>
      <c r="H888" s="547"/>
      <c r="I888" s="547"/>
      <c r="J888" s="547"/>
      <c r="K888" s="547"/>
      <c r="L888" s="547"/>
      <c r="M888" s="547"/>
      <c r="N888" s="548"/>
      <c r="O888" s="548"/>
      <c r="P888" s="548"/>
      <c r="Q888" s="548"/>
      <c r="R888" s="548"/>
      <c r="S888" s="548"/>
      <c r="T888" s="548"/>
      <c r="U888" s="548"/>
      <c r="V888" s="548"/>
      <c r="W888" s="548"/>
      <c r="X888" s="548"/>
      <c r="Y888" s="548"/>
      <c r="Z888" s="548"/>
      <c r="AA888" s="548"/>
      <c r="AB888" s="548"/>
      <c r="AC888" s="548"/>
      <c r="AD888" s="548"/>
      <c r="AE888" s="548"/>
      <c r="AF888" s="548"/>
      <c r="AG888" s="549"/>
      <c r="AH888" s="518"/>
    </row>
    <row r="889">
      <c r="A889" s="546"/>
      <c r="B889" s="547"/>
      <c r="C889" s="547"/>
      <c r="D889" s="547"/>
      <c r="E889" s="547"/>
      <c r="F889" s="547"/>
      <c r="G889" s="547"/>
      <c r="H889" s="547"/>
      <c r="I889" s="547"/>
      <c r="J889" s="547"/>
      <c r="K889" s="547"/>
      <c r="L889" s="547"/>
      <c r="M889" s="547"/>
      <c r="N889" s="548"/>
      <c r="O889" s="548"/>
      <c r="P889" s="548"/>
      <c r="Q889" s="548"/>
      <c r="R889" s="548"/>
      <c r="S889" s="548"/>
      <c r="T889" s="548"/>
      <c r="U889" s="548"/>
      <c r="V889" s="548"/>
      <c r="W889" s="548"/>
      <c r="X889" s="548"/>
      <c r="Y889" s="548"/>
      <c r="Z889" s="548"/>
      <c r="AA889" s="548"/>
      <c r="AB889" s="548"/>
      <c r="AC889" s="548"/>
      <c r="AD889" s="548"/>
      <c r="AE889" s="548"/>
      <c r="AF889" s="548"/>
      <c r="AG889" s="549"/>
      <c r="AH889" s="518"/>
    </row>
    <row r="890">
      <c r="A890" s="546"/>
      <c r="B890" s="547"/>
      <c r="C890" s="547"/>
      <c r="D890" s="547"/>
      <c r="E890" s="547"/>
      <c r="F890" s="547"/>
      <c r="G890" s="547"/>
      <c r="H890" s="547"/>
      <c r="I890" s="547"/>
      <c r="J890" s="547"/>
      <c r="K890" s="547"/>
      <c r="L890" s="547"/>
      <c r="M890" s="547"/>
      <c r="N890" s="548"/>
      <c r="O890" s="548"/>
      <c r="P890" s="548"/>
      <c r="Q890" s="548"/>
      <c r="R890" s="548"/>
      <c r="S890" s="548"/>
      <c r="T890" s="548"/>
      <c r="U890" s="548"/>
      <c r="V890" s="548"/>
      <c r="W890" s="548"/>
      <c r="X890" s="548"/>
      <c r="Y890" s="548"/>
      <c r="Z890" s="548"/>
      <c r="AA890" s="548"/>
      <c r="AB890" s="548"/>
      <c r="AC890" s="548"/>
      <c r="AD890" s="548"/>
      <c r="AE890" s="548"/>
      <c r="AF890" s="548"/>
      <c r="AG890" s="549"/>
      <c r="AH890" s="518"/>
    </row>
    <row r="891">
      <c r="A891" s="546"/>
      <c r="B891" s="547"/>
      <c r="C891" s="547"/>
      <c r="D891" s="547"/>
      <c r="E891" s="547"/>
      <c r="F891" s="547"/>
      <c r="G891" s="547"/>
      <c r="H891" s="547"/>
      <c r="I891" s="547"/>
      <c r="J891" s="547"/>
      <c r="K891" s="547"/>
      <c r="L891" s="547"/>
      <c r="M891" s="547"/>
      <c r="N891" s="548"/>
      <c r="O891" s="548"/>
      <c r="P891" s="548"/>
      <c r="Q891" s="548"/>
      <c r="R891" s="548"/>
      <c r="S891" s="548"/>
      <c r="T891" s="548"/>
      <c r="U891" s="548"/>
      <c r="V891" s="548"/>
      <c r="W891" s="548"/>
      <c r="X891" s="548"/>
      <c r="Y891" s="548"/>
      <c r="Z891" s="548"/>
      <c r="AA891" s="548"/>
      <c r="AB891" s="548"/>
      <c r="AC891" s="548"/>
      <c r="AD891" s="548"/>
      <c r="AE891" s="548"/>
      <c r="AF891" s="548"/>
      <c r="AG891" s="549"/>
      <c r="AH891" s="518"/>
    </row>
    <row r="892">
      <c r="A892" s="546"/>
      <c r="B892" s="547"/>
      <c r="C892" s="547"/>
      <c r="D892" s="547"/>
      <c r="E892" s="547"/>
      <c r="F892" s="547"/>
      <c r="G892" s="547"/>
      <c r="H892" s="547"/>
      <c r="I892" s="547"/>
      <c r="J892" s="547"/>
      <c r="K892" s="547"/>
      <c r="L892" s="547"/>
      <c r="M892" s="547"/>
      <c r="N892" s="548"/>
      <c r="O892" s="548"/>
      <c r="P892" s="548"/>
      <c r="Q892" s="548"/>
      <c r="R892" s="548"/>
      <c r="S892" s="548"/>
      <c r="T892" s="548"/>
      <c r="U892" s="548"/>
      <c r="V892" s="548"/>
      <c r="W892" s="548"/>
      <c r="X892" s="548"/>
      <c r="Y892" s="548"/>
      <c r="Z892" s="548"/>
      <c r="AA892" s="548"/>
      <c r="AB892" s="548"/>
      <c r="AC892" s="548"/>
      <c r="AD892" s="548"/>
      <c r="AE892" s="548"/>
      <c r="AF892" s="548"/>
      <c r="AG892" s="549"/>
      <c r="AH892" s="518"/>
    </row>
    <row r="893">
      <c r="A893" s="546"/>
      <c r="B893" s="547"/>
      <c r="C893" s="547"/>
      <c r="D893" s="547"/>
      <c r="E893" s="547"/>
      <c r="F893" s="547"/>
      <c r="G893" s="547"/>
      <c r="H893" s="547"/>
      <c r="I893" s="547"/>
      <c r="J893" s="547"/>
      <c r="K893" s="547"/>
      <c r="L893" s="547"/>
      <c r="M893" s="547"/>
      <c r="N893" s="548"/>
      <c r="O893" s="548"/>
      <c r="P893" s="548"/>
      <c r="Q893" s="548"/>
      <c r="R893" s="548"/>
      <c r="S893" s="548"/>
      <c r="T893" s="548"/>
      <c r="U893" s="548"/>
      <c r="V893" s="548"/>
      <c r="W893" s="548"/>
      <c r="X893" s="548"/>
      <c r="Y893" s="548"/>
      <c r="Z893" s="548"/>
      <c r="AA893" s="548"/>
      <c r="AB893" s="548"/>
      <c r="AC893" s="548"/>
      <c r="AD893" s="548"/>
      <c r="AE893" s="548"/>
      <c r="AF893" s="548"/>
      <c r="AG893" s="549"/>
      <c r="AH893" s="518"/>
    </row>
    <row r="894">
      <c r="A894" s="546"/>
      <c r="B894" s="547"/>
      <c r="C894" s="547"/>
      <c r="D894" s="547"/>
      <c r="E894" s="547"/>
      <c r="F894" s="547"/>
      <c r="G894" s="547"/>
      <c r="H894" s="547"/>
      <c r="I894" s="547"/>
      <c r="J894" s="547"/>
      <c r="K894" s="547"/>
      <c r="L894" s="547"/>
      <c r="M894" s="547"/>
      <c r="N894" s="548"/>
      <c r="O894" s="548"/>
      <c r="P894" s="548"/>
      <c r="Q894" s="548"/>
      <c r="R894" s="548"/>
      <c r="S894" s="548"/>
      <c r="T894" s="548"/>
      <c r="U894" s="548"/>
      <c r="V894" s="548"/>
      <c r="W894" s="548"/>
      <c r="X894" s="548"/>
      <c r="Y894" s="548"/>
      <c r="Z894" s="548"/>
      <c r="AA894" s="548"/>
      <c r="AB894" s="548"/>
      <c r="AC894" s="548"/>
      <c r="AD894" s="548"/>
      <c r="AE894" s="548"/>
      <c r="AF894" s="548"/>
      <c r="AG894" s="549"/>
      <c r="AH894" s="518"/>
    </row>
    <row r="895">
      <c r="A895" s="546"/>
      <c r="B895" s="547"/>
      <c r="C895" s="547"/>
      <c r="D895" s="547"/>
      <c r="E895" s="547"/>
      <c r="F895" s="547"/>
      <c r="G895" s="547"/>
      <c r="H895" s="547"/>
      <c r="I895" s="547"/>
      <c r="J895" s="547"/>
      <c r="K895" s="547"/>
      <c r="L895" s="547"/>
      <c r="M895" s="547"/>
      <c r="N895" s="548"/>
      <c r="O895" s="548"/>
      <c r="P895" s="548"/>
      <c r="Q895" s="548"/>
      <c r="R895" s="548"/>
      <c r="S895" s="548"/>
      <c r="T895" s="548"/>
      <c r="U895" s="548"/>
      <c r="V895" s="548"/>
      <c r="W895" s="548"/>
      <c r="X895" s="548"/>
      <c r="Y895" s="548"/>
      <c r="Z895" s="548"/>
      <c r="AA895" s="548"/>
      <c r="AB895" s="548"/>
      <c r="AC895" s="548"/>
      <c r="AD895" s="548"/>
      <c r="AE895" s="548"/>
      <c r="AF895" s="548"/>
      <c r="AG895" s="549"/>
      <c r="AH895" s="518"/>
    </row>
    <row r="896">
      <c r="A896" s="546"/>
      <c r="B896" s="547"/>
      <c r="C896" s="547"/>
      <c r="D896" s="547"/>
      <c r="E896" s="547"/>
      <c r="F896" s="547"/>
      <c r="G896" s="547"/>
      <c r="H896" s="547"/>
      <c r="I896" s="547"/>
      <c r="J896" s="547"/>
      <c r="K896" s="547"/>
      <c r="L896" s="547"/>
      <c r="M896" s="547"/>
      <c r="N896" s="548"/>
      <c r="O896" s="548"/>
      <c r="P896" s="548"/>
      <c r="Q896" s="548"/>
      <c r="R896" s="548"/>
      <c r="S896" s="548"/>
      <c r="T896" s="548"/>
      <c r="U896" s="548"/>
      <c r="V896" s="548"/>
      <c r="W896" s="548"/>
      <c r="X896" s="548"/>
      <c r="Y896" s="548"/>
      <c r="Z896" s="548"/>
      <c r="AA896" s="548"/>
      <c r="AB896" s="548"/>
      <c r="AC896" s="548"/>
      <c r="AD896" s="548"/>
      <c r="AE896" s="548"/>
      <c r="AF896" s="548"/>
      <c r="AG896" s="549"/>
      <c r="AH896" s="518"/>
    </row>
    <row r="897">
      <c r="A897" s="546"/>
      <c r="B897" s="547"/>
      <c r="C897" s="547"/>
      <c r="D897" s="547"/>
      <c r="E897" s="547"/>
      <c r="F897" s="547"/>
      <c r="G897" s="547"/>
      <c r="H897" s="547"/>
      <c r="I897" s="547"/>
      <c r="J897" s="547"/>
      <c r="K897" s="547"/>
      <c r="L897" s="547"/>
      <c r="M897" s="547"/>
      <c r="N897" s="548"/>
      <c r="O897" s="548"/>
      <c r="P897" s="548"/>
      <c r="Q897" s="548"/>
      <c r="R897" s="548"/>
      <c r="S897" s="548"/>
      <c r="T897" s="548"/>
      <c r="U897" s="548"/>
      <c r="V897" s="548"/>
      <c r="W897" s="548"/>
      <c r="X897" s="548"/>
      <c r="Y897" s="548"/>
      <c r="Z897" s="548"/>
      <c r="AA897" s="548"/>
      <c r="AB897" s="548"/>
      <c r="AC897" s="548"/>
      <c r="AD897" s="548"/>
      <c r="AE897" s="548"/>
      <c r="AF897" s="548"/>
      <c r="AG897" s="549"/>
      <c r="AH897" s="518"/>
    </row>
    <row r="898">
      <c r="A898" s="546"/>
      <c r="B898" s="547"/>
      <c r="C898" s="547"/>
      <c r="D898" s="547"/>
      <c r="E898" s="547"/>
      <c r="F898" s="547"/>
      <c r="G898" s="547"/>
      <c r="H898" s="547"/>
      <c r="I898" s="547"/>
      <c r="J898" s="547"/>
      <c r="K898" s="547"/>
      <c r="L898" s="547"/>
      <c r="M898" s="547"/>
      <c r="N898" s="548"/>
      <c r="O898" s="548"/>
      <c r="P898" s="548"/>
      <c r="Q898" s="548"/>
      <c r="R898" s="548"/>
      <c r="S898" s="548"/>
      <c r="T898" s="548"/>
      <c r="U898" s="548"/>
      <c r="V898" s="548"/>
      <c r="W898" s="548"/>
      <c r="X898" s="548"/>
      <c r="Y898" s="548"/>
      <c r="Z898" s="548"/>
      <c r="AA898" s="548"/>
      <c r="AB898" s="548"/>
      <c r="AC898" s="548"/>
      <c r="AD898" s="548"/>
      <c r="AE898" s="548"/>
      <c r="AF898" s="548"/>
      <c r="AG898" s="549"/>
      <c r="AH898" s="518"/>
    </row>
    <row r="899">
      <c r="A899" s="546"/>
      <c r="B899" s="547"/>
      <c r="C899" s="547"/>
      <c r="D899" s="547"/>
      <c r="E899" s="547"/>
      <c r="F899" s="547"/>
      <c r="G899" s="547"/>
      <c r="H899" s="547"/>
      <c r="I899" s="547"/>
      <c r="J899" s="547"/>
      <c r="K899" s="547"/>
      <c r="L899" s="547"/>
      <c r="M899" s="547"/>
      <c r="N899" s="548"/>
      <c r="O899" s="548"/>
      <c r="P899" s="548"/>
      <c r="Q899" s="548"/>
      <c r="R899" s="548"/>
      <c r="S899" s="548"/>
      <c r="T899" s="548"/>
      <c r="U899" s="548"/>
      <c r="V899" s="548"/>
      <c r="W899" s="548"/>
      <c r="X899" s="548"/>
      <c r="Y899" s="548"/>
      <c r="Z899" s="548"/>
      <c r="AA899" s="548"/>
      <c r="AB899" s="548"/>
      <c r="AC899" s="548"/>
      <c r="AD899" s="548"/>
      <c r="AE899" s="548"/>
      <c r="AF899" s="548"/>
      <c r="AG899" s="549"/>
      <c r="AH899" s="518"/>
    </row>
    <row r="900">
      <c r="A900" s="546"/>
      <c r="B900" s="547"/>
      <c r="C900" s="547"/>
      <c r="D900" s="547"/>
      <c r="E900" s="547"/>
      <c r="F900" s="547"/>
      <c r="G900" s="547"/>
      <c r="H900" s="547"/>
      <c r="I900" s="547"/>
      <c r="J900" s="547"/>
      <c r="K900" s="547"/>
      <c r="L900" s="547"/>
      <c r="M900" s="547"/>
      <c r="N900" s="548"/>
      <c r="O900" s="548"/>
      <c r="P900" s="548"/>
      <c r="Q900" s="548"/>
      <c r="R900" s="548"/>
      <c r="S900" s="548"/>
      <c r="T900" s="548"/>
      <c r="U900" s="548"/>
      <c r="V900" s="548"/>
      <c r="W900" s="548"/>
      <c r="X900" s="548"/>
      <c r="Y900" s="548"/>
      <c r="Z900" s="548"/>
      <c r="AA900" s="548"/>
      <c r="AB900" s="548"/>
      <c r="AC900" s="548"/>
      <c r="AD900" s="548"/>
      <c r="AE900" s="548"/>
      <c r="AF900" s="548"/>
      <c r="AG900" s="549"/>
      <c r="AH900" s="518"/>
    </row>
    <row r="901">
      <c r="A901" s="546"/>
      <c r="B901" s="547"/>
      <c r="C901" s="547"/>
      <c r="D901" s="547"/>
      <c r="E901" s="547"/>
      <c r="F901" s="547"/>
      <c r="G901" s="547"/>
      <c r="H901" s="547"/>
      <c r="I901" s="547"/>
      <c r="J901" s="547"/>
      <c r="K901" s="547"/>
      <c r="L901" s="547"/>
      <c r="M901" s="547"/>
      <c r="N901" s="548"/>
      <c r="O901" s="548"/>
      <c r="P901" s="548"/>
      <c r="Q901" s="548"/>
      <c r="R901" s="548"/>
      <c r="S901" s="548"/>
      <c r="T901" s="548"/>
      <c r="U901" s="548"/>
      <c r="V901" s="548"/>
      <c r="W901" s="548"/>
      <c r="X901" s="548"/>
      <c r="Y901" s="548"/>
      <c r="Z901" s="548"/>
      <c r="AA901" s="548"/>
      <c r="AB901" s="548"/>
      <c r="AC901" s="548"/>
      <c r="AD901" s="548"/>
      <c r="AE901" s="548"/>
      <c r="AF901" s="548"/>
      <c r="AG901" s="549"/>
      <c r="AH901" s="518"/>
    </row>
    <row r="902">
      <c r="A902" s="546"/>
      <c r="B902" s="547"/>
      <c r="C902" s="547"/>
      <c r="D902" s="547"/>
      <c r="E902" s="547"/>
      <c r="F902" s="547"/>
      <c r="G902" s="547"/>
      <c r="H902" s="547"/>
      <c r="I902" s="547"/>
      <c r="J902" s="547"/>
      <c r="K902" s="547"/>
      <c r="L902" s="547"/>
      <c r="M902" s="547"/>
      <c r="N902" s="548"/>
      <c r="O902" s="548"/>
      <c r="P902" s="548"/>
      <c r="Q902" s="548"/>
      <c r="R902" s="548"/>
      <c r="S902" s="548"/>
      <c r="T902" s="548"/>
      <c r="U902" s="548"/>
      <c r="V902" s="548"/>
      <c r="W902" s="548"/>
      <c r="X902" s="548"/>
      <c r="Y902" s="548"/>
      <c r="Z902" s="548"/>
      <c r="AA902" s="548"/>
      <c r="AB902" s="548"/>
      <c r="AC902" s="548"/>
      <c r="AD902" s="548"/>
      <c r="AE902" s="548"/>
      <c r="AF902" s="548"/>
      <c r="AG902" s="549"/>
      <c r="AH902" s="518"/>
    </row>
    <row r="903">
      <c r="A903" s="546"/>
      <c r="B903" s="547"/>
      <c r="C903" s="547"/>
      <c r="D903" s="547"/>
      <c r="E903" s="547"/>
      <c r="F903" s="547"/>
      <c r="G903" s="547"/>
      <c r="H903" s="547"/>
      <c r="I903" s="547"/>
      <c r="J903" s="547"/>
      <c r="K903" s="547"/>
      <c r="L903" s="547"/>
      <c r="M903" s="547"/>
      <c r="N903" s="548"/>
      <c r="O903" s="548"/>
      <c r="P903" s="548"/>
      <c r="Q903" s="548"/>
      <c r="R903" s="548"/>
      <c r="S903" s="548"/>
      <c r="T903" s="548"/>
      <c r="U903" s="548"/>
      <c r="V903" s="548"/>
      <c r="W903" s="548"/>
      <c r="X903" s="548"/>
      <c r="Y903" s="548"/>
      <c r="Z903" s="548"/>
      <c r="AA903" s="548"/>
      <c r="AB903" s="548"/>
      <c r="AC903" s="548"/>
      <c r="AD903" s="548"/>
      <c r="AE903" s="548"/>
      <c r="AF903" s="548"/>
      <c r="AG903" s="549"/>
      <c r="AH903" s="518"/>
    </row>
    <row r="904">
      <c r="A904" s="546"/>
      <c r="B904" s="547"/>
      <c r="C904" s="547"/>
      <c r="D904" s="547"/>
      <c r="E904" s="547"/>
      <c r="F904" s="547"/>
      <c r="G904" s="547"/>
      <c r="H904" s="547"/>
      <c r="I904" s="547"/>
      <c r="J904" s="547"/>
      <c r="K904" s="547"/>
      <c r="L904" s="547"/>
      <c r="M904" s="547"/>
      <c r="N904" s="548"/>
      <c r="O904" s="548"/>
      <c r="P904" s="548"/>
      <c r="Q904" s="548"/>
      <c r="R904" s="548"/>
      <c r="S904" s="548"/>
      <c r="T904" s="548"/>
      <c r="U904" s="548"/>
      <c r="V904" s="548"/>
      <c r="W904" s="548"/>
      <c r="X904" s="548"/>
      <c r="Y904" s="548"/>
      <c r="Z904" s="548"/>
      <c r="AA904" s="548"/>
      <c r="AB904" s="548"/>
      <c r="AC904" s="548"/>
      <c r="AD904" s="548"/>
      <c r="AE904" s="548"/>
      <c r="AF904" s="548"/>
      <c r="AG904" s="549"/>
      <c r="AH904" s="518"/>
    </row>
    <row r="905">
      <c r="A905" s="546"/>
      <c r="B905" s="547"/>
      <c r="C905" s="547"/>
      <c r="D905" s="547"/>
      <c r="E905" s="547"/>
      <c r="F905" s="547"/>
      <c r="G905" s="547"/>
      <c r="H905" s="547"/>
      <c r="I905" s="547"/>
      <c r="J905" s="547"/>
      <c r="K905" s="547"/>
      <c r="L905" s="547"/>
      <c r="M905" s="547"/>
      <c r="N905" s="548"/>
      <c r="O905" s="548"/>
      <c r="P905" s="548"/>
      <c r="Q905" s="548"/>
      <c r="R905" s="548"/>
      <c r="S905" s="548"/>
      <c r="T905" s="548"/>
      <c r="U905" s="548"/>
      <c r="V905" s="548"/>
      <c r="W905" s="548"/>
      <c r="X905" s="548"/>
      <c r="Y905" s="548"/>
      <c r="Z905" s="548"/>
      <c r="AA905" s="548"/>
      <c r="AB905" s="548"/>
      <c r="AC905" s="548"/>
      <c r="AD905" s="548"/>
      <c r="AE905" s="548"/>
      <c r="AF905" s="548"/>
      <c r="AG905" s="549"/>
      <c r="AH905" s="518"/>
    </row>
    <row r="906">
      <c r="A906" s="546"/>
      <c r="B906" s="547"/>
      <c r="C906" s="547"/>
      <c r="D906" s="547"/>
      <c r="E906" s="547"/>
      <c r="F906" s="547"/>
      <c r="G906" s="547"/>
      <c r="H906" s="547"/>
      <c r="I906" s="547"/>
      <c r="J906" s="547"/>
      <c r="K906" s="547"/>
      <c r="L906" s="547"/>
      <c r="M906" s="547"/>
      <c r="N906" s="548"/>
      <c r="O906" s="548"/>
      <c r="P906" s="548"/>
      <c r="Q906" s="548"/>
      <c r="R906" s="548"/>
      <c r="S906" s="548"/>
      <c r="T906" s="548"/>
      <c r="U906" s="548"/>
      <c r="V906" s="548"/>
      <c r="W906" s="548"/>
      <c r="X906" s="548"/>
      <c r="Y906" s="548"/>
      <c r="Z906" s="548"/>
      <c r="AA906" s="548"/>
      <c r="AB906" s="548"/>
      <c r="AC906" s="548"/>
      <c r="AD906" s="548"/>
      <c r="AE906" s="548"/>
      <c r="AF906" s="548"/>
      <c r="AG906" s="549"/>
      <c r="AH906" s="518"/>
    </row>
    <row r="907">
      <c r="A907" s="546"/>
      <c r="B907" s="547"/>
      <c r="C907" s="547"/>
      <c r="D907" s="547"/>
      <c r="E907" s="547"/>
      <c r="F907" s="547"/>
      <c r="G907" s="547"/>
      <c r="H907" s="547"/>
      <c r="I907" s="547"/>
      <c r="J907" s="547"/>
      <c r="K907" s="547"/>
      <c r="L907" s="547"/>
      <c r="M907" s="547"/>
      <c r="N907" s="548"/>
      <c r="O907" s="548"/>
      <c r="P907" s="548"/>
      <c r="Q907" s="548"/>
      <c r="R907" s="548"/>
      <c r="S907" s="548"/>
      <c r="T907" s="548"/>
      <c r="U907" s="548"/>
      <c r="V907" s="548"/>
      <c r="W907" s="548"/>
      <c r="X907" s="548"/>
      <c r="Y907" s="548"/>
      <c r="Z907" s="548"/>
      <c r="AA907" s="548"/>
      <c r="AB907" s="548"/>
      <c r="AC907" s="548"/>
      <c r="AD907" s="548"/>
      <c r="AE907" s="548"/>
      <c r="AF907" s="548"/>
      <c r="AG907" s="549"/>
      <c r="AH907" s="518"/>
    </row>
    <row r="908">
      <c r="A908" s="546"/>
      <c r="B908" s="547"/>
      <c r="C908" s="547"/>
      <c r="D908" s="547"/>
      <c r="E908" s="547"/>
      <c r="F908" s="547"/>
      <c r="G908" s="547"/>
      <c r="H908" s="547"/>
      <c r="I908" s="547"/>
      <c r="J908" s="547"/>
      <c r="K908" s="547"/>
      <c r="L908" s="547"/>
      <c r="M908" s="547"/>
      <c r="N908" s="548"/>
      <c r="O908" s="548"/>
      <c r="P908" s="548"/>
      <c r="Q908" s="548"/>
      <c r="R908" s="548"/>
      <c r="S908" s="548"/>
      <c r="T908" s="548"/>
      <c r="U908" s="548"/>
      <c r="V908" s="548"/>
      <c r="W908" s="548"/>
      <c r="X908" s="548"/>
      <c r="Y908" s="548"/>
      <c r="Z908" s="548"/>
      <c r="AA908" s="548"/>
      <c r="AB908" s="548"/>
      <c r="AC908" s="548"/>
      <c r="AD908" s="548"/>
      <c r="AE908" s="548"/>
      <c r="AF908" s="548"/>
      <c r="AG908" s="549"/>
      <c r="AH908" s="518"/>
    </row>
    <row r="909">
      <c r="A909" s="546"/>
      <c r="B909" s="547"/>
      <c r="C909" s="547"/>
      <c r="D909" s="547"/>
      <c r="E909" s="547"/>
      <c r="F909" s="547"/>
      <c r="G909" s="547"/>
      <c r="H909" s="547"/>
      <c r="I909" s="547"/>
      <c r="J909" s="547"/>
      <c r="K909" s="547"/>
      <c r="L909" s="547"/>
      <c r="M909" s="547"/>
      <c r="N909" s="548"/>
      <c r="O909" s="548"/>
      <c r="P909" s="548"/>
      <c r="Q909" s="548"/>
      <c r="R909" s="548"/>
      <c r="S909" s="548"/>
      <c r="T909" s="548"/>
      <c r="U909" s="548"/>
      <c r="V909" s="548"/>
      <c r="W909" s="548"/>
      <c r="X909" s="548"/>
      <c r="Y909" s="548"/>
      <c r="Z909" s="548"/>
      <c r="AA909" s="548"/>
      <c r="AB909" s="548"/>
      <c r="AC909" s="548"/>
      <c r="AD909" s="548"/>
      <c r="AE909" s="548"/>
      <c r="AF909" s="548"/>
      <c r="AG909" s="549"/>
      <c r="AH909" s="518"/>
    </row>
    <row r="910">
      <c r="A910" s="546"/>
      <c r="B910" s="547"/>
      <c r="C910" s="547"/>
      <c r="D910" s="547"/>
      <c r="E910" s="547"/>
      <c r="F910" s="547"/>
      <c r="G910" s="547"/>
      <c r="H910" s="547"/>
      <c r="I910" s="547"/>
      <c r="J910" s="547"/>
      <c r="K910" s="547"/>
      <c r="L910" s="547"/>
      <c r="M910" s="547"/>
      <c r="N910" s="548"/>
      <c r="O910" s="548"/>
      <c r="P910" s="548"/>
      <c r="Q910" s="548"/>
      <c r="R910" s="548"/>
      <c r="S910" s="548"/>
      <c r="T910" s="548"/>
      <c r="U910" s="548"/>
      <c r="V910" s="548"/>
      <c r="W910" s="548"/>
      <c r="X910" s="548"/>
      <c r="Y910" s="548"/>
      <c r="Z910" s="548"/>
      <c r="AA910" s="548"/>
      <c r="AB910" s="548"/>
      <c r="AC910" s="548"/>
      <c r="AD910" s="548"/>
      <c r="AE910" s="548"/>
      <c r="AF910" s="548"/>
      <c r="AG910" s="549"/>
      <c r="AH910" s="518"/>
    </row>
    <row r="911">
      <c r="A911" s="546"/>
      <c r="B911" s="547"/>
      <c r="C911" s="547"/>
      <c r="D911" s="547"/>
      <c r="E911" s="547"/>
      <c r="F911" s="547"/>
      <c r="G911" s="547"/>
      <c r="H911" s="547"/>
      <c r="I911" s="547"/>
      <c r="J911" s="547"/>
      <c r="K911" s="547"/>
      <c r="L911" s="547"/>
      <c r="M911" s="547"/>
      <c r="N911" s="548"/>
      <c r="O911" s="548"/>
      <c r="P911" s="548"/>
      <c r="Q911" s="548"/>
      <c r="R911" s="548"/>
      <c r="S911" s="548"/>
      <c r="T911" s="548"/>
      <c r="U911" s="548"/>
      <c r="V911" s="548"/>
      <c r="W911" s="548"/>
      <c r="X911" s="548"/>
      <c r="Y911" s="548"/>
      <c r="Z911" s="548"/>
      <c r="AA911" s="548"/>
      <c r="AB911" s="548"/>
      <c r="AC911" s="548"/>
      <c r="AD911" s="548"/>
      <c r="AE911" s="548"/>
      <c r="AF911" s="548"/>
      <c r="AG911" s="549"/>
      <c r="AH911" s="518"/>
    </row>
    <row r="912">
      <c r="A912" s="546"/>
      <c r="B912" s="547"/>
      <c r="C912" s="547"/>
      <c r="D912" s="547"/>
      <c r="E912" s="547"/>
      <c r="F912" s="547"/>
      <c r="G912" s="547"/>
      <c r="H912" s="547"/>
      <c r="I912" s="547"/>
      <c r="J912" s="547"/>
      <c r="K912" s="547"/>
      <c r="L912" s="547"/>
      <c r="M912" s="547"/>
      <c r="N912" s="548"/>
      <c r="O912" s="548"/>
      <c r="P912" s="548"/>
      <c r="Q912" s="548"/>
      <c r="R912" s="548"/>
      <c r="S912" s="548"/>
      <c r="T912" s="548"/>
      <c r="U912" s="548"/>
      <c r="V912" s="548"/>
      <c r="W912" s="548"/>
      <c r="X912" s="548"/>
      <c r="Y912" s="548"/>
      <c r="Z912" s="548"/>
      <c r="AA912" s="548"/>
      <c r="AB912" s="548"/>
      <c r="AC912" s="548"/>
      <c r="AD912" s="548"/>
      <c r="AE912" s="548"/>
      <c r="AF912" s="548"/>
      <c r="AG912" s="549"/>
      <c r="AH912" s="518"/>
    </row>
    <row r="913">
      <c r="A913" s="546"/>
      <c r="B913" s="547"/>
      <c r="C913" s="547"/>
      <c r="D913" s="547"/>
      <c r="E913" s="547"/>
      <c r="F913" s="547"/>
      <c r="G913" s="547"/>
      <c r="H913" s="547"/>
      <c r="I913" s="547"/>
      <c r="J913" s="547"/>
      <c r="K913" s="547"/>
      <c r="L913" s="547"/>
      <c r="M913" s="547"/>
      <c r="N913" s="548"/>
      <c r="O913" s="548"/>
      <c r="P913" s="548"/>
      <c r="Q913" s="548"/>
      <c r="R913" s="548"/>
      <c r="S913" s="548"/>
      <c r="T913" s="548"/>
      <c r="U913" s="548"/>
      <c r="V913" s="548"/>
      <c r="W913" s="548"/>
      <c r="X913" s="548"/>
      <c r="Y913" s="548"/>
      <c r="Z913" s="548"/>
      <c r="AA913" s="548"/>
      <c r="AB913" s="548"/>
      <c r="AC913" s="548"/>
      <c r="AD913" s="548"/>
      <c r="AE913" s="548"/>
      <c r="AF913" s="548"/>
      <c r="AG913" s="549"/>
      <c r="AH913" s="518"/>
    </row>
    <row r="914">
      <c r="A914" s="546"/>
      <c r="B914" s="547"/>
      <c r="C914" s="547"/>
      <c r="D914" s="547"/>
      <c r="E914" s="547"/>
      <c r="F914" s="547"/>
      <c r="G914" s="547"/>
      <c r="H914" s="547"/>
      <c r="I914" s="547"/>
      <c r="J914" s="547"/>
      <c r="K914" s="547"/>
      <c r="L914" s="547"/>
      <c r="M914" s="547"/>
      <c r="N914" s="548"/>
      <c r="O914" s="548"/>
      <c r="P914" s="548"/>
      <c r="Q914" s="548"/>
      <c r="R914" s="548"/>
      <c r="S914" s="548"/>
      <c r="T914" s="548"/>
      <c r="U914" s="548"/>
      <c r="V914" s="548"/>
      <c r="W914" s="548"/>
      <c r="X914" s="548"/>
      <c r="Y914" s="548"/>
      <c r="Z914" s="548"/>
      <c r="AA914" s="548"/>
      <c r="AB914" s="548"/>
      <c r="AC914" s="548"/>
      <c r="AD914" s="548"/>
      <c r="AE914" s="548"/>
      <c r="AF914" s="548"/>
      <c r="AG914" s="549"/>
      <c r="AH914" s="518"/>
    </row>
    <row r="915">
      <c r="A915" s="546"/>
      <c r="B915" s="547"/>
      <c r="C915" s="547"/>
      <c r="D915" s="547"/>
      <c r="E915" s="547"/>
      <c r="F915" s="547"/>
      <c r="G915" s="547"/>
      <c r="H915" s="547"/>
      <c r="I915" s="547"/>
      <c r="J915" s="547"/>
      <c r="K915" s="547"/>
      <c r="L915" s="547"/>
      <c r="M915" s="547"/>
      <c r="N915" s="548"/>
      <c r="O915" s="548"/>
      <c r="P915" s="548"/>
      <c r="Q915" s="548"/>
      <c r="R915" s="548"/>
      <c r="S915" s="548"/>
      <c r="T915" s="548"/>
      <c r="U915" s="548"/>
      <c r="V915" s="548"/>
      <c r="W915" s="548"/>
      <c r="X915" s="548"/>
      <c r="Y915" s="548"/>
      <c r="Z915" s="548"/>
      <c r="AA915" s="548"/>
      <c r="AB915" s="548"/>
      <c r="AC915" s="548"/>
      <c r="AD915" s="548"/>
      <c r="AE915" s="548"/>
      <c r="AF915" s="548"/>
      <c r="AG915" s="549"/>
      <c r="AH915" s="518"/>
    </row>
    <row r="916">
      <c r="A916" s="546"/>
      <c r="B916" s="547"/>
      <c r="C916" s="547"/>
      <c r="D916" s="547"/>
      <c r="E916" s="547"/>
      <c r="F916" s="547"/>
      <c r="G916" s="547"/>
      <c r="H916" s="547"/>
      <c r="I916" s="547"/>
      <c r="J916" s="547"/>
      <c r="K916" s="547"/>
      <c r="L916" s="547"/>
      <c r="M916" s="547"/>
      <c r="N916" s="548"/>
      <c r="O916" s="548"/>
      <c r="P916" s="548"/>
      <c r="Q916" s="548"/>
      <c r="R916" s="548"/>
      <c r="S916" s="548"/>
      <c r="T916" s="548"/>
      <c r="U916" s="548"/>
      <c r="V916" s="548"/>
      <c r="W916" s="548"/>
      <c r="X916" s="548"/>
      <c r="Y916" s="548"/>
      <c r="Z916" s="548"/>
      <c r="AA916" s="548"/>
      <c r="AB916" s="548"/>
      <c r="AC916" s="548"/>
      <c r="AD916" s="548"/>
      <c r="AE916" s="548"/>
      <c r="AF916" s="548"/>
      <c r="AG916" s="549"/>
      <c r="AH916" s="518"/>
    </row>
    <row r="917">
      <c r="A917" s="546"/>
      <c r="B917" s="547"/>
      <c r="C917" s="547"/>
      <c r="D917" s="547"/>
      <c r="E917" s="547"/>
      <c r="F917" s="547"/>
      <c r="G917" s="547"/>
      <c r="H917" s="547"/>
      <c r="I917" s="547"/>
      <c r="J917" s="547"/>
      <c r="K917" s="547"/>
      <c r="L917" s="547"/>
      <c r="M917" s="547"/>
      <c r="N917" s="548"/>
      <c r="O917" s="548"/>
      <c r="P917" s="548"/>
      <c r="Q917" s="548"/>
      <c r="R917" s="548"/>
      <c r="S917" s="548"/>
      <c r="T917" s="548"/>
      <c r="U917" s="548"/>
      <c r="V917" s="548"/>
      <c r="W917" s="548"/>
      <c r="X917" s="548"/>
      <c r="Y917" s="548"/>
      <c r="Z917" s="548"/>
      <c r="AA917" s="548"/>
      <c r="AB917" s="548"/>
      <c r="AC917" s="548"/>
      <c r="AD917" s="548"/>
      <c r="AE917" s="548"/>
      <c r="AF917" s="548"/>
      <c r="AG917" s="549"/>
      <c r="AH917" s="518"/>
    </row>
    <row r="918">
      <c r="A918" s="546"/>
      <c r="B918" s="547"/>
      <c r="C918" s="547"/>
      <c r="D918" s="547"/>
      <c r="E918" s="547"/>
      <c r="F918" s="547"/>
      <c r="G918" s="547"/>
      <c r="H918" s="547"/>
      <c r="I918" s="547"/>
      <c r="J918" s="547"/>
      <c r="K918" s="547"/>
      <c r="L918" s="547"/>
      <c r="M918" s="547"/>
      <c r="N918" s="548"/>
      <c r="O918" s="548"/>
      <c r="P918" s="548"/>
      <c r="Q918" s="548"/>
      <c r="R918" s="548"/>
      <c r="S918" s="548"/>
      <c r="T918" s="548"/>
      <c r="U918" s="548"/>
      <c r="V918" s="548"/>
      <c r="W918" s="548"/>
      <c r="X918" s="548"/>
      <c r="Y918" s="548"/>
      <c r="Z918" s="548"/>
      <c r="AA918" s="548"/>
      <c r="AB918" s="548"/>
      <c r="AC918" s="548"/>
      <c r="AD918" s="548"/>
      <c r="AE918" s="548"/>
      <c r="AF918" s="548"/>
      <c r="AG918" s="549"/>
      <c r="AH918" s="518"/>
    </row>
    <row r="919">
      <c r="A919" s="546"/>
      <c r="B919" s="547"/>
      <c r="C919" s="547"/>
      <c r="D919" s="547"/>
      <c r="E919" s="547"/>
      <c r="F919" s="547"/>
      <c r="G919" s="547"/>
      <c r="H919" s="547"/>
      <c r="I919" s="547"/>
      <c r="J919" s="547"/>
      <c r="K919" s="547"/>
      <c r="L919" s="547"/>
      <c r="M919" s="547"/>
      <c r="N919" s="548"/>
      <c r="O919" s="548"/>
      <c r="P919" s="548"/>
      <c r="Q919" s="548"/>
      <c r="R919" s="548"/>
      <c r="S919" s="548"/>
      <c r="T919" s="548"/>
      <c r="U919" s="548"/>
      <c r="V919" s="548"/>
      <c r="W919" s="548"/>
      <c r="X919" s="548"/>
      <c r="Y919" s="548"/>
      <c r="Z919" s="548"/>
      <c r="AA919" s="548"/>
      <c r="AB919" s="548"/>
      <c r="AC919" s="548"/>
      <c r="AD919" s="548"/>
      <c r="AE919" s="548"/>
      <c r="AF919" s="548"/>
      <c r="AG919" s="549"/>
      <c r="AH919" s="518"/>
    </row>
    <row r="920">
      <c r="A920" s="546"/>
      <c r="B920" s="547"/>
      <c r="C920" s="547"/>
      <c r="D920" s="547"/>
      <c r="E920" s="547"/>
      <c r="F920" s="547"/>
      <c r="G920" s="547"/>
      <c r="H920" s="547"/>
      <c r="I920" s="547"/>
      <c r="J920" s="547"/>
      <c r="K920" s="547"/>
      <c r="L920" s="547"/>
      <c r="M920" s="547"/>
      <c r="N920" s="548"/>
      <c r="O920" s="548"/>
      <c r="P920" s="548"/>
      <c r="Q920" s="548"/>
      <c r="R920" s="548"/>
      <c r="S920" s="548"/>
      <c r="T920" s="548"/>
      <c r="U920" s="548"/>
      <c r="V920" s="548"/>
      <c r="W920" s="548"/>
      <c r="X920" s="548"/>
      <c r="Y920" s="548"/>
      <c r="Z920" s="548"/>
      <c r="AA920" s="548"/>
      <c r="AB920" s="548"/>
      <c r="AC920" s="548"/>
      <c r="AD920" s="548"/>
      <c r="AE920" s="548"/>
      <c r="AF920" s="548"/>
      <c r="AG920" s="549"/>
      <c r="AH920" s="518"/>
    </row>
    <row r="921">
      <c r="A921" s="546"/>
      <c r="B921" s="547"/>
      <c r="C921" s="547"/>
      <c r="D921" s="547"/>
      <c r="E921" s="547"/>
      <c r="F921" s="547"/>
      <c r="G921" s="547"/>
      <c r="H921" s="547"/>
      <c r="I921" s="547"/>
      <c r="J921" s="547"/>
      <c r="K921" s="547"/>
      <c r="L921" s="547"/>
      <c r="M921" s="547"/>
      <c r="N921" s="548"/>
      <c r="O921" s="548"/>
      <c r="P921" s="548"/>
      <c r="Q921" s="548"/>
      <c r="R921" s="548"/>
      <c r="S921" s="548"/>
      <c r="T921" s="548"/>
      <c r="U921" s="548"/>
      <c r="V921" s="548"/>
      <c r="W921" s="548"/>
      <c r="X921" s="548"/>
      <c r="Y921" s="548"/>
      <c r="Z921" s="548"/>
      <c r="AA921" s="548"/>
      <c r="AB921" s="548"/>
      <c r="AC921" s="548"/>
      <c r="AD921" s="548"/>
      <c r="AE921" s="548"/>
      <c r="AF921" s="548"/>
      <c r="AG921" s="549"/>
      <c r="AH921" s="518"/>
    </row>
    <row r="922">
      <c r="A922" s="546"/>
      <c r="B922" s="547"/>
      <c r="C922" s="547"/>
      <c r="D922" s="547"/>
      <c r="E922" s="547"/>
      <c r="F922" s="547"/>
      <c r="G922" s="547"/>
      <c r="H922" s="547"/>
      <c r="I922" s="547"/>
      <c r="J922" s="547"/>
      <c r="K922" s="547"/>
      <c r="L922" s="547"/>
      <c r="M922" s="547"/>
      <c r="N922" s="548"/>
      <c r="O922" s="548"/>
      <c r="P922" s="548"/>
      <c r="Q922" s="548"/>
      <c r="R922" s="548"/>
      <c r="S922" s="548"/>
      <c r="T922" s="548"/>
      <c r="U922" s="548"/>
      <c r="V922" s="548"/>
      <c r="W922" s="548"/>
      <c r="X922" s="548"/>
      <c r="Y922" s="548"/>
      <c r="Z922" s="548"/>
      <c r="AA922" s="548"/>
      <c r="AB922" s="548"/>
      <c r="AC922" s="548"/>
      <c r="AD922" s="548"/>
      <c r="AE922" s="548"/>
      <c r="AF922" s="548"/>
      <c r="AG922" s="549"/>
      <c r="AH922" s="518"/>
    </row>
    <row r="923">
      <c r="A923" s="546"/>
      <c r="B923" s="547"/>
      <c r="C923" s="547"/>
      <c r="D923" s="547"/>
      <c r="E923" s="547"/>
      <c r="F923" s="547"/>
      <c r="G923" s="547"/>
      <c r="H923" s="547"/>
      <c r="I923" s="547"/>
      <c r="J923" s="547"/>
      <c r="K923" s="547"/>
      <c r="L923" s="547"/>
      <c r="M923" s="547"/>
      <c r="N923" s="548"/>
      <c r="O923" s="548"/>
      <c r="P923" s="548"/>
      <c r="Q923" s="548"/>
      <c r="R923" s="548"/>
      <c r="S923" s="548"/>
      <c r="T923" s="548"/>
      <c r="U923" s="548"/>
      <c r="V923" s="548"/>
      <c r="W923" s="548"/>
      <c r="X923" s="548"/>
      <c r="Y923" s="548"/>
      <c r="Z923" s="548"/>
      <c r="AA923" s="548"/>
      <c r="AB923" s="548"/>
      <c r="AC923" s="548"/>
      <c r="AD923" s="548"/>
      <c r="AE923" s="548"/>
      <c r="AF923" s="548"/>
      <c r="AG923" s="549"/>
      <c r="AH923" s="518"/>
    </row>
    <row r="924">
      <c r="A924" s="546"/>
      <c r="B924" s="547"/>
      <c r="C924" s="547"/>
      <c r="D924" s="547"/>
      <c r="E924" s="547"/>
      <c r="F924" s="547"/>
      <c r="G924" s="547"/>
      <c r="H924" s="547"/>
      <c r="I924" s="547"/>
      <c r="J924" s="547"/>
      <c r="K924" s="547"/>
      <c r="L924" s="547"/>
      <c r="M924" s="547"/>
      <c r="N924" s="548"/>
      <c r="O924" s="548"/>
      <c r="P924" s="548"/>
      <c r="Q924" s="548"/>
      <c r="R924" s="548"/>
      <c r="S924" s="548"/>
      <c r="T924" s="548"/>
      <c r="U924" s="548"/>
      <c r="V924" s="548"/>
      <c r="W924" s="548"/>
      <c r="X924" s="548"/>
      <c r="Y924" s="548"/>
      <c r="Z924" s="548"/>
      <c r="AA924" s="548"/>
      <c r="AB924" s="548"/>
      <c r="AC924" s="548"/>
      <c r="AD924" s="548"/>
      <c r="AE924" s="548"/>
      <c r="AF924" s="548"/>
      <c r="AG924" s="549"/>
      <c r="AH924" s="518"/>
    </row>
    <row r="925">
      <c r="A925" s="546"/>
      <c r="B925" s="547"/>
      <c r="C925" s="547"/>
      <c r="D925" s="547"/>
      <c r="E925" s="547"/>
      <c r="F925" s="547"/>
      <c r="G925" s="547"/>
      <c r="H925" s="547"/>
      <c r="I925" s="547"/>
      <c r="J925" s="547"/>
      <c r="K925" s="547"/>
      <c r="L925" s="547"/>
      <c r="M925" s="547"/>
      <c r="N925" s="548"/>
      <c r="O925" s="548"/>
      <c r="P925" s="548"/>
      <c r="Q925" s="548"/>
      <c r="R925" s="548"/>
      <c r="S925" s="548"/>
      <c r="T925" s="548"/>
      <c r="U925" s="548"/>
      <c r="V925" s="548"/>
      <c r="W925" s="548"/>
      <c r="X925" s="548"/>
      <c r="Y925" s="548"/>
      <c r="Z925" s="548"/>
      <c r="AA925" s="548"/>
      <c r="AB925" s="548"/>
      <c r="AC925" s="548"/>
      <c r="AD925" s="548"/>
      <c r="AE925" s="548"/>
      <c r="AF925" s="548"/>
      <c r="AG925" s="549"/>
      <c r="AH925" s="518"/>
    </row>
    <row r="926">
      <c r="A926" s="546"/>
      <c r="B926" s="547"/>
      <c r="C926" s="547"/>
      <c r="D926" s="547"/>
      <c r="E926" s="547"/>
      <c r="F926" s="547"/>
      <c r="G926" s="547"/>
      <c r="H926" s="547"/>
      <c r="I926" s="547"/>
      <c r="J926" s="547"/>
      <c r="K926" s="547"/>
      <c r="L926" s="547"/>
      <c r="M926" s="547"/>
      <c r="N926" s="548"/>
      <c r="O926" s="548"/>
      <c r="P926" s="548"/>
      <c r="Q926" s="548"/>
      <c r="R926" s="548"/>
      <c r="S926" s="548"/>
      <c r="T926" s="548"/>
      <c r="U926" s="548"/>
      <c r="V926" s="548"/>
      <c r="W926" s="548"/>
      <c r="X926" s="548"/>
      <c r="Y926" s="548"/>
      <c r="Z926" s="548"/>
      <c r="AA926" s="548"/>
      <c r="AB926" s="548"/>
      <c r="AC926" s="548"/>
      <c r="AD926" s="548"/>
      <c r="AE926" s="548"/>
      <c r="AF926" s="548"/>
      <c r="AG926" s="549"/>
      <c r="AH926" s="518"/>
    </row>
    <row r="927">
      <c r="A927" s="546"/>
      <c r="B927" s="547"/>
      <c r="C927" s="547"/>
      <c r="D927" s="547"/>
      <c r="E927" s="547"/>
      <c r="F927" s="547"/>
      <c r="G927" s="547"/>
      <c r="H927" s="547"/>
      <c r="I927" s="547"/>
      <c r="J927" s="547"/>
      <c r="K927" s="547"/>
      <c r="L927" s="547"/>
      <c r="M927" s="547"/>
      <c r="N927" s="548"/>
      <c r="O927" s="548"/>
      <c r="P927" s="548"/>
      <c r="Q927" s="548"/>
      <c r="R927" s="548"/>
      <c r="S927" s="548"/>
      <c r="T927" s="548"/>
      <c r="U927" s="548"/>
      <c r="V927" s="548"/>
      <c r="W927" s="548"/>
      <c r="X927" s="548"/>
      <c r="Y927" s="548"/>
      <c r="Z927" s="548"/>
      <c r="AA927" s="548"/>
      <c r="AB927" s="548"/>
      <c r="AC927" s="548"/>
      <c r="AD927" s="548"/>
      <c r="AE927" s="548"/>
      <c r="AF927" s="548"/>
      <c r="AG927" s="549"/>
      <c r="AH927" s="518"/>
    </row>
    <row r="928">
      <c r="A928" s="546"/>
      <c r="B928" s="547"/>
      <c r="C928" s="547"/>
      <c r="D928" s="547"/>
      <c r="E928" s="547"/>
      <c r="F928" s="547"/>
      <c r="G928" s="547"/>
      <c r="H928" s="547"/>
      <c r="I928" s="547"/>
      <c r="J928" s="547"/>
      <c r="K928" s="547"/>
      <c r="L928" s="547"/>
      <c r="M928" s="547"/>
      <c r="N928" s="548"/>
      <c r="O928" s="548"/>
      <c r="P928" s="548"/>
      <c r="Q928" s="548"/>
      <c r="R928" s="548"/>
      <c r="S928" s="548"/>
      <c r="T928" s="548"/>
      <c r="U928" s="548"/>
      <c r="V928" s="548"/>
      <c r="W928" s="548"/>
      <c r="X928" s="548"/>
      <c r="Y928" s="548"/>
      <c r="Z928" s="548"/>
      <c r="AA928" s="548"/>
      <c r="AB928" s="548"/>
      <c r="AC928" s="548"/>
      <c r="AD928" s="548"/>
      <c r="AE928" s="548"/>
      <c r="AF928" s="548"/>
      <c r="AG928" s="549"/>
      <c r="AH928" s="518"/>
    </row>
    <row r="929">
      <c r="A929" s="546"/>
      <c r="B929" s="547"/>
      <c r="C929" s="547"/>
      <c r="D929" s="547"/>
      <c r="E929" s="547"/>
      <c r="F929" s="547"/>
      <c r="G929" s="547"/>
      <c r="H929" s="547"/>
      <c r="I929" s="547"/>
      <c r="J929" s="547"/>
      <c r="K929" s="547"/>
      <c r="L929" s="547"/>
      <c r="M929" s="547"/>
      <c r="N929" s="548"/>
      <c r="O929" s="548"/>
      <c r="P929" s="548"/>
      <c r="Q929" s="548"/>
      <c r="R929" s="548"/>
      <c r="S929" s="548"/>
      <c r="T929" s="548"/>
      <c r="U929" s="548"/>
      <c r="V929" s="548"/>
      <c r="W929" s="548"/>
      <c r="X929" s="548"/>
      <c r="Y929" s="548"/>
      <c r="Z929" s="548"/>
      <c r="AA929" s="548"/>
      <c r="AB929" s="548"/>
      <c r="AC929" s="548"/>
      <c r="AD929" s="548"/>
      <c r="AE929" s="548"/>
      <c r="AF929" s="548"/>
      <c r="AG929" s="549"/>
      <c r="AH929" s="518"/>
    </row>
    <row r="930">
      <c r="A930" s="546"/>
      <c r="B930" s="547"/>
      <c r="C930" s="547"/>
      <c r="D930" s="547"/>
      <c r="E930" s="547"/>
      <c r="F930" s="547"/>
      <c r="G930" s="547"/>
      <c r="H930" s="547"/>
      <c r="I930" s="547"/>
      <c r="J930" s="547"/>
      <c r="K930" s="547"/>
      <c r="L930" s="547"/>
      <c r="M930" s="547"/>
      <c r="N930" s="548"/>
      <c r="O930" s="548"/>
      <c r="P930" s="548"/>
      <c r="Q930" s="548"/>
      <c r="R930" s="548"/>
      <c r="S930" s="548"/>
      <c r="T930" s="548"/>
      <c r="U930" s="548"/>
      <c r="V930" s="548"/>
      <c r="W930" s="548"/>
      <c r="X930" s="548"/>
      <c r="Y930" s="548"/>
      <c r="Z930" s="548"/>
      <c r="AA930" s="548"/>
      <c r="AB930" s="548"/>
      <c r="AC930" s="548"/>
      <c r="AD930" s="548"/>
      <c r="AE930" s="548"/>
      <c r="AF930" s="548"/>
      <c r="AG930" s="549"/>
      <c r="AH930" s="518"/>
    </row>
    <row r="931">
      <c r="A931" s="546"/>
      <c r="B931" s="547"/>
      <c r="C931" s="547"/>
      <c r="D931" s="547"/>
      <c r="E931" s="547"/>
      <c r="F931" s="547"/>
      <c r="G931" s="547"/>
      <c r="H931" s="547"/>
      <c r="I931" s="547"/>
      <c r="J931" s="547"/>
      <c r="K931" s="547"/>
      <c r="L931" s="547"/>
      <c r="M931" s="547"/>
      <c r="N931" s="548"/>
      <c r="O931" s="548"/>
      <c r="P931" s="548"/>
      <c r="Q931" s="548"/>
      <c r="R931" s="548"/>
      <c r="S931" s="548"/>
      <c r="T931" s="548"/>
      <c r="U931" s="548"/>
      <c r="V931" s="548"/>
      <c r="W931" s="548"/>
      <c r="X931" s="548"/>
      <c r="Y931" s="548"/>
      <c r="Z931" s="548"/>
      <c r="AA931" s="548"/>
      <c r="AB931" s="548"/>
      <c r="AC931" s="548"/>
      <c r="AD931" s="548"/>
      <c r="AE931" s="548"/>
      <c r="AF931" s="548"/>
      <c r="AG931" s="549"/>
      <c r="AH931" s="518"/>
    </row>
    <row r="932">
      <c r="A932" s="546"/>
      <c r="B932" s="547"/>
      <c r="C932" s="547"/>
      <c r="D932" s="547"/>
      <c r="E932" s="547"/>
      <c r="F932" s="547"/>
      <c r="G932" s="547"/>
      <c r="H932" s="547"/>
      <c r="I932" s="547"/>
      <c r="J932" s="547"/>
      <c r="K932" s="547"/>
      <c r="L932" s="547"/>
      <c r="M932" s="547"/>
      <c r="N932" s="548"/>
      <c r="O932" s="548"/>
      <c r="P932" s="548"/>
      <c r="Q932" s="548"/>
      <c r="R932" s="548"/>
      <c r="S932" s="548"/>
      <c r="T932" s="548"/>
      <c r="U932" s="548"/>
      <c r="V932" s="548"/>
      <c r="W932" s="548"/>
      <c r="X932" s="548"/>
      <c r="Y932" s="548"/>
      <c r="Z932" s="548"/>
      <c r="AA932" s="548"/>
      <c r="AB932" s="548"/>
      <c r="AC932" s="548"/>
      <c r="AD932" s="548"/>
      <c r="AE932" s="548"/>
      <c r="AF932" s="548"/>
      <c r="AG932" s="549"/>
      <c r="AH932" s="518"/>
    </row>
    <row r="933">
      <c r="A933" s="546"/>
      <c r="B933" s="547"/>
      <c r="C933" s="547"/>
      <c r="D933" s="547"/>
      <c r="E933" s="547"/>
      <c r="F933" s="547"/>
      <c r="G933" s="547"/>
      <c r="H933" s="547"/>
      <c r="I933" s="547"/>
      <c r="J933" s="547"/>
      <c r="K933" s="547"/>
      <c r="L933" s="547"/>
      <c r="M933" s="547"/>
      <c r="N933" s="548"/>
      <c r="O933" s="548"/>
      <c r="P933" s="548"/>
      <c r="Q933" s="548"/>
      <c r="R933" s="548"/>
      <c r="S933" s="548"/>
      <c r="T933" s="548"/>
      <c r="U933" s="548"/>
      <c r="V933" s="548"/>
      <c r="W933" s="548"/>
      <c r="X933" s="548"/>
      <c r="Y933" s="548"/>
      <c r="Z933" s="548"/>
      <c r="AA933" s="548"/>
      <c r="AB933" s="548"/>
      <c r="AC933" s="548"/>
      <c r="AD933" s="548"/>
      <c r="AE933" s="548"/>
      <c r="AF933" s="548"/>
      <c r="AG933" s="549"/>
      <c r="AH933" s="518"/>
    </row>
    <row r="934">
      <c r="A934" s="546"/>
      <c r="B934" s="547"/>
      <c r="C934" s="547"/>
      <c r="D934" s="547"/>
      <c r="E934" s="547"/>
      <c r="F934" s="547"/>
      <c r="G934" s="547"/>
      <c r="H934" s="547"/>
      <c r="I934" s="547"/>
      <c r="J934" s="547"/>
      <c r="K934" s="547"/>
      <c r="L934" s="547"/>
      <c r="M934" s="547"/>
      <c r="N934" s="548"/>
      <c r="O934" s="548"/>
      <c r="P934" s="548"/>
      <c r="Q934" s="548"/>
      <c r="R934" s="548"/>
      <c r="S934" s="548"/>
      <c r="T934" s="548"/>
      <c r="U934" s="548"/>
      <c r="V934" s="548"/>
      <c r="W934" s="548"/>
      <c r="X934" s="548"/>
      <c r="Y934" s="548"/>
      <c r="Z934" s="548"/>
      <c r="AA934" s="548"/>
      <c r="AB934" s="548"/>
      <c r="AC934" s="548"/>
      <c r="AD934" s="548"/>
      <c r="AE934" s="548"/>
      <c r="AF934" s="548"/>
      <c r="AG934" s="549"/>
      <c r="AH934" s="518"/>
    </row>
    <row r="935">
      <c r="A935" s="546"/>
      <c r="B935" s="547"/>
      <c r="C935" s="547"/>
      <c r="D935" s="547"/>
      <c r="E935" s="547"/>
      <c r="F935" s="547"/>
      <c r="G935" s="547"/>
      <c r="H935" s="547"/>
      <c r="I935" s="547"/>
      <c r="J935" s="547"/>
      <c r="K935" s="547"/>
      <c r="L935" s="547"/>
      <c r="M935" s="547"/>
      <c r="N935" s="548"/>
      <c r="O935" s="548"/>
      <c r="P935" s="548"/>
      <c r="Q935" s="548"/>
      <c r="R935" s="548"/>
      <c r="S935" s="548"/>
      <c r="T935" s="548"/>
      <c r="U935" s="548"/>
      <c r="V935" s="548"/>
      <c r="W935" s="548"/>
      <c r="X935" s="548"/>
      <c r="Y935" s="548"/>
      <c r="Z935" s="548"/>
      <c r="AA935" s="548"/>
      <c r="AB935" s="548"/>
      <c r="AC935" s="548"/>
      <c r="AD935" s="548"/>
      <c r="AE935" s="548"/>
      <c r="AF935" s="548"/>
      <c r="AG935" s="549"/>
      <c r="AH935" s="518"/>
    </row>
    <row r="936">
      <c r="A936" s="546"/>
      <c r="B936" s="547"/>
      <c r="C936" s="547"/>
      <c r="D936" s="547"/>
      <c r="E936" s="547"/>
      <c r="F936" s="547"/>
      <c r="G936" s="547"/>
      <c r="H936" s="547"/>
      <c r="I936" s="547"/>
      <c r="J936" s="547"/>
      <c r="K936" s="547"/>
      <c r="L936" s="547"/>
      <c r="M936" s="547"/>
      <c r="N936" s="548"/>
      <c r="O936" s="548"/>
      <c r="P936" s="548"/>
      <c r="Q936" s="548"/>
      <c r="R936" s="548"/>
      <c r="S936" s="548"/>
      <c r="T936" s="548"/>
      <c r="U936" s="548"/>
      <c r="V936" s="548"/>
      <c r="W936" s="548"/>
      <c r="X936" s="548"/>
      <c r="Y936" s="548"/>
      <c r="Z936" s="548"/>
      <c r="AA936" s="548"/>
      <c r="AB936" s="548"/>
      <c r="AC936" s="548"/>
      <c r="AD936" s="548"/>
      <c r="AE936" s="548"/>
      <c r="AF936" s="548"/>
      <c r="AG936" s="549"/>
      <c r="AH936" s="518"/>
    </row>
    <row r="937">
      <c r="A937" s="546"/>
      <c r="B937" s="547"/>
      <c r="C937" s="547"/>
      <c r="D937" s="547"/>
      <c r="E937" s="547"/>
      <c r="F937" s="547"/>
      <c r="G937" s="547"/>
      <c r="H937" s="547"/>
      <c r="I937" s="547"/>
      <c r="J937" s="547"/>
      <c r="K937" s="547"/>
      <c r="L937" s="547"/>
      <c r="M937" s="547"/>
      <c r="N937" s="548"/>
      <c r="O937" s="548"/>
      <c r="P937" s="548"/>
      <c r="Q937" s="548"/>
      <c r="R937" s="548"/>
      <c r="S937" s="548"/>
      <c r="T937" s="548"/>
      <c r="U937" s="548"/>
      <c r="V937" s="548"/>
      <c r="W937" s="548"/>
      <c r="X937" s="548"/>
      <c r="Y937" s="548"/>
      <c r="Z937" s="548"/>
      <c r="AA937" s="548"/>
      <c r="AB937" s="548"/>
      <c r="AC937" s="548"/>
      <c r="AD937" s="548"/>
      <c r="AE937" s="548"/>
      <c r="AF937" s="548"/>
      <c r="AG937" s="549"/>
      <c r="AH937" s="518"/>
    </row>
    <row r="938">
      <c r="A938" s="546"/>
      <c r="B938" s="547"/>
      <c r="C938" s="547"/>
      <c r="D938" s="547"/>
      <c r="E938" s="547"/>
      <c r="F938" s="547"/>
      <c r="G938" s="547"/>
      <c r="H938" s="547"/>
      <c r="I938" s="547"/>
      <c r="J938" s="547"/>
      <c r="K938" s="547"/>
      <c r="L938" s="547"/>
      <c r="M938" s="547"/>
      <c r="N938" s="548"/>
      <c r="O938" s="548"/>
      <c r="P938" s="548"/>
      <c r="Q938" s="548"/>
      <c r="R938" s="548"/>
      <c r="S938" s="548"/>
      <c r="T938" s="548"/>
      <c r="U938" s="548"/>
      <c r="V938" s="548"/>
      <c r="W938" s="548"/>
      <c r="X938" s="548"/>
      <c r="Y938" s="548"/>
      <c r="Z938" s="548"/>
      <c r="AA938" s="548"/>
      <c r="AB938" s="548"/>
      <c r="AC938" s="548"/>
      <c r="AD938" s="548"/>
      <c r="AE938" s="548"/>
      <c r="AF938" s="548"/>
      <c r="AG938" s="549"/>
      <c r="AH938" s="518"/>
    </row>
    <row r="939">
      <c r="A939" s="546"/>
      <c r="B939" s="547"/>
      <c r="C939" s="547"/>
      <c r="D939" s="547"/>
      <c r="E939" s="547"/>
      <c r="F939" s="547"/>
      <c r="G939" s="547"/>
      <c r="H939" s="547"/>
      <c r="I939" s="547"/>
      <c r="J939" s="547"/>
      <c r="K939" s="547"/>
      <c r="L939" s="547"/>
      <c r="M939" s="547"/>
      <c r="N939" s="548"/>
      <c r="O939" s="548"/>
      <c r="P939" s="548"/>
      <c r="Q939" s="548"/>
      <c r="R939" s="548"/>
      <c r="S939" s="548"/>
      <c r="T939" s="548"/>
      <c r="U939" s="548"/>
      <c r="V939" s="548"/>
      <c r="W939" s="548"/>
      <c r="X939" s="548"/>
      <c r="Y939" s="548"/>
      <c r="Z939" s="548"/>
      <c r="AA939" s="548"/>
      <c r="AB939" s="548"/>
      <c r="AC939" s="548"/>
      <c r="AD939" s="548"/>
      <c r="AE939" s="548"/>
      <c r="AF939" s="548"/>
      <c r="AG939" s="549"/>
      <c r="AH939" s="518"/>
    </row>
    <row r="940">
      <c r="A940" s="546"/>
      <c r="B940" s="547"/>
      <c r="C940" s="547"/>
      <c r="D940" s="547"/>
      <c r="E940" s="547"/>
      <c r="F940" s="547"/>
      <c r="G940" s="547"/>
      <c r="H940" s="547"/>
      <c r="I940" s="547"/>
      <c r="J940" s="547"/>
      <c r="K940" s="547"/>
      <c r="L940" s="547"/>
      <c r="M940" s="547"/>
      <c r="N940" s="548"/>
      <c r="O940" s="548"/>
      <c r="P940" s="548"/>
      <c r="Q940" s="548"/>
      <c r="R940" s="548"/>
      <c r="S940" s="548"/>
      <c r="T940" s="548"/>
      <c r="U940" s="548"/>
      <c r="V940" s="548"/>
      <c r="W940" s="548"/>
      <c r="X940" s="548"/>
      <c r="Y940" s="548"/>
      <c r="Z940" s="548"/>
      <c r="AA940" s="548"/>
      <c r="AB940" s="548"/>
      <c r="AC940" s="548"/>
      <c r="AD940" s="548"/>
      <c r="AE940" s="548"/>
      <c r="AF940" s="548"/>
      <c r="AG940" s="549"/>
      <c r="AH940" s="518"/>
    </row>
    <row r="941">
      <c r="A941" s="546"/>
      <c r="B941" s="547"/>
      <c r="C941" s="547"/>
      <c r="D941" s="547"/>
      <c r="E941" s="547"/>
      <c r="F941" s="547"/>
      <c r="G941" s="547"/>
      <c r="H941" s="547"/>
      <c r="I941" s="547"/>
      <c r="J941" s="547"/>
      <c r="K941" s="547"/>
      <c r="L941" s="547"/>
      <c r="M941" s="547"/>
      <c r="N941" s="548"/>
      <c r="O941" s="548"/>
      <c r="P941" s="548"/>
      <c r="Q941" s="548"/>
      <c r="R941" s="548"/>
      <c r="S941" s="548"/>
      <c r="T941" s="548"/>
      <c r="U941" s="548"/>
      <c r="V941" s="548"/>
      <c r="W941" s="548"/>
      <c r="X941" s="548"/>
      <c r="Y941" s="548"/>
      <c r="Z941" s="548"/>
      <c r="AA941" s="548"/>
      <c r="AB941" s="548"/>
      <c r="AC941" s="548"/>
      <c r="AD941" s="548"/>
      <c r="AE941" s="548"/>
      <c r="AF941" s="548"/>
      <c r="AG941" s="549"/>
      <c r="AH941" s="518"/>
    </row>
    <row r="942">
      <c r="A942" s="546"/>
      <c r="B942" s="547"/>
      <c r="C942" s="547"/>
      <c r="D942" s="547"/>
      <c r="E942" s="547"/>
      <c r="F942" s="547"/>
      <c r="G942" s="547"/>
      <c r="H942" s="547"/>
      <c r="I942" s="547"/>
      <c r="J942" s="547"/>
      <c r="K942" s="547"/>
      <c r="L942" s="547"/>
      <c r="M942" s="547"/>
      <c r="N942" s="548"/>
      <c r="O942" s="548"/>
      <c r="P942" s="548"/>
      <c r="Q942" s="548"/>
      <c r="R942" s="548"/>
      <c r="S942" s="548"/>
      <c r="T942" s="548"/>
      <c r="U942" s="548"/>
      <c r="V942" s="548"/>
      <c r="W942" s="548"/>
      <c r="X942" s="548"/>
      <c r="Y942" s="548"/>
      <c r="Z942" s="548"/>
      <c r="AA942" s="548"/>
      <c r="AB942" s="548"/>
      <c r="AC942" s="548"/>
      <c r="AD942" s="548"/>
      <c r="AE942" s="548"/>
      <c r="AF942" s="548"/>
      <c r="AG942" s="549"/>
      <c r="AH942" s="518"/>
    </row>
    <row r="943">
      <c r="A943" s="546"/>
      <c r="B943" s="547"/>
      <c r="C943" s="547"/>
      <c r="D943" s="547"/>
      <c r="E943" s="547"/>
      <c r="F943" s="547"/>
      <c r="G943" s="547"/>
      <c r="H943" s="547"/>
      <c r="I943" s="547"/>
      <c r="J943" s="547"/>
      <c r="K943" s="547"/>
      <c r="L943" s="547"/>
      <c r="M943" s="547"/>
      <c r="N943" s="548"/>
      <c r="O943" s="548"/>
      <c r="P943" s="548"/>
      <c r="Q943" s="548"/>
      <c r="R943" s="548"/>
      <c r="S943" s="548"/>
      <c r="T943" s="548"/>
      <c r="U943" s="548"/>
      <c r="V943" s="548"/>
      <c r="W943" s="548"/>
      <c r="X943" s="548"/>
      <c r="Y943" s="548"/>
      <c r="Z943" s="548"/>
      <c r="AA943" s="548"/>
      <c r="AB943" s="548"/>
      <c r="AC943" s="548"/>
      <c r="AD943" s="548"/>
      <c r="AE943" s="548"/>
      <c r="AF943" s="548"/>
      <c r="AG943" s="549"/>
      <c r="AH943" s="518"/>
    </row>
    <row r="944">
      <c r="A944" s="546"/>
      <c r="B944" s="547"/>
      <c r="C944" s="547"/>
      <c r="D944" s="547"/>
      <c r="E944" s="547"/>
      <c r="F944" s="547"/>
      <c r="G944" s="547"/>
      <c r="H944" s="547"/>
      <c r="I944" s="547"/>
      <c r="J944" s="547"/>
      <c r="K944" s="547"/>
      <c r="L944" s="547"/>
      <c r="M944" s="547"/>
      <c r="N944" s="548"/>
      <c r="O944" s="548"/>
      <c r="P944" s="548"/>
      <c r="Q944" s="548"/>
      <c r="R944" s="548"/>
      <c r="S944" s="548"/>
      <c r="T944" s="548"/>
      <c r="U944" s="548"/>
      <c r="V944" s="548"/>
      <c r="W944" s="548"/>
      <c r="X944" s="548"/>
      <c r="Y944" s="548"/>
      <c r="Z944" s="548"/>
      <c r="AA944" s="548"/>
      <c r="AB944" s="548"/>
      <c r="AC944" s="548"/>
      <c r="AD944" s="548"/>
      <c r="AE944" s="548"/>
      <c r="AF944" s="548"/>
      <c r="AG944" s="549"/>
      <c r="AH944" s="518"/>
    </row>
    <row r="945">
      <c r="A945" s="546"/>
      <c r="B945" s="547"/>
      <c r="C945" s="547"/>
      <c r="D945" s="547"/>
      <c r="E945" s="547"/>
      <c r="F945" s="547"/>
      <c r="G945" s="547"/>
      <c r="H945" s="547"/>
      <c r="I945" s="547"/>
      <c r="J945" s="547"/>
      <c r="K945" s="547"/>
      <c r="L945" s="547"/>
      <c r="M945" s="547"/>
      <c r="N945" s="548"/>
      <c r="O945" s="548"/>
      <c r="P945" s="548"/>
      <c r="Q945" s="548"/>
      <c r="R945" s="548"/>
      <c r="S945" s="548"/>
      <c r="T945" s="548"/>
      <c r="U945" s="548"/>
      <c r="V945" s="548"/>
      <c r="W945" s="548"/>
      <c r="X945" s="548"/>
      <c r="Y945" s="548"/>
      <c r="Z945" s="548"/>
      <c r="AA945" s="548"/>
      <c r="AB945" s="548"/>
      <c r="AC945" s="548"/>
      <c r="AD945" s="548"/>
      <c r="AE945" s="548"/>
      <c r="AF945" s="548"/>
      <c r="AG945" s="549"/>
      <c r="AH945" s="518"/>
    </row>
    <row r="946">
      <c r="A946" s="546"/>
      <c r="B946" s="547"/>
      <c r="C946" s="547"/>
      <c r="D946" s="547"/>
      <c r="E946" s="547"/>
      <c r="F946" s="547"/>
      <c r="G946" s="547"/>
      <c r="H946" s="547"/>
      <c r="I946" s="547"/>
      <c r="J946" s="547"/>
      <c r="K946" s="547"/>
      <c r="L946" s="547"/>
      <c r="M946" s="547"/>
      <c r="N946" s="548"/>
      <c r="O946" s="548"/>
      <c r="P946" s="548"/>
      <c r="Q946" s="548"/>
      <c r="R946" s="548"/>
      <c r="S946" s="548"/>
      <c r="T946" s="548"/>
      <c r="U946" s="548"/>
      <c r="V946" s="548"/>
      <c r="W946" s="548"/>
      <c r="X946" s="548"/>
      <c r="Y946" s="548"/>
      <c r="Z946" s="548"/>
      <c r="AA946" s="548"/>
      <c r="AB946" s="548"/>
      <c r="AC946" s="548"/>
      <c r="AD946" s="548"/>
      <c r="AE946" s="548"/>
      <c r="AF946" s="548"/>
      <c r="AG946" s="549"/>
      <c r="AH946" s="518"/>
    </row>
    <row r="947">
      <c r="A947" s="546"/>
      <c r="B947" s="547"/>
      <c r="C947" s="547"/>
      <c r="D947" s="547"/>
      <c r="E947" s="547"/>
      <c r="F947" s="547"/>
      <c r="G947" s="547"/>
      <c r="H947" s="547"/>
      <c r="I947" s="547"/>
      <c r="J947" s="547"/>
      <c r="K947" s="547"/>
      <c r="L947" s="547"/>
      <c r="M947" s="547"/>
      <c r="N947" s="548"/>
      <c r="O947" s="548"/>
      <c r="P947" s="548"/>
      <c r="Q947" s="548"/>
      <c r="R947" s="548"/>
      <c r="S947" s="548"/>
      <c r="T947" s="548"/>
      <c r="U947" s="548"/>
      <c r="V947" s="548"/>
      <c r="W947" s="548"/>
      <c r="X947" s="548"/>
      <c r="Y947" s="548"/>
      <c r="Z947" s="548"/>
      <c r="AA947" s="548"/>
      <c r="AB947" s="548"/>
      <c r="AC947" s="548"/>
      <c r="AD947" s="548"/>
      <c r="AE947" s="548"/>
      <c r="AF947" s="548"/>
      <c r="AG947" s="549"/>
      <c r="AH947" s="518"/>
    </row>
    <row r="948">
      <c r="A948" s="546"/>
      <c r="B948" s="547"/>
      <c r="C948" s="547"/>
      <c r="D948" s="547"/>
      <c r="E948" s="547"/>
      <c r="F948" s="547"/>
      <c r="G948" s="547"/>
      <c r="H948" s="547"/>
      <c r="I948" s="547"/>
      <c r="J948" s="547"/>
      <c r="K948" s="547"/>
      <c r="L948" s="547"/>
      <c r="M948" s="547"/>
      <c r="N948" s="548"/>
      <c r="O948" s="548"/>
      <c r="P948" s="548"/>
      <c r="Q948" s="548"/>
      <c r="R948" s="548"/>
      <c r="S948" s="548"/>
      <c r="T948" s="548"/>
      <c r="U948" s="548"/>
      <c r="V948" s="548"/>
      <c r="W948" s="548"/>
      <c r="X948" s="548"/>
      <c r="Y948" s="548"/>
      <c r="Z948" s="548"/>
      <c r="AA948" s="548"/>
      <c r="AB948" s="548"/>
      <c r="AC948" s="548"/>
      <c r="AD948" s="548"/>
      <c r="AE948" s="548"/>
      <c r="AF948" s="548"/>
      <c r="AG948" s="549"/>
      <c r="AH948" s="518"/>
    </row>
    <row r="949">
      <c r="A949" s="546"/>
      <c r="B949" s="547"/>
      <c r="C949" s="547"/>
      <c r="D949" s="547"/>
      <c r="E949" s="547"/>
      <c r="F949" s="547"/>
      <c r="G949" s="547"/>
      <c r="H949" s="547"/>
      <c r="I949" s="547"/>
      <c r="J949" s="547"/>
      <c r="K949" s="547"/>
      <c r="L949" s="547"/>
      <c r="M949" s="547"/>
      <c r="N949" s="548"/>
      <c r="O949" s="548"/>
      <c r="P949" s="548"/>
      <c r="Q949" s="548"/>
      <c r="R949" s="548"/>
      <c r="S949" s="548"/>
      <c r="T949" s="548"/>
      <c r="U949" s="548"/>
      <c r="V949" s="548"/>
      <c r="W949" s="548"/>
      <c r="X949" s="548"/>
      <c r="Y949" s="548"/>
      <c r="Z949" s="548"/>
      <c r="AA949" s="548"/>
      <c r="AB949" s="548"/>
      <c r="AC949" s="548"/>
      <c r="AD949" s="548"/>
      <c r="AE949" s="548"/>
      <c r="AF949" s="548"/>
      <c r="AG949" s="549"/>
      <c r="AH949" s="518"/>
    </row>
    <row r="950">
      <c r="A950" s="546"/>
      <c r="B950" s="547"/>
      <c r="C950" s="547"/>
      <c r="D950" s="547"/>
      <c r="E950" s="547"/>
      <c r="F950" s="547"/>
      <c r="G950" s="547"/>
      <c r="H950" s="547"/>
      <c r="I950" s="547"/>
      <c r="J950" s="547"/>
      <c r="K950" s="547"/>
      <c r="L950" s="547"/>
      <c r="M950" s="547"/>
      <c r="N950" s="548"/>
      <c r="O950" s="548"/>
      <c r="P950" s="548"/>
      <c r="Q950" s="548"/>
      <c r="R950" s="548"/>
      <c r="S950" s="548"/>
      <c r="T950" s="548"/>
      <c r="U950" s="548"/>
      <c r="V950" s="548"/>
      <c r="W950" s="548"/>
      <c r="X950" s="548"/>
      <c r="Y950" s="548"/>
      <c r="Z950" s="548"/>
      <c r="AA950" s="548"/>
      <c r="AB950" s="548"/>
      <c r="AC950" s="548"/>
      <c r="AD950" s="548"/>
      <c r="AE950" s="548"/>
      <c r="AF950" s="548"/>
      <c r="AG950" s="549"/>
      <c r="AH950" s="518"/>
    </row>
    <row r="951">
      <c r="A951" s="546"/>
      <c r="B951" s="547"/>
      <c r="C951" s="547"/>
      <c r="D951" s="547"/>
      <c r="E951" s="547"/>
      <c r="F951" s="547"/>
      <c r="G951" s="547"/>
      <c r="H951" s="547"/>
      <c r="I951" s="547"/>
      <c r="J951" s="547"/>
      <c r="K951" s="547"/>
      <c r="L951" s="547"/>
      <c r="M951" s="547"/>
      <c r="N951" s="548"/>
      <c r="O951" s="548"/>
      <c r="P951" s="548"/>
      <c r="Q951" s="548"/>
      <c r="R951" s="548"/>
      <c r="S951" s="548"/>
      <c r="T951" s="548"/>
      <c r="U951" s="548"/>
      <c r="V951" s="548"/>
      <c r="W951" s="548"/>
      <c r="X951" s="548"/>
      <c r="Y951" s="548"/>
      <c r="Z951" s="548"/>
      <c r="AA951" s="548"/>
      <c r="AB951" s="548"/>
      <c r="AC951" s="548"/>
      <c r="AD951" s="548"/>
      <c r="AE951" s="548"/>
      <c r="AF951" s="548"/>
      <c r="AG951" s="549"/>
      <c r="AH951" s="518"/>
    </row>
    <row r="952">
      <c r="A952" s="546"/>
      <c r="B952" s="547"/>
      <c r="C952" s="547"/>
      <c r="D952" s="547"/>
      <c r="E952" s="547"/>
      <c r="F952" s="547"/>
      <c r="G952" s="547"/>
      <c r="H952" s="547"/>
      <c r="I952" s="547"/>
      <c r="J952" s="547"/>
      <c r="K952" s="547"/>
      <c r="L952" s="547"/>
      <c r="M952" s="547"/>
      <c r="N952" s="548"/>
      <c r="O952" s="548"/>
      <c r="P952" s="548"/>
      <c r="Q952" s="548"/>
      <c r="R952" s="548"/>
      <c r="S952" s="548"/>
      <c r="T952" s="548"/>
      <c r="U952" s="548"/>
      <c r="V952" s="548"/>
      <c r="W952" s="548"/>
      <c r="X952" s="548"/>
      <c r="Y952" s="548"/>
      <c r="Z952" s="548"/>
      <c r="AA952" s="548"/>
      <c r="AB952" s="548"/>
      <c r="AC952" s="548"/>
      <c r="AD952" s="548"/>
      <c r="AE952" s="548"/>
      <c r="AF952" s="548"/>
      <c r="AG952" s="549"/>
      <c r="AH952" s="518"/>
    </row>
    <row r="953">
      <c r="A953" s="546"/>
      <c r="B953" s="547"/>
      <c r="C953" s="547"/>
      <c r="D953" s="547"/>
      <c r="E953" s="547"/>
      <c r="F953" s="547"/>
      <c r="G953" s="547"/>
      <c r="H953" s="547"/>
      <c r="I953" s="547"/>
      <c r="J953" s="547"/>
      <c r="K953" s="547"/>
      <c r="L953" s="547"/>
      <c r="M953" s="547"/>
      <c r="N953" s="548"/>
      <c r="O953" s="548"/>
      <c r="P953" s="548"/>
      <c r="Q953" s="548"/>
      <c r="R953" s="548"/>
      <c r="S953" s="548"/>
      <c r="T953" s="548"/>
      <c r="U953" s="548"/>
      <c r="V953" s="548"/>
      <c r="W953" s="548"/>
      <c r="X953" s="548"/>
      <c r="Y953" s="548"/>
      <c r="Z953" s="548"/>
      <c r="AA953" s="548"/>
      <c r="AB953" s="548"/>
      <c r="AC953" s="548"/>
      <c r="AD953" s="548"/>
      <c r="AE953" s="548"/>
      <c r="AF953" s="548"/>
      <c r="AG953" s="549"/>
      <c r="AH953" s="518"/>
    </row>
    <row r="954">
      <c r="AG954" s="550"/>
      <c r="AH954" s="551"/>
    </row>
    <row r="955">
      <c r="AG955" s="550"/>
      <c r="AH955" s="551"/>
    </row>
    <row r="956">
      <c r="AG956" s="550"/>
      <c r="AH956" s="551"/>
    </row>
    <row r="957">
      <c r="AG957" s="550"/>
      <c r="AH957" s="551"/>
    </row>
    <row r="958">
      <c r="AG958" s="550"/>
      <c r="AH958" s="551"/>
    </row>
    <row r="959">
      <c r="AG959" s="550"/>
      <c r="AH959" s="551"/>
    </row>
    <row r="960">
      <c r="AG960" s="550"/>
      <c r="AH960" s="551"/>
    </row>
    <row r="961">
      <c r="AG961" s="552"/>
      <c r="AH961" s="551"/>
    </row>
  </sheetData>
  <mergeCells count="2">
    <mergeCell ref="A10:A11"/>
    <mergeCell ref="A52:A5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347"/>
      <c r="B1" s="553" t="s">
        <v>817</v>
      </c>
      <c r="S1" s="553"/>
      <c r="T1" s="553"/>
      <c r="U1" s="553"/>
      <c r="V1" s="553"/>
    </row>
    <row r="2">
      <c r="A2" s="554" t="s">
        <v>818</v>
      </c>
      <c r="B2" s="555" t="s">
        <v>819</v>
      </c>
      <c r="C2" s="556"/>
      <c r="E2" s="557" t="s">
        <v>820</v>
      </c>
      <c r="F2" s="556"/>
      <c r="G2" s="558"/>
      <c r="H2" s="557" t="s">
        <v>821</v>
      </c>
      <c r="I2" s="556"/>
      <c r="J2" s="559"/>
      <c r="K2" s="557" t="s">
        <v>822</v>
      </c>
      <c r="L2" s="556"/>
      <c r="N2" s="557" t="s">
        <v>823</v>
      </c>
      <c r="O2" s="556"/>
      <c r="Q2" s="557" t="s">
        <v>824</v>
      </c>
      <c r="R2" s="556"/>
      <c r="S2" s="560"/>
      <c r="T2" s="561" t="s">
        <v>825</v>
      </c>
      <c r="U2" s="556"/>
      <c r="V2" s="562"/>
    </row>
    <row r="3">
      <c r="A3" s="563"/>
      <c r="B3" s="564" t="s">
        <v>826</v>
      </c>
      <c r="C3" s="565">
        <v>86.9</v>
      </c>
      <c r="D3" s="566">
        <v>86.9</v>
      </c>
      <c r="E3" s="567" t="s">
        <v>827</v>
      </c>
      <c r="F3" s="568">
        <f>(('DTC - P&amp;L'!AG105+'DTC - P&amp;L'!AG106)/'DTC - P&amp;L'!AG95)</f>
        <v>0.1508007117</v>
      </c>
      <c r="G3" s="569"/>
      <c r="H3" s="570" t="s">
        <v>819</v>
      </c>
      <c r="I3" s="571">
        <f>(C3*F9)+(C4*F8)+(C5*F3)+(C6*F4)+(C7*F5)+(C8*F6)+(C9*F7)+(C10*F10)</f>
        <v>101.5858897</v>
      </c>
      <c r="J3" s="572">
        <f>(D3*F9)+(D4*F8)+(D5*F3)+(D6*F4)+(D7*F5)+(D8*F6)+(D9*F7)</f>
        <v>99.38660142</v>
      </c>
      <c r="K3" s="573" t="s">
        <v>828</v>
      </c>
      <c r="L3" s="574">
        <v>0.029</v>
      </c>
      <c r="N3" s="564" t="s">
        <v>829</v>
      </c>
      <c r="O3" s="575">
        <v>0.22</v>
      </c>
      <c r="Q3" s="567" t="s">
        <v>830</v>
      </c>
      <c r="R3" s="576">
        <v>15.0</v>
      </c>
      <c r="S3" s="577"/>
      <c r="T3" s="578" t="s">
        <v>831</v>
      </c>
      <c r="U3" s="579">
        <v>0.0614</v>
      </c>
      <c r="V3" s="580" t="s">
        <v>818</v>
      </c>
    </row>
    <row r="4">
      <c r="A4" s="563"/>
      <c r="B4" s="564" t="s">
        <v>832</v>
      </c>
      <c r="C4" s="565">
        <v>97.61</v>
      </c>
      <c r="D4" s="566">
        <v>97.61</v>
      </c>
      <c r="E4" s="567" t="s">
        <v>131</v>
      </c>
      <c r="F4" s="568">
        <f>('DTC - P&amp;L'!AG101/'DTC - P&amp;L'!AG95)</f>
        <v>0.2175266904</v>
      </c>
      <c r="G4" s="569"/>
      <c r="H4" s="570" t="s">
        <v>833</v>
      </c>
      <c r="I4" s="571">
        <f>C38+('DTC - P&amp;L'!AG111/'DTC - P&amp;L'!AG95)*D38</f>
        <v>13.47075178</v>
      </c>
      <c r="J4" s="581"/>
      <c r="K4" s="567" t="s">
        <v>834</v>
      </c>
      <c r="L4" s="582">
        <v>0.034</v>
      </c>
      <c r="N4" s="564" t="s">
        <v>835</v>
      </c>
      <c r="O4" s="575">
        <v>0.13</v>
      </c>
      <c r="Q4" s="567" t="s">
        <v>836</v>
      </c>
      <c r="R4" s="576">
        <v>40.0</v>
      </c>
      <c r="S4" s="577"/>
      <c r="T4" s="577"/>
      <c r="U4" s="577"/>
      <c r="V4" s="577"/>
    </row>
    <row r="5">
      <c r="A5" s="563"/>
      <c r="B5" s="564" t="s">
        <v>837</v>
      </c>
      <c r="C5" s="571">
        <v>13.44</v>
      </c>
      <c r="D5" s="566">
        <v>13.44</v>
      </c>
      <c r="E5" s="583" t="s">
        <v>838</v>
      </c>
      <c r="F5" s="584">
        <v>0.0</v>
      </c>
      <c r="G5" s="569"/>
      <c r="H5" s="564" t="s">
        <v>839</v>
      </c>
      <c r="I5" s="571">
        <f>C34+('DTC - P&amp;L'!AG111/'DTC - P&amp;L'!AG95)*D34</f>
        <v>44.81590747</v>
      </c>
      <c r="K5" s="567" t="s">
        <v>840</v>
      </c>
      <c r="L5" s="582">
        <v>0.075</v>
      </c>
      <c r="N5" s="564" t="s">
        <v>841</v>
      </c>
      <c r="O5" s="585"/>
      <c r="Q5" s="567" t="s">
        <v>842</v>
      </c>
      <c r="R5" s="576">
        <v>20.0</v>
      </c>
      <c r="S5" s="577"/>
      <c r="T5" s="577"/>
      <c r="U5" s="577"/>
      <c r="V5" s="577"/>
    </row>
    <row r="6">
      <c r="A6" s="563"/>
      <c r="B6" s="564" t="s">
        <v>131</v>
      </c>
      <c r="C6" s="571">
        <v>5.49</v>
      </c>
      <c r="D6" s="566">
        <v>5.49</v>
      </c>
      <c r="E6" s="567" t="s">
        <v>132</v>
      </c>
      <c r="F6" s="568">
        <f>('DTC - P&amp;L'!AG102)/'DTC - P&amp;L'!AG95</f>
        <v>0.1072064057</v>
      </c>
      <c r="G6" s="569"/>
      <c r="H6" s="573" t="s">
        <v>843</v>
      </c>
      <c r="I6" s="571">
        <v>16.81</v>
      </c>
      <c r="K6" s="567" t="s">
        <v>844</v>
      </c>
      <c r="L6" s="586">
        <v>0.00125</v>
      </c>
      <c r="Q6" s="567" t="s">
        <v>845</v>
      </c>
      <c r="R6" s="587">
        <v>1.0</v>
      </c>
      <c r="S6" s="588"/>
      <c r="T6" s="588"/>
      <c r="U6" s="588"/>
      <c r="V6" s="588"/>
    </row>
    <row r="7">
      <c r="A7" s="563"/>
      <c r="B7" s="589" t="s">
        <v>838</v>
      </c>
      <c r="C7" s="590">
        <v>6.37</v>
      </c>
      <c r="D7" s="591"/>
      <c r="E7" s="567" t="s">
        <v>846</v>
      </c>
      <c r="F7" s="568">
        <f>('DTC - P&amp;L'!AG103+'DTC - P&amp;L'!AG104)/'DTC - P&amp;L'!AG95</f>
        <v>0.2046263345</v>
      </c>
      <c r="G7" s="569"/>
      <c r="H7" s="567" t="s">
        <v>847</v>
      </c>
      <c r="I7" s="571">
        <v>0.0</v>
      </c>
      <c r="K7" s="567" t="s">
        <v>848</v>
      </c>
      <c r="L7" s="592">
        <v>0.003464</v>
      </c>
      <c r="N7" s="23"/>
      <c r="O7" s="593"/>
    </row>
    <row r="8">
      <c r="A8" s="563"/>
      <c r="B8" s="564" t="s">
        <v>132</v>
      </c>
      <c r="C8" s="571">
        <v>1.19</v>
      </c>
      <c r="D8" s="566">
        <v>1.19</v>
      </c>
      <c r="E8" s="567" t="s">
        <v>849</v>
      </c>
      <c r="F8" s="568">
        <f>('DTC - P&amp;L'!AG93+'DTC - P&amp;L'!AG94)/'DTC - P&amp;L'!AG95</f>
        <v>0.7259786477</v>
      </c>
      <c r="G8" s="569"/>
      <c r="H8" s="567" t="s">
        <v>850</v>
      </c>
      <c r="I8" s="571">
        <v>0.0</v>
      </c>
      <c r="K8" s="567" t="s">
        <v>851</v>
      </c>
      <c r="L8" s="582">
        <v>0.075</v>
      </c>
      <c r="M8" s="594"/>
      <c r="N8" s="23"/>
      <c r="O8" s="593"/>
    </row>
    <row r="9">
      <c r="A9" s="563"/>
      <c r="B9" s="595" t="s">
        <v>852</v>
      </c>
      <c r="C9" s="571">
        <v>6.66</v>
      </c>
      <c r="D9" s="566">
        <v>6.66</v>
      </c>
      <c r="E9" s="567" t="s">
        <v>826</v>
      </c>
      <c r="F9" s="568">
        <f>1-F8</f>
        <v>0.2740213523</v>
      </c>
      <c r="G9" s="569"/>
      <c r="H9" s="596" t="s">
        <v>853</v>
      </c>
      <c r="I9" s="571">
        <f>Summary!B121*L3</f>
        <v>6.916398178</v>
      </c>
      <c r="K9" s="567" t="s">
        <v>854</v>
      </c>
      <c r="L9" s="582">
        <v>0.025</v>
      </c>
    </row>
    <row r="10">
      <c r="A10" s="597"/>
      <c r="B10" s="598" t="s">
        <v>855</v>
      </c>
      <c r="C10" s="599">
        <v>6.0</v>
      </c>
      <c r="E10" s="567" t="s">
        <v>855</v>
      </c>
      <c r="F10" s="568">
        <f>('DTC - P&amp;L'!AG107+'DTC - P&amp;L'!AG108)/'DTC - P&amp;L'!AG95</f>
        <v>0.3665480427</v>
      </c>
      <c r="H10" s="567" t="s">
        <v>856</v>
      </c>
      <c r="I10" s="600">
        <f>0.3</f>
        <v>0.3</v>
      </c>
      <c r="K10" s="567" t="s">
        <v>857</v>
      </c>
      <c r="L10" s="571">
        <v>15.0</v>
      </c>
    </row>
    <row r="11" outlineLevel="1">
      <c r="A11" s="601"/>
      <c r="B11" s="567" t="s">
        <v>858</v>
      </c>
      <c r="C11" s="571">
        <v>3.94</v>
      </c>
      <c r="D11" s="558"/>
      <c r="E11" s="567" t="s">
        <v>859</v>
      </c>
      <c r="F11" s="585"/>
      <c r="H11" s="567" t="s">
        <v>860</v>
      </c>
      <c r="I11" s="585"/>
      <c r="N11" s="602"/>
      <c r="O11" s="603"/>
      <c r="P11" s="604"/>
    </row>
    <row r="12" outlineLevel="1">
      <c r="A12" s="597"/>
      <c r="B12" s="567" t="s">
        <v>861</v>
      </c>
      <c r="C12" s="585">
        <v>14.79</v>
      </c>
      <c r="D12" s="605"/>
      <c r="E12" s="567" t="s">
        <v>862</v>
      </c>
      <c r="F12" s="585"/>
      <c r="H12" s="567" t="s">
        <v>859</v>
      </c>
      <c r="I12" s="585"/>
      <c r="K12" s="567" t="s">
        <v>863</v>
      </c>
      <c r="L12" s="582">
        <v>0.95</v>
      </c>
      <c r="O12" s="606"/>
      <c r="Q12" s="607"/>
    </row>
    <row r="13" outlineLevel="1">
      <c r="A13" s="597"/>
      <c r="B13" s="567" t="s">
        <v>864</v>
      </c>
      <c r="C13" s="608"/>
      <c r="D13" s="605"/>
      <c r="E13" s="567" t="s">
        <v>865</v>
      </c>
      <c r="F13" s="585"/>
      <c r="H13" s="567" t="s">
        <v>862</v>
      </c>
      <c r="I13" s="585"/>
      <c r="K13" s="567" t="s">
        <v>866</v>
      </c>
      <c r="L13" s="582">
        <v>0.05</v>
      </c>
      <c r="O13" s="603"/>
    </row>
    <row r="14" outlineLevel="1">
      <c r="B14" s="567" t="s">
        <v>867</v>
      </c>
      <c r="C14" s="608"/>
      <c r="D14" s="605"/>
      <c r="E14" s="567" t="s">
        <v>868</v>
      </c>
      <c r="F14" s="585"/>
      <c r="H14" s="567" t="s">
        <v>865</v>
      </c>
      <c r="I14" s="585"/>
      <c r="K14" s="567" t="s">
        <v>869</v>
      </c>
      <c r="L14" s="582">
        <v>0.0579</v>
      </c>
      <c r="N14" s="8"/>
    </row>
    <row r="15">
      <c r="A15" s="4"/>
      <c r="B15" s="598" t="s">
        <v>870</v>
      </c>
      <c r="C15" s="609">
        <v>87.9</v>
      </c>
      <c r="D15" s="558"/>
      <c r="E15" s="546"/>
      <c r="F15" s="610"/>
      <c r="H15" s="567" t="s">
        <v>115</v>
      </c>
      <c r="I15" s="611">
        <f>SUM(I3:I14)</f>
        <v>183.8989471</v>
      </c>
      <c r="K15" s="567" t="s">
        <v>871</v>
      </c>
      <c r="L15" s="571">
        <v>0.3</v>
      </c>
      <c r="N15" s="8"/>
    </row>
    <row r="16">
      <c r="A16" s="4"/>
      <c r="B16" s="598" t="s">
        <v>872</v>
      </c>
      <c r="C16" s="609">
        <v>97.21</v>
      </c>
      <c r="D16" s="558"/>
      <c r="E16" s="546"/>
      <c r="F16" s="610"/>
      <c r="H16" s="4"/>
      <c r="I16" s="548"/>
      <c r="K16" s="4"/>
      <c r="L16" s="603"/>
      <c r="N16" s="8"/>
    </row>
    <row r="17">
      <c r="A17" s="4"/>
      <c r="B17" s="598" t="s">
        <v>873</v>
      </c>
      <c r="C17" s="609">
        <v>13.73</v>
      </c>
      <c r="D17" s="558"/>
      <c r="E17" s="546"/>
      <c r="F17" s="610"/>
      <c r="H17" s="4"/>
      <c r="I17" s="548"/>
      <c r="K17" s="4"/>
      <c r="L17" s="603"/>
      <c r="N17" s="8"/>
    </row>
    <row r="18">
      <c r="A18" s="4"/>
      <c r="B18" s="598" t="s">
        <v>874</v>
      </c>
      <c r="C18" s="609">
        <v>26.68</v>
      </c>
      <c r="D18" s="558"/>
      <c r="E18" s="546"/>
      <c r="F18" s="610"/>
      <c r="H18" s="4"/>
      <c r="I18" s="548"/>
      <c r="K18" s="4"/>
      <c r="L18" s="603"/>
      <c r="N18" s="8"/>
    </row>
    <row r="19">
      <c r="A19" s="4"/>
      <c r="B19" s="612"/>
      <c r="C19" s="558"/>
      <c r="D19" s="558"/>
      <c r="E19" s="546"/>
      <c r="F19" s="610"/>
      <c r="H19" s="4"/>
      <c r="I19" s="548"/>
      <c r="K19" s="4"/>
      <c r="L19" s="603"/>
      <c r="N19" s="8"/>
    </row>
    <row r="20">
      <c r="A20" s="4"/>
      <c r="B20" s="612"/>
      <c r="C20" s="558"/>
      <c r="D20" s="558"/>
      <c r="E20" s="546"/>
      <c r="F20" s="610"/>
      <c r="H20" s="4"/>
      <c r="I20" s="548"/>
      <c r="K20" s="4"/>
      <c r="L20" s="603"/>
      <c r="N20" s="8"/>
    </row>
    <row r="21">
      <c r="A21" s="4"/>
      <c r="B21" s="612"/>
      <c r="C21" s="558"/>
      <c r="D21" s="558"/>
      <c r="E21" s="546"/>
      <c r="F21" s="610"/>
      <c r="H21" s="4"/>
      <c r="I21" s="548"/>
      <c r="K21" s="4"/>
      <c r="L21" s="603"/>
      <c r="N21" s="8"/>
    </row>
    <row r="22">
      <c r="A22" s="4"/>
      <c r="B22" s="613" t="s">
        <v>875</v>
      </c>
      <c r="C22" s="614" t="s">
        <v>876</v>
      </c>
      <c r="D22" s="614" t="s">
        <v>877</v>
      </c>
      <c r="E22" s="614" t="s">
        <v>878</v>
      </c>
      <c r="F22" s="610"/>
      <c r="N22" s="8"/>
    </row>
    <row r="23">
      <c r="A23" s="4" t="s">
        <v>879</v>
      </c>
      <c r="B23" s="567" t="s">
        <v>880</v>
      </c>
      <c r="C23" s="571">
        <v>11.94</v>
      </c>
      <c r="D23" s="565">
        <v>6.155</v>
      </c>
      <c r="E23" s="565">
        <v>5.4</v>
      </c>
      <c r="F23" s="610"/>
      <c r="H23" s="557" t="s">
        <v>881</v>
      </c>
      <c r="I23" s="556"/>
      <c r="N23" s="615"/>
    </row>
    <row r="24">
      <c r="B24" s="567" t="s">
        <v>882</v>
      </c>
      <c r="C24" s="585">
        <v>11.94</v>
      </c>
      <c r="D24" s="585">
        <v>6.16</v>
      </c>
      <c r="E24" s="546"/>
      <c r="F24" s="569"/>
      <c r="H24" s="564" t="s">
        <v>883</v>
      </c>
      <c r="I24" s="616">
        <v>0.8</v>
      </c>
      <c r="L24" s="617"/>
    </row>
    <row r="25">
      <c r="B25" s="567" t="s">
        <v>884</v>
      </c>
      <c r="C25" s="585">
        <v>11.94</v>
      </c>
      <c r="D25" s="585">
        <v>6.16</v>
      </c>
      <c r="E25" s="546"/>
      <c r="F25" s="569"/>
      <c r="H25" s="573" t="s">
        <v>885</v>
      </c>
      <c r="I25" s="618">
        <v>0.2</v>
      </c>
    </row>
    <row r="26">
      <c r="A26" s="554" t="s">
        <v>818</v>
      </c>
      <c r="B26" s="567" t="s">
        <v>886</v>
      </c>
      <c r="C26" s="619">
        <v>0.0</v>
      </c>
      <c r="D26" s="619">
        <v>0.0</v>
      </c>
    </row>
    <row r="27" outlineLevel="1">
      <c r="B27" s="620" t="s">
        <v>887</v>
      </c>
      <c r="C27" s="599"/>
      <c r="D27" s="599"/>
      <c r="E27" s="546"/>
      <c r="F27" s="569"/>
    </row>
    <row r="28" outlineLevel="1">
      <c r="B28" s="620" t="s">
        <v>888</v>
      </c>
      <c r="C28" s="571">
        <v>0.1</v>
      </c>
      <c r="D28" s="571">
        <v>0.0</v>
      </c>
      <c r="E28" s="546"/>
      <c r="F28" s="569"/>
    </row>
    <row r="29" outlineLevel="1">
      <c r="B29" s="620" t="s">
        <v>889</v>
      </c>
      <c r="C29" s="571">
        <v>0.31</v>
      </c>
      <c r="D29" s="571">
        <v>0.31</v>
      </c>
      <c r="E29" s="546"/>
      <c r="F29" s="569"/>
    </row>
    <row r="30" outlineLevel="1">
      <c r="B30" s="620" t="s">
        <v>890</v>
      </c>
      <c r="C30" s="571">
        <v>0.0</v>
      </c>
      <c r="D30" s="571">
        <v>0.0</v>
      </c>
      <c r="E30" s="546"/>
      <c r="F30" s="569"/>
    </row>
    <row r="31" outlineLevel="1">
      <c r="B31" s="620" t="s">
        <v>891</v>
      </c>
      <c r="C31" s="571">
        <v>0.35</v>
      </c>
      <c r="D31" s="571">
        <v>0.35</v>
      </c>
      <c r="E31" s="546"/>
      <c r="F31" s="569"/>
    </row>
    <row r="32" outlineLevel="1">
      <c r="B32" s="620" t="s">
        <v>892</v>
      </c>
      <c r="C32" s="571">
        <v>0.0</v>
      </c>
      <c r="D32" s="571">
        <v>0.0</v>
      </c>
      <c r="E32" s="546"/>
      <c r="F32" s="569"/>
    </row>
    <row r="33" outlineLevel="1">
      <c r="B33" s="620" t="s">
        <v>893</v>
      </c>
      <c r="C33" s="571">
        <v>1.65</v>
      </c>
      <c r="D33" s="571">
        <v>0.71</v>
      </c>
      <c r="E33" s="546"/>
      <c r="F33" s="569"/>
    </row>
    <row r="34">
      <c r="B34" s="621" t="s">
        <v>894</v>
      </c>
      <c r="C34" s="622">
        <v>34.49</v>
      </c>
      <c r="D34" s="622">
        <v>9.68</v>
      </c>
    </row>
    <row r="35">
      <c r="B35" s="621" t="s">
        <v>895</v>
      </c>
      <c r="C35" s="585">
        <v>15.06</v>
      </c>
      <c r="D35" s="599">
        <f>D27+D24-D28</f>
        <v>6.16</v>
      </c>
      <c r="E35" s="546"/>
      <c r="F35" s="569"/>
    </row>
    <row r="36">
      <c r="B36" s="623" t="s">
        <v>896</v>
      </c>
      <c r="C36" s="590">
        <v>20.0</v>
      </c>
      <c r="D36" s="590"/>
      <c r="E36" s="546"/>
      <c r="F36" s="569"/>
    </row>
    <row r="37">
      <c r="A37" s="624" t="s">
        <v>818</v>
      </c>
      <c r="B37" s="613" t="s">
        <v>897</v>
      </c>
      <c r="C37" s="614" t="s">
        <v>876</v>
      </c>
      <c r="D37" s="614" t="s">
        <v>877</v>
      </c>
    </row>
    <row r="38">
      <c r="B38" s="564" t="s">
        <v>898</v>
      </c>
      <c r="C38" s="571">
        <v>11.94</v>
      </c>
      <c r="D38" s="571">
        <v>1.435</v>
      </c>
    </row>
    <row r="39">
      <c r="B39" s="564" t="s">
        <v>899</v>
      </c>
      <c r="C39" s="571">
        <v>11.94</v>
      </c>
      <c r="D39" s="571">
        <v>1.44</v>
      </c>
      <c r="E39" s="612"/>
      <c r="F39" s="546"/>
    </row>
    <row r="40">
      <c r="B40" s="589" t="s">
        <v>900</v>
      </c>
      <c r="C40" s="590">
        <v>11.94</v>
      </c>
      <c r="D40" s="590">
        <v>1.44</v>
      </c>
      <c r="E40" s="546"/>
      <c r="F40" s="625"/>
    </row>
    <row r="41">
      <c r="B41" s="626"/>
      <c r="C41" s="627"/>
      <c r="E41" s="546"/>
      <c r="F41" s="625"/>
    </row>
    <row r="42">
      <c r="B42" s="613" t="s">
        <v>901</v>
      </c>
      <c r="C42" s="614" t="s">
        <v>876</v>
      </c>
      <c r="D42" s="557" t="s">
        <v>877</v>
      </c>
      <c r="E42" s="539"/>
      <c r="F42" s="625"/>
    </row>
    <row r="43">
      <c r="A43" s="624" t="s">
        <v>902</v>
      </c>
      <c r="B43" s="573" t="s">
        <v>903</v>
      </c>
      <c r="C43" s="628">
        <v>11.94</v>
      </c>
      <c r="D43" s="629">
        <v>1.435</v>
      </c>
      <c r="E43" s="539"/>
      <c r="F43" s="630"/>
      <c r="K43" s="601"/>
    </row>
    <row r="44">
      <c r="A44" s="631">
        <f>sum(C43:C44)</f>
        <v>12.18</v>
      </c>
      <c r="B44" s="573" t="s">
        <v>904</v>
      </c>
      <c r="C44" s="628">
        <v>0.24</v>
      </c>
      <c r="D44" s="632">
        <v>0.24</v>
      </c>
      <c r="E44" s="539"/>
      <c r="F44" s="630"/>
    </row>
    <row r="45">
      <c r="A45" s="633">
        <f>C46</f>
        <v>12.94</v>
      </c>
      <c r="B45" s="613" t="s">
        <v>905</v>
      </c>
      <c r="C45" s="614" t="s">
        <v>876</v>
      </c>
      <c r="E45" s="539"/>
      <c r="F45" s="630"/>
      <c r="J45" s="634"/>
    </row>
    <row r="46">
      <c r="A46" s="631">
        <f>sum(F43:F45)</f>
        <v>0</v>
      </c>
      <c r="B46" s="573" t="s">
        <v>906</v>
      </c>
      <c r="C46" s="635">
        <v>12.94</v>
      </c>
      <c r="E46" s="546"/>
      <c r="F46" s="636"/>
      <c r="K46" s="60"/>
    </row>
    <row r="47">
      <c r="A47" s="591"/>
      <c r="B47" s="567" t="s">
        <v>907</v>
      </c>
      <c r="C47" s="635">
        <v>5.7</v>
      </c>
      <c r="E47" s="546"/>
      <c r="F47" s="636"/>
      <c r="K47" s="60"/>
      <c r="M47" s="637"/>
      <c r="O47" s="60"/>
    </row>
    <row r="48">
      <c r="A48" s="638">
        <f>C38</f>
        <v>11.94</v>
      </c>
      <c r="B48" s="567" t="s">
        <v>908</v>
      </c>
      <c r="C48" s="639">
        <v>0.15</v>
      </c>
      <c r="E48" s="546"/>
      <c r="F48" s="636"/>
      <c r="K48" s="60"/>
      <c r="L48" s="58"/>
      <c r="M48" s="637"/>
      <c r="O48" s="60"/>
    </row>
    <row r="49">
      <c r="A49" s="640"/>
      <c r="B49" s="613" t="s">
        <v>909</v>
      </c>
      <c r="C49" s="614" t="s">
        <v>876</v>
      </c>
      <c r="E49" s="546"/>
      <c r="F49" s="636"/>
      <c r="K49" s="60"/>
      <c r="L49" s="58"/>
      <c r="M49" s="637"/>
      <c r="O49" s="60"/>
    </row>
    <row r="50">
      <c r="A50" s="591">
        <f>sum(A43:A48)</f>
        <v>37.06</v>
      </c>
      <c r="B50" s="567" t="s">
        <v>910</v>
      </c>
      <c r="C50" s="641">
        <v>11.0</v>
      </c>
      <c r="E50" s="546"/>
      <c r="F50" s="636"/>
      <c r="K50" s="60"/>
      <c r="L50" s="58"/>
      <c r="M50" s="637"/>
      <c r="O50" s="60"/>
    </row>
    <row r="51">
      <c r="B51" s="567" t="s">
        <v>911</v>
      </c>
      <c r="C51" s="642">
        <v>6.155</v>
      </c>
      <c r="K51" s="60"/>
      <c r="L51" s="58"/>
      <c r="M51" s="637"/>
      <c r="O51" s="60"/>
    </row>
    <row r="52">
      <c r="K52" s="60"/>
      <c r="L52" s="58"/>
      <c r="M52" s="637"/>
      <c r="O52" s="60"/>
    </row>
    <row r="53">
      <c r="A53" s="60"/>
      <c r="B53" s="643" t="s">
        <v>912</v>
      </c>
      <c r="C53" s="644"/>
      <c r="K53" s="60"/>
      <c r="L53" s="58"/>
      <c r="M53" s="637"/>
      <c r="O53" s="60"/>
    </row>
    <row r="54">
      <c r="B54" s="567" t="s">
        <v>913</v>
      </c>
      <c r="C54" s="645">
        <v>0.25</v>
      </c>
      <c r="K54" s="60"/>
      <c r="L54" s="58"/>
      <c r="M54" s="637"/>
      <c r="O54" s="60"/>
    </row>
    <row r="55">
      <c r="B55" s="567" t="s">
        <v>914</v>
      </c>
      <c r="C55" s="645">
        <v>0.1</v>
      </c>
    </row>
    <row r="57">
      <c r="B57" s="643" t="s">
        <v>915</v>
      </c>
      <c r="C57" s="644"/>
    </row>
    <row r="58">
      <c r="B58" s="567" t="s">
        <v>913</v>
      </c>
      <c r="C58" s="645">
        <v>0.5644</v>
      </c>
    </row>
    <row r="59">
      <c r="B59" s="567" t="s">
        <v>914</v>
      </c>
      <c r="C59" s="645">
        <v>0.4603</v>
      </c>
    </row>
    <row r="61">
      <c r="B61" s="643" t="s">
        <v>916</v>
      </c>
      <c r="C61" s="644"/>
    </row>
    <row r="62">
      <c r="B62" s="567" t="s">
        <v>917</v>
      </c>
      <c r="C62" s="641">
        <v>5.56</v>
      </c>
    </row>
    <row r="63">
      <c r="B63" s="567" t="s">
        <v>877</v>
      </c>
      <c r="C63" s="641">
        <v>2.2</v>
      </c>
    </row>
    <row r="66">
      <c r="A66" s="646" t="s">
        <v>918</v>
      </c>
      <c r="B66" s="4" t="s">
        <v>919</v>
      </c>
    </row>
    <row r="67">
      <c r="A67" s="601"/>
    </row>
    <row r="68">
      <c r="A68" s="624" t="s">
        <v>920</v>
      </c>
      <c r="B68" s="647" t="s">
        <v>921</v>
      </c>
      <c r="C68" s="648"/>
      <c r="E68" s="649" t="s">
        <v>922</v>
      </c>
      <c r="F68" s="650"/>
      <c r="G68" s="650"/>
      <c r="H68" s="650"/>
      <c r="I68" s="650"/>
      <c r="J68" s="650"/>
      <c r="K68" s="648"/>
    </row>
    <row r="69">
      <c r="B69" s="651" t="s">
        <v>923</v>
      </c>
      <c r="C69" s="652"/>
      <c r="E69" s="653">
        <v>17.58</v>
      </c>
      <c r="F69" s="654">
        <v>0.29</v>
      </c>
      <c r="G69" s="654">
        <v>0.0</v>
      </c>
      <c r="H69" s="654">
        <v>0.17</v>
      </c>
      <c r="I69" s="654">
        <v>0.01</v>
      </c>
      <c r="J69" s="654">
        <v>2.44</v>
      </c>
      <c r="K69" s="655">
        <v>0.21</v>
      </c>
    </row>
    <row r="70">
      <c r="B70" s="498" t="s">
        <v>924</v>
      </c>
      <c r="C70" s="656">
        <v>17.58</v>
      </c>
    </row>
    <row r="71">
      <c r="B71" s="498" t="s">
        <v>925</v>
      </c>
      <c r="C71" s="656">
        <v>0.29</v>
      </c>
      <c r="E71" s="649" t="s">
        <v>926</v>
      </c>
      <c r="F71" s="650"/>
      <c r="G71" s="650"/>
      <c r="H71" s="650"/>
      <c r="I71" s="650"/>
      <c r="J71" s="650"/>
      <c r="K71" s="648"/>
      <c r="L71" s="60"/>
    </row>
    <row r="72">
      <c r="B72" s="498" t="s">
        <v>927</v>
      </c>
      <c r="C72" s="656">
        <v>0.0</v>
      </c>
      <c r="E72" s="657">
        <v>14.55</v>
      </c>
      <c r="F72" s="658">
        <v>0.55</v>
      </c>
      <c r="G72" s="658">
        <v>0.01</v>
      </c>
      <c r="H72" s="658">
        <v>0.15</v>
      </c>
      <c r="I72" s="658">
        <v>0.01</v>
      </c>
      <c r="J72" s="658">
        <v>7.62</v>
      </c>
      <c r="K72" s="659">
        <v>0.3</v>
      </c>
      <c r="L72" s="60"/>
      <c r="M72" s="60"/>
    </row>
    <row r="73">
      <c r="B73" s="498" t="s">
        <v>928</v>
      </c>
      <c r="C73" s="656">
        <v>0.17</v>
      </c>
      <c r="I73" s="660"/>
      <c r="J73" s="660"/>
      <c r="K73" s="660"/>
      <c r="L73" s="660"/>
      <c r="M73" s="660"/>
    </row>
    <row r="74">
      <c r="B74" s="498" t="s">
        <v>929</v>
      </c>
      <c r="C74" s="656">
        <v>0.01</v>
      </c>
      <c r="I74" s="660"/>
      <c r="J74" s="660"/>
      <c r="K74" s="660"/>
      <c r="L74" s="660"/>
      <c r="M74" s="660"/>
    </row>
    <row r="75">
      <c r="B75" s="498" t="s">
        <v>930</v>
      </c>
      <c r="C75" s="656">
        <v>2.44</v>
      </c>
      <c r="E75" s="4" t="s">
        <v>924</v>
      </c>
      <c r="F75" s="4" t="s">
        <v>925</v>
      </c>
      <c r="G75" s="4" t="s">
        <v>927</v>
      </c>
      <c r="H75" s="4" t="s">
        <v>928</v>
      </c>
      <c r="I75" s="4" t="s">
        <v>929</v>
      </c>
      <c r="J75" s="4" t="s">
        <v>930</v>
      </c>
      <c r="K75" s="4" t="s">
        <v>931</v>
      </c>
    </row>
    <row r="76">
      <c r="B76" s="661" t="s">
        <v>931</v>
      </c>
      <c r="C76" s="662">
        <v>0.21</v>
      </c>
    </row>
    <row r="79">
      <c r="B79" s="4" t="s">
        <v>932</v>
      </c>
    </row>
    <row r="80">
      <c r="B80" s="4" t="s">
        <v>933</v>
      </c>
      <c r="C80" s="663">
        <v>0.05</v>
      </c>
      <c r="D80" s="4" t="s">
        <v>934</v>
      </c>
    </row>
    <row r="81">
      <c r="B81" s="4" t="s">
        <v>935</v>
      </c>
      <c r="C81" s="4" t="s">
        <v>936</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1574696783" ref="V3"/>
    <hyperlink r:id="rId4" location="gid=1038709083" ref="A26"/>
    <hyperlink r:id="rId5" ref="A37"/>
    <hyperlink r:id="rId6" location="gid=1264242332" ref="A43"/>
    <hyperlink r:id="rId7" ref="A66"/>
    <hyperlink r:id="rId8" location="gid=0" ref="A68"/>
  </hyperlinks>
  <drawing r:id="rId9"/>
  <legacy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4" t="s">
        <v>937</v>
      </c>
      <c r="B1" s="665"/>
      <c r="C1" s="665"/>
      <c r="D1" s="665"/>
      <c r="E1" s="665"/>
      <c r="F1" s="665"/>
      <c r="G1" s="665"/>
      <c r="H1" s="665"/>
      <c r="I1" s="665"/>
      <c r="J1" s="665"/>
      <c r="K1" s="665"/>
      <c r="L1" s="665"/>
      <c r="M1" s="665"/>
      <c r="N1" s="665"/>
      <c r="O1" s="665"/>
      <c r="P1" s="665"/>
      <c r="Q1" s="665"/>
      <c r="R1" s="665"/>
      <c r="S1" s="665"/>
      <c r="T1" s="665"/>
      <c r="U1" s="665"/>
      <c r="V1" s="665"/>
      <c r="W1" s="665"/>
      <c r="X1" s="665"/>
      <c r="Y1" s="665"/>
      <c r="Z1" s="665"/>
      <c r="AA1" s="665"/>
      <c r="AB1" s="665"/>
      <c r="AC1" s="665"/>
      <c r="AD1" s="665"/>
      <c r="AE1" s="665"/>
      <c r="AF1" s="665"/>
      <c r="AG1" s="665"/>
      <c r="AH1" s="665"/>
      <c r="AI1" s="665"/>
      <c r="AJ1" s="665"/>
      <c r="AK1" s="665"/>
      <c r="AL1" s="665"/>
      <c r="AM1" s="665"/>
      <c r="AN1" s="665"/>
      <c r="AO1" s="665"/>
      <c r="AP1" s="665"/>
      <c r="AQ1" s="665"/>
      <c r="AR1" s="665"/>
      <c r="AS1" s="665"/>
      <c r="AT1" s="665"/>
      <c r="AU1" s="665"/>
      <c r="AV1" s="665"/>
      <c r="AW1" s="665"/>
      <c r="AX1" s="665"/>
      <c r="AY1" s="665"/>
      <c r="AZ1" s="665"/>
      <c r="BA1" s="665"/>
      <c r="BB1" s="665"/>
      <c r="BC1" s="665"/>
      <c r="BD1" s="665"/>
      <c r="BE1" s="665"/>
      <c r="BF1" s="665"/>
      <c r="BG1" s="665"/>
      <c r="BH1" s="665"/>
      <c r="BI1" s="665"/>
      <c r="BJ1" s="665"/>
      <c r="BK1" s="665"/>
      <c r="BL1" s="665"/>
      <c r="BM1" s="665"/>
    </row>
    <row r="2">
      <c r="A2" s="665"/>
      <c r="B2" s="665"/>
      <c r="C2" s="665"/>
      <c r="D2" s="665"/>
      <c r="E2" s="665"/>
      <c r="F2" s="665"/>
      <c r="G2" s="665"/>
      <c r="H2" s="665"/>
      <c r="I2" s="665"/>
      <c r="J2" s="665"/>
      <c r="K2" s="665"/>
      <c r="L2" s="665"/>
      <c r="M2" s="665"/>
      <c r="N2" s="665"/>
      <c r="O2" s="665"/>
      <c r="P2" s="665"/>
      <c r="Q2" s="665"/>
      <c r="R2" s="665"/>
      <c r="S2" s="665"/>
      <c r="T2" s="665"/>
      <c r="U2" s="665"/>
      <c r="V2" s="665"/>
      <c r="W2" s="665"/>
      <c r="X2" s="665"/>
      <c r="Y2" s="665"/>
      <c r="Z2" s="665"/>
      <c r="AA2" s="665"/>
      <c r="AB2" s="665"/>
      <c r="AC2" s="665"/>
      <c r="AD2" s="665"/>
      <c r="AE2" s="665"/>
      <c r="AF2" s="665"/>
      <c r="AG2" s="665"/>
      <c r="AH2" s="665"/>
      <c r="AI2" s="665"/>
      <c r="AJ2" s="665"/>
      <c r="AK2" s="665"/>
      <c r="AL2" s="665"/>
      <c r="AM2" s="665"/>
      <c r="AN2" s="665"/>
      <c r="AO2" s="665"/>
      <c r="AP2" s="665"/>
      <c r="AQ2" s="665"/>
      <c r="AR2" s="665"/>
      <c r="AS2" s="665"/>
      <c r="AT2" s="665"/>
      <c r="AU2" s="665"/>
      <c r="AV2" s="665"/>
      <c r="AW2" s="665"/>
      <c r="AX2" s="665"/>
      <c r="AY2" s="665"/>
      <c r="AZ2" s="665"/>
      <c r="BA2" s="665"/>
      <c r="BB2" s="665"/>
      <c r="BC2" s="665"/>
      <c r="BD2" s="665"/>
      <c r="BE2" s="665"/>
      <c r="BF2" s="665"/>
      <c r="BG2" s="665"/>
      <c r="BH2" s="665"/>
      <c r="BI2" s="665"/>
      <c r="BJ2" s="665"/>
      <c r="BK2" s="665"/>
      <c r="BL2" s="665"/>
      <c r="BM2" s="665"/>
    </row>
    <row r="3">
      <c r="A3" s="666" t="s">
        <v>938</v>
      </c>
      <c r="B3" s="665"/>
      <c r="C3" s="665"/>
      <c r="D3" s="665"/>
      <c r="E3" s="665"/>
      <c r="F3" s="665"/>
      <c r="G3" s="665"/>
      <c r="H3" s="665"/>
      <c r="I3" s="665"/>
      <c r="J3" s="665"/>
      <c r="K3" s="665"/>
      <c r="L3" s="665"/>
      <c r="M3" s="665"/>
      <c r="N3" s="665"/>
      <c r="O3" s="665"/>
      <c r="P3" s="665"/>
      <c r="Q3" s="665"/>
      <c r="R3" s="665"/>
      <c r="S3" s="665"/>
      <c r="T3" s="665"/>
      <c r="U3" s="665"/>
      <c r="V3" s="665"/>
      <c r="W3" s="665"/>
      <c r="X3" s="665"/>
      <c r="Y3" s="665"/>
      <c r="Z3" s="665"/>
      <c r="AA3" s="665"/>
      <c r="AB3" s="665"/>
      <c r="AC3" s="665"/>
      <c r="AD3" s="665"/>
      <c r="AE3" s="665"/>
      <c r="AF3" s="665"/>
      <c r="AG3" s="665"/>
      <c r="AH3" s="665"/>
      <c r="AI3" s="665"/>
      <c r="AJ3" s="665"/>
      <c r="AK3" s="665"/>
      <c r="AL3" s="665"/>
      <c r="AM3" s="665"/>
      <c r="AN3" s="665"/>
      <c r="AO3" s="665"/>
      <c r="AP3" s="665"/>
      <c r="AQ3" s="665"/>
      <c r="AR3" s="665"/>
      <c r="AS3" s="665"/>
      <c r="AT3" s="665"/>
      <c r="AU3" s="665"/>
      <c r="AV3" s="665"/>
      <c r="AW3" s="665"/>
      <c r="AX3" s="665"/>
      <c r="AY3" s="665"/>
      <c r="AZ3" s="665"/>
      <c r="BA3" s="665"/>
      <c r="BB3" s="665"/>
      <c r="BC3" s="665"/>
      <c r="BD3" s="665"/>
      <c r="BE3" s="665"/>
      <c r="BF3" s="665"/>
      <c r="BG3" s="665"/>
      <c r="BH3" s="665"/>
      <c r="BI3" s="665"/>
      <c r="BJ3" s="665"/>
      <c r="BK3" s="665"/>
      <c r="BL3" s="665"/>
      <c r="BM3" s="665"/>
    </row>
    <row r="4">
      <c r="A4" s="665"/>
      <c r="B4" s="665"/>
      <c r="C4" s="665"/>
      <c r="D4" s="665"/>
      <c r="E4" s="665"/>
      <c r="F4" s="665"/>
      <c r="G4" s="665"/>
      <c r="H4" s="667">
        <v>1.7091262E7</v>
      </c>
      <c r="I4" s="665"/>
      <c r="J4" s="665"/>
      <c r="K4" s="665"/>
      <c r="L4" s="665"/>
      <c r="M4" s="665"/>
      <c r="N4" s="665"/>
      <c r="O4" s="665"/>
      <c r="P4" s="665"/>
      <c r="Q4" s="665"/>
      <c r="R4" s="665"/>
      <c r="S4" s="665"/>
      <c r="T4" s="665"/>
      <c r="U4" s="665"/>
      <c r="V4" s="665"/>
      <c r="W4" s="665"/>
      <c r="X4" s="665"/>
      <c r="Y4" s="665"/>
      <c r="Z4" s="665"/>
      <c r="AA4" s="665"/>
      <c r="AB4" s="665"/>
      <c r="AC4" s="665"/>
      <c r="AD4" s="665"/>
      <c r="AE4" s="665"/>
      <c r="AF4" s="665"/>
      <c r="AG4" s="665"/>
      <c r="AH4" s="665"/>
      <c r="AI4" s="665"/>
      <c r="AJ4" s="665"/>
      <c r="AK4" s="665"/>
      <c r="AL4" s="665"/>
      <c r="AM4" s="665"/>
      <c r="AN4" s="665"/>
      <c r="AO4" s="665"/>
      <c r="AP4" s="665"/>
      <c r="AQ4" s="665"/>
      <c r="AR4" s="665"/>
      <c r="AS4" s="665"/>
      <c r="AT4" s="665"/>
      <c r="AU4" s="665"/>
      <c r="AV4" s="665"/>
      <c r="AW4" s="665"/>
      <c r="AX4" s="665"/>
      <c r="AY4" s="665"/>
      <c r="AZ4" s="665"/>
      <c r="BA4" s="665"/>
      <c r="BB4" s="665"/>
      <c r="BC4" s="665"/>
      <c r="BD4" s="665"/>
      <c r="BE4" s="665"/>
      <c r="BF4" s="665"/>
      <c r="BG4" s="665"/>
      <c r="BH4" s="665"/>
      <c r="BI4" s="665"/>
      <c r="BJ4" s="665"/>
      <c r="BK4" s="665"/>
      <c r="BL4" s="665"/>
      <c r="BM4" s="665"/>
    </row>
    <row r="5">
      <c r="A5" s="668" t="s">
        <v>939</v>
      </c>
      <c r="B5" s="665"/>
      <c r="C5" s="665"/>
      <c r="D5" s="665"/>
      <c r="E5" s="665"/>
      <c r="F5" s="665"/>
      <c r="G5" s="665"/>
      <c r="H5" s="669"/>
      <c r="I5" s="665"/>
      <c r="J5" s="665"/>
      <c r="K5" s="665"/>
      <c r="L5" s="665"/>
      <c r="M5" s="665"/>
      <c r="N5" s="665"/>
      <c r="O5" s="665"/>
      <c r="P5" s="665"/>
      <c r="Q5" s="665"/>
      <c r="R5" s="665"/>
      <c r="S5" s="665"/>
      <c r="T5" s="665"/>
      <c r="U5" s="665"/>
      <c r="V5" s="665"/>
      <c r="W5" s="665"/>
      <c r="X5" s="665"/>
      <c r="Y5" s="665"/>
      <c r="Z5" s="665"/>
      <c r="AA5" s="665"/>
      <c r="AB5" s="665"/>
      <c r="AC5" s="665"/>
      <c r="AD5" s="665"/>
      <c r="AE5" s="665"/>
      <c r="AF5" s="665"/>
      <c r="AG5" s="665"/>
      <c r="AH5" s="665"/>
      <c r="AI5" s="665"/>
      <c r="AJ5" s="665"/>
      <c r="AK5" s="665"/>
      <c r="AL5" s="665"/>
      <c r="AM5" s="665"/>
      <c r="AN5" s="665"/>
      <c r="AO5" s="665"/>
      <c r="AP5" s="665"/>
      <c r="AQ5" s="665"/>
      <c r="AR5" s="665"/>
      <c r="AS5" s="665"/>
      <c r="AT5" s="665"/>
      <c r="AU5" s="665"/>
      <c r="AV5" s="665"/>
      <c r="AW5" s="665"/>
      <c r="AX5" s="665"/>
      <c r="AY5" s="665"/>
      <c r="AZ5" s="665"/>
      <c r="BA5" s="665"/>
      <c r="BB5" s="665"/>
      <c r="BC5" s="665"/>
      <c r="BD5" s="665"/>
      <c r="BE5" s="665"/>
      <c r="BF5" s="665"/>
      <c r="BG5" s="665"/>
      <c r="BH5" s="665"/>
      <c r="BI5" s="665"/>
      <c r="BJ5" s="665"/>
      <c r="BK5" s="665"/>
      <c r="BL5" s="665"/>
      <c r="BM5" s="665"/>
    </row>
    <row r="6">
      <c r="A6" s="670" t="s">
        <v>940</v>
      </c>
      <c r="B6" s="671"/>
      <c r="C6" s="671"/>
      <c r="D6" s="671"/>
      <c r="E6" s="671"/>
      <c r="F6" s="671"/>
      <c r="G6" s="672"/>
      <c r="H6" s="669"/>
      <c r="I6" s="665"/>
      <c r="J6" s="665"/>
      <c r="K6" s="665"/>
      <c r="L6" s="665"/>
      <c r="M6" s="665"/>
      <c r="N6" s="665"/>
      <c r="O6" s="665"/>
      <c r="P6" s="665"/>
      <c r="Q6" s="665"/>
      <c r="R6" s="665"/>
      <c r="S6" s="665"/>
      <c r="T6" s="665"/>
      <c r="U6" s="665"/>
      <c r="V6" s="665"/>
      <c r="W6" s="665"/>
      <c r="X6" s="665"/>
      <c r="Y6" s="665"/>
      <c r="Z6" s="665"/>
      <c r="AA6" s="665"/>
      <c r="AB6" s="665"/>
      <c r="AC6" s="665"/>
      <c r="AD6" s="665"/>
      <c r="AE6" s="665"/>
      <c r="AF6" s="665"/>
      <c r="AG6" s="665"/>
      <c r="AH6" s="665"/>
      <c r="AI6" s="665"/>
      <c r="AJ6" s="665"/>
      <c r="AK6" s="665"/>
      <c r="AL6" s="665"/>
      <c r="AM6" s="665"/>
      <c r="AN6" s="665"/>
      <c r="AO6" s="665"/>
      <c r="AP6" s="665"/>
      <c r="AQ6" s="665"/>
      <c r="AR6" s="665"/>
      <c r="AS6" s="665"/>
      <c r="AT6" s="665"/>
      <c r="AU6" s="665"/>
      <c r="AV6" s="665"/>
      <c r="AW6" s="665"/>
      <c r="AX6" s="665"/>
      <c r="AY6" s="665"/>
      <c r="AZ6" s="665"/>
      <c r="BA6" s="665"/>
      <c r="BB6" s="665"/>
      <c r="BC6" s="665"/>
      <c r="BD6" s="665"/>
      <c r="BE6" s="665"/>
      <c r="BF6" s="665"/>
      <c r="BG6" s="665"/>
      <c r="BH6" s="665"/>
      <c r="BI6" s="665"/>
      <c r="BJ6" s="665"/>
      <c r="BK6" s="665"/>
      <c r="BL6" s="665"/>
      <c r="BM6" s="665"/>
    </row>
    <row r="7">
      <c r="A7" s="673"/>
      <c r="B7" s="674"/>
      <c r="C7" s="674"/>
      <c r="D7" s="674"/>
      <c r="E7" s="674"/>
      <c r="F7" s="674"/>
      <c r="G7" s="675"/>
      <c r="H7" s="665"/>
      <c r="I7" s="665"/>
      <c r="J7" s="665"/>
      <c r="K7" s="665"/>
      <c r="L7" s="665"/>
      <c r="M7" s="665"/>
      <c r="N7" s="665"/>
      <c r="O7" s="665"/>
      <c r="P7" s="665"/>
      <c r="Q7" s="665"/>
      <c r="R7" s="665"/>
      <c r="S7" s="665"/>
      <c r="T7" s="665"/>
      <c r="U7" s="665"/>
      <c r="V7" s="665"/>
      <c r="W7" s="665"/>
      <c r="X7" s="665"/>
      <c r="Y7" s="665"/>
      <c r="Z7" s="665"/>
      <c r="AA7" s="665"/>
      <c r="AB7" s="665"/>
      <c r="AC7" s="665"/>
      <c r="AD7" s="665"/>
      <c r="AE7" s="665"/>
      <c r="AF7" s="665"/>
      <c r="AG7" s="665"/>
      <c r="AH7" s="665"/>
      <c r="AI7" s="665"/>
      <c r="AJ7" s="665"/>
      <c r="AK7" s="665"/>
      <c r="AL7" s="665"/>
      <c r="AM7" s="665"/>
      <c r="AN7" s="665"/>
      <c r="AO7" s="665"/>
      <c r="AP7" s="665"/>
      <c r="AQ7" s="665"/>
      <c r="AR7" s="665"/>
      <c r="AS7" s="665"/>
      <c r="AT7" s="665"/>
      <c r="AU7" s="665"/>
      <c r="AV7" s="665"/>
      <c r="AW7" s="665"/>
      <c r="AX7" s="665"/>
      <c r="AY7" s="665"/>
      <c r="AZ7" s="665"/>
      <c r="BA7" s="665"/>
      <c r="BB7" s="665"/>
      <c r="BC7" s="665"/>
      <c r="BD7" s="665"/>
      <c r="BE7" s="665"/>
      <c r="BF7" s="665"/>
      <c r="BG7" s="665"/>
      <c r="BH7" s="665"/>
      <c r="BI7" s="665"/>
      <c r="BJ7" s="665"/>
      <c r="BK7" s="665"/>
      <c r="BL7" s="665"/>
      <c r="BM7" s="665"/>
    </row>
    <row r="8">
      <c r="A8" s="670" t="s">
        <v>941</v>
      </c>
      <c r="B8" s="671"/>
      <c r="C8" s="671"/>
      <c r="D8" s="671"/>
      <c r="E8" s="671"/>
      <c r="F8" s="671"/>
      <c r="G8" s="672"/>
      <c r="H8" s="676" t="s">
        <v>942</v>
      </c>
      <c r="I8" s="665"/>
      <c r="J8" s="665"/>
      <c r="K8" s="665"/>
      <c r="L8" s="665"/>
      <c r="M8" s="665"/>
      <c r="N8" s="665"/>
      <c r="O8" s="665"/>
      <c r="P8" s="665"/>
      <c r="Q8" s="665"/>
      <c r="R8" s="665"/>
      <c r="S8" s="665"/>
      <c r="T8" s="665"/>
      <c r="U8" s="665"/>
      <c r="V8" s="665"/>
      <c r="W8" s="665"/>
      <c r="X8" s="665"/>
      <c r="Y8" s="665"/>
      <c r="Z8" s="665"/>
      <c r="AA8" s="665"/>
      <c r="AB8" s="665"/>
      <c r="AC8" s="665"/>
      <c r="AD8" s="665"/>
      <c r="AE8" s="665"/>
      <c r="AF8" s="665"/>
      <c r="AG8" s="665"/>
      <c r="AH8" s="665"/>
      <c r="AI8" s="665"/>
      <c r="AJ8" s="665"/>
      <c r="AK8" s="665"/>
      <c r="AL8" s="665"/>
      <c r="AM8" s="665"/>
      <c r="AN8" s="665"/>
      <c r="AO8" s="665"/>
      <c r="AP8" s="665"/>
      <c r="AQ8" s="665"/>
      <c r="AR8" s="665"/>
      <c r="AS8" s="665"/>
      <c r="AT8" s="665"/>
      <c r="AU8" s="665"/>
      <c r="AV8" s="665"/>
      <c r="AW8" s="665"/>
      <c r="AX8" s="665"/>
      <c r="AY8" s="665"/>
      <c r="AZ8" s="665"/>
      <c r="BA8" s="665"/>
      <c r="BB8" s="665"/>
      <c r="BC8" s="665"/>
      <c r="BD8" s="665"/>
      <c r="BE8" s="665"/>
      <c r="BF8" s="665"/>
      <c r="BG8" s="665"/>
      <c r="BH8" s="665"/>
      <c r="BI8" s="665"/>
      <c r="BJ8" s="665"/>
      <c r="BK8" s="665"/>
      <c r="BL8" s="665"/>
      <c r="BM8" s="665"/>
    </row>
    <row r="9">
      <c r="A9" s="673"/>
      <c r="B9" s="674"/>
      <c r="C9" s="674"/>
      <c r="D9" s="674"/>
      <c r="E9" s="674"/>
      <c r="F9" s="674"/>
      <c r="G9" s="675"/>
      <c r="H9" s="665"/>
      <c r="I9" s="665"/>
      <c r="J9" s="665"/>
      <c r="K9" s="665"/>
      <c r="L9" s="665"/>
      <c r="M9" s="665"/>
      <c r="N9" s="665"/>
      <c r="O9" s="665"/>
      <c r="P9" s="665"/>
      <c r="Q9" s="665"/>
      <c r="R9" s="665"/>
      <c r="S9" s="665"/>
      <c r="T9" s="665"/>
      <c r="U9" s="665"/>
      <c r="V9" s="665"/>
      <c r="W9" s="665"/>
      <c r="X9" s="665"/>
      <c r="Y9" s="665"/>
      <c r="Z9" s="665"/>
      <c r="AA9" s="665"/>
      <c r="AB9" s="665"/>
      <c r="AC9" s="665"/>
      <c r="AD9" s="665"/>
      <c r="AE9" s="665"/>
      <c r="AF9" s="665"/>
      <c r="AG9" s="665"/>
      <c r="AH9" s="665"/>
      <c r="AI9" s="665"/>
      <c r="AJ9" s="665"/>
      <c r="AK9" s="665"/>
      <c r="AL9" s="665"/>
      <c r="AM9" s="665"/>
      <c r="AN9" s="665"/>
      <c r="AO9" s="665"/>
      <c r="AP9" s="665"/>
      <c r="AQ9" s="665"/>
      <c r="AR9" s="665"/>
      <c r="AS9" s="665"/>
      <c r="AT9" s="665"/>
      <c r="AU9" s="665"/>
      <c r="AV9" s="665"/>
      <c r="AW9" s="665"/>
      <c r="AX9" s="665"/>
      <c r="AY9" s="665"/>
      <c r="AZ9" s="665"/>
      <c r="BA9" s="665"/>
      <c r="BB9" s="665"/>
      <c r="BC9" s="665"/>
      <c r="BD9" s="665"/>
      <c r="BE9" s="665"/>
      <c r="BF9" s="665"/>
      <c r="BG9" s="665"/>
      <c r="BH9" s="665"/>
      <c r="BI9" s="665"/>
      <c r="BJ9" s="665"/>
      <c r="BK9" s="665"/>
      <c r="BL9" s="665"/>
      <c r="BM9" s="665"/>
    </row>
    <row r="10">
      <c r="A10" s="670" t="s">
        <v>943</v>
      </c>
      <c r="B10" s="671"/>
      <c r="C10" s="671"/>
      <c r="D10" s="671"/>
      <c r="E10" s="671"/>
      <c r="F10" s="671"/>
      <c r="G10" s="672"/>
      <c r="H10" s="665"/>
      <c r="I10" s="665"/>
      <c r="J10" s="665"/>
      <c r="K10" s="665"/>
      <c r="L10" s="665"/>
      <c r="M10" s="665"/>
      <c r="N10" s="665"/>
      <c r="O10" s="665"/>
      <c r="P10" s="665"/>
      <c r="Q10" s="665"/>
      <c r="R10" s="665"/>
      <c r="S10" s="665"/>
      <c r="T10" s="665"/>
      <c r="U10" s="665"/>
      <c r="V10" s="665"/>
      <c r="W10" s="665"/>
      <c r="X10" s="665"/>
      <c r="Y10" s="665"/>
      <c r="Z10" s="665"/>
      <c r="AA10" s="665"/>
      <c r="AB10" s="665"/>
      <c r="AC10" s="665"/>
      <c r="AD10" s="665"/>
      <c r="AE10" s="665"/>
      <c r="AF10" s="665"/>
      <c r="AG10" s="665"/>
      <c r="AH10" s="665"/>
      <c r="AI10" s="665"/>
      <c r="AJ10" s="665"/>
      <c r="AK10" s="665"/>
      <c r="AL10" s="665"/>
      <c r="AM10" s="665"/>
      <c r="AN10" s="665"/>
      <c r="AO10" s="665"/>
      <c r="AP10" s="665"/>
      <c r="AQ10" s="665"/>
      <c r="AR10" s="665"/>
      <c r="AS10" s="665"/>
      <c r="AT10" s="665"/>
      <c r="AU10" s="665"/>
      <c r="AV10" s="665"/>
      <c r="AW10" s="665"/>
      <c r="AX10" s="665"/>
      <c r="AY10" s="665"/>
      <c r="AZ10" s="665"/>
      <c r="BA10" s="665"/>
      <c r="BB10" s="665"/>
      <c r="BC10" s="665"/>
      <c r="BD10" s="665"/>
      <c r="BE10" s="665"/>
      <c r="BF10" s="665"/>
      <c r="BG10" s="665"/>
      <c r="BH10" s="665"/>
      <c r="BI10" s="665"/>
      <c r="BJ10" s="665"/>
      <c r="BK10" s="665"/>
      <c r="BL10" s="665"/>
      <c r="BM10" s="665"/>
    </row>
    <row r="11">
      <c r="A11" s="673"/>
      <c r="B11" s="674"/>
      <c r="C11" s="674"/>
      <c r="D11" s="674"/>
      <c r="E11" s="674"/>
      <c r="F11" s="674"/>
      <c r="G11" s="675"/>
      <c r="H11" s="665"/>
      <c r="I11" s="665"/>
      <c r="J11" s="665"/>
      <c r="K11" s="665"/>
      <c r="L11" s="665"/>
      <c r="M11" s="665"/>
      <c r="N11" s="665"/>
      <c r="O11" s="665"/>
      <c r="P11" s="665"/>
      <c r="Q11" s="665"/>
      <c r="R11" s="665"/>
      <c r="S11" s="665"/>
      <c r="T11" s="665"/>
      <c r="U11" s="665"/>
      <c r="V11" s="665"/>
      <c r="W11" s="665"/>
      <c r="X11" s="665"/>
      <c r="Y11" s="665"/>
      <c r="Z11" s="665"/>
      <c r="AA11" s="665"/>
      <c r="AB11" s="665"/>
      <c r="AC11" s="665"/>
      <c r="AD11" s="665"/>
      <c r="AE11" s="665"/>
      <c r="AF11" s="665"/>
      <c r="AG11" s="665"/>
      <c r="AH11" s="665"/>
      <c r="AI11" s="665"/>
      <c r="AJ11" s="665"/>
      <c r="AK11" s="665"/>
      <c r="AL11" s="665"/>
      <c r="AM11" s="665"/>
      <c r="AN11" s="665"/>
      <c r="AO11" s="665"/>
      <c r="AP11" s="665"/>
      <c r="AQ11" s="665"/>
      <c r="AR11" s="665"/>
      <c r="AS11" s="665"/>
      <c r="AT11" s="665"/>
      <c r="AU11" s="665"/>
      <c r="AV11" s="665"/>
      <c r="AW11" s="665"/>
      <c r="AX11" s="665"/>
      <c r="AY11" s="665"/>
      <c r="AZ11" s="665"/>
      <c r="BA11" s="665"/>
      <c r="BB11" s="665"/>
      <c r="BC11" s="665"/>
      <c r="BD11" s="665"/>
      <c r="BE11" s="665"/>
      <c r="BF11" s="665"/>
      <c r="BG11" s="665"/>
      <c r="BH11" s="665"/>
      <c r="BI11" s="665"/>
      <c r="BJ11" s="665"/>
      <c r="BK11" s="665"/>
      <c r="BL11" s="665"/>
      <c r="BM11" s="665"/>
    </row>
    <row r="12">
      <c r="A12" s="665"/>
      <c r="B12" s="665"/>
      <c r="C12" s="665"/>
      <c r="D12" s="665"/>
      <c r="E12" s="665"/>
      <c r="F12" s="665"/>
      <c r="G12" s="665"/>
      <c r="H12" s="665"/>
      <c r="I12" s="665"/>
      <c r="J12" s="665"/>
      <c r="K12" s="665"/>
      <c r="L12" s="665"/>
      <c r="M12" s="665"/>
      <c r="N12" s="665"/>
      <c r="O12" s="665"/>
      <c r="P12" s="665"/>
      <c r="Q12" s="665"/>
      <c r="R12" s="665"/>
      <c r="S12" s="665"/>
      <c r="T12" s="665"/>
      <c r="U12" s="665"/>
      <c r="V12" s="665"/>
      <c r="W12" s="665"/>
      <c r="X12" s="665"/>
      <c r="Y12" s="665"/>
      <c r="Z12" s="665"/>
      <c r="AA12" s="665"/>
      <c r="AB12" s="665"/>
      <c r="AC12" s="665"/>
      <c r="AD12" s="665"/>
      <c r="AE12" s="665"/>
      <c r="AF12" s="665"/>
      <c r="AG12" s="665"/>
      <c r="AH12" s="665"/>
      <c r="AI12" s="665"/>
      <c r="AJ12" s="665"/>
      <c r="AK12" s="665"/>
      <c r="AL12" s="665"/>
      <c r="AM12" s="665"/>
      <c r="AN12" s="665"/>
      <c r="AO12" s="665"/>
      <c r="AP12" s="665"/>
      <c r="AQ12" s="665"/>
      <c r="AR12" s="665"/>
      <c r="AS12" s="665"/>
      <c r="AT12" s="665"/>
      <c r="AU12" s="665"/>
      <c r="AV12" s="665"/>
      <c r="AW12" s="665"/>
      <c r="AX12" s="665"/>
      <c r="AY12" s="665"/>
      <c r="AZ12" s="665"/>
      <c r="BA12" s="665"/>
      <c r="BB12" s="665"/>
      <c r="BC12" s="665"/>
      <c r="BD12" s="665"/>
      <c r="BE12" s="665"/>
      <c r="BF12" s="665"/>
      <c r="BG12" s="665"/>
      <c r="BH12" s="665"/>
      <c r="BI12" s="665"/>
      <c r="BJ12" s="665"/>
      <c r="BK12" s="665"/>
      <c r="BL12" s="665"/>
      <c r="BM12" s="665"/>
    </row>
    <row r="13">
      <c r="A13" s="670" t="s">
        <v>944</v>
      </c>
      <c r="B13" s="671"/>
      <c r="C13" s="671"/>
      <c r="D13" s="671"/>
      <c r="E13" s="671"/>
      <c r="F13" s="671"/>
      <c r="G13" s="671"/>
      <c r="H13" s="672"/>
      <c r="I13" s="665"/>
      <c r="J13" s="665"/>
      <c r="K13" s="665"/>
      <c r="L13" s="665"/>
      <c r="M13" s="665"/>
      <c r="N13" s="665"/>
      <c r="O13" s="665"/>
      <c r="P13" s="665"/>
      <c r="Q13" s="665"/>
      <c r="R13" s="665"/>
      <c r="S13" s="665"/>
      <c r="T13" s="665"/>
      <c r="U13" s="665"/>
      <c r="V13" s="665"/>
      <c r="W13" s="665"/>
      <c r="X13" s="665"/>
      <c r="Y13" s="665"/>
      <c r="Z13" s="665"/>
      <c r="AA13" s="665"/>
      <c r="AB13" s="665"/>
      <c r="AC13" s="665"/>
      <c r="AD13" s="665"/>
      <c r="AE13" s="665"/>
      <c r="AF13" s="665"/>
      <c r="AG13" s="665"/>
      <c r="AH13" s="665"/>
      <c r="AI13" s="665"/>
      <c r="AJ13" s="665"/>
      <c r="AK13" s="665"/>
      <c r="AL13" s="665"/>
      <c r="AM13" s="665"/>
      <c r="AN13" s="665"/>
      <c r="AO13" s="665"/>
      <c r="AP13" s="665"/>
      <c r="AQ13" s="665"/>
      <c r="AR13" s="665"/>
      <c r="AS13" s="665"/>
      <c r="AT13" s="665"/>
      <c r="AU13" s="665"/>
      <c r="AV13" s="665"/>
      <c r="AW13" s="665"/>
      <c r="AX13" s="665"/>
      <c r="AY13" s="665"/>
      <c r="AZ13" s="665"/>
      <c r="BA13" s="665"/>
      <c r="BB13" s="665"/>
      <c r="BC13" s="665"/>
      <c r="BD13" s="665"/>
      <c r="BE13" s="665"/>
      <c r="BF13" s="665"/>
      <c r="BG13" s="665"/>
      <c r="BH13" s="665"/>
      <c r="BI13" s="665"/>
      <c r="BJ13" s="665"/>
      <c r="BK13" s="665"/>
      <c r="BL13" s="665"/>
      <c r="BM13" s="665"/>
    </row>
    <row r="14">
      <c r="A14" s="677"/>
      <c r="H14" s="678"/>
      <c r="I14" s="665"/>
      <c r="J14" s="665"/>
      <c r="K14" s="665"/>
      <c r="L14" s="665"/>
      <c r="M14" s="665"/>
      <c r="N14" s="665"/>
      <c r="O14" s="665"/>
      <c r="P14" s="665"/>
      <c r="Q14" s="665"/>
      <c r="R14" s="665"/>
      <c r="S14" s="665"/>
      <c r="T14" s="665"/>
      <c r="U14" s="665"/>
      <c r="V14" s="665"/>
      <c r="W14" s="665"/>
      <c r="X14" s="665"/>
      <c r="Y14" s="665"/>
      <c r="Z14" s="665"/>
      <c r="AA14" s="665"/>
      <c r="AB14" s="665"/>
      <c r="AC14" s="665"/>
      <c r="AD14" s="665"/>
      <c r="AE14" s="665"/>
      <c r="AF14" s="665"/>
      <c r="AG14" s="665"/>
      <c r="AH14" s="665"/>
      <c r="AI14" s="665"/>
      <c r="AJ14" s="665"/>
      <c r="AK14" s="665"/>
      <c r="AL14" s="665"/>
      <c r="AM14" s="665"/>
      <c r="AN14" s="665"/>
      <c r="AO14" s="665"/>
      <c r="AP14" s="665"/>
      <c r="AQ14" s="665"/>
      <c r="AR14" s="665"/>
      <c r="AS14" s="665"/>
      <c r="AT14" s="665"/>
      <c r="AU14" s="665"/>
      <c r="AV14" s="665"/>
      <c r="AW14" s="665"/>
      <c r="AX14" s="665"/>
      <c r="AY14" s="665"/>
      <c r="AZ14" s="665"/>
      <c r="BA14" s="665"/>
      <c r="BB14" s="665"/>
      <c r="BC14" s="665"/>
      <c r="BD14" s="665"/>
      <c r="BE14" s="665"/>
      <c r="BF14" s="665"/>
      <c r="BG14" s="665"/>
      <c r="BH14" s="665"/>
      <c r="BI14" s="665"/>
      <c r="BJ14" s="665"/>
      <c r="BK14" s="665"/>
      <c r="BL14" s="665"/>
      <c r="BM14" s="665"/>
    </row>
    <row r="15">
      <c r="A15" s="673"/>
      <c r="B15" s="674"/>
      <c r="C15" s="674"/>
      <c r="D15" s="674"/>
      <c r="E15" s="674"/>
      <c r="F15" s="674"/>
      <c r="G15" s="674"/>
      <c r="H15" s="675"/>
      <c r="I15" s="665"/>
      <c r="J15" s="665"/>
      <c r="K15" s="665"/>
      <c r="L15" s="665"/>
      <c r="M15" s="665"/>
      <c r="N15" s="665"/>
      <c r="O15" s="665"/>
      <c r="P15" s="665"/>
      <c r="Q15" s="665"/>
      <c r="R15" s="665"/>
      <c r="S15" s="665"/>
      <c r="T15" s="665"/>
      <c r="U15" s="665"/>
      <c r="V15" s="665"/>
      <c r="W15" s="665"/>
      <c r="X15" s="665"/>
      <c r="Y15" s="665"/>
      <c r="Z15" s="665"/>
      <c r="AA15" s="665"/>
      <c r="AB15" s="665"/>
      <c r="AC15" s="665"/>
      <c r="AD15" s="665"/>
      <c r="AE15" s="665"/>
      <c r="AF15" s="665"/>
      <c r="AG15" s="665"/>
      <c r="AH15" s="665"/>
      <c r="AI15" s="665"/>
      <c r="AJ15" s="665"/>
      <c r="AK15" s="665"/>
      <c r="AL15" s="665"/>
      <c r="AM15" s="665"/>
      <c r="AN15" s="665"/>
      <c r="AO15" s="665"/>
      <c r="AP15" s="665"/>
      <c r="AQ15" s="665"/>
      <c r="AR15" s="665"/>
      <c r="AS15" s="665"/>
      <c r="AT15" s="665"/>
      <c r="AU15" s="665"/>
      <c r="AV15" s="665"/>
      <c r="AW15" s="665"/>
      <c r="AX15" s="665"/>
      <c r="AY15" s="665"/>
      <c r="AZ15" s="665"/>
      <c r="BA15" s="665"/>
      <c r="BB15" s="665"/>
      <c r="BC15" s="665"/>
      <c r="BD15" s="665"/>
      <c r="BE15" s="665"/>
      <c r="BF15" s="665"/>
      <c r="BG15" s="665"/>
      <c r="BH15" s="665"/>
      <c r="BI15" s="665"/>
      <c r="BJ15" s="665"/>
      <c r="BK15" s="665"/>
      <c r="BL15" s="665"/>
      <c r="BM15" s="665"/>
    </row>
    <row r="16">
      <c r="A16" s="670" t="s">
        <v>945</v>
      </c>
      <c r="B16" s="671"/>
      <c r="C16" s="671"/>
      <c r="D16" s="671"/>
      <c r="E16" s="671"/>
      <c r="F16" s="671"/>
      <c r="G16" s="671"/>
      <c r="H16" s="672"/>
      <c r="I16" s="665"/>
      <c r="J16" s="665"/>
      <c r="K16" s="665"/>
      <c r="L16" s="665"/>
      <c r="M16" s="665"/>
      <c r="N16" s="665"/>
      <c r="O16" s="665"/>
      <c r="P16" s="665"/>
      <c r="Q16" s="665"/>
      <c r="R16" s="665"/>
      <c r="S16" s="665"/>
      <c r="T16" s="665"/>
      <c r="U16" s="665"/>
      <c r="V16" s="665"/>
      <c r="W16" s="665"/>
      <c r="X16" s="665"/>
      <c r="Y16" s="665"/>
      <c r="Z16" s="665"/>
      <c r="AA16" s="665"/>
      <c r="AB16" s="665"/>
      <c r="AC16" s="665"/>
      <c r="AD16" s="665"/>
      <c r="AE16" s="665"/>
      <c r="AF16" s="665"/>
      <c r="AG16" s="665"/>
      <c r="AH16" s="665"/>
      <c r="AI16" s="665"/>
      <c r="AJ16" s="665"/>
      <c r="AK16" s="665"/>
      <c r="AL16" s="665"/>
      <c r="AM16" s="665"/>
      <c r="AN16" s="665"/>
      <c r="AO16" s="665"/>
      <c r="AP16" s="665"/>
      <c r="AQ16" s="665"/>
      <c r="AR16" s="665"/>
      <c r="AS16" s="665"/>
      <c r="AT16" s="665"/>
      <c r="AU16" s="665"/>
      <c r="AV16" s="665"/>
      <c r="AW16" s="665"/>
      <c r="AX16" s="665"/>
      <c r="AY16" s="665"/>
      <c r="AZ16" s="665"/>
      <c r="BA16" s="665"/>
      <c r="BB16" s="665"/>
      <c r="BC16" s="665"/>
      <c r="BD16" s="665"/>
      <c r="BE16" s="665"/>
      <c r="BF16" s="665"/>
      <c r="BG16" s="665"/>
      <c r="BH16" s="665"/>
      <c r="BI16" s="665"/>
      <c r="BJ16" s="665"/>
      <c r="BK16" s="665"/>
      <c r="BL16" s="665"/>
      <c r="BM16" s="665"/>
    </row>
    <row r="17">
      <c r="A17" s="673"/>
      <c r="B17" s="674"/>
      <c r="C17" s="674"/>
      <c r="D17" s="674"/>
      <c r="E17" s="674"/>
      <c r="F17" s="674"/>
      <c r="G17" s="674"/>
      <c r="H17" s="675"/>
      <c r="I17" s="665"/>
      <c r="J17" s="665"/>
      <c r="K17" s="665"/>
      <c r="L17" s="665"/>
      <c r="M17" s="665"/>
      <c r="N17" s="665"/>
      <c r="O17" s="665"/>
      <c r="P17" s="665"/>
      <c r="Q17" s="665"/>
      <c r="R17" s="665"/>
      <c r="S17" s="665"/>
      <c r="T17" s="665"/>
      <c r="U17" s="665"/>
      <c r="V17" s="665"/>
      <c r="W17" s="665"/>
      <c r="X17" s="665"/>
      <c r="Y17" s="665"/>
      <c r="Z17" s="665"/>
      <c r="AA17" s="665"/>
      <c r="AB17" s="665"/>
      <c r="AC17" s="665"/>
      <c r="AD17" s="665"/>
      <c r="AE17" s="665"/>
      <c r="AF17" s="665"/>
      <c r="AG17" s="665"/>
      <c r="AH17" s="665"/>
      <c r="AI17" s="665"/>
      <c r="AJ17" s="665"/>
      <c r="AK17" s="665"/>
      <c r="AL17" s="665"/>
      <c r="AM17" s="665"/>
      <c r="AN17" s="665"/>
      <c r="AO17" s="665"/>
      <c r="AP17" s="665"/>
      <c r="AQ17" s="665"/>
      <c r="AR17" s="665"/>
      <c r="AS17" s="665"/>
      <c r="AT17" s="665"/>
      <c r="AU17" s="665"/>
      <c r="AV17" s="665"/>
      <c r="AW17" s="665"/>
      <c r="AX17" s="665"/>
      <c r="AY17" s="665"/>
      <c r="AZ17" s="665"/>
      <c r="BA17" s="665"/>
      <c r="BB17" s="665"/>
      <c r="BC17" s="665"/>
      <c r="BD17" s="665"/>
      <c r="BE17" s="665"/>
      <c r="BF17" s="665"/>
      <c r="BG17" s="665"/>
      <c r="BH17" s="665"/>
      <c r="BI17" s="665"/>
      <c r="BJ17" s="665"/>
      <c r="BK17" s="665"/>
      <c r="BL17" s="665"/>
      <c r="BM17" s="665"/>
    </row>
    <row r="18">
      <c r="A18" s="665"/>
      <c r="B18" s="665"/>
      <c r="C18" s="665"/>
      <c r="D18" s="665"/>
      <c r="E18" s="665"/>
      <c r="F18" s="665"/>
      <c r="G18" s="665"/>
      <c r="H18" s="665"/>
      <c r="I18" s="665"/>
      <c r="J18" s="665"/>
      <c r="K18" s="665"/>
      <c r="L18" s="665"/>
      <c r="M18" s="665"/>
      <c r="N18" s="665"/>
      <c r="O18" s="665"/>
      <c r="P18" s="665"/>
      <c r="Q18" s="665"/>
      <c r="R18" s="665"/>
      <c r="S18" s="665"/>
      <c r="T18" s="665"/>
      <c r="U18" s="665"/>
      <c r="V18" s="665"/>
      <c r="W18" s="665"/>
      <c r="X18" s="665"/>
      <c r="Y18" s="665"/>
      <c r="Z18" s="665"/>
      <c r="AA18" s="665"/>
      <c r="AB18" s="665"/>
      <c r="AC18" s="665"/>
      <c r="AD18" s="665"/>
      <c r="AE18" s="665"/>
      <c r="AF18" s="665"/>
      <c r="AG18" s="665"/>
      <c r="AH18" s="665"/>
      <c r="AI18" s="665"/>
      <c r="AJ18" s="665"/>
      <c r="AK18" s="665"/>
      <c r="AL18" s="665"/>
      <c r="AM18" s="665"/>
      <c r="AN18" s="665"/>
      <c r="AO18" s="665"/>
      <c r="AP18" s="665"/>
      <c r="AQ18" s="665"/>
      <c r="AR18" s="665"/>
      <c r="AS18" s="665"/>
      <c r="AT18" s="665"/>
      <c r="AU18" s="665"/>
      <c r="AV18" s="665"/>
      <c r="AW18" s="665"/>
      <c r="AX18" s="665"/>
      <c r="AY18" s="665"/>
      <c r="AZ18" s="665"/>
      <c r="BA18" s="665"/>
      <c r="BB18" s="665"/>
      <c r="BC18" s="665"/>
      <c r="BD18" s="665"/>
      <c r="BE18" s="665"/>
      <c r="BF18" s="665"/>
      <c r="BG18" s="665"/>
      <c r="BH18" s="665"/>
      <c r="BI18" s="665"/>
      <c r="BJ18" s="665"/>
      <c r="BK18" s="665"/>
      <c r="BL18" s="665"/>
      <c r="BM18" s="665"/>
    </row>
    <row r="19">
      <c r="A19" s="679" t="s">
        <v>946</v>
      </c>
      <c r="B19" s="680"/>
      <c r="C19" s="680"/>
      <c r="D19" s="679" t="s">
        <v>947</v>
      </c>
      <c r="E19" s="679" t="s">
        <v>948</v>
      </c>
      <c r="F19" s="680"/>
      <c r="G19" s="679" t="s">
        <v>949</v>
      </c>
      <c r="H19" s="679" t="s">
        <v>950</v>
      </c>
      <c r="I19" s="679" t="s">
        <v>951</v>
      </c>
      <c r="J19" s="679" t="s">
        <v>952</v>
      </c>
      <c r="K19" s="679" t="s">
        <v>953</v>
      </c>
      <c r="L19" s="679" t="s">
        <v>954</v>
      </c>
      <c r="M19" s="679" t="s">
        <v>955</v>
      </c>
      <c r="N19" s="679" t="s">
        <v>956</v>
      </c>
      <c r="O19" s="679" t="s">
        <v>957</v>
      </c>
      <c r="P19" s="680"/>
      <c r="Q19" s="679" t="s">
        <v>958</v>
      </c>
      <c r="R19" s="679" t="s">
        <v>959</v>
      </c>
      <c r="S19" s="679" t="s">
        <v>960</v>
      </c>
      <c r="T19" s="679" t="s">
        <v>961</v>
      </c>
      <c r="U19" s="679" t="s">
        <v>962</v>
      </c>
      <c r="V19" s="680"/>
      <c r="W19" s="679" t="s">
        <v>963</v>
      </c>
      <c r="X19" s="679" t="s">
        <v>964</v>
      </c>
      <c r="Y19" s="679" t="s">
        <v>965</v>
      </c>
      <c r="Z19" s="679" t="s">
        <v>966</v>
      </c>
      <c r="AA19" s="679" t="s">
        <v>967</v>
      </c>
      <c r="AB19" s="679" t="s">
        <v>968</v>
      </c>
      <c r="AC19" s="679" t="s">
        <v>969</v>
      </c>
      <c r="AD19" s="679" t="s">
        <v>970</v>
      </c>
      <c r="AE19" s="679" t="s">
        <v>971</v>
      </c>
      <c r="AF19" s="679" t="s">
        <v>972</v>
      </c>
      <c r="AG19" s="679" t="s">
        <v>973</v>
      </c>
      <c r="AH19" s="680"/>
      <c r="AI19" s="680"/>
      <c r="AJ19" s="679" t="s">
        <v>974</v>
      </c>
      <c r="AK19" s="679" t="s">
        <v>975</v>
      </c>
      <c r="AL19" s="679" t="s">
        <v>976</v>
      </c>
      <c r="AM19" s="680"/>
      <c r="AN19" s="679" t="s">
        <v>977</v>
      </c>
      <c r="AO19" s="679" t="s">
        <v>978</v>
      </c>
      <c r="AP19" s="679" t="s">
        <v>979</v>
      </c>
      <c r="AQ19" s="679" t="s">
        <v>980</v>
      </c>
      <c r="AR19" s="680"/>
      <c r="AS19" s="680"/>
      <c r="AT19" s="679" t="s">
        <v>981</v>
      </c>
      <c r="AU19" s="679" t="s">
        <v>982</v>
      </c>
      <c r="AV19" s="679" t="s">
        <v>983</v>
      </c>
      <c r="AW19" s="679" t="s">
        <v>984</v>
      </c>
      <c r="AX19" s="680"/>
      <c r="AY19" s="680"/>
      <c r="AZ19" s="680"/>
      <c r="BA19" s="680"/>
      <c r="BB19" s="680"/>
      <c r="BC19" s="680"/>
      <c r="BD19" s="680"/>
      <c r="BE19" s="680"/>
      <c r="BF19" s="680"/>
      <c r="BG19" s="680"/>
      <c r="BH19" s="680"/>
      <c r="BI19" s="680"/>
      <c r="BJ19" s="680"/>
      <c r="BK19" s="680"/>
      <c r="BL19" s="680"/>
      <c r="BM19" s="680"/>
    </row>
    <row r="20" hidden="1">
      <c r="A20" s="4" t="s">
        <v>985</v>
      </c>
      <c r="C20" s="4" t="s">
        <v>986</v>
      </c>
      <c r="D20" s="4" t="s">
        <v>987</v>
      </c>
      <c r="E20" s="4" t="s">
        <v>988</v>
      </c>
      <c r="G20" s="4" t="s">
        <v>989</v>
      </c>
      <c r="H20" s="4" t="s">
        <v>990</v>
      </c>
      <c r="I20" s="4" t="s">
        <v>991</v>
      </c>
      <c r="J20" s="4" t="s">
        <v>992</v>
      </c>
      <c r="K20" s="4" t="s">
        <v>993</v>
      </c>
      <c r="L20" s="4" t="s">
        <v>994</v>
      </c>
      <c r="M20" s="4" t="s">
        <v>995</v>
      </c>
      <c r="N20" s="4" t="s">
        <v>996</v>
      </c>
      <c r="O20" s="4" t="s">
        <v>997</v>
      </c>
      <c r="Q20" s="4" t="s">
        <v>998</v>
      </c>
      <c r="R20" s="4" t="s">
        <v>999</v>
      </c>
      <c r="S20" s="4" t="s">
        <v>1000</v>
      </c>
      <c r="T20" s="4" t="s">
        <v>1001</v>
      </c>
      <c r="U20" s="4" t="s">
        <v>1002</v>
      </c>
      <c r="W20" s="4" t="s">
        <v>1003</v>
      </c>
      <c r="X20" s="4" t="s">
        <v>1004</v>
      </c>
      <c r="Y20" s="4" t="s">
        <v>1005</v>
      </c>
      <c r="Z20" s="4" t="s">
        <v>1006</v>
      </c>
      <c r="AA20" s="4" t="s">
        <v>1007</v>
      </c>
      <c r="AB20" s="4" t="s">
        <v>1008</v>
      </c>
      <c r="AC20" s="4" t="s">
        <v>1009</v>
      </c>
      <c r="AD20" s="4" t="s">
        <v>1010</v>
      </c>
      <c r="AE20" s="4" t="s">
        <v>1011</v>
      </c>
      <c r="AF20" s="4" t="s">
        <v>1012</v>
      </c>
      <c r="AG20" s="4" t="s">
        <v>1013</v>
      </c>
      <c r="AJ20" s="4" t="s">
        <v>1014</v>
      </c>
      <c r="AK20" s="4" t="s">
        <v>1015</v>
      </c>
      <c r="AL20" s="4" t="s">
        <v>1016</v>
      </c>
      <c r="AN20" s="4" t="s">
        <v>1017</v>
      </c>
      <c r="AO20" s="4" t="s">
        <v>1018</v>
      </c>
      <c r="AP20" s="4" t="s">
        <v>1019</v>
      </c>
      <c r="AQ20" s="4" t="s">
        <v>1020</v>
      </c>
      <c r="AR20" s="4" t="s">
        <v>1021</v>
      </c>
      <c r="AS20" s="4" t="s">
        <v>1022</v>
      </c>
      <c r="AT20" s="4" t="s">
        <v>1023</v>
      </c>
      <c r="AU20" s="4" t="s">
        <v>1024</v>
      </c>
      <c r="AV20" s="4" t="s">
        <v>1025</v>
      </c>
      <c r="AW20" s="4" t="s">
        <v>1026</v>
      </c>
    </row>
    <row r="21">
      <c r="A21" s="681" t="s">
        <v>1027</v>
      </c>
      <c r="B21" s="682"/>
      <c r="C21" s="682"/>
      <c r="D21" s="681" t="str">
        <f>IFERROR(__xludf.DUMMYFUNCTION("ARRAY_CONSTRAIN(split(CELL(""ADDRESS"",zsupermetrics_FEamnpN5FsVYF0RtUTXAwunZ388Tkc),""!""),1,1)"),"Forecast")</f>
        <v>Forecast</v>
      </c>
      <c r="E21" s="681"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682"/>
      <c r="G21" s="683">
        <v>45336.378599537034</v>
      </c>
      <c r="H21" s="683">
        <v>45350.594409722224</v>
      </c>
      <c r="I21" s="684" t="s">
        <v>1028</v>
      </c>
      <c r="J21" s="685">
        <v>1.709126144659E12</v>
      </c>
      <c r="K21" s="681" t="b">
        <v>0</v>
      </c>
      <c r="L21" s="685">
        <v>2.0</v>
      </c>
      <c r="M21" s="681" t="s">
        <v>1029</v>
      </c>
      <c r="N21" s="682"/>
      <c r="O21" s="681" t="s">
        <v>1030</v>
      </c>
      <c r="P21" s="682"/>
      <c r="Q21" s="681" t="s">
        <v>1031</v>
      </c>
      <c r="R21" s="682"/>
      <c r="S21" s="682"/>
      <c r="T21" s="682"/>
      <c r="U21" s="682"/>
      <c r="V21" s="682"/>
      <c r="W21" s="681" t="s">
        <v>1032</v>
      </c>
      <c r="X21" s="681" t="s">
        <v>1033</v>
      </c>
      <c r="Y21" s="681" t="s">
        <v>1034</v>
      </c>
      <c r="Z21" s="681" t="s">
        <v>1035</v>
      </c>
      <c r="AA21" s="681" t="s">
        <v>1035</v>
      </c>
      <c r="AB21" s="681" t="s">
        <v>1035</v>
      </c>
      <c r="AC21" s="682"/>
      <c r="AD21" s="681">
        <v>10000.0</v>
      </c>
      <c r="AE21" s="682"/>
      <c r="AF21" s="681" t="s">
        <v>1035</v>
      </c>
      <c r="AG21" s="681" t="s">
        <v>1036</v>
      </c>
      <c r="AH21" s="682"/>
      <c r="AI21" s="682"/>
      <c r="AJ21" s="682"/>
      <c r="AK21" s="682"/>
      <c r="AL21" s="682"/>
      <c r="AM21" s="682"/>
      <c r="AN21" s="682"/>
      <c r="AO21" s="682"/>
      <c r="AP21" s="686" t="s">
        <v>1037</v>
      </c>
      <c r="AQ21" s="682"/>
      <c r="AR21" s="682"/>
      <c r="AS21" s="682"/>
      <c r="AT21" s="682"/>
      <c r="AU21" s="681" t="s">
        <v>1038</v>
      </c>
      <c r="AV21" s="682"/>
      <c r="AW21" s="685">
        <v>1.0</v>
      </c>
      <c r="AX21" s="682"/>
    </row>
  </sheetData>
  <mergeCells count="5">
    <mergeCell ref="A6:G7"/>
    <mergeCell ref="A8:G9"/>
    <mergeCell ref="A10:G11"/>
    <mergeCell ref="A13:H15"/>
    <mergeCell ref="A16:H17"/>
  </mergeCell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687"/>
      <c r="B1" s="688"/>
      <c r="C1" s="689"/>
      <c r="D1" s="687"/>
      <c r="E1" s="687"/>
      <c r="F1" s="689"/>
      <c r="G1" s="690"/>
      <c r="H1" s="690"/>
      <c r="I1" s="690"/>
      <c r="J1" s="690"/>
    </row>
    <row r="2">
      <c r="A2" s="691" t="s">
        <v>1039</v>
      </c>
      <c r="B2" s="692">
        <v>45293.0</v>
      </c>
      <c r="C2" s="693"/>
      <c r="D2" s="691" t="s">
        <v>1040</v>
      </c>
      <c r="E2" s="691" t="s">
        <v>1041</v>
      </c>
      <c r="F2" s="693"/>
      <c r="G2" s="694" t="s">
        <v>1042</v>
      </c>
      <c r="H2" s="556"/>
      <c r="I2" s="695" t="s">
        <v>1043</v>
      </c>
      <c r="J2" s="556"/>
    </row>
    <row r="3">
      <c r="A3" s="696" t="s">
        <v>1044</v>
      </c>
      <c r="B3" s="697">
        <v>29.0</v>
      </c>
      <c r="C3" s="698" t="s">
        <v>1045</v>
      </c>
      <c r="D3" s="650"/>
      <c r="E3" s="650"/>
      <c r="F3" s="648"/>
      <c r="G3" s="699" t="s">
        <v>1046</v>
      </c>
      <c r="H3" s="700"/>
      <c r="I3" s="701" t="s">
        <v>1047</v>
      </c>
      <c r="J3" s="702"/>
    </row>
    <row r="4">
      <c r="A4" s="696" t="s">
        <v>1048</v>
      </c>
      <c r="B4" s="703">
        <f>count(Summary!B52:AD52)</f>
        <v>29</v>
      </c>
      <c r="C4" s="704"/>
      <c r="D4" s="705"/>
      <c r="E4" s="705"/>
      <c r="F4" s="706"/>
      <c r="G4" s="699" t="s">
        <v>1049</v>
      </c>
      <c r="H4" s="707"/>
      <c r="I4" s="701" t="s">
        <v>1050</v>
      </c>
      <c r="J4" s="708"/>
    </row>
    <row r="5">
      <c r="A5" s="709"/>
      <c r="B5" s="710" t="s">
        <v>1051</v>
      </c>
      <c r="C5" s="556"/>
      <c r="D5" s="710" t="s">
        <v>1052</v>
      </c>
      <c r="E5" s="711"/>
      <c r="F5" s="556"/>
      <c r="G5" s="699" t="s">
        <v>1053</v>
      </c>
      <c r="H5" s="700"/>
      <c r="I5" s="701" t="s">
        <v>1054</v>
      </c>
      <c r="J5" s="702"/>
    </row>
    <row r="6">
      <c r="A6" s="712" t="s">
        <v>1055</v>
      </c>
      <c r="B6" s="712" t="s">
        <v>1056</v>
      </c>
      <c r="C6" s="713" t="s">
        <v>1048</v>
      </c>
      <c r="D6" s="712" t="s">
        <v>1052</v>
      </c>
      <c r="E6" s="712" t="s">
        <v>1057</v>
      </c>
      <c r="F6" s="712" t="s">
        <v>1058</v>
      </c>
      <c r="G6" s="699" t="s">
        <v>1059</v>
      </c>
      <c r="H6" s="714"/>
      <c r="I6" s="701" t="s">
        <v>1060</v>
      </c>
      <c r="J6" s="715"/>
    </row>
    <row r="7">
      <c r="A7" s="716">
        <v>1.0</v>
      </c>
      <c r="B7" s="717">
        <f t="shared" ref="B7:B35" si="1">$B$36/$B$3</f>
        <v>41379.31034</v>
      </c>
      <c r="C7" s="718">
        <f>Summary!B31+Summary!B49</f>
        <v>77336.31831</v>
      </c>
      <c r="D7" s="719">
        <f t="shared" ref="D7:D36" si="2">C7/$B$4*$B$3</f>
        <v>77336.31831</v>
      </c>
      <c r="E7" s="720">
        <f t="shared" ref="E7:E36" si="3">D7/B7-1</f>
        <v>0.8689610257</v>
      </c>
      <c r="F7" s="721">
        <f t="shared" ref="F7:F36" si="4">D7-B7</f>
        <v>35957.00796</v>
      </c>
      <c r="G7" s="699" t="s">
        <v>1061</v>
      </c>
      <c r="H7" s="707"/>
      <c r="I7" s="722"/>
      <c r="J7" s="722"/>
    </row>
    <row r="8">
      <c r="A8" s="723">
        <v>2.0</v>
      </c>
      <c r="B8" s="724">
        <f t="shared" si="1"/>
        <v>41379.31034</v>
      </c>
      <c r="C8" s="725">
        <f>Summary!C31+Summary!C49</f>
        <v>81132.25878</v>
      </c>
      <c r="D8" s="719">
        <f t="shared" si="2"/>
        <v>81132.25878</v>
      </c>
      <c r="E8" s="726">
        <f t="shared" si="3"/>
        <v>0.9606962538</v>
      </c>
      <c r="F8" s="727">
        <f t="shared" si="4"/>
        <v>39752.94843</v>
      </c>
      <c r="G8" s="699" t="s">
        <v>1062</v>
      </c>
      <c r="H8" s="728"/>
      <c r="I8" s="729"/>
      <c r="J8" s="722"/>
    </row>
    <row r="9">
      <c r="A9" s="723">
        <v>3.0</v>
      </c>
      <c r="B9" s="717">
        <f t="shared" si="1"/>
        <v>41379.31034</v>
      </c>
      <c r="C9" s="730">
        <f>Summary!D31+Summary!D49</f>
        <v>115052.6666</v>
      </c>
      <c r="D9" s="719">
        <f t="shared" si="2"/>
        <v>115052.6666</v>
      </c>
      <c r="E9" s="726">
        <f t="shared" si="3"/>
        <v>1.780439444</v>
      </c>
      <c r="F9" s="727">
        <f t="shared" si="4"/>
        <v>73673.35629</v>
      </c>
      <c r="G9" s="731" t="s">
        <v>1063</v>
      </c>
      <c r="H9" s="707"/>
      <c r="I9" s="722"/>
      <c r="J9" s="722"/>
    </row>
    <row r="10">
      <c r="A10" s="723">
        <v>4.0</v>
      </c>
      <c r="B10" s="724">
        <f t="shared" si="1"/>
        <v>41379.31034</v>
      </c>
      <c r="C10" s="725">
        <f>Summary!E31+Summary!E49</f>
        <v>115612.5371</v>
      </c>
      <c r="D10" s="719">
        <f t="shared" si="2"/>
        <v>115612.5371</v>
      </c>
      <c r="E10" s="726">
        <f t="shared" si="3"/>
        <v>1.793969646</v>
      </c>
      <c r="F10" s="727">
        <f t="shared" si="4"/>
        <v>74233.22675</v>
      </c>
      <c r="G10" s="699" t="s">
        <v>1064</v>
      </c>
      <c r="H10" s="732"/>
      <c r="I10" s="722"/>
      <c r="J10" s="722"/>
    </row>
    <row r="11">
      <c r="A11" s="723">
        <v>5.0</v>
      </c>
      <c r="B11" s="717">
        <f t="shared" si="1"/>
        <v>41379.31034</v>
      </c>
      <c r="C11" s="730">
        <f>Summary!F31+Summary!F49</f>
        <v>128872.0453</v>
      </c>
      <c r="D11" s="719">
        <f t="shared" si="2"/>
        <v>128872.0453</v>
      </c>
      <c r="E11" s="726">
        <f t="shared" si="3"/>
        <v>2.114407762</v>
      </c>
      <c r="F11" s="727">
        <f t="shared" si="4"/>
        <v>87492.735</v>
      </c>
    </row>
    <row r="12">
      <c r="A12" s="723">
        <v>6.0</v>
      </c>
      <c r="B12" s="724">
        <f t="shared" si="1"/>
        <v>41379.31034</v>
      </c>
      <c r="C12" s="725">
        <f>Summary!G31+Summary!G49</f>
        <v>157105.51</v>
      </c>
      <c r="D12" s="719">
        <f t="shared" si="2"/>
        <v>157105.51</v>
      </c>
      <c r="E12" s="726">
        <f t="shared" si="3"/>
        <v>2.796716492</v>
      </c>
      <c r="F12" s="727">
        <f t="shared" si="4"/>
        <v>115726.1997</v>
      </c>
      <c r="G12" s="733" t="s">
        <v>1065</v>
      </c>
      <c r="H12" s="734" t="s">
        <v>1066</v>
      </c>
      <c r="I12" s="734" t="s">
        <v>1067</v>
      </c>
      <c r="J12" s="735" t="s">
        <v>1068</v>
      </c>
      <c r="K12" s="690"/>
    </row>
    <row r="13">
      <c r="A13" s="723">
        <v>7.0</v>
      </c>
      <c r="B13" s="717">
        <f t="shared" si="1"/>
        <v>41379.31034</v>
      </c>
      <c r="C13" s="730">
        <f>Summary!H31+Summary!H49</f>
        <v>149235.3157</v>
      </c>
      <c r="D13" s="719">
        <f t="shared" si="2"/>
        <v>149235.3157</v>
      </c>
      <c r="E13" s="726">
        <f t="shared" si="3"/>
        <v>2.60652013</v>
      </c>
      <c r="F13" s="727">
        <f t="shared" si="4"/>
        <v>107856.0054</v>
      </c>
      <c r="G13" s="736" t="s">
        <v>1069</v>
      </c>
      <c r="H13" s="737">
        <v>1200000.0</v>
      </c>
      <c r="I13" s="738">
        <f>C36</f>
        <v>2151978.552</v>
      </c>
      <c r="J13" s="739">
        <f t="shared" ref="J13:J20" si="5">I13/H13-1</f>
        <v>0.7933154598</v>
      </c>
    </row>
    <row r="14">
      <c r="A14" s="723">
        <v>8.0</v>
      </c>
      <c r="B14" s="724">
        <f t="shared" si="1"/>
        <v>41379.31034</v>
      </c>
      <c r="C14" s="725">
        <f>Summary!I31+Summary!I49</f>
        <v>137556.7907</v>
      </c>
      <c r="D14" s="719">
        <f t="shared" si="2"/>
        <v>137556.7907</v>
      </c>
      <c r="E14" s="726">
        <f t="shared" si="3"/>
        <v>2.324289108</v>
      </c>
      <c r="F14" s="727">
        <f t="shared" si="4"/>
        <v>96177.48033</v>
      </c>
      <c r="G14" s="736" t="s">
        <v>1070</v>
      </c>
      <c r="H14" s="740">
        <v>4000.0</v>
      </c>
      <c r="I14" s="741">
        <f>sum(Summary!B64:AD64)</f>
        <v>9346</v>
      </c>
      <c r="J14" s="739">
        <f t="shared" si="5"/>
        <v>1.3365</v>
      </c>
    </row>
    <row r="15">
      <c r="A15" s="723">
        <v>9.0</v>
      </c>
      <c r="B15" s="717">
        <f t="shared" si="1"/>
        <v>41379.31034</v>
      </c>
      <c r="C15" s="730">
        <f>Summary!J31+Summary!J49</f>
        <v>111716.7702</v>
      </c>
      <c r="D15" s="719">
        <f t="shared" si="2"/>
        <v>111716.7702</v>
      </c>
      <c r="E15" s="726">
        <f t="shared" si="3"/>
        <v>1.699821948</v>
      </c>
      <c r="F15" s="727">
        <f t="shared" si="4"/>
        <v>70337.4599</v>
      </c>
      <c r="G15" s="736" t="s">
        <v>1071</v>
      </c>
      <c r="H15" s="737">
        <v>350000.0</v>
      </c>
      <c r="I15" s="738">
        <f>sum(Summary!B88:AD88)</f>
        <v>267200.8782</v>
      </c>
      <c r="J15" s="739">
        <f t="shared" si="5"/>
        <v>-0.2365689194</v>
      </c>
    </row>
    <row r="16">
      <c r="A16" s="723">
        <v>10.0</v>
      </c>
      <c r="B16" s="724">
        <f t="shared" si="1"/>
        <v>41379.31034</v>
      </c>
      <c r="C16" s="725">
        <f>Summary!K31+Summary!K49</f>
        <v>95872.04266</v>
      </c>
      <c r="D16" s="719">
        <f t="shared" si="2"/>
        <v>95872.04266</v>
      </c>
      <c r="E16" s="726">
        <f t="shared" si="3"/>
        <v>1.316907698</v>
      </c>
      <c r="F16" s="727">
        <f t="shared" si="4"/>
        <v>54492.73231</v>
      </c>
      <c r="G16" s="736" t="s">
        <v>1072</v>
      </c>
      <c r="H16" s="742">
        <f t="shared" ref="H16:I16" si="6">H13/H15</f>
        <v>3.428571429</v>
      </c>
      <c r="I16" s="743">
        <f t="shared" si="6"/>
        <v>8.053785475</v>
      </c>
      <c r="J16" s="739">
        <f t="shared" si="5"/>
        <v>1.349020763</v>
      </c>
    </row>
    <row r="17">
      <c r="A17" s="723">
        <v>11.0</v>
      </c>
      <c r="B17" s="717">
        <f t="shared" si="1"/>
        <v>41379.31034</v>
      </c>
      <c r="C17" s="730">
        <f>Summary!L31+Summary!L49</f>
        <v>93446.69944</v>
      </c>
      <c r="D17" s="719">
        <f t="shared" si="2"/>
        <v>93446.69944</v>
      </c>
      <c r="E17" s="726">
        <f t="shared" si="3"/>
        <v>1.258295237</v>
      </c>
      <c r="F17" s="727">
        <f t="shared" si="4"/>
        <v>52067.3891</v>
      </c>
      <c r="G17" s="736" t="s">
        <v>1073</v>
      </c>
      <c r="H17" s="744">
        <f t="shared" ref="H17:I17" si="7">H15/H13</f>
        <v>0.2916666667</v>
      </c>
      <c r="I17" s="745">
        <f t="shared" si="7"/>
        <v>0.1241652144</v>
      </c>
      <c r="J17" s="739">
        <f t="shared" si="5"/>
        <v>-0.5742906936</v>
      </c>
    </row>
    <row r="18">
      <c r="A18" s="723">
        <v>12.0</v>
      </c>
      <c r="B18" s="724">
        <f t="shared" si="1"/>
        <v>41379.31034</v>
      </c>
      <c r="C18" s="724">
        <f>Summary!M31+Summary!M49</f>
        <v>100261.9665</v>
      </c>
      <c r="D18" s="719">
        <f t="shared" si="2"/>
        <v>100261.9665</v>
      </c>
      <c r="E18" s="726">
        <f t="shared" si="3"/>
        <v>1.422997523</v>
      </c>
      <c r="F18" s="727">
        <f t="shared" si="4"/>
        <v>58882.65611</v>
      </c>
      <c r="G18" s="736" t="s">
        <v>1074</v>
      </c>
      <c r="H18" s="746">
        <v>0.0125</v>
      </c>
      <c r="I18" s="745">
        <f>L18/I20</f>
        <v>0.01188517353</v>
      </c>
      <c r="J18" s="739">
        <f t="shared" si="5"/>
        <v>-0.04918611789</v>
      </c>
      <c r="K18" s="4" t="s">
        <v>1075</v>
      </c>
      <c r="L18" s="71">
        <f>sum(Summary!B52:AD52)</f>
        <v>4240</v>
      </c>
    </row>
    <row r="19">
      <c r="A19" s="723">
        <v>13.0</v>
      </c>
      <c r="B19" s="717">
        <f t="shared" si="1"/>
        <v>41379.31034</v>
      </c>
      <c r="C19" s="747">
        <f>Summary!N31+Summary!N49</f>
        <v>58970.234</v>
      </c>
      <c r="D19" s="719">
        <f t="shared" si="2"/>
        <v>58970.234</v>
      </c>
      <c r="E19" s="726">
        <f t="shared" si="3"/>
        <v>0.4251139882</v>
      </c>
      <c r="F19" s="727">
        <f t="shared" si="4"/>
        <v>17590.92365</v>
      </c>
      <c r="G19" s="736" t="s">
        <v>1076</v>
      </c>
      <c r="H19" s="748">
        <v>250.0</v>
      </c>
      <c r="I19" s="748">
        <f>I13/I14</f>
        <v>230.2566394</v>
      </c>
      <c r="J19" s="739">
        <f t="shared" si="5"/>
        <v>-0.07897344244</v>
      </c>
    </row>
    <row r="20">
      <c r="A20" s="723">
        <v>14.0</v>
      </c>
      <c r="B20" s="724">
        <f t="shared" si="1"/>
        <v>41379.31034</v>
      </c>
      <c r="C20" s="724">
        <f>Summary!O31+Summary!O49</f>
        <v>54035.43979</v>
      </c>
      <c r="D20" s="719">
        <f t="shared" si="2"/>
        <v>54035.43979</v>
      </c>
      <c r="E20" s="726">
        <f t="shared" si="3"/>
        <v>0.3058564617</v>
      </c>
      <c r="F20" s="727">
        <f t="shared" si="4"/>
        <v>12656.12945</v>
      </c>
      <c r="G20" s="736" t="s">
        <v>1077</v>
      </c>
      <c r="H20" s="749">
        <v>300000.0</v>
      </c>
      <c r="I20" s="749">
        <f>sum(C79:C106)</f>
        <v>356747</v>
      </c>
      <c r="J20" s="739">
        <f t="shared" si="5"/>
        <v>0.1891566667</v>
      </c>
    </row>
    <row r="21">
      <c r="A21" s="723">
        <v>15.0</v>
      </c>
      <c r="B21" s="717">
        <f t="shared" si="1"/>
        <v>41379.31034</v>
      </c>
      <c r="C21" s="747">
        <f>Summary!P31+Summary!P49</f>
        <v>49338.50231</v>
      </c>
      <c r="D21" s="719">
        <f t="shared" si="2"/>
        <v>49338.50231</v>
      </c>
      <c r="E21" s="726">
        <f t="shared" si="3"/>
        <v>0.192347139</v>
      </c>
      <c r="F21" s="727">
        <f t="shared" si="4"/>
        <v>7959.19196</v>
      </c>
      <c r="G21" s="750"/>
      <c r="H21" s="690"/>
    </row>
    <row r="22">
      <c r="A22" s="723">
        <v>16.0</v>
      </c>
      <c r="B22" s="724">
        <f t="shared" si="1"/>
        <v>41379.31034</v>
      </c>
      <c r="C22" s="724">
        <f>Summary!Q31+Summary!Q49</f>
        <v>40009.07397</v>
      </c>
      <c r="D22" s="719">
        <f t="shared" si="2"/>
        <v>40009.07397</v>
      </c>
      <c r="E22" s="726">
        <f t="shared" si="3"/>
        <v>-0.03311404572</v>
      </c>
      <c r="F22" s="727">
        <f t="shared" si="4"/>
        <v>-1370.236375</v>
      </c>
      <c r="G22" s="751" t="s">
        <v>1078</v>
      </c>
      <c r="H22" s="752" t="s">
        <v>1079</v>
      </c>
      <c r="I22" s="753" t="s">
        <v>1080</v>
      </c>
    </row>
    <row r="23">
      <c r="A23" s="723">
        <v>17.0</v>
      </c>
      <c r="B23" s="717">
        <f t="shared" si="1"/>
        <v>41379.31034</v>
      </c>
      <c r="C23" s="747">
        <f>Summary!R31+Summary!R49</f>
        <v>43957.5312</v>
      </c>
      <c r="D23" s="719">
        <f t="shared" si="2"/>
        <v>43957.5312</v>
      </c>
      <c r="E23" s="726">
        <f t="shared" si="3"/>
        <v>0.0623070039</v>
      </c>
      <c r="F23" s="727">
        <f t="shared" si="4"/>
        <v>2578.220851</v>
      </c>
      <c r="G23" s="751"/>
      <c r="H23" s="754"/>
      <c r="I23" s="755"/>
    </row>
    <row r="24">
      <c r="A24" s="723">
        <v>18.0</v>
      </c>
      <c r="B24" s="724">
        <f t="shared" si="1"/>
        <v>41379.31034</v>
      </c>
      <c r="C24" s="724">
        <f>Summary!S31+Summary!S49</f>
        <v>52556.21866</v>
      </c>
      <c r="D24" s="719">
        <f t="shared" si="2"/>
        <v>52556.21866</v>
      </c>
      <c r="E24" s="726">
        <f t="shared" si="3"/>
        <v>0.2701086176</v>
      </c>
      <c r="F24" s="727">
        <f t="shared" si="4"/>
        <v>11176.90832</v>
      </c>
      <c r="G24" s="751"/>
      <c r="H24" s="756"/>
      <c r="I24" s="756"/>
    </row>
    <row r="25">
      <c r="A25" s="723">
        <v>19.0</v>
      </c>
      <c r="B25" s="717">
        <f t="shared" si="1"/>
        <v>41379.31034</v>
      </c>
      <c r="C25" s="747">
        <f>Summary!T31+Summary!T49</f>
        <v>49017.23569</v>
      </c>
      <c r="D25" s="719">
        <f t="shared" si="2"/>
        <v>49017.23569</v>
      </c>
      <c r="E25" s="726">
        <f t="shared" si="3"/>
        <v>0.1845831959</v>
      </c>
      <c r="F25" s="727">
        <f t="shared" si="4"/>
        <v>7637.925348</v>
      </c>
      <c r="G25" s="751"/>
      <c r="H25" s="757"/>
      <c r="I25" s="755"/>
    </row>
    <row r="26">
      <c r="A26" s="723">
        <v>20.0</v>
      </c>
      <c r="B26" s="724">
        <f t="shared" si="1"/>
        <v>41379.31034</v>
      </c>
      <c r="C26" s="724">
        <f>Summary!U31+Summary!U49</f>
        <v>52652.73046</v>
      </c>
      <c r="D26" s="719">
        <f t="shared" si="2"/>
        <v>52652.73046</v>
      </c>
      <c r="E26" s="726">
        <f t="shared" si="3"/>
        <v>0.2724409861</v>
      </c>
      <c r="F26" s="727">
        <f t="shared" si="4"/>
        <v>11273.42011</v>
      </c>
      <c r="G26" s="758"/>
      <c r="H26" s="756"/>
      <c r="I26" s="755"/>
    </row>
    <row r="27">
      <c r="A27" s="723">
        <v>21.0</v>
      </c>
      <c r="B27" s="717">
        <f t="shared" si="1"/>
        <v>41379.31034</v>
      </c>
      <c r="C27" s="747">
        <f>Summary!V31+Summary!V49</f>
        <v>44169.76564</v>
      </c>
      <c r="D27" s="719">
        <f t="shared" si="2"/>
        <v>44169.76564</v>
      </c>
      <c r="E27" s="726">
        <f t="shared" si="3"/>
        <v>0.06743600292</v>
      </c>
      <c r="F27" s="727">
        <f t="shared" si="4"/>
        <v>2790.455293</v>
      </c>
      <c r="G27" s="758"/>
      <c r="H27" s="756"/>
      <c r="I27" s="755"/>
    </row>
    <row r="28">
      <c r="A28" s="723">
        <v>22.0</v>
      </c>
      <c r="B28" s="724">
        <f t="shared" si="1"/>
        <v>41379.31034</v>
      </c>
      <c r="C28" s="724">
        <f>Summary!W31+Summary!W49</f>
        <v>51000.52448</v>
      </c>
      <c r="D28" s="719">
        <f t="shared" si="2"/>
        <v>51000.52448</v>
      </c>
      <c r="E28" s="726">
        <f t="shared" si="3"/>
        <v>0.232512675</v>
      </c>
      <c r="F28" s="727">
        <f t="shared" si="4"/>
        <v>9621.214138</v>
      </c>
      <c r="G28" s="751"/>
      <c r="H28" s="759"/>
      <c r="I28" s="755"/>
    </row>
    <row r="29">
      <c r="A29" s="723">
        <v>23.0</v>
      </c>
      <c r="B29" s="717">
        <f t="shared" si="1"/>
        <v>41379.31034</v>
      </c>
      <c r="C29" s="747">
        <f>Summary!X31+Summary!X49</f>
        <v>35070.11511</v>
      </c>
      <c r="D29" s="719">
        <f t="shared" si="2"/>
        <v>35070.11511</v>
      </c>
      <c r="E29" s="726">
        <f t="shared" si="3"/>
        <v>-0.1524722181</v>
      </c>
      <c r="F29" s="727">
        <f t="shared" si="4"/>
        <v>-6309.195231</v>
      </c>
      <c r="G29" s="758"/>
      <c r="H29" s="754"/>
      <c r="I29" s="755"/>
    </row>
    <row r="30">
      <c r="A30" s="723">
        <v>24.0</v>
      </c>
      <c r="B30" s="724">
        <f t="shared" si="1"/>
        <v>41379.31034</v>
      </c>
      <c r="C30" s="724">
        <f>Summary!Y31+Summary!Y49</f>
        <v>39886.47464</v>
      </c>
      <c r="D30" s="719">
        <f t="shared" si="2"/>
        <v>39886.47464</v>
      </c>
      <c r="E30" s="726">
        <f t="shared" si="3"/>
        <v>-0.03607686282</v>
      </c>
      <c r="F30" s="727">
        <f t="shared" si="4"/>
        <v>-1492.835703</v>
      </c>
    </row>
    <row r="31">
      <c r="A31" s="723">
        <v>25.0</v>
      </c>
      <c r="B31" s="717">
        <f t="shared" si="1"/>
        <v>41379.31034</v>
      </c>
      <c r="C31" s="747">
        <f>Summary!Z31+Summary!Z49</f>
        <v>42437.51059</v>
      </c>
      <c r="D31" s="719">
        <f t="shared" si="2"/>
        <v>42437.51059</v>
      </c>
      <c r="E31" s="726">
        <f t="shared" si="3"/>
        <v>0.02557317264</v>
      </c>
      <c r="F31" s="727">
        <f t="shared" si="4"/>
        <v>1058.200247</v>
      </c>
    </row>
    <row r="32">
      <c r="A32" s="723">
        <v>26.0</v>
      </c>
      <c r="B32" s="724">
        <f t="shared" si="1"/>
        <v>41379.31034</v>
      </c>
      <c r="C32" s="724">
        <f>Summary!AA31+Summary!AA49</f>
        <v>46128.00106</v>
      </c>
      <c r="D32" s="719">
        <f t="shared" si="2"/>
        <v>46128.00106</v>
      </c>
      <c r="E32" s="726">
        <f t="shared" si="3"/>
        <v>0.1147600256</v>
      </c>
      <c r="F32" s="727">
        <f t="shared" si="4"/>
        <v>4748.690715</v>
      </c>
    </row>
    <row r="33">
      <c r="A33" s="723">
        <v>27.0</v>
      </c>
      <c r="B33" s="717">
        <f t="shared" si="1"/>
        <v>41379.31034</v>
      </c>
      <c r="C33" s="747">
        <f>Summary!AB31+Summary!AB49</f>
        <v>47454.00721</v>
      </c>
      <c r="D33" s="719">
        <f t="shared" si="2"/>
        <v>47454.00721</v>
      </c>
      <c r="E33" s="726">
        <f t="shared" si="3"/>
        <v>0.1468051742</v>
      </c>
      <c r="F33" s="727">
        <f t="shared" si="4"/>
        <v>6074.696865</v>
      </c>
    </row>
    <row r="34">
      <c r="A34" s="723">
        <v>28.0</v>
      </c>
      <c r="B34" s="724">
        <f t="shared" si="1"/>
        <v>41379.31034</v>
      </c>
      <c r="C34" s="724">
        <f>Summary!AC31+Summary!AC49</f>
        <v>43078.52178</v>
      </c>
      <c r="D34" s="719">
        <f t="shared" si="2"/>
        <v>43078.52178</v>
      </c>
      <c r="E34" s="726">
        <f t="shared" si="3"/>
        <v>0.0410642763</v>
      </c>
      <c r="F34" s="727">
        <f t="shared" si="4"/>
        <v>1699.211433</v>
      </c>
    </row>
    <row r="35">
      <c r="A35" s="760">
        <v>29.0</v>
      </c>
      <c r="B35" s="717">
        <f t="shared" si="1"/>
        <v>41379.31034</v>
      </c>
      <c r="C35" s="747">
        <f>Summary!AD31+Summary!AD49</f>
        <v>39015.74382</v>
      </c>
      <c r="D35" s="719">
        <f t="shared" si="2"/>
        <v>39015.74382</v>
      </c>
      <c r="E35" s="726">
        <f t="shared" si="3"/>
        <v>-0.05711952437</v>
      </c>
      <c r="F35" s="727">
        <f t="shared" si="4"/>
        <v>-2363.566526</v>
      </c>
    </row>
    <row r="36">
      <c r="A36" s="761" t="s">
        <v>1081</v>
      </c>
      <c r="B36" s="762">
        <f>H13</f>
        <v>1200000</v>
      </c>
      <c r="C36" s="762">
        <f>sum(C7:C35)</f>
        <v>2151978.552</v>
      </c>
      <c r="D36" s="763">
        <f t="shared" si="2"/>
        <v>2151978.552</v>
      </c>
      <c r="E36" s="764">
        <f t="shared" si="3"/>
        <v>0.7933154598</v>
      </c>
      <c r="F36" s="762">
        <f t="shared" si="4"/>
        <v>951978.5517</v>
      </c>
    </row>
    <row r="38">
      <c r="A38" s="691" t="s">
        <v>1039</v>
      </c>
      <c r="B38" s="692">
        <v>45293.0</v>
      </c>
      <c r="C38" s="693"/>
      <c r="D38" s="691" t="s">
        <v>1040</v>
      </c>
      <c r="E38" s="691" t="s">
        <v>1041</v>
      </c>
      <c r="F38" s="693"/>
    </row>
    <row r="39">
      <c r="A39" s="696" t="s">
        <v>1044</v>
      </c>
      <c r="B39" s="697">
        <v>29.0</v>
      </c>
      <c r="C39" s="698" t="s">
        <v>1082</v>
      </c>
      <c r="D39" s="650"/>
      <c r="E39" s="650"/>
      <c r="F39" s="648"/>
    </row>
    <row r="40">
      <c r="A40" s="696" t="s">
        <v>1048</v>
      </c>
      <c r="B40" s="703">
        <f>COUNT(Summary!B52:AD52)</f>
        <v>29</v>
      </c>
      <c r="C40" s="704"/>
      <c r="D40" s="705"/>
      <c r="E40" s="705"/>
      <c r="F40" s="706"/>
    </row>
    <row r="41">
      <c r="A41" s="709"/>
      <c r="B41" s="710" t="s">
        <v>1051</v>
      </c>
      <c r="C41" s="556"/>
      <c r="D41" s="710" t="s">
        <v>1052</v>
      </c>
      <c r="E41" s="711"/>
      <c r="F41" s="556"/>
    </row>
    <row r="42">
      <c r="A42" s="712" t="s">
        <v>1055</v>
      </c>
      <c r="B42" s="712" t="s">
        <v>1083</v>
      </c>
      <c r="C42" s="713" t="s">
        <v>1048</v>
      </c>
      <c r="D42" s="712" t="s">
        <v>1052</v>
      </c>
      <c r="E42" s="712" t="s">
        <v>1057</v>
      </c>
      <c r="F42" s="712" t="s">
        <v>1058</v>
      </c>
    </row>
    <row r="43">
      <c r="A43" s="716">
        <v>1.0</v>
      </c>
      <c r="B43" s="718">
        <f t="shared" ref="B43:B71" si="8">$B$72/$B$39</f>
        <v>12068.96552</v>
      </c>
      <c r="C43" s="718">
        <f>Summary!B88+Summary!B94</f>
        <v>9788.768722</v>
      </c>
      <c r="D43" s="719">
        <f t="shared" ref="D43:D72" si="9">C43/$B$4*$B$3</f>
        <v>9788.768722</v>
      </c>
      <c r="E43" s="720">
        <f t="shared" ref="E43:E72" si="10">D43/B43-1</f>
        <v>-0.1889305916</v>
      </c>
      <c r="F43" s="721">
        <f t="shared" ref="F43:F72" si="11">D43-B43</f>
        <v>-2280.196795</v>
      </c>
    </row>
    <row r="44">
      <c r="A44" s="723">
        <v>2.0</v>
      </c>
      <c r="B44" s="725">
        <f t="shared" si="8"/>
        <v>12068.96552</v>
      </c>
      <c r="C44" s="725">
        <f>Summary!C88+Summary!C94</f>
        <v>11390.88341</v>
      </c>
      <c r="D44" s="719">
        <f t="shared" si="9"/>
        <v>11390.88341</v>
      </c>
      <c r="E44" s="726">
        <f t="shared" si="10"/>
        <v>-0.05618394643</v>
      </c>
      <c r="F44" s="727">
        <f t="shared" si="11"/>
        <v>-678.082112</v>
      </c>
    </row>
    <row r="45">
      <c r="A45" s="723">
        <v>3.0</v>
      </c>
      <c r="B45" s="718">
        <f t="shared" si="8"/>
        <v>12068.96552</v>
      </c>
      <c r="C45" s="730">
        <f>Summary!D88+Summary!D94</f>
        <v>13601.86246</v>
      </c>
      <c r="D45" s="719">
        <f t="shared" si="9"/>
        <v>13601.86246</v>
      </c>
      <c r="E45" s="726">
        <f t="shared" si="10"/>
        <v>0.1270114613</v>
      </c>
      <c r="F45" s="727">
        <f t="shared" si="11"/>
        <v>1532.896946</v>
      </c>
    </row>
    <row r="46">
      <c r="A46" s="723">
        <v>4.0</v>
      </c>
      <c r="B46" s="725">
        <f t="shared" si="8"/>
        <v>12068.96552</v>
      </c>
      <c r="C46" s="725">
        <f>Summary!E88+Summary!E94</f>
        <v>14955.57314</v>
      </c>
      <c r="D46" s="719">
        <f t="shared" si="9"/>
        <v>14955.57314</v>
      </c>
      <c r="E46" s="726">
        <f t="shared" si="10"/>
        <v>0.2391760603</v>
      </c>
      <c r="F46" s="727">
        <f t="shared" si="11"/>
        <v>2886.607624</v>
      </c>
    </row>
    <row r="47">
      <c r="A47" s="723">
        <v>5.0</v>
      </c>
      <c r="B47" s="718">
        <f t="shared" si="8"/>
        <v>12068.96552</v>
      </c>
      <c r="C47" s="730">
        <f>Summary!F88+Summary!F94</f>
        <v>15772.39014</v>
      </c>
      <c r="D47" s="719">
        <f t="shared" si="9"/>
        <v>15772.39014</v>
      </c>
      <c r="E47" s="726">
        <f t="shared" si="10"/>
        <v>0.3068551831</v>
      </c>
      <c r="F47" s="727">
        <f t="shared" si="11"/>
        <v>3703.424624</v>
      </c>
    </row>
    <row r="48">
      <c r="A48" s="723">
        <v>6.0</v>
      </c>
      <c r="B48" s="725">
        <f t="shared" si="8"/>
        <v>12068.96552</v>
      </c>
      <c r="C48" s="725">
        <f>Summary!G88+Summary!G94</f>
        <v>17210.29557</v>
      </c>
      <c r="D48" s="719">
        <f t="shared" si="9"/>
        <v>17210.29557</v>
      </c>
      <c r="E48" s="726">
        <f t="shared" si="10"/>
        <v>0.4259959189</v>
      </c>
      <c r="F48" s="727">
        <f t="shared" si="11"/>
        <v>5141.330056</v>
      </c>
    </row>
    <row r="49">
      <c r="A49" s="723">
        <v>7.0</v>
      </c>
      <c r="B49" s="718">
        <f t="shared" si="8"/>
        <v>12068.96552</v>
      </c>
      <c r="C49" s="730">
        <f>Summary!H88+Summary!H94</f>
        <v>16473.29085</v>
      </c>
      <c r="D49" s="719">
        <f t="shared" si="9"/>
        <v>16473.29085</v>
      </c>
      <c r="E49" s="726">
        <f t="shared" si="10"/>
        <v>0.3649298131</v>
      </c>
      <c r="F49" s="727">
        <f t="shared" si="11"/>
        <v>4404.32533</v>
      </c>
    </row>
    <row r="50">
      <c r="A50" s="723">
        <v>8.0</v>
      </c>
      <c r="B50" s="725">
        <f t="shared" si="8"/>
        <v>12068.96552</v>
      </c>
      <c r="C50" s="725">
        <f>Summary!I88+Summary!I94</f>
        <v>13645.15207</v>
      </c>
      <c r="D50" s="719">
        <f t="shared" si="9"/>
        <v>13645.15207</v>
      </c>
      <c r="E50" s="726">
        <f t="shared" si="10"/>
        <v>0.1305983147</v>
      </c>
      <c r="F50" s="727">
        <f t="shared" si="11"/>
        <v>1576.186556</v>
      </c>
    </row>
    <row r="51">
      <c r="A51" s="723">
        <v>9.0</v>
      </c>
      <c r="B51" s="718">
        <f t="shared" si="8"/>
        <v>12068.96552</v>
      </c>
      <c r="C51" s="730">
        <f>Summary!J88+Summary!J94</f>
        <v>9096.019219</v>
      </c>
      <c r="D51" s="719">
        <f t="shared" si="9"/>
        <v>9096.019219</v>
      </c>
      <c r="E51" s="726">
        <f t="shared" si="10"/>
        <v>-0.2463298361</v>
      </c>
      <c r="F51" s="727">
        <f t="shared" si="11"/>
        <v>-2972.946298</v>
      </c>
    </row>
    <row r="52">
      <c r="A52" s="723">
        <v>10.0</v>
      </c>
      <c r="B52" s="725">
        <f t="shared" si="8"/>
        <v>12068.96552</v>
      </c>
      <c r="C52" s="725">
        <f>Summary!K88+Summary!K94</f>
        <v>9202.328158</v>
      </c>
      <c r="D52" s="719">
        <f t="shared" si="9"/>
        <v>9202.328158</v>
      </c>
      <c r="E52" s="726">
        <f t="shared" si="10"/>
        <v>-0.2375213812</v>
      </c>
      <c r="F52" s="727">
        <f t="shared" si="11"/>
        <v>-2866.637359</v>
      </c>
    </row>
    <row r="53">
      <c r="A53" s="723">
        <v>11.0</v>
      </c>
      <c r="B53" s="718">
        <f t="shared" si="8"/>
        <v>12068.96552</v>
      </c>
      <c r="C53" s="730">
        <f>Summary!L88+Summary!L94</f>
        <v>8278.625624</v>
      </c>
      <c r="D53" s="719">
        <f t="shared" si="9"/>
        <v>8278.625624</v>
      </c>
      <c r="E53" s="726">
        <f t="shared" si="10"/>
        <v>-0.314056734</v>
      </c>
      <c r="F53" s="727">
        <f t="shared" si="11"/>
        <v>-3790.339893</v>
      </c>
    </row>
    <row r="54">
      <c r="A54" s="723">
        <v>12.0</v>
      </c>
      <c r="B54" s="725">
        <f t="shared" si="8"/>
        <v>12068.96552</v>
      </c>
      <c r="C54" s="724">
        <f>Summary!M88+Summary!M94</f>
        <v>6860.714185</v>
      </c>
      <c r="D54" s="719">
        <f t="shared" si="9"/>
        <v>6860.714185</v>
      </c>
      <c r="E54" s="726">
        <f t="shared" si="10"/>
        <v>-0.4315408247</v>
      </c>
      <c r="F54" s="727">
        <f t="shared" si="11"/>
        <v>-5208.251332</v>
      </c>
    </row>
    <row r="55">
      <c r="A55" s="723">
        <v>13.0</v>
      </c>
      <c r="B55" s="718">
        <f t="shared" si="8"/>
        <v>12068.96552</v>
      </c>
      <c r="C55" s="747">
        <f>Summary!N88+Summary!N94</f>
        <v>8245.154128</v>
      </c>
      <c r="D55" s="719">
        <f t="shared" si="9"/>
        <v>8245.154128</v>
      </c>
      <c r="E55" s="726">
        <f t="shared" si="10"/>
        <v>-0.3168300865</v>
      </c>
      <c r="F55" s="727">
        <f t="shared" si="11"/>
        <v>-3823.811389</v>
      </c>
    </row>
    <row r="56">
      <c r="A56" s="723">
        <v>14.0</v>
      </c>
      <c r="B56" s="725">
        <f t="shared" si="8"/>
        <v>12068.96552</v>
      </c>
      <c r="C56" s="724">
        <f>Summary!O88+Summary!O94</f>
        <v>8899.144812</v>
      </c>
      <c r="D56" s="719">
        <f t="shared" si="9"/>
        <v>8899.144812</v>
      </c>
      <c r="E56" s="726">
        <f t="shared" si="10"/>
        <v>-0.262642287</v>
      </c>
      <c r="F56" s="727">
        <f t="shared" si="11"/>
        <v>-3169.820705</v>
      </c>
    </row>
    <row r="57">
      <c r="A57" s="723">
        <v>15.0</v>
      </c>
      <c r="B57" s="718">
        <f t="shared" si="8"/>
        <v>12068.96552</v>
      </c>
      <c r="C57" s="747">
        <f>Summary!P88+Summary!P94</f>
        <v>9312.24557</v>
      </c>
      <c r="D57" s="719">
        <f t="shared" si="9"/>
        <v>9312.24557</v>
      </c>
      <c r="E57" s="726">
        <f t="shared" si="10"/>
        <v>-0.2284139385</v>
      </c>
      <c r="F57" s="727">
        <f t="shared" si="11"/>
        <v>-2756.719947</v>
      </c>
    </row>
    <row r="58">
      <c r="A58" s="723">
        <v>16.0</v>
      </c>
      <c r="B58" s="725">
        <f t="shared" si="8"/>
        <v>12068.96552</v>
      </c>
      <c r="C58" s="724">
        <f>Summary!Q88+Summary!Q94</f>
        <v>6875.926157</v>
      </c>
      <c r="D58" s="719">
        <f t="shared" si="9"/>
        <v>6875.926157</v>
      </c>
      <c r="E58" s="726">
        <f t="shared" si="10"/>
        <v>-0.4302804041</v>
      </c>
      <c r="F58" s="727">
        <f t="shared" si="11"/>
        <v>-5193.03936</v>
      </c>
    </row>
    <row r="59">
      <c r="A59" s="723">
        <v>17.0</v>
      </c>
      <c r="B59" s="718">
        <f t="shared" si="8"/>
        <v>12068.96552</v>
      </c>
      <c r="C59" s="747">
        <f>Summary!R88+Summary!R94</f>
        <v>6060.36584</v>
      </c>
      <c r="D59" s="719">
        <f t="shared" si="9"/>
        <v>6060.36584</v>
      </c>
      <c r="E59" s="726">
        <f t="shared" si="10"/>
        <v>-0.4978554018</v>
      </c>
      <c r="F59" s="727">
        <f t="shared" si="11"/>
        <v>-6008.599677</v>
      </c>
    </row>
    <row r="60">
      <c r="A60" s="723">
        <v>18.0</v>
      </c>
      <c r="B60" s="725">
        <f t="shared" si="8"/>
        <v>12068.96552</v>
      </c>
      <c r="C60" s="724">
        <f>Summary!S88+Summary!S94</f>
        <v>6643.373956</v>
      </c>
      <c r="D60" s="719">
        <f t="shared" si="9"/>
        <v>6643.373956</v>
      </c>
      <c r="E60" s="726">
        <f t="shared" si="10"/>
        <v>-0.4495490151</v>
      </c>
      <c r="F60" s="727">
        <f t="shared" si="11"/>
        <v>-5425.591561</v>
      </c>
    </row>
    <row r="61">
      <c r="A61" s="723">
        <v>19.0</v>
      </c>
      <c r="B61" s="718">
        <f t="shared" si="8"/>
        <v>12068.96552</v>
      </c>
      <c r="C61" s="747">
        <f>Summary!T88+Summary!T94</f>
        <v>6547.086964</v>
      </c>
      <c r="D61" s="719">
        <f t="shared" si="9"/>
        <v>6547.086964</v>
      </c>
      <c r="E61" s="726">
        <f t="shared" si="10"/>
        <v>-0.4575270801</v>
      </c>
      <c r="F61" s="727">
        <f t="shared" si="11"/>
        <v>-5521.878553</v>
      </c>
    </row>
    <row r="62">
      <c r="A62" s="723">
        <v>20.0</v>
      </c>
      <c r="B62" s="725">
        <f t="shared" si="8"/>
        <v>12068.96552</v>
      </c>
      <c r="C62" s="724">
        <f>Summary!U88+Summary!U94</f>
        <v>6412.48256</v>
      </c>
      <c r="D62" s="719">
        <f t="shared" si="9"/>
        <v>6412.48256</v>
      </c>
      <c r="E62" s="726">
        <f t="shared" si="10"/>
        <v>-0.4686800165</v>
      </c>
      <c r="F62" s="727">
        <f t="shared" si="11"/>
        <v>-5656.482957</v>
      </c>
    </row>
    <row r="63">
      <c r="A63" s="723">
        <v>21.0</v>
      </c>
      <c r="B63" s="718">
        <f t="shared" si="8"/>
        <v>12068.96552</v>
      </c>
      <c r="C63" s="747">
        <f>Summary!V88+Summary!V94</f>
        <v>5720.53205</v>
      </c>
      <c r="D63" s="719">
        <f t="shared" si="9"/>
        <v>5720.53205</v>
      </c>
      <c r="E63" s="726">
        <f t="shared" si="10"/>
        <v>-0.5260130587</v>
      </c>
      <c r="F63" s="727">
        <f t="shared" si="11"/>
        <v>-6348.433467</v>
      </c>
    </row>
    <row r="64">
      <c r="A64" s="723">
        <v>22.0</v>
      </c>
      <c r="B64" s="725">
        <f t="shared" si="8"/>
        <v>12068.96552</v>
      </c>
      <c r="C64" s="724">
        <f>Summary!W88+Summary!W94</f>
        <v>6203.75865</v>
      </c>
      <c r="D64" s="719">
        <f t="shared" si="9"/>
        <v>6203.75865</v>
      </c>
      <c r="E64" s="726">
        <f t="shared" si="10"/>
        <v>-0.4859742833</v>
      </c>
      <c r="F64" s="727">
        <f t="shared" si="11"/>
        <v>-5865.206867</v>
      </c>
    </row>
    <row r="65">
      <c r="A65" s="723">
        <v>23.0</v>
      </c>
      <c r="B65" s="718">
        <f t="shared" si="8"/>
        <v>12068.96552</v>
      </c>
      <c r="C65" s="747">
        <f>Summary!X88+Summary!X94</f>
        <v>6694.06389</v>
      </c>
      <c r="D65" s="719">
        <f t="shared" si="9"/>
        <v>6694.06389</v>
      </c>
      <c r="E65" s="726">
        <f t="shared" si="10"/>
        <v>-0.445348992</v>
      </c>
      <c r="F65" s="727">
        <f t="shared" si="11"/>
        <v>-5374.901627</v>
      </c>
    </row>
    <row r="66">
      <c r="A66" s="723">
        <v>24.0</v>
      </c>
      <c r="B66" s="725">
        <f t="shared" si="8"/>
        <v>12068.96552</v>
      </c>
      <c r="C66" s="724">
        <f>Summary!Y88+Summary!Y94</f>
        <v>7326.45874</v>
      </c>
      <c r="D66" s="719">
        <f t="shared" si="9"/>
        <v>7326.45874</v>
      </c>
      <c r="E66" s="726">
        <f t="shared" si="10"/>
        <v>-0.3929505615</v>
      </c>
      <c r="F66" s="727">
        <f t="shared" si="11"/>
        <v>-4742.506777</v>
      </c>
    </row>
    <row r="67">
      <c r="A67" s="723">
        <v>25.0</v>
      </c>
      <c r="B67" s="718">
        <f t="shared" si="8"/>
        <v>12068.96552</v>
      </c>
      <c r="C67" s="747">
        <f>Summary!Z88+Summary!Z94</f>
        <v>8293.660606</v>
      </c>
      <c r="D67" s="719">
        <f t="shared" si="9"/>
        <v>8293.660606</v>
      </c>
      <c r="E67" s="726">
        <f t="shared" si="10"/>
        <v>-0.3128109784</v>
      </c>
      <c r="F67" s="727">
        <f t="shared" si="11"/>
        <v>-3775.304911</v>
      </c>
    </row>
    <row r="68">
      <c r="A68" s="723">
        <v>26.0</v>
      </c>
      <c r="B68" s="725">
        <f t="shared" si="8"/>
        <v>12068.96552</v>
      </c>
      <c r="C68" s="724">
        <f>Summary!AA88+Summary!AA94</f>
        <v>7214.196607</v>
      </c>
      <c r="D68" s="719">
        <f t="shared" si="9"/>
        <v>7214.196607</v>
      </c>
      <c r="E68" s="726">
        <f t="shared" si="10"/>
        <v>-0.4022522811</v>
      </c>
      <c r="F68" s="727">
        <f t="shared" si="11"/>
        <v>-4854.76891</v>
      </c>
    </row>
    <row r="69">
      <c r="A69" s="723">
        <v>27.0</v>
      </c>
      <c r="B69" s="718">
        <f t="shared" si="8"/>
        <v>12068.96552</v>
      </c>
      <c r="C69" s="747">
        <f>Summary!AB88+Summary!AB94</f>
        <v>7523.291572</v>
      </c>
      <c r="D69" s="719">
        <f t="shared" si="9"/>
        <v>7523.291572</v>
      </c>
      <c r="E69" s="726">
        <f t="shared" si="10"/>
        <v>-0.3766415555</v>
      </c>
      <c r="F69" s="727">
        <f t="shared" si="11"/>
        <v>-4545.673946</v>
      </c>
    </row>
    <row r="70">
      <c r="A70" s="723">
        <v>28.0</v>
      </c>
      <c r="B70" s="725">
        <f t="shared" si="8"/>
        <v>12068.96552</v>
      </c>
      <c r="C70" s="724">
        <f>Summary!AC88+Summary!AC94</f>
        <v>6644.974903</v>
      </c>
      <c r="D70" s="719">
        <f t="shared" si="9"/>
        <v>6644.974903</v>
      </c>
      <c r="E70" s="726">
        <f t="shared" si="10"/>
        <v>-0.4494163652</v>
      </c>
      <c r="F70" s="727">
        <f t="shared" si="11"/>
        <v>-5423.990614</v>
      </c>
    </row>
    <row r="71">
      <c r="A71" s="760">
        <v>29.0</v>
      </c>
      <c r="B71" s="718">
        <f t="shared" si="8"/>
        <v>12068.96552</v>
      </c>
      <c r="C71" s="747">
        <f>Summary!AD88+Summary!AD94</f>
        <v>6980.017649</v>
      </c>
      <c r="D71" s="719">
        <f t="shared" si="9"/>
        <v>6980.017649</v>
      </c>
      <c r="E71" s="726">
        <f t="shared" si="10"/>
        <v>-0.4216556805</v>
      </c>
      <c r="F71" s="727">
        <f t="shared" si="11"/>
        <v>-5088.947868</v>
      </c>
    </row>
    <row r="72">
      <c r="A72" s="761" t="s">
        <v>1081</v>
      </c>
      <c r="B72" s="762">
        <f>H15</f>
        <v>350000</v>
      </c>
      <c r="C72" s="762">
        <f>sum(C43:C71)</f>
        <v>267872.6382</v>
      </c>
      <c r="D72" s="762">
        <f t="shared" si="9"/>
        <v>267872.6382</v>
      </c>
      <c r="E72" s="765">
        <f t="shared" si="10"/>
        <v>-0.2346496051</v>
      </c>
      <c r="F72" s="766">
        <f t="shared" si="11"/>
        <v>-82127.36179</v>
      </c>
    </row>
    <row r="74">
      <c r="A74" s="691" t="s">
        <v>1039</v>
      </c>
      <c r="B74" s="692">
        <v>45293.0</v>
      </c>
      <c r="C74" s="693"/>
      <c r="D74" s="691" t="s">
        <v>1040</v>
      </c>
      <c r="E74" s="691" t="s">
        <v>1041</v>
      </c>
      <c r="F74" s="693"/>
    </row>
    <row r="75">
      <c r="A75" s="696" t="s">
        <v>1044</v>
      </c>
      <c r="B75" s="697">
        <v>29.0</v>
      </c>
      <c r="C75" s="698" t="s">
        <v>1084</v>
      </c>
      <c r="D75" s="650"/>
      <c r="E75" s="650"/>
      <c r="F75" s="648"/>
    </row>
    <row r="76">
      <c r="A76" s="696" t="s">
        <v>1048</v>
      </c>
      <c r="B76" s="703">
        <f>COUNT(C79:C106)</f>
        <v>26</v>
      </c>
      <c r="C76" s="704"/>
      <c r="D76" s="705"/>
      <c r="E76" s="705"/>
      <c r="F76" s="706"/>
    </row>
    <row r="77">
      <c r="A77" s="709"/>
      <c r="B77" s="710" t="s">
        <v>1051</v>
      </c>
      <c r="C77" s="556"/>
      <c r="D77" s="710" t="s">
        <v>1052</v>
      </c>
      <c r="E77" s="711"/>
      <c r="F77" s="556"/>
      <c r="H77" s="767"/>
      <c r="I77" s="767"/>
      <c r="J77" s="767"/>
    </row>
    <row r="78">
      <c r="A78" s="712" t="s">
        <v>1055</v>
      </c>
      <c r="B78" s="712" t="s">
        <v>1085</v>
      </c>
      <c r="C78" s="713" t="s">
        <v>1048</v>
      </c>
      <c r="D78" s="712" t="s">
        <v>1052</v>
      </c>
      <c r="E78" s="712" t="s">
        <v>1057</v>
      </c>
      <c r="F78" s="712" t="s">
        <v>1058</v>
      </c>
      <c r="H78" s="767"/>
      <c r="I78" s="767"/>
      <c r="J78" s="767"/>
    </row>
    <row r="79">
      <c r="A79" s="716">
        <v>1.0</v>
      </c>
      <c r="B79" s="768">
        <f t="shared" ref="B79:B107" si="12">$B$108/$B$75</f>
        <v>10344.82759</v>
      </c>
      <c r="C79" s="769">
        <v>7805.0</v>
      </c>
      <c r="D79" s="770">
        <f t="shared" ref="D79:D108" si="13">C79/$B$4*$B$3</f>
        <v>7805</v>
      </c>
      <c r="E79" s="720">
        <f t="shared" ref="E79:E108" si="14">D79/B79-1</f>
        <v>-0.2455166667</v>
      </c>
      <c r="F79" s="771">
        <f t="shared" ref="F79:F108" si="15">D79-B79</f>
        <v>-2539.827586</v>
      </c>
      <c r="H79" s="767"/>
      <c r="I79" s="767"/>
      <c r="J79" s="767"/>
    </row>
    <row r="80">
      <c r="A80" s="723">
        <v>2.0</v>
      </c>
      <c r="B80" s="772">
        <f t="shared" si="12"/>
        <v>10344.82759</v>
      </c>
      <c r="C80" s="769">
        <v>9042.0</v>
      </c>
      <c r="D80" s="770">
        <f t="shared" si="13"/>
        <v>9042</v>
      </c>
      <c r="E80" s="726">
        <f t="shared" si="14"/>
        <v>-0.12594</v>
      </c>
      <c r="F80" s="773">
        <f t="shared" si="15"/>
        <v>-1302.827586</v>
      </c>
      <c r="H80" s="767"/>
      <c r="I80" s="767"/>
      <c r="J80" s="767"/>
    </row>
    <row r="81">
      <c r="A81" s="723">
        <v>3.0</v>
      </c>
      <c r="B81" s="768">
        <f t="shared" si="12"/>
        <v>10344.82759</v>
      </c>
      <c r="C81" s="769">
        <v>8914.0</v>
      </c>
      <c r="D81" s="770">
        <f t="shared" si="13"/>
        <v>8914</v>
      </c>
      <c r="E81" s="726">
        <f t="shared" si="14"/>
        <v>-0.1383133333</v>
      </c>
      <c r="F81" s="773">
        <f t="shared" si="15"/>
        <v>-1430.827586</v>
      </c>
      <c r="H81" s="767"/>
      <c r="I81" s="774"/>
      <c r="J81" s="767"/>
    </row>
    <row r="82">
      <c r="A82" s="723">
        <v>4.0</v>
      </c>
      <c r="B82" s="772">
        <f t="shared" si="12"/>
        <v>10344.82759</v>
      </c>
      <c r="C82" s="769">
        <v>8905.0</v>
      </c>
      <c r="D82" s="770">
        <f t="shared" si="13"/>
        <v>8905</v>
      </c>
      <c r="E82" s="726">
        <f t="shared" si="14"/>
        <v>-0.1391833333</v>
      </c>
      <c r="F82" s="773">
        <f t="shared" si="15"/>
        <v>-1439.827586</v>
      </c>
      <c r="H82" s="767"/>
      <c r="I82" s="767"/>
      <c r="J82" s="767"/>
    </row>
    <row r="83">
      <c r="A83" s="723">
        <v>5.0</v>
      </c>
      <c r="B83" s="768">
        <f t="shared" si="12"/>
        <v>10344.82759</v>
      </c>
      <c r="C83" s="769">
        <v>10176.0</v>
      </c>
      <c r="D83" s="770">
        <f t="shared" si="13"/>
        <v>10176</v>
      </c>
      <c r="E83" s="726">
        <f t="shared" si="14"/>
        <v>-0.01632</v>
      </c>
      <c r="F83" s="773">
        <f t="shared" si="15"/>
        <v>-168.8275862</v>
      </c>
      <c r="H83" s="767"/>
      <c r="I83" s="767"/>
      <c r="J83" s="767"/>
    </row>
    <row r="84">
      <c r="A84" s="723">
        <v>6.0</v>
      </c>
      <c r="B84" s="772">
        <f t="shared" si="12"/>
        <v>10344.82759</v>
      </c>
      <c r="C84" s="769">
        <v>10266.0</v>
      </c>
      <c r="D84" s="770">
        <f t="shared" si="13"/>
        <v>10266</v>
      </c>
      <c r="E84" s="726">
        <f t="shared" si="14"/>
        <v>-0.00762</v>
      </c>
      <c r="F84" s="773">
        <f t="shared" si="15"/>
        <v>-78.82758621</v>
      </c>
      <c r="I84" s="767"/>
      <c r="J84" s="767"/>
    </row>
    <row r="85">
      <c r="A85" s="723">
        <v>7.0</v>
      </c>
      <c r="B85" s="768">
        <f t="shared" si="12"/>
        <v>10344.82759</v>
      </c>
      <c r="C85" s="769">
        <v>8809.0</v>
      </c>
      <c r="D85" s="770">
        <f t="shared" si="13"/>
        <v>8809</v>
      </c>
      <c r="E85" s="726">
        <f t="shared" si="14"/>
        <v>-0.1484633333</v>
      </c>
      <c r="F85" s="773">
        <f t="shared" si="15"/>
        <v>-1535.827586</v>
      </c>
      <c r="I85" s="767"/>
      <c r="J85" s="767"/>
    </row>
    <row r="86">
      <c r="A86" s="723">
        <v>8.0</v>
      </c>
      <c r="B86" s="772">
        <f t="shared" si="12"/>
        <v>10344.82759</v>
      </c>
      <c r="C86" s="769">
        <v>10764.0</v>
      </c>
      <c r="D86" s="770">
        <f t="shared" si="13"/>
        <v>10764</v>
      </c>
      <c r="E86" s="726">
        <f t="shared" si="14"/>
        <v>0.04052</v>
      </c>
      <c r="F86" s="773">
        <f t="shared" si="15"/>
        <v>419.1724138</v>
      </c>
      <c r="I86" s="767"/>
      <c r="J86" s="767"/>
    </row>
    <row r="87">
      <c r="A87" s="723">
        <v>9.0</v>
      </c>
      <c r="B87" s="768">
        <f t="shared" si="12"/>
        <v>10344.82759</v>
      </c>
      <c r="C87" s="769">
        <v>10676.0</v>
      </c>
      <c r="D87" s="770">
        <f t="shared" si="13"/>
        <v>10676</v>
      </c>
      <c r="E87" s="726">
        <f t="shared" si="14"/>
        <v>0.03201333333</v>
      </c>
      <c r="F87" s="773">
        <f t="shared" si="15"/>
        <v>331.1724138</v>
      </c>
      <c r="I87" s="767"/>
      <c r="J87" s="767"/>
    </row>
    <row r="88">
      <c r="A88" s="723">
        <v>10.0</v>
      </c>
      <c r="B88" s="772">
        <f t="shared" si="12"/>
        <v>10344.82759</v>
      </c>
      <c r="C88" s="769">
        <v>9889.0</v>
      </c>
      <c r="D88" s="770">
        <f t="shared" si="13"/>
        <v>9889</v>
      </c>
      <c r="E88" s="726">
        <f t="shared" si="14"/>
        <v>-0.04406333333</v>
      </c>
      <c r="F88" s="773">
        <f t="shared" si="15"/>
        <v>-455.8275862</v>
      </c>
      <c r="I88" s="767"/>
      <c r="J88" s="767"/>
    </row>
    <row r="89">
      <c r="A89" s="723">
        <v>11.0</v>
      </c>
      <c r="B89" s="768">
        <f t="shared" si="12"/>
        <v>10344.82759</v>
      </c>
      <c r="C89" s="769">
        <v>9278.0</v>
      </c>
      <c r="D89" s="770">
        <f t="shared" si="13"/>
        <v>9278</v>
      </c>
      <c r="E89" s="726">
        <f t="shared" si="14"/>
        <v>-0.1031266667</v>
      </c>
      <c r="F89" s="773">
        <f t="shared" si="15"/>
        <v>-1066.827586</v>
      </c>
      <c r="I89" s="767"/>
      <c r="J89" s="767"/>
    </row>
    <row r="90">
      <c r="A90" s="723">
        <v>12.0</v>
      </c>
      <c r="B90" s="772">
        <f t="shared" si="12"/>
        <v>10344.82759</v>
      </c>
      <c r="C90" s="769">
        <v>8337.0</v>
      </c>
      <c r="D90" s="770">
        <f t="shared" si="13"/>
        <v>8337</v>
      </c>
      <c r="E90" s="726">
        <f t="shared" si="14"/>
        <v>-0.19409</v>
      </c>
      <c r="F90" s="773">
        <f t="shared" si="15"/>
        <v>-2007.827586</v>
      </c>
      <c r="I90" s="767"/>
      <c r="J90" s="767"/>
    </row>
    <row r="91">
      <c r="A91" s="723">
        <v>13.0</v>
      </c>
      <c r="B91" s="768">
        <f t="shared" si="12"/>
        <v>10344.82759</v>
      </c>
      <c r="C91" s="769">
        <v>11177.0</v>
      </c>
      <c r="D91" s="770">
        <f t="shared" si="13"/>
        <v>11177</v>
      </c>
      <c r="E91" s="726">
        <f t="shared" si="14"/>
        <v>0.08044333333</v>
      </c>
      <c r="F91" s="773">
        <f t="shared" si="15"/>
        <v>832.1724138</v>
      </c>
      <c r="I91" s="767"/>
      <c r="J91" s="767"/>
    </row>
    <row r="92">
      <c r="A92" s="723">
        <v>14.0</v>
      </c>
      <c r="B92" s="772">
        <f t="shared" si="12"/>
        <v>10344.82759</v>
      </c>
      <c r="C92" s="769">
        <v>9412.0</v>
      </c>
      <c r="D92" s="770">
        <f t="shared" si="13"/>
        <v>9412</v>
      </c>
      <c r="E92" s="726">
        <f t="shared" si="14"/>
        <v>-0.09017333333</v>
      </c>
      <c r="F92" s="773">
        <f t="shared" si="15"/>
        <v>-932.8275862</v>
      </c>
      <c r="I92" s="775"/>
      <c r="J92" s="767"/>
    </row>
    <row r="93">
      <c r="A93" s="723">
        <v>15.0</v>
      </c>
      <c r="B93" s="768">
        <f t="shared" si="12"/>
        <v>10344.82759</v>
      </c>
      <c r="C93" s="769">
        <v>7159.0</v>
      </c>
      <c r="D93" s="770">
        <f t="shared" si="13"/>
        <v>7159</v>
      </c>
      <c r="E93" s="726">
        <f t="shared" si="14"/>
        <v>-0.3079633333</v>
      </c>
      <c r="F93" s="773">
        <f t="shared" si="15"/>
        <v>-3185.827586</v>
      </c>
      <c r="I93" s="767"/>
      <c r="J93" s="767"/>
    </row>
    <row r="94">
      <c r="A94" s="723">
        <v>16.0</v>
      </c>
      <c r="B94" s="772">
        <f t="shared" si="12"/>
        <v>10344.82759</v>
      </c>
      <c r="C94" s="769">
        <v>14038.0</v>
      </c>
      <c r="D94" s="770">
        <f t="shared" si="13"/>
        <v>14038</v>
      </c>
      <c r="E94" s="726">
        <f t="shared" si="14"/>
        <v>0.3570066667</v>
      </c>
      <c r="F94" s="773">
        <f t="shared" si="15"/>
        <v>3693.172414</v>
      </c>
      <c r="I94" s="767"/>
      <c r="J94" s="767"/>
    </row>
    <row r="95">
      <c r="A95" s="723">
        <v>17.0</v>
      </c>
      <c r="B95" s="768">
        <f t="shared" si="12"/>
        <v>10344.82759</v>
      </c>
      <c r="C95" s="769">
        <v>15117.0</v>
      </c>
      <c r="D95" s="770">
        <f t="shared" si="13"/>
        <v>15117</v>
      </c>
      <c r="E95" s="726">
        <f t="shared" si="14"/>
        <v>0.46131</v>
      </c>
      <c r="F95" s="773">
        <f t="shared" si="15"/>
        <v>4772.172414</v>
      </c>
      <c r="I95" s="767"/>
      <c r="J95" s="767"/>
    </row>
    <row r="96">
      <c r="A96" s="723">
        <v>18.0</v>
      </c>
      <c r="B96" s="772">
        <f t="shared" si="12"/>
        <v>10344.82759</v>
      </c>
      <c r="C96" s="769">
        <v>19152.0</v>
      </c>
      <c r="D96" s="770">
        <f t="shared" si="13"/>
        <v>19152</v>
      </c>
      <c r="E96" s="726">
        <f t="shared" si="14"/>
        <v>0.85136</v>
      </c>
      <c r="F96" s="773">
        <f t="shared" si="15"/>
        <v>8807.172414</v>
      </c>
    </row>
    <row r="97">
      <c r="A97" s="723">
        <v>19.0</v>
      </c>
      <c r="B97" s="768">
        <f t="shared" si="12"/>
        <v>10344.82759</v>
      </c>
      <c r="C97" s="769">
        <v>17647.0</v>
      </c>
      <c r="D97" s="770">
        <f t="shared" si="13"/>
        <v>17647</v>
      </c>
      <c r="E97" s="726">
        <f t="shared" si="14"/>
        <v>0.7058766667</v>
      </c>
      <c r="F97" s="773">
        <f t="shared" si="15"/>
        <v>7302.172414</v>
      </c>
    </row>
    <row r="98">
      <c r="A98" s="723">
        <v>20.0</v>
      </c>
      <c r="B98" s="772">
        <f t="shared" si="12"/>
        <v>10344.82759</v>
      </c>
      <c r="C98" s="769">
        <v>14980.0</v>
      </c>
      <c r="D98" s="770">
        <f t="shared" si="13"/>
        <v>14980</v>
      </c>
      <c r="E98" s="726">
        <f t="shared" si="14"/>
        <v>0.4480666667</v>
      </c>
      <c r="F98" s="773">
        <f t="shared" si="15"/>
        <v>4635.172414</v>
      </c>
    </row>
    <row r="99">
      <c r="A99" s="723">
        <v>21.0</v>
      </c>
      <c r="B99" s="768">
        <f t="shared" si="12"/>
        <v>10344.82759</v>
      </c>
      <c r="C99" s="769">
        <v>14266.0</v>
      </c>
      <c r="D99" s="770">
        <f t="shared" si="13"/>
        <v>14266</v>
      </c>
      <c r="E99" s="726">
        <f t="shared" si="14"/>
        <v>0.3790466667</v>
      </c>
      <c r="F99" s="773">
        <f t="shared" si="15"/>
        <v>3921.172414</v>
      </c>
    </row>
    <row r="100">
      <c r="A100" s="723">
        <v>22.0</v>
      </c>
      <c r="B100" s="772">
        <f t="shared" si="12"/>
        <v>10344.82759</v>
      </c>
      <c r="C100" s="769">
        <v>20320.0</v>
      </c>
      <c r="D100" s="770">
        <f t="shared" si="13"/>
        <v>20320</v>
      </c>
      <c r="E100" s="726">
        <f t="shared" si="14"/>
        <v>0.9642666667</v>
      </c>
      <c r="F100" s="773">
        <f t="shared" si="15"/>
        <v>9975.172414</v>
      </c>
    </row>
    <row r="101">
      <c r="A101" s="723">
        <v>23.0</v>
      </c>
      <c r="B101" s="768">
        <f t="shared" si="12"/>
        <v>10344.82759</v>
      </c>
      <c r="C101" s="769">
        <v>33459.0</v>
      </c>
      <c r="D101" s="770">
        <f t="shared" si="13"/>
        <v>33459</v>
      </c>
      <c r="E101" s="726">
        <f t="shared" si="14"/>
        <v>2.23437</v>
      </c>
      <c r="F101" s="773">
        <f t="shared" si="15"/>
        <v>23114.17241</v>
      </c>
    </row>
    <row r="102">
      <c r="A102" s="723">
        <v>24.0</v>
      </c>
      <c r="B102" s="772">
        <f t="shared" si="12"/>
        <v>10344.82759</v>
      </c>
      <c r="C102" s="769">
        <v>28559.0</v>
      </c>
      <c r="D102" s="770">
        <f t="shared" si="13"/>
        <v>28559</v>
      </c>
      <c r="E102" s="726">
        <f t="shared" si="14"/>
        <v>1.760703333</v>
      </c>
      <c r="F102" s="773">
        <f t="shared" si="15"/>
        <v>18214.17241</v>
      </c>
    </row>
    <row r="103">
      <c r="A103" s="723">
        <v>25.0</v>
      </c>
      <c r="B103" s="768">
        <f t="shared" si="12"/>
        <v>10344.82759</v>
      </c>
      <c r="C103" s="769">
        <v>20694.0</v>
      </c>
      <c r="D103" s="770">
        <f t="shared" si="13"/>
        <v>20694</v>
      </c>
      <c r="E103" s="726">
        <f t="shared" si="14"/>
        <v>1.00042</v>
      </c>
      <c r="F103" s="773">
        <f t="shared" si="15"/>
        <v>10349.17241</v>
      </c>
    </row>
    <row r="104">
      <c r="A104" s="723">
        <v>26.0</v>
      </c>
      <c r="B104" s="772">
        <f t="shared" si="12"/>
        <v>10344.82759</v>
      </c>
      <c r="C104" s="769">
        <v>17906.0</v>
      </c>
      <c r="D104" s="770">
        <f t="shared" si="13"/>
        <v>17906</v>
      </c>
      <c r="E104" s="726">
        <f t="shared" si="14"/>
        <v>0.7309133333</v>
      </c>
      <c r="F104" s="773">
        <f t="shared" si="15"/>
        <v>7561.172414</v>
      </c>
      <c r="I104" s="776"/>
    </row>
    <row r="105">
      <c r="A105" s="723">
        <v>27.0</v>
      </c>
      <c r="B105" s="768">
        <f t="shared" si="12"/>
        <v>10344.82759</v>
      </c>
      <c r="C105" s="777"/>
      <c r="D105" s="770">
        <f t="shared" si="13"/>
        <v>0</v>
      </c>
      <c r="E105" s="726">
        <f t="shared" si="14"/>
        <v>-1</v>
      </c>
      <c r="F105" s="773">
        <f t="shared" si="15"/>
        <v>-10344.82759</v>
      </c>
    </row>
    <row r="106">
      <c r="A106" s="723">
        <v>28.0</v>
      </c>
      <c r="B106" s="772">
        <f t="shared" si="12"/>
        <v>10344.82759</v>
      </c>
      <c r="C106" s="777"/>
      <c r="D106" s="770">
        <f t="shared" si="13"/>
        <v>0</v>
      </c>
      <c r="E106" s="726">
        <f t="shared" si="14"/>
        <v>-1</v>
      </c>
      <c r="F106" s="773">
        <f t="shared" si="15"/>
        <v>-10344.82759</v>
      </c>
    </row>
    <row r="107">
      <c r="A107" s="760">
        <v>29.0</v>
      </c>
      <c r="B107" s="768">
        <f t="shared" si="12"/>
        <v>10344.82759</v>
      </c>
      <c r="C107" s="778"/>
      <c r="D107" s="770">
        <f t="shared" si="13"/>
        <v>0</v>
      </c>
      <c r="E107" s="726">
        <f t="shared" si="14"/>
        <v>-1</v>
      </c>
      <c r="F107" s="773">
        <f t="shared" si="15"/>
        <v>-10344.82759</v>
      </c>
    </row>
    <row r="108">
      <c r="A108" s="761" t="s">
        <v>1081</v>
      </c>
      <c r="B108" s="779">
        <f>H20</f>
        <v>300000</v>
      </c>
      <c r="C108" s="779">
        <f>sum(C79:C107)</f>
        <v>356747</v>
      </c>
      <c r="D108" s="779">
        <f t="shared" si="13"/>
        <v>356747</v>
      </c>
      <c r="E108" s="764">
        <f t="shared" si="14"/>
        <v>0.1891566667</v>
      </c>
      <c r="F108" s="779">
        <f t="shared" si="15"/>
        <v>56747</v>
      </c>
    </row>
    <row r="113">
      <c r="A113" s="4" t="s">
        <v>1086</v>
      </c>
      <c r="B113" s="4" t="s">
        <v>1087</v>
      </c>
      <c r="C113" s="4" t="s">
        <v>1088</v>
      </c>
    </row>
    <row r="114">
      <c r="A114" s="780">
        <v>45323.0</v>
      </c>
      <c r="B114" s="781">
        <v>7805.0</v>
      </c>
      <c r="C114" s="781">
        <v>6602.0</v>
      </c>
    </row>
    <row r="115">
      <c r="A115" s="780">
        <v>45324.0</v>
      </c>
      <c r="B115" s="781">
        <v>9042.0</v>
      </c>
      <c r="C115" s="781">
        <v>7908.0</v>
      </c>
    </row>
    <row r="116">
      <c r="A116" s="780">
        <v>45325.0</v>
      </c>
      <c r="B116" s="781">
        <v>8914.0</v>
      </c>
      <c r="C116" s="781">
        <v>7406.0</v>
      </c>
    </row>
    <row r="117">
      <c r="A117" s="780">
        <v>45326.0</v>
      </c>
      <c r="B117" s="781">
        <v>8905.0</v>
      </c>
      <c r="C117" s="781">
        <v>7418.0</v>
      </c>
    </row>
    <row r="118">
      <c r="A118" s="780">
        <v>45327.0</v>
      </c>
      <c r="B118" s="781">
        <v>10176.0</v>
      </c>
      <c r="C118" s="781">
        <v>8644.0</v>
      </c>
    </row>
    <row r="119">
      <c r="A119" s="780">
        <v>45328.0</v>
      </c>
      <c r="B119" s="781">
        <v>10266.0</v>
      </c>
      <c r="C119" s="781">
        <v>8874.0</v>
      </c>
    </row>
    <row r="120">
      <c r="A120" s="780">
        <v>45329.0</v>
      </c>
      <c r="B120" s="781">
        <v>8809.0</v>
      </c>
      <c r="C120" s="781">
        <v>7535.0</v>
      </c>
    </row>
    <row r="121">
      <c r="A121" s="780">
        <v>45330.0</v>
      </c>
      <c r="B121" s="781">
        <v>10764.0</v>
      </c>
      <c r="C121" s="781">
        <v>9475.0</v>
      </c>
    </row>
    <row r="122">
      <c r="A122" s="780">
        <v>45331.0</v>
      </c>
      <c r="B122" s="781">
        <v>10676.0</v>
      </c>
      <c r="C122" s="781">
        <v>9391.0</v>
      </c>
    </row>
    <row r="123">
      <c r="A123" s="780">
        <v>45332.0</v>
      </c>
      <c r="B123" s="781">
        <v>9889.0</v>
      </c>
      <c r="C123" s="781">
        <v>8363.0</v>
      </c>
    </row>
    <row r="124">
      <c r="A124" s="780">
        <v>45333.0</v>
      </c>
      <c r="B124" s="781">
        <v>9278.0</v>
      </c>
      <c r="C124" s="781">
        <v>7913.0</v>
      </c>
    </row>
    <row r="125">
      <c r="A125" s="780">
        <v>45334.0</v>
      </c>
      <c r="B125" s="781">
        <v>8337.0</v>
      </c>
      <c r="C125" s="781">
        <v>7296.0</v>
      </c>
    </row>
    <row r="126">
      <c r="A126" s="780">
        <v>45335.0</v>
      </c>
      <c r="B126" s="781">
        <v>11177.0</v>
      </c>
      <c r="C126" s="781">
        <v>9794.0</v>
      </c>
    </row>
    <row r="127">
      <c r="A127" s="780">
        <v>45336.0</v>
      </c>
      <c r="B127" s="781">
        <v>9412.0</v>
      </c>
      <c r="C127" s="781">
        <v>7821.0</v>
      </c>
    </row>
    <row r="128">
      <c r="A128" s="780">
        <v>45337.0</v>
      </c>
      <c r="B128" s="781">
        <v>7159.0</v>
      </c>
      <c r="C128" s="781">
        <v>5939.0</v>
      </c>
    </row>
    <row r="129">
      <c r="A129" s="780">
        <v>45338.0</v>
      </c>
      <c r="B129" s="781">
        <v>14038.0</v>
      </c>
      <c r="C129" s="781">
        <v>12273.0</v>
      </c>
    </row>
    <row r="130">
      <c r="A130" s="780">
        <v>45339.0</v>
      </c>
      <c r="B130" s="781">
        <v>15117.0</v>
      </c>
      <c r="C130" s="781">
        <v>12898.0</v>
      </c>
    </row>
    <row r="131">
      <c r="A131" s="780">
        <v>45340.0</v>
      </c>
      <c r="B131" s="781">
        <v>19152.0</v>
      </c>
      <c r="C131" s="781">
        <v>17352.0</v>
      </c>
    </row>
    <row r="132">
      <c r="A132" s="780">
        <v>45341.0</v>
      </c>
      <c r="B132" s="781">
        <v>17647.0</v>
      </c>
      <c r="C132" s="781">
        <v>15512.0</v>
      </c>
    </row>
    <row r="133">
      <c r="A133" s="780">
        <v>45342.0</v>
      </c>
      <c r="B133" s="781">
        <v>14980.0</v>
      </c>
      <c r="C133" s="781">
        <v>13047.0</v>
      </c>
    </row>
    <row r="134">
      <c r="A134" s="780">
        <v>45343.0</v>
      </c>
      <c r="B134" s="781">
        <v>14266.0</v>
      </c>
      <c r="C134" s="781">
        <v>12256.0</v>
      </c>
    </row>
    <row r="135">
      <c r="A135" s="780">
        <v>45344.0</v>
      </c>
      <c r="B135" s="781">
        <v>20320.0</v>
      </c>
      <c r="C135" s="781">
        <v>17393.0</v>
      </c>
    </row>
    <row r="136">
      <c r="A136" s="780">
        <v>45345.0</v>
      </c>
      <c r="B136" s="781">
        <v>33459.0</v>
      </c>
      <c r="C136" s="781">
        <v>28253.0</v>
      </c>
    </row>
    <row r="137">
      <c r="A137" s="780">
        <v>45346.0</v>
      </c>
      <c r="B137" s="781">
        <v>28559.0</v>
      </c>
      <c r="C137" s="781">
        <v>22086.0</v>
      </c>
    </row>
    <row r="138">
      <c r="A138" s="780">
        <v>45347.0</v>
      </c>
      <c r="B138" s="781">
        <v>20694.0</v>
      </c>
      <c r="C138" s="781">
        <v>16745.0</v>
      </c>
    </row>
    <row r="139">
      <c r="A139" s="780">
        <v>45348.0</v>
      </c>
      <c r="B139" s="781">
        <v>26675.0</v>
      </c>
      <c r="C139" s="781">
        <v>20744.0</v>
      </c>
    </row>
    <row r="140">
      <c r="A140" s="780">
        <v>45349.0</v>
      </c>
      <c r="B140" s="781">
        <v>20358.0</v>
      </c>
      <c r="C140" s="781">
        <v>16005.0</v>
      </c>
    </row>
    <row r="141">
      <c r="A141" s="780">
        <v>45350.0</v>
      </c>
      <c r="B141" s="781">
        <v>4190.0</v>
      </c>
      <c r="C141" s="781">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3" priority="19" operator="greaterThan">
      <formula>"0%"</formula>
    </cfRule>
  </conditionalFormatting>
  <conditionalFormatting sqref="F72 F108">
    <cfRule type="cellIs" dxfId="3"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782" t="s">
        <v>1089</v>
      </c>
      <c r="B1" s="78">
        <v>45323.0</v>
      </c>
      <c r="C1" s="78">
        <v>45324.0</v>
      </c>
      <c r="D1" s="78">
        <v>45325.0</v>
      </c>
      <c r="E1" s="78">
        <v>45326.0</v>
      </c>
      <c r="F1" s="78">
        <v>45327.0</v>
      </c>
      <c r="G1" s="78">
        <v>45328.0</v>
      </c>
      <c r="H1" s="78">
        <v>45329.0</v>
      </c>
      <c r="I1" s="78">
        <v>45330.0</v>
      </c>
      <c r="J1" s="78">
        <v>45331.0</v>
      </c>
      <c r="K1" s="78">
        <v>45332.0</v>
      </c>
      <c r="L1" s="78">
        <v>45333.0</v>
      </c>
      <c r="M1" s="78">
        <v>45334.0</v>
      </c>
      <c r="N1" s="78">
        <v>45335.0</v>
      </c>
      <c r="O1" s="78">
        <v>45336.0</v>
      </c>
      <c r="P1" s="78">
        <v>45337.0</v>
      </c>
      <c r="Q1" s="78">
        <v>45338.0</v>
      </c>
      <c r="R1" s="78">
        <v>45339.0</v>
      </c>
      <c r="S1" s="78">
        <v>45340.0</v>
      </c>
      <c r="T1" s="78">
        <v>45341.0</v>
      </c>
      <c r="U1" s="78">
        <v>45342.0</v>
      </c>
      <c r="V1" s="78">
        <v>45343.0</v>
      </c>
      <c r="W1" s="78">
        <v>45344.0</v>
      </c>
      <c r="X1" s="78">
        <v>45345.0</v>
      </c>
      <c r="Y1" s="78">
        <v>45346.0</v>
      </c>
      <c r="Z1" s="78">
        <v>45347.0</v>
      </c>
      <c r="AA1" s="78">
        <v>45348.0</v>
      </c>
      <c r="AB1" s="78">
        <v>45349.0</v>
      </c>
      <c r="AC1" s="78">
        <v>45350.0</v>
      </c>
      <c r="AD1" s="78">
        <v>45351.0</v>
      </c>
      <c r="AE1" s="298"/>
    </row>
    <row r="2">
      <c r="A2" s="80" t="s">
        <v>105</v>
      </c>
      <c r="B2" s="81" t="s">
        <v>1</v>
      </c>
      <c r="C2" s="81" t="s">
        <v>2</v>
      </c>
      <c r="D2" s="81" t="s">
        <v>3</v>
      </c>
      <c r="E2" s="81" t="s">
        <v>4</v>
      </c>
      <c r="F2" s="81" t="s">
        <v>5</v>
      </c>
      <c r="G2" s="81" t="s">
        <v>6</v>
      </c>
      <c r="H2" s="81" t="s">
        <v>0</v>
      </c>
      <c r="I2" s="81" t="s">
        <v>1</v>
      </c>
      <c r="J2" s="81" t="s">
        <v>2</v>
      </c>
      <c r="K2" s="81" t="s">
        <v>3</v>
      </c>
      <c r="L2" s="81" t="s">
        <v>4</v>
      </c>
      <c r="M2" s="81" t="s">
        <v>5</v>
      </c>
      <c r="N2" s="81" t="s">
        <v>6</v>
      </c>
      <c r="O2" s="81" t="s">
        <v>0</v>
      </c>
      <c r="P2" s="81" t="s">
        <v>1</v>
      </c>
      <c r="Q2" s="81" t="s">
        <v>2</v>
      </c>
      <c r="R2" s="81" t="s">
        <v>3</v>
      </c>
      <c r="S2" s="81" t="s">
        <v>4</v>
      </c>
      <c r="T2" s="81" t="s">
        <v>5</v>
      </c>
      <c r="U2" s="81" t="s">
        <v>6</v>
      </c>
      <c r="V2" s="81" t="s">
        <v>0</v>
      </c>
      <c r="W2" s="81" t="s">
        <v>1</v>
      </c>
      <c r="X2" s="81" t="s">
        <v>2</v>
      </c>
      <c r="Y2" s="81" t="s">
        <v>3</v>
      </c>
      <c r="Z2" s="81" t="s">
        <v>4</v>
      </c>
      <c r="AA2" s="81" t="s">
        <v>5</v>
      </c>
      <c r="AB2" s="81" t="s">
        <v>6</v>
      </c>
      <c r="AC2" s="81" t="s">
        <v>0</v>
      </c>
      <c r="AD2" s="81" t="s">
        <v>1</v>
      </c>
      <c r="AE2" s="298"/>
    </row>
    <row r="3" ht="29.25" customHeight="1">
      <c r="A3" s="412" t="s">
        <v>1090</v>
      </c>
      <c r="B3" s="146"/>
      <c r="C3" s="146"/>
      <c r="D3" s="146"/>
      <c r="E3" s="146"/>
      <c r="F3" s="146"/>
      <c r="G3" s="146"/>
      <c r="H3" s="146"/>
      <c r="I3" s="146"/>
      <c r="J3" s="146"/>
      <c r="K3" s="146"/>
      <c r="L3" s="146"/>
      <c r="M3" s="146"/>
      <c r="N3" s="146"/>
      <c r="O3" s="146"/>
      <c r="P3" s="146"/>
      <c r="Q3" s="146"/>
      <c r="R3" s="146"/>
      <c r="S3" s="146"/>
      <c r="T3" s="146"/>
      <c r="U3" s="146"/>
      <c r="V3" s="146"/>
      <c r="W3" s="146"/>
      <c r="X3" s="146"/>
      <c r="Y3" s="146"/>
      <c r="Z3" s="146"/>
      <c r="AA3" s="146"/>
      <c r="AB3" s="146"/>
      <c r="AC3" s="146"/>
      <c r="AD3" s="146"/>
      <c r="AE3" s="312"/>
    </row>
    <row r="4" collapsed="1">
      <c r="A4" s="133" t="s">
        <v>89</v>
      </c>
      <c r="B4" s="134">
        <f>Summary!B34</f>
        <v>38400.3906</v>
      </c>
      <c r="C4" s="134">
        <f>Summary!C35</f>
        <v>5382</v>
      </c>
      <c r="D4" s="134">
        <f>Summary!D35</f>
        <v>7176</v>
      </c>
      <c r="E4" s="134">
        <f>Summary!E35</f>
        <v>10764</v>
      </c>
      <c r="F4" s="134">
        <f>Summary!F35</f>
        <v>0</v>
      </c>
      <c r="G4" s="134">
        <f>Summary!G35</f>
        <v>2093</v>
      </c>
      <c r="H4" s="134">
        <f>Summary!H35</f>
        <v>3289</v>
      </c>
      <c r="I4" s="134">
        <f>Summary!I35</f>
        <v>1196</v>
      </c>
      <c r="J4" s="134">
        <f>Summary!J35</f>
        <v>5681</v>
      </c>
      <c r="K4" s="134">
        <f>Summary!K35</f>
        <v>5681</v>
      </c>
      <c r="L4" s="134">
        <f>Summary!L35</f>
        <v>7176</v>
      </c>
      <c r="M4" s="134">
        <f>Summary!M35</f>
        <v>0</v>
      </c>
      <c r="N4" s="134">
        <f>Summary!N35</f>
        <v>3588</v>
      </c>
      <c r="O4" s="134">
        <f>Summary!O35</f>
        <v>598</v>
      </c>
      <c r="P4" s="134">
        <f>Summary!P35</f>
        <v>1495</v>
      </c>
      <c r="Q4" s="134">
        <f>Summary!Q35</f>
        <v>897</v>
      </c>
      <c r="R4" s="134">
        <f>Summary!R35</f>
        <v>1495</v>
      </c>
      <c r="S4" s="134">
        <f>Summary!S35</f>
        <v>1196</v>
      </c>
      <c r="T4" s="134">
        <f>Summary!T35</f>
        <v>0</v>
      </c>
      <c r="U4" s="134">
        <f>Summary!U35</f>
        <v>0</v>
      </c>
      <c r="V4" s="134">
        <f>Summary!V34</f>
        <v>317.3586</v>
      </c>
      <c r="W4" s="134">
        <f>Summary!W34</f>
        <v>952.0758</v>
      </c>
      <c r="X4" s="134">
        <f>Summary!X34</f>
        <v>1269.4344</v>
      </c>
      <c r="Y4" s="134">
        <f>Summary!Y34</f>
        <v>1586.793</v>
      </c>
      <c r="Z4" s="134">
        <f>Summary!Z34</f>
        <v>2221.5102</v>
      </c>
      <c r="AA4" s="134">
        <f>Summary!AA34</f>
        <v>0</v>
      </c>
      <c r="AB4" s="134">
        <f>Summary!AB34</f>
        <v>317.3586</v>
      </c>
      <c r="AC4" s="134">
        <f>Summary!AC34</f>
        <v>952.0758</v>
      </c>
      <c r="AD4" s="134">
        <f>Summary!AD34</f>
        <v>3490.9446</v>
      </c>
      <c r="AE4" s="309">
        <f>sum(B4:AD4)</f>
        <v>107214.9416</v>
      </c>
    </row>
    <row r="5" hidden="1" outlineLevel="1">
      <c r="A5" s="783" t="s">
        <v>121</v>
      </c>
      <c r="B5" s="415"/>
      <c r="C5" s="415"/>
      <c r="D5" s="415"/>
      <c r="E5" s="415"/>
      <c r="F5" s="415"/>
      <c r="G5" s="415"/>
      <c r="H5" s="415"/>
      <c r="I5" s="415"/>
      <c r="J5" s="415"/>
      <c r="K5" s="415"/>
      <c r="L5" s="415"/>
      <c r="M5" s="415"/>
      <c r="N5" s="415"/>
      <c r="O5" s="415"/>
      <c r="P5" s="415"/>
      <c r="Q5" s="415"/>
      <c r="R5" s="415"/>
      <c r="S5" s="415"/>
      <c r="T5" s="415"/>
      <c r="U5" s="415"/>
      <c r="V5" s="415"/>
      <c r="W5" s="415"/>
      <c r="X5" s="415"/>
      <c r="Y5" s="415"/>
      <c r="Z5" s="415"/>
      <c r="AA5" s="415"/>
      <c r="AB5" s="415"/>
      <c r="AC5" s="415"/>
      <c r="AD5" s="415"/>
      <c r="AE5" s="784"/>
    </row>
    <row r="6" hidden="1" outlineLevel="1">
      <c r="A6" s="785" t="s">
        <v>41</v>
      </c>
      <c r="B6" s="134">
        <f>Summary!B36</f>
        <v>2221.3906</v>
      </c>
      <c r="C6" s="134">
        <f>Summary!C36</f>
        <v>330.4548</v>
      </c>
      <c r="D6" s="134">
        <f>Summary!D36</f>
        <v>440.6064</v>
      </c>
      <c r="E6" s="134">
        <f>Summary!E36</f>
        <v>660.9096</v>
      </c>
      <c r="F6" s="134">
        <f>Summary!F36</f>
        <v>0</v>
      </c>
      <c r="G6" s="134">
        <f>Summary!G36</f>
        <v>128.5102</v>
      </c>
      <c r="H6" s="134">
        <f>Summary!H36</f>
        <v>201.9446</v>
      </c>
      <c r="I6" s="134">
        <f>Summary!I36</f>
        <v>73.4344</v>
      </c>
      <c r="J6" s="134">
        <f>Summary!J36</f>
        <v>348.8134</v>
      </c>
      <c r="K6" s="134">
        <f>Summary!K36</f>
        <v>348.8134</v>
      </c>
      <c r="L6" s="134">
        <f>Summary!L36</f>
        <v>440.6064</v>
      </c>
      <c r="M6" s="134">
        <f>Summary!M36</f>
        <v>0</v>
      </c>
      <c r="N6" s="134">
        <f>Summary!N36</f>
        <v>220.3032</v>
      </c>
      <c r="O6" s="134">
        <f>Summary!O36</f>
        <v>36.7172</v>
      </c>
      <c r="P6" s="134">
        <f>Summary!P36</f>
        <v>91.793</v>
      </c>
      <c r="Q6" s="134">
        <f>Summary!Q36</f>
        <v>55.0758</v>
      </c>
      <c r="R6" s="134">
        <f>Summary!R36</f>
        <v>91.793</v>
      </c>
      <c r="S6" s="134">
        <f>Summary!S36</f>
        <v>73.4344</v>
      </c>
      <c r="T6" s="134">
        <f>Summary!T36</f>
        <v>0</v>
      </c>
      <c r="U6" s="134">
        <f>Summary!U36</f>
        <v>0</v>
      </c>
      <c r="V6" s="134">
        <f>Summary!V36</f>
        <v>18.3586</v>
      </c>
      <c r="W6" s="134">
        <f>Summary!W36</f>
        <v>55.0758</v>
      </c>
      <c r="X6" s="134">
        <f>Summary!X36</f>
        <v>73.4344</v>
      </c>
      <c r="Y6" s="134">
        <f>Summary!Y36</f>
        <v>91.793</v>
      </c>
      <c r="Z6" s="134">
        <f>Summary!Z36</f>
        <v>128.5102</v>
      </c>
      <c r="AA6" s="134">
        <f>Summary!AA36</f>
        <v>0</v>
      </c>
      <c r="AB6" s="134">
        <f>Summary!AB36</f>
        <v>18.3586</v>
      </c>
      <c r="AC6" s="134">
        <f>Summary!AC36</f>
        <v>55.0758</v>
      </c>
      <c r="AD6" s="134">
        <f>Summary!AD36</f>
        <v>201.9446</v>
      </c>
      <c r="AE6" s="312">
        <f t="shared" ref="AE6:AE8" si="1">sum(B6:AD6)</f>
        <v>6407.1514</v>
      </c>
    </row>
    <row r="7" hidden="1" outlineLevel="1">
      <c r="A7" s="785" t="s">
        <v>640</v>
      </c>
      <c r="B7" s="134" t="str">
        <f>Summary!B37</f>
        <v/>
      </c>
      <c r="C7" s="134" t="str">
        <f>Summary!C37</f>
        <v/>
      </c>
      <c r="D7" s="134" t="str">
        <f>Summary!D37</f>
        <v/>
      </c>
      <c r="E7" s="134" t="str">
        <f>Summary!E37</f>
        <v/>
      </c>
      <c r="F7" s="134" t="str">
        <f>Summary!F37</f>
        <v/>
      </c>
      <c r="G7" s="134" t="str">
        <f>Summary!G37</f>
        <v/>
      </c>
      <c r="H7" s="134" t="str">
        <f>Summary!H37</f>
        <v/>
      </c>
      <c r="I7" s="134" t="str">
        <f>Summary!I37</f>
        <v/>
      </c>
      <c r="J7" s="134" t="str">
        <f>Summary!J37</f>
        <v/>
      </c>
      <c r="K7" s="134" t="str">
        <f>Summary!K37</f>
        <v/>
      </c>
      <c r="L7" s="134" t="str">
        <f>Summary!L37</f>
        <v/>
      </c>
      <c r="M7" s="134" t="str">
        <f>Summary!M37</f>
        <v/>
      </c>
      <c r="N7" s="134" t="str">
        <f>Summary!N37</f>
        <v/>
      </c>
      <c r="O7" s="134" t="str">
        <f>Summary!O37</f>
        <v/>
      </c>
      <c r="P7" s="134" t="str">
        <f>Summary!P37</f>
        <v/>
      </c>
      <c r="Q7" s="134" t="str">
        <f>Summary!Q37</f>
        <v/>
      </c>
      <c r="R7" s="134" t="str">
        <f>Summary!R37</f>
        <v/>
      </c>
      <c r="S7" s="134" t="str">
        <f>Summary!S37</f>
        <v/>
      </c>
      <c r="T7" s="134" t="str">
        <f>Summary!T37</f>
        <v/>
      </c>
      <c r="U7" s="134" t="str">
        <f>Summary!U37</f>
        <v/>
      </c>
      <c r="V7" s="134" t="str">
        <f>Summary!V37</f>
        <v/>
      </c>
      <c r="W7" s="134" t="str">
        <f>Summary!W37</f>
        <v/>
      </c>
      <c r="X7" s="134" t="str">
        <f>Summary!X37</f>
        <v/>
      </c>
      <c r="Y7" s="134" t="str">
        <f>Summary!Y37</f>
        <v/>
      </c>
      <c r="Z7" s="134" t="str">
        <f>Summary!Z37</f>
        <v/>
      </c>
      <c r="AA7" s="134" t="str">
        <f>Summary!AA37</f>
        <v/>
      </c>
      <c r="AB7" s="134" t="str">
        <f>Summary!AB37</f>
        <v/>
      </c>
      <c r="AC7" s="134" t="str">
        <f>Summary!AC37</f>
        <v/>
      </c>
      <c r="AD7" s="134" t="str">
        <f>Summary!AD37</f>
        <v/>
      </c>
      <c r="AE7" s="312">
        <f t="shared" si="1"/>
        <v>0</v>
      </c>
    </row>
    <row r="8">
      <c r="A8" s="133" t="s">
        <v>96</v>
      </c>
      <c r="B8" s="141">
        <f>Summary!B67</f>
        <v>121</v>
      </c>
      <c r="C8" s="141">
        <f>Summary!C67</f>
        <v>18</v>
      </c>
      <c r="D8" s="141">
        <f>Summary!D67</f>
        <v>24</v>
      </c>
      <c r="E8" s="141">
        <f>Summary!E67</f>
        <v>36</v>
      </c>
      <c r="F8" s="141">
        <f>Summary!F67</f>
        <v>0</v>
      </c>
      <c r="G8" s="141">
        <f>Summary!G67</f>
        <v>7</v>
      </c>
      <c r="H8" s="141">
        <f>Summary!H67</f>
        <v>11</v>
      </c>
      <c r="I8" s="141">
        <f>Summary!I67</f>
        <v>4</v>
      </c>
      <c r="J8" s="141">
        <f>Summary!J67</f>
        <v>19</v>
      </c>
      <c r="K8" s="141">
        <f>Summary!K67</f>
        <v>19</v>
      </c>
      <c r="L8" s="141">
        <f>Summary!L67</f>
        <v>24</v>
      </c>
      <c r="M8" s="141">
        <f>Summary!M67</f>
        <v>0</v>
      </c>
      <c r="N8" s="141">
        <f>Summary!N67</f>
        <v>12</v>
      </c>
      <c r="O8" s="141">
        <f>Summary!O67</f>
        <v>2</v>
      </c>
      <c r="P8" s="141">
        <f>Summary!P67</f>
        <v>5</v>
      </c>
      <c r="Q8" s="141">
        <f>Summary!Q67</f>
        <v>3</v>
      </c>
      <c r="R8" s="141">
        <f>Summary!R67</f>
        <v>5</v>
      </c>
      <c r="S8" s="141">
        <f>Summary!S67</f>
        <v>4</v>
      </c>
      <c r="T8" s="141">
        <f>Summary!T67</f>
        <v>0</v>
      </c>
      <c r="U8" s="141">
        <f>Summary!U67</f>
        <v>0</v>
      </c>
      <c r="V8" s="141">
        <f>Summary!V67</f>
        <v>1</v>
      </c>
      <c r="W8" s="141">
        <f>Summary!W67</f>
        <v>3</v>
      </c>
      <c r="X8" s="141">
        <f>Summary!X67</f>
        <v>4</v>
      </c>
      <c r="Y8" s="141">
        <f>Summary!Y67</f>
        <v>5</v>
      </c>
      <c r="Z8" s="141">
        <f>Summary!Z67</f>
        <v>7</v>
      </c>
      <c r="AA8" s="141">
        <f>Summary!AA67</f>
        <v>0</v>
      </c>
      <c r="AB8" s="141">
        <f>Summary!AB67</f>
        <v>1</v>
      </c>
      <c r="AC8" s="141">
        <f>Summary!AC67</f>
        <v>3</v>
      </c>
      <c r="AD8" s="141">
        <f>Summary!AD67</f>
        <v>11</v>
      </c>
      <c r="AE8" s="312">
        <f t="shared" si="1"/>
        <v>349</v>
      </c>
    </row>
    <row r="9">
      <c r="A9" s="98"/>
      <c r="B9" s="83"/>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312"/>
    </row>
    <row r="10">
      <c r="A10" s="215" t="s">
        <v>1091</v>
      </c>
      <c r="B10" s="83"/>
      <c r="C10" s="83"/>
      <c r="D10" s="83"/>
      <c r="E10" s="83"/>
      <c r="F10" s="83"/>
      <c r="G10" s="83"/>
      <c r="H10" s="83"/>
      <c r="I10" s="83"/>
      <c r="J10" s="83"/>
      <c r="K10" s="83"/>
      <c r="L10" s="83"/>
      <c r="M10" s="83"/>
      <c r="N10" s="83"/>
      <c r="O10" s="83"/>
      <c r="P10" s="83"/>
      <c r="Q10" s="83"/>
      <c r="R10" s="83"/>
      <c r="S10" s="83"/>
      <c r="T10" s="83"/>
      <c r="U10" s="83"/>
      <c r="V10" s="83"/>
      <c r="W10" s="83"/>
      <c r="X10" s="83"/>
      <c r="Y10" s="83"/>
      <c r="Z10" s="83"/>
      <c r="AA10" s="83"/>
      <c r="AB10" s="83"/>
      <c r="AC10" s="83"/>
      <c r="AD10" s="83"/>
      <c r="AE10" s="312">
        <f>sum(B10:AD10)</f>
        <v>0</v>
      </c>
    </row>
    <row r="11">
      <c r="A11" s="86" t="s">
        <v>1092</v>
      </c>
      <c r="B11" s="83"/>
      <c r="C11" s="83"/>
      <c r="D11" s="83"/>
      <c r="E11" s="83"/>
      <c r="F11" s="83"/>
      <c r="G11" s="83"/>
      <c r="H11" s="83"/>
      <c r="I11" s="83"/>
      <c r="J11" s="83"/>
      <c r="K11" s="83"/>
      <c r="L11" s="83"/>
      <c r="M11" s="83"/>
      <c r="N11" s="83"/>
      <c r="O11" s="83"/>
      <c r="P11" s="83"/>
      <c r="Q11" s="83"/>
      <c r="R11" s="83"/>
      <c r="S11" s="83"/>
      <c r="T11" s="83"/>
      <c r="U11" s="83"/>
      <c r="V11" s="83"/>
      <c r="W11" s="83"/>
      <c r="X11" s="83"/>
      <c r="Y11" s="83"/>
      <c r="Z11" s="83"/>
      <c r="AA11" s="83"/>
      <c r="AB11" s="83"/>
      <c r="AC11" s="83"/>
      <c r="AD11" s="83"/>
      <c r="AE11" s="307"/>
    </row>
    <row r="12">
      <c r="A12" s="138" t="s">
        <v>1093</v>
      </c>
      <c r="B12" s="155"/>
      <c r="C12" s="83"/>
      <c r="D12" s="83"/>
      <c r="E12" s="83"/>
      <c r="F12" s="83"/>
      <c r="G12" s="83"/>
      <c r="H12" s="83"/>
      <c r="I12" s="83"/>
      <c r="J12" s="83"/>
      <c r="K12" s="83"/>
      <c r="L12" s="83"/>
      <c r="M12" s="83"/>
      <c r="N12" s="83"/>
      <c r="O12" s="83"/>
      <c r="P12" s="83"/>
      <c r="Q12" s="83"/>
      <c r="R12" s="83"/>
      <c r="S12" s="83"/>
      <c r="T12" s="83"/>
      <c r="U12" s="83"/>
      <c r="V12" s="83"/>
      <c r="W12" s="83"/>
      <c r="X12" s="83"/>
      <c r="Y12" s="83"/>
      <c r="Z12" s="83"/>
      <c r="AA12" s="83"/>
      <c r="AB12" s="83"/>
      <c r="AC12" s="83"/>
      <c r="AD12" s="83"/>
      <c r="AE12" s="312"/>
    </row>
    <row r="13">
      <c r="A13" s="153" t="s">
        <v>1094</v>
      </c>
      <c r="B13" s="89"/>
      <c r="C13" s="89"/>
      <c r="D13" s="89"/>
      <c r="E13" s="89"/>
      <c r="F13" s="89"/>
      <c r="G13" s="89"/>
      <c r="H13" s="89"/>
      <c r="I13" s="89"/>
      <c r="J13" s="89"/>
      <c r="K13" s="89"/>
      <c r="L13" s="89"/>
      <c r="M13" s="89"/>
      <c r="N13" s="89"/>
      <c r="O13" s="89"/>
      <c r="P13" s="89"/>
      <c r="Q13" s="89"/>
      <c r="R13" s="89"/>
      <c r="S13" s="89"/>
      <c r="T13" s="89"/>
      <c r="U13" s="89"/>
      <c r="V13" s="89"/>
      <c r="W13" s="89"/>
      <c r="X13" s="89"/>
      <c r="Y13" s="89"/>
      <c r="Z13" s="89"/>
      <c r="AA13" s="89"/>
      <c r="AB13" s="89"/>
      <c r="AC13" s="89"/>
      <c r="AD13" s="89"/>
      <c r="AE13" s="312">
        <f t="shared" ref="AE13:AE17" si="2">sum(B13:AD13)</f>
        <v>0</v>
      </c>
    </row>
    <row r="14">
      <c r="A14" s="153" t="s">
        <v>1095</v>
      </c>
      <c r="B14" s="89"/>
      <c r="C14" s="89"/>
      <c r="D14" s="89"/>
      <c r="E14" s="89"/>
      <c r="F14" s="89"/>
      <c r="G14" s="89"/>
      <c r="H14" s="89"/>
      <c r="I14" s="89"/>
      <c r="J14" s="89"/>
      <c r="K14" s="89"/>
      <c r="L14" s="89"/>
      <c r="M14" s="89"/>
      <c r="N14" s="89"/>
      <c r="O14" s="89"/>
      <c r="P14" s="89"/>
      <c r="Q14" s="89"/>
      <c r="R14" s="89"/>
      <c r="S14" s="89"/>
      <c r="T14" s="89"/>
      <c r="U14" s="89"/>
      <c r="V14" s="89"/>
      <c r="W14" s="89"/>
      <c r="X14" s="89"/>
      <c r="Y14" s="89"/>
      <c r="Z14" s="89"/>
      <c r="AA14" s="89"/>
      <c r="AB14" s="89"/>
      <c r="AC14" s="89"/>
      <c r="AD14" s="89"/>
      <c r="AE14" s="312">
        <f t="shared" si="2"/>
        <v>0</v>
      </c>
    </row>
    <row r="15">
      <c r="A15" s="786" t="s">
        <v>1096</v>
      </c>
      <c r="B15" s="141">
        <f t="shared" ref="B15:AD15" si="3">B8</f>
        <v>121</v>
      </c>
      <c r="C15" s="141">
        <f t="shared" si="3"/>
        <v>18</v>
      </c>
      <c r="D15" s="141">
        <f t="shared" si="3"/>
        <v>24</v>
      </c>
      <c r="E15" s="141">
        <f t="shared" si="3"/>
        <v>36</v>
      </c>
      <c r="F15" s="141">
        <f t="shared" si="3"/>
        <v>0</v>
      </c>
      <c r="G15" s="141">
        <f t="shared" si="3"/>
        <v>7</v>
      </c>
      <c r="H15" s="141">
        <f t="shared" si="3"/>
        <v>11</v>
      </c>
      <c r="I15" s="141">
        <f t="shared" si="3"/>
        <v>4</v>
      </c>
      <c r="J15" s="141">
        <f t="shared" si="3"/>
        <v>19</v>
      </c>
      <c r="K15" s="141">
        <f t="shared" si="3"/>
        <v>19</v>
      </c>
      <c r="L15" s="141">
        <f t="shared" si="3"/>
        <v>24</v>
      </c>
      <c r="M15" s="141">
        <f t="shared" si="3"/>
        <v>0</v>
      </c>
      <c r="N15" s="141">
        <f t="shared" si="3"/>
        <v>12</v>
      </c>
      <c r="O15" s="141">
        <f t="shared" si="3"/>
        <v>2</v>
      </c>
      <c r="P15" s="141">
        <f t="shared" si="3"/>
        <v>5</v>
      </c>
      <c r="Q15" s="141">
        <f t="shared" si="3"/>
        <v>3</v>
      </c>
      <c r="R15" s="141">
        <f t="shared" si="3"/>
        <v>5</v>
      </c>
      <c r="S15" s="141">
        <f t="shared" si="3"/>
        <v>4</v>
      </c>
      <c r="T15" s="141">
        <f t="shared" si="3"/>
        <v>0</v>
      </c>
      <c r="U15" s="141">
        <f t="shared" si="3"/>
        <v>0</v>
      </c>
      <c r="V15" s="141">
        <f t="shared" si="3"/>
        <v>1</v>
      </c>
      <c r="W15" s="141">
        <f t="shared" si="3"/>
        <v>3</v>
      </c>
      <c r="X15" s="141">
        <f t="shared" si="3"/>
        <v>4</v>
      </c>
      <c r="Y15" s="141">
        <f t="shared" si="3"/>
        <v>5</v>
      </c>
      <c r="Z15" s="141">
        <f t="shared" si="3"/>
        <v>7</v>
      </c>
      <c r="AA15" s="141">
        <f t="shared" si="3"/>
        <v>0</v>
      </c>
      <c r="AB15" s="141">
        <f t="shared" si="3"/>
        <v>1</v>
      </c>
      <c r="AC15" s="141">
        <f t="shared" si="3"/>
        <v>3</v>
      </c>
      <c r="AD15" s="141">
        <f t="shared" si="3"/>
        <v>11</v>
      </c>
      <c r="AE15" s="312">
        <f t="shared" si="2"/>
        <v>349</v>
      </c>
    </row>
    <row r="16">
      <c r="A16" s="153" t="s">
        <v>1097</v>
      </c>
      <c r="B16" s="89"/>
      <c r="C16" s="89"/>
      <c r="D16" s="89"/>
      <c r="E16" s="89"/>
      <c r="F16" s="89"/>
      <c r="G16" s="89"/>
      <c r="H16" s="89"/>
      <c r="I16" s="89"/>
      <c r="J16" s="89"/>
      <c r="K16" s="89"/>
      <c r="L16" s="89"/>
      <c r="M16" s="89"/>
      <c r="N16" s="89"/>
      <c r="O16" s="89"/>
      <c r="P16" s="89"/>
      <c r="Q16" s="141"/>
      <c r="R16" s="141"/>
      <c r="S16" s="141"/>
      <c r="T16" s="141"/>
      <c r="U16" s="141"/>
      <c r="V16" s="141"/>
      <c r="W16" s="141"/>
      <c r="X16" s="141"/>
      <c r="Y16" s="141"/>
      <c r="Z16" s="141"/>
      <c r="AA16" s="141"/>
      <c r="AB16" s="141"/>
      <c r="AC16" s="141"/>
      <c r="AD16" s="141"/>
      <c r="AE16" s="312">
        <f t="shared" si="2"/>
        <v>0</v>
      </c>
    </row>
    <row r="17">
      <c r="A17" s="158" t="s">
        <v>127</v>
      </c>
      <c r="B17" s="315">
        <f t="shared" ref="B17:AD17" si="4">SUM(B13:B16)</f>
        <v>121</v>
      </c>
      <c r="C17" s="315">
        <f t="shared" si="4"/>
        <v>18</v>
      </c>
      <c r="D17" s="315">
        <f t="shared" si="4"/>
        <v>24</v>
      </c>
      <c r="E17" s="315">
        <f t="shared" si="4"/>
        <v>36</v>
      </c>
      <c r="F17" s="315">
        <f t="shared" si="4"/>
        <v>0</v>
      </c>
      <c r="G17" s="315">
        <f t="shared" si="4"/>
        <v>7</v>
      </c>
      <c r="H17" s="315">
        <f t="shared" si="4"/>
        <v>11</v>
      </c>
      <c r="I17" s="315">
        <f t="shared" si="4"/>
        <v>4</v>
      </c>
      <c r="J17" s="315">
        <f t="shared" si="4"/>
        <v>19</v>
      </c>
      <c r="K17" s="315">
        <f t="shared" si="4"/>
        <v>19</v>
      </c>
      <c r="L17" s="315">
        <f t="shared" si="4"/>
        <v>24</v>
      </c>
      <c r="M17" s="315">
        <f t="shared" si="4"/>
        <v>0</v>
      </c>
      <c r="N17" s="315">
        <f t="shared" si="4"/>
        <v>12</v>
      </c>
      <c r="O17" s="315">
        <f t="shared" si="4"/>
        <v>2</v>
      </c>
      <c r="P17" s="315">
        <f t="shared" si="4"/>
        <v>5</v>
      </c>
      <c r="Q17" s="315">
        <f t="shared" si="4"/>
        <v>3</v>
      </c>
      <c r="R17" s="315">
        <f t="shared" si="4"/>
        <v>5</v>
      </c>
      <c r="S17" s="315">
        <f t="shared" si="4"/>
        <v>4</v>
      </c>
      <c r="T17" s="315">
        <f t="shared" si="4"/>
        <v>0</v>
      </c>
      <c r="U17" s="315">
        <f t="shared" si="4"/>
        <v>0</v>
      </c>
      <c r="V17" s="315">
        <f t="shared" si="4"/>
        <v>1</v>
      </c>
      <c r="W17" s="315">
        <f t="shared" si="4"/>
        <v>3</v>
      </c>
      <c r="X17" s="315">
        <f t="shared" si="4"/>
        <v>4</v>
      </c>
      <c r="Y17" s="315">
        <f t="shared" si="4"/>
        <v>5</v>
      </c>
      <c r="Z17" s="315">
        <f t="shared" si="4"/>
        <v>7</v>
      </c>
      <c r="AA17" s="315">
        <f t="shared" si="4"/>
        <v>0</v>
      </c>
      <c r="AB17" s="315">
        <f t="shared" si="4"/>
        <v>1</v>
      </c>
      <c r="AC17" s="315">
        <f t="shared" si="4"/>
        <v>3</v>
      </c>
      <c r="AD17" s="315">
        <f t="shared" si="4"/>
        <v>11</v>
      </c>
      <c r="AE17" s="312">
        <f t="shared" si="2"/>
        <v>349</v>
      </c>
    </row>
    <row r="18">
      <c r="A18" s="98"/>
      <c r="B18" s="162"/>
      <c r="C18" s="162"/>
      <c r="D18" s="162"/>
      <c r="E18" s="162"/>
      <c r="F18" s="162"/>
      <c r="G18" s="162"/>
      <c r="H18" s="162"/>
      <c r="I18" s="162"/>
      <c r="J18" s="83"/>
      <c r="K18" s="83"/>
      <c r="L18" s="83"/>
      <c r="M18" s="83"/>
      <c r="N18" s="83"/>
      <c r="O18" s="83"/>
      <c r="P18" s="83"/>
      <c r="Q18" s="83"/>
      <c r="R18" s="83"/>
      <c r="S18" s="83"/>
      <c r="T18" s="83"/>
      <c r="U18" s="83"/>
      <c r="V18" s="83"/>
      <c r="W18" s="83"/>
      <c r="X18" s="83"/>
      <c r="Y18" s="83"/>
      <c r="Z18" s="83"/>
      <c r="AA18" s="83"/>
      <c r="AB18" s="83"/>
      <c r="AC18" s="83"/>
      <c r="AD18" s="83"/>
      <c r="AE18" s="408"/>
    </row>
    <row r="19">
      <c r="A19" s="153" t="s">
        <v>131</v>
      </c>
      <c r="B19" s="96"/>
      <c r="C19" s="96"/>
      <c r="D19" s="96"/>
      <c r="E19" s="96"/>
      <c r="F19" s="96"/>
      <c r="G19" s="96"/>
      <c r="H19" s="96"/>
      <c r="I19" s="96"/>
      <c r="J19" s="96"/>
      <c r="K19" s="96"/>
      <c r="L19" s="96"/>
      <c r="M19" s="89"/>
      <c r="N19" s="89"/>
      <c r="O19" s="89"/>
      <c r="P19" s="89"/>
      <c r="Q19" s="89"/>
      <c r="R19" s="89"/>
      <c r="S19" s="89"/>
      <c r="T19" s="89"/>
      <c r="U19" s="89"/>
      <c r="V19" s="89"/>
      <c r="W19" s="89"/>
      <c r="X19" s="89"/>
      <c r="Y19" s="89"/>
      <c r="Z19" s="89"/>
      <c r="AA19" s="89"/>
      <c r="AB19" s="89"/>
      <c r="AC19" s="89"/>
      <c r="AD19" s="89"/>
      <c r="AE19" s="312">
        <f t="shared" ref="AE19:AE27" si="5">sum(B19:AD19)</f>
        <v>0</v>
      </c>
    </row>
    <row r="20">
      <c r="A20" s="153" t="s">
        <v>132</v>
      </c>
      <c r="B20" s="96"/>
      <c r="C20" s="96"/>
      <c r="D20" s="96"/>
      <c r="E20" s="96"/>
      <c r="F20" s="96"/>
      <c r="G20" s="96"/>
      <c r="H20" s="96"/>
      <c r="I20" s="96"/>
      <c r="J20" s="96"/>
      <c r="K20" s="96"/>
      <c r="L20" s="96"/>
      <c r="M20" s="89"/>
      <c r="N20" s="89"/>
      <c r="O20" s="89"/>
      <c r="P20" s="89"/>
      <c r="Q20" s="89"/>
      <c r="R20" s="89"/>
      <c r="S20" s="89"/>
      <c r="T20" s="89"/>
      <c r="U20" s="89"/>
      <c r="V20" s="89"/>
      <c r="W20" s="89"/>
      <c r="X20" s="89"/>
      <c r="Y20" s="89"/>
      <c r="Z20" s="89"/>
      <c r="AA20" s="89"/>
      <c r="AB20" s="89"/>
      <c r="AC20" s="89"/>
      <c r="AD20" s="89"/>
      <c r="AE20" s="312">
        <f t="shared" si="5"/>
        <v>0</v>
      </c>
    </row>
    <row r="21">
      <c r="A21" s="153" t="s">
        <v>1098</v>
      </c>
      <c r="B21" s="96"/>
      <c r="C21" s="96"/>
      <c r="D21" s="96"/>
      <c r="E21" s="96"/>
      <c r="F21" s="96"/>
      <c r="G21" s="96"/>
      <c r="H21" s="96"/>
      <c r="I21" s="96"/>
      <c r="J21" s="96"/>
      <c r="K21" s="96"/>
      <c r="L21" s="96"/>
      <c r="M21" s="89"/>
      <c r="N21" s="89"/>
      <c r="O21" s="89"/>
      <c r="P21" s="89"/>
      <c r="Q21" s="89"/>
      <c r="R21" s="89"/>
      <c r="S21" s="89"/>
      <c r="T21" s="89"/>
      <c r="U21" s="89"/>
      <c r="V21" s="89"/>
      <c r="W21" s="89"/>
      <c r="X21" s="89"/>
      <c r="Y21" s="89"/>
      <c r="Z21" s="89"/>
      <c r="AA21" s="89"/>
      <c r="AB21" s="89"/>
      <c r="AC21" s="89"/>
      <c r="AD21" s="89"/>
      <c r="AE21" s="312">
        <f t="shared" si="5"/>
        <v>0</v>
      </c>
    </row>
    <row r="22">
      <c r="A22" s="153" t="s">
        <v>1099</v>
      </c>
      <c r="B22" s="192"/>
      <c r="C22" s="192"/>
      <c r="D22" s="192"/>
      <c r="E22" s="192"/>
      <c r="F22" s="192"/>
      <c r="G22" s="96"/>
      <c r="H22" s="96"/>
      <c r="I22" s="96"/>
      <c r="J22" s="96"/>
      <c r="K22" s="96"/>
      <c r="L22" s="96"/>
      <c r="M22" s="89"/>
      <c r="N22" s="89"/>
      <c r="O22" s="89"/>
      <c r="P22" s="89"/>
      <c r="Q22" s="89"/>
      <c r="R22" s="89"/>
      <c r="S22" s="89"/>
      <c r="T22" s="89"/>
      <c r="U22" s="89"/>
      <c r="V22" s="89"/>
      <c r="W22" s="89"/>
      <c r="X22" s="89"/>
      <c r="Y22" s="89"/>
      <c r="Z22" s="89"/>
      <c r="AA22" s="89"/>
      <c r="AB22" s="89"/>
      <c r="AC22" s="89"/>
      <c r="AD22" s="89"/>
      <c r="AE22" s="312">
        <f t="shared" si="5"/>
        <v>0</v>
      </c>
    </row>
    <row r="23">
      <c r="A23" s="153" t="s">
        <v>1100</v>
      </c>
      <c r="B23" s="96"/>
      <c r="C23" s="96"/>
      <c r="D23" s="96"/>
      <c r="E23" s="96"/>
      <c r="F23" s="96"/>
      <c r="G23" s="96"/>
      <c r="H23" s="96"/>
      <c r="I23" s="96"/>
      <c r="J23" s="96"/>
      <c r="K23" s="96"/>
      <c r="L23" s="96"/>
      <c r="M23" s="89"/>
      <c r="N23" s="89"/>
      <c r="O23" s="89"/>
      <c r="P23" s="89"/>
      <c r="Q23" s="89"/>
      <c r="R23" s="89"/>
      <c r="S23" s="89"/>
      <c r="T23" s="89"/>
      <c r="U23" s="89"/>
      <c r="V23" s="89"/>
      <c r="W23" s="89"/>
      <c r="X23" s="89"/>
      <c r="Y23" s="89"/>
      <c r="Z23" s="89"/>
      <c r="AA23" s="89"/>
      <c r="AB23" s="89"/>
      <c r="AC23" s="89"/>
      <c r="AD23" s="89"/>
      <c r="AE23" s="312">
        <f t="shared" si="5"/>
        <v>0</v>
      </c>
    </row>
    <row r="24">
      <c r="A24" s="153" t="s">
        <v>1101</v>
      </c>
      <c r="B24" s="192"/>
      <c r="C24" s="192"/>
      <c r="D24" s="192"/>
      <c r="E24" s="192"/>
      <c r="F24" s="192"/>
      <c r="G24" s="96"/>
      <c r="H24" s="96"/>
      <c r="I24" s="96"/>
      <c r="J24" s="96"/>
      <c r="K24" s="96"/>
      <c r="L24" s="96"/>
      <c r="M24" s="89"/>
      <c r="N24" s="89"/>
      <c r="O24" s="89"/>
      <c r="P24" s="89"/>
      <c r="Q24" s="89"/>
      <c r="R24" s="89"/>
      <c r="S24" s="89"/>
      <c r="T24" s="89"/>
      <c r="U24" s="89"/>
      <c r="V24" s="89"/>
      <c r="W24" s="89"/>
      <c r="X24" s="89"/>
      <c r="Y24" s="89"/>
      <c r="Z24" s="89"/>
      <c r="AA24" s="89"/>
      <c r="AB24" s="89"/>
      <c r="AC24" s="89"/>
      <c r="AD24" s="89"/>
      <c r="AE24" s="312">
        <f t="shared" si="5"/>
        <v>0</v>
      </c>
    </row>
    <row r="25">
      <c r="A25" s="153" t="s">
        <v>1102</v>
      </c>
      <c r="B25" s="96"/>
      <c r="C25" s="96"/>
      <c r="D25" s="96"/>
      <c r="E25" s="96"/>
      <c r="F25" s="96"/>
      <c r="G25" s="96"/>
      <c r="H25" s="96"/>
      <c r="I25" s="96"/>
      <c r="J25" s="96"/>
      <c r="K25" s="96"/>
      <c r="L25" s="96"/>
      <c r="M25" s="89"/>
      <c r="N25" s="89"/>
      <c r="O25" s="89"/>
      <c r="P25" s="89"/>
      <c r="Q25" s="89"/>
      <c r="R25" s="89"/>
      <c r="S25" s="89"/>
      <c r="T25" s="89"/>
      <c r="U25" s="89"/>
      <c r="V25" s="89"/>
      <c r="W25" s="89"/>
      <c r="X25" s="89"/>
      <c r="Y25" s="89"/>
      <c r="Z25" s="89"/>
      <c r="AA25" s="89"/>
      <c r="AB25" s="89"/>
      <c r="AC25" s="89"/>
      <c r="AD25" s="89"/>
      <c r="AE25" s="312">
        <f t="shared" si="5"/>
        <v>0</v>
      </c>
    </row>
    <row r="26">
      <c r="A26" s="153" t="s">
        <v>1103</v>
      </c>
      <c r="B26" s="96"/>
      <c r="C26" s="96"/>
      <c r="D26" s="96"/>
      <c r="E26" s="96"/>
      <c r="F26" s="96"/>
      <c r="G26" s="96"/>
      <c r="H26" s="96"/>
      <c r="I26" s="96"/>
      <c r="J26" s="96"/>
      <c r="K26" s="96"/>
      <c r="L26" s="96"/>
      <c r="M26" s="89"/>
      <c r="N26" s="89"/>
      <c r="O26" s="89"/>
      <c r="P26" s="89"/>
      <c r="Q26" s="89"/>
      <c r="R26" s="89"/>
      <c r="S26" s="89"/>
      <c r="T26" s="89"/>
      <c r="U26" s="89"/>
      <c r="V26" s="89"/>
      <c r="W26" s="89"/>
      <c r="X26" s="89"/>
      <c r="Y26" s="89"/>
      <c r="Z26" s="89"/>
      <c r="AA26" s="89"/>
      <c r="AB26" s="89"/>
      <c r="AC26" s="89"/>
      <c r="AD26" s="89"/>
      <c r="AE26" s="312">
        <f t="shared" si="5"/>
        <v>0</v>
      </c>
    </row>
    <row r="27">
      <c r="A27" s="158" t="s">
        <v>141</v>
      </c>
      <c r="B27" s="315">
        <f t="shared" ref="B27:AD27" si="6">SUM(B19:B26)</f>
        <v>0</v>
      </c>
      <c r="C27" s="315">
        <f t="shared" si="6"/>
        <v>0</v>
      </c>
      <c r="D27" s="315">
        <f t="shared" si="6"/>
        <v>0</v>
      </c>
      <c r="E27" s="315">
        <f t="shared" si="6"/>
        <v>0</v>
      </c>
      <c r="F27" s="315">
        <f t="shared" si="6"/>
        <v>0</v>
      </c>
      <c r="G27" s="315">
        <f t="shared" si="6"/>
        <v>0</v>
      </c>
      <c r="H27" s="315">
        <f t="shared" si="6"/>
        <v>0</v>
      </c>
      <c r="I27" s="315">
        <f t="shared" si="6"/>
        <v>0</v>
      </c>
      <c r="J27" s="315">
        <f t="shared" si="6"/>
        <v>0</v>
      </c>
      <c r="K27" s="315">
        <f t="shared" si="6"/>
        <v>0</v>
      </c>
      <c r="L27" s="315">
        <f t="shared" si="6"/>
        <v>0</v>
      </c>
      <c r="M27" s="315">
        <f t="shared" si="6"/>
        <v>0</v>
      </c>
      <c r="N27" s="315">
        <f t="shared" si="6"/>
        <v>0</v>
      </c>
      <c r="O27" s="315">
        <f t="shared" si="6"/>
        <v>0</v>
      </c>
      <c r="P27" s="315">
        <f t="shared" si="6"/>
        <v>0</v>
      </c>
      <c r="Q27" s="315">
        <f t="shared" si="6"/>
        <v>0</v>
      </c>
      <c r="R27" s="315">
        <f t="shared" si="6"/>
        <v>0</v>
      </c>
      <c r="S27" s="315">
        <f t="shared" si="6"/>
        <v>0</v>
      </c>
      <c r="T27" s="315">
        <f t="shared" si="6"/>
        <v>0</v>
      </c>
      <c r="U27" s="315">
        <f t="shared" si="6"/>
        <v>0</v>
      </c>
      <c r="V27" s="315">
        <f t="shared" si="6"/>
        <v>0</v>
      </c>
      <c r="W27" s="315">
        <f t="shared" si="6"/>
        <v>0</v>
      </c>
      <c r="X27" s="315">
        <f t="shared" si="6"/>
        <v>0</v>
      </c>
      <c r="Y27" s="315">
        <f t="shared" si="6"/>
        <v>0</v>
      </c>
      <c r="Z27" s="315">
        <f t="shared" si="6"/>
        <v>0</v>
      </c>
      <c r="AA27" s="315">
        <f t="shared" si="6"/>
        <v>0</v>
      </c>
      <c r="AB27" s="315">
        <f t="shared" si="6"/>
        <v>0</v>
      </c>
      <c r="AC27" s="315">
        <f t="shared" si="6"/>
        <v>0</v>
      </c>
      <c r="AD27" s="315">
        <f t="shared" si="6"/>
        <v>0</v>
      </c>
      <c r="AE27" s="312">
        <f t="shared" si="5"/>
        <v>0</v>
      </c>
    </row>
    <row r="28">
      <c r="A28" s="98"/>
      <c r="B28" s="83"/>
      <c r="C28" s="83"/>
      <c r="D28" s="83"/>
      <c r="E28" s="83"/>
      <c r="F28" s="83"/>
      <c r="G28" s="83"/>
      <c r="H28" s="83"/>
      <c r="I28" s="83"/>
      <c r="J28" s="83"/>
      <c r="K28" s="83"/>
      <c r="L28" s="83"/>
      <c r="M28" s="83"/>
      <c r="N28" s="83"/>
      <c r="O28" s="83"/>
      <c r="P28" s="83"/>
      <c r="Q28" s="83"/>
      <c r="R28" s="83"/>
      <c r="S28" s="83"/>
      <c r="T28" s="83"/>
      <c r="U28" s="83"/>
      <c r="V28" s="83"/>
      <c r="W28" s="83"/>
      <c r="X28" s="83"/>
      <c r="Y28" s="83"/>
      <c r="Z28" s="83"/>
      <c r="AA28" s="83"/>
      <c r="AB28" s="83"/>
      <c r="AC28" s="83"/>
      <c r="AD28" s="83"/>
      <c r="AE28" s="312"/>
    </row>
    <row r="29">
      <c r="A29" s="787" t="s">
        <v>1104</v>
      </c>
      <c r="B29" s="420"/>
      <c r="C29" s="420"/>
      <c r="D29" s="420"/>
      <c r="E29" s="420"/>
      <c r="F29" s="420"/>
      <c r="G29" s="420"/>
      <c r="H29" s="420"/>
      <c r="I29" s="420"/>
      <c r="J29" s="420"/>
      <c r="K29" s="420"/>
      <c r="L29" s="420"/>
      <c r="M29" s="420"/>
      <c r="N29" s="420"/>
      <c r="O29" s="420"/>
      <c r="P29" s="420"/>
      <c r="Q29" s="420"/>
      <c r="R29" s="420"/>
      <c r="S29" s="420"/>
      <c r="T29" s="420"/>
      <c r="U29" s="420"/>
      <c r="V29" s="420"/>
      <c r="W29" s="420"/>
      <c r="X29" s="420"/>
      <c r="Y29" s="420"/>
      <c r="Z29" s="420"/>
      <c r="AA29" s="420"/>
      <c r="AB29" s="420"/>
      <c r="AC29" s="420"/>
      <c r="AD29" s="420"/>
      <c r="AE29" s="383"/>
    </row>
    <row r="30" outlineLevel="1">
      <c r="A30" s="788"/>
      <c r="AE30" s="383"/>
    </row>
    <row r="31" outlineLevel="1">
      <c r="A31" s="428" t="s">
        <v>1105</v>
      </c>
      <c r="B31" s="433"/>
      <c r="C31" s="433"/>
      <c r="D31" s="433"/>
      <c r="E31" s="433"/>
      <c r="F31" s="433"/>
      <c r="G31" s="433"/>
      <c r="H31" s="433"/>
      <c r="I31" s="434"/>
      <c r="J31" s="434"/>
      <c r="K31" s="434"/>
      <c r="L31" s="434"/>
      <c r="M31" s="434"/>
      <c r="N31" s="434"/>
      <c r="O31" s="434"/>
      <c r="P31" s="434"/>
      <c r="Q31" s="434"/>
      <c r="R31" s="434"/>
      <c r="S31" s="434"/>
      <c r="T31" s="434"/>
      <c r="U31" s="434"/>
      <c r="V31" s="434"/>
      <c r="W31" s="434"/>
      <c r="X31" s="434"/>
      <c r="Y31" s="434"/>
      <c r="Z31" s="434"/>
      <c r="AA31" s="434"/>
      <c r="AB31" s="434"/>
      <c r="AC31" s="434"/>
      <c r="AD31" s="434"/>
      <c r="AE31" s="789"/>
    </row>
    <row r="32" outlineLevel="1">
      <c r="A32" s="215" t="s">
        <v>1106</v>
      </c>
      <c r="B32" s="187"/>
      <c r="C32" s="187"/>
      <c r="D32" s="187"/>
      <c r="E32" s="187"/>
      <c r="F32" s="187"/>
      <c r="G32" s="187"/>
      <c r="H32" s="187"/>
      <c r="I32" s="187"/>
      <c r="J32" s="187"/>
      <c r="K32" s="187"/>
      <c r="L32" s="187"/>
      <c r="M32" s="187"/>
      <c r="N32" s="187"/>
      <c r="O32" s="187"/>
      <c r="P32" s="187"/>
      <c r="Q32" s="187"/>
      <c r="R32" s="187"/>
      <c r="S32" s="187"/>
      <c r="T32" s="187"/>
      <c r="U32" s="187"/>
      <c r="V32" s="187"/>
      <c r="W32" s="187"/>
      <c r="X32" s="187"/>
      <c r="Y32" s="187"/>
      <c r="Z32" s="187"/>
      <c r="AA32" s="187"/>
      <c r="AB32" s="187"/>
      <c r="AC32" s="187"/>
      <c r="AD32" s="187"/>
      <c r="AE32" s="312">
        <f t="shared" ref="AE32:AE37" si="7">SUM(B32:AD32)</f>
        <v>0</v>
      </c>
    </row>
    <row r="33" outlineLevel="1">
      <c r="A33" s="215" t="s">
        <v>1107</v>
      </c>
      <c r="B33" s="187"/>
      <c r="C33" s="187"/>
      <c r="D33" s="187"/>
      <c r="E33" s="187"/>
      <c r="F33" s="187"/>
      <c r="G33" s="187"/>
      <c r="H33" s="187"/>
      <c r="I33" s="187"/>
      <c r="J33" s="187"/>
      <c r="K33" s="187"/>
      <c r="L33" s="187"/>
      <c r="M33" s="187"/>
      <c r="N33" s="187"/>
      <c r="O33" s="187"/>
      <c r="P33" s="187"/>
      <c r="Q33" s="187"/>
      <c r="R33" s="187"/>
      <c r="S33" s="187"/>
      <c r="T33" s="187"/>
      <c r="U33" s="187"/>
      <c r="V33" s="187"/>
      <c r="W33" s="187"/>
      <c r="X33" s="187"/>
      <c r="Y33" s="187"/>
      <c r="Z33" s="187"/>
      <c r="AA33" s="187"/>
      <c r="AB33" s="187"/>
      <c r="AC33" s="187"/>
      <c r="AD33" s="187"/>
      <c r="AE33" s="312">
        <f t="shared" si="7"/>
        <v>0</v>
      </c>
    </row>
    <row r="34" outlineLevel="1">
      <c r="A34" s="215" t="s">
        <v>1108</v>
      </c>
      <c r="B34" s="192"/>
      <c r="C34" s="192"/>
      <c r="D34" s="192"/>
      <c r="E34" s="192"/>
      <c r="F34" s="192"/>
      <c r="G34" s="187"/>
      <c r="H34" s="187"/>
      <c r="I34" s="187"/>
      <c r="J34" s="187"/>
      <c r="K34" s="187"/>
      <c r="L34" s="187"/>
      <c r="M34" s="187"/>
      <c r="N34" s="187"/>
      <c r="O34" s="187"/>
      <c r="P34" s="187"/>
      <c r="Q34" s="187"/>
      <c r="R34" s="187"/>
      <c r="S34" s="187"/>
      <c r="T34" s="187"/>
      <c r="U34" s="187"/>
      <c r="V34" s="187"/>
      <c r="W34" s="187"/>
      <c r="X34" s="187"/>
      <c r="Y34" s="187"/>
      <c r="Z34" s="187"/>
      <c r="AA34" s="187"/>
      <c r="AB34" s="187"/>
      <c r="AC34" s="187"/>
      <c r="AD34" s="187"/>
      <c r="AE34" s="312">
        <f t="shared" si="7"/>
        <v>0</v>
      </c>
    </row>
    <row r="35" outlineLevel="1">
      <c r="A35" s="215" t="s">
        <v>1109</v>
      </c>
      <c r="B35" s="192"/>
      <c r="C35" s="192"/>
      <c r="D35" s="192"/>
      <c r="E35" s="192"/>
      <c r="F35" s="192"/>
      <c r="G35" s="187"/>
      <c r="H35" s="187"/>
      <c r="I35" s="187"/>
      <c r="J35" s="187"/>
      <c r="K35" s="187"/>
      <c r="L35" s="187"/>
      <c r="M35" s="187"/>
      <c r="N35" s="187"/>
      <c r="O35" s="187"/>
      <c r="P35" s="187"/>
      <c r="Q35" s="187"/>
      <c r="R35" s="187"/>
      <c r="S35" s="187"/>
      <c r="T35" s="187"/>
      <c r="U35" s="187"/>
      <c r="V35" s="187"/>
      <c r="W35" s="187"/>
      <c r="X35" s="187"/>
      <c r="Y35" s="187"/>
      <c r="Z35" s="187"/>
      <c r="AA35" s="187"/>
      <c r="AB35" s="187"/>
      <c r="AC35" s="187"/>
      <c r="AD35" s="187"/>
      <c r="AE35" s="312">
        <f t="shared" si="7"/>
        <v>0</v>
      </c>
    </row>
    <row r="36" outlineLevel="1">
      <c r="A36" s="223" t="s">
        <v>221</v>
      </c>
      <c r="B36" s="345">
        <f t="shared" ref="B36:AD36" si="8">SUM(B32:B33)</f>
        <v>0</v>
      </c>
      <c r="C36" s="345">
        <f t="shared" si="8"/>
        <v>0</v>
      </c>
      <c r="D36" s="345">
        <f t="shared" si="8"/>
        <v>0</v>
      </c>
      <c r="E36" s="345">
        <f t="shared" si="8"/>
        <v>0</v>
      </c>
      <c r="F36" s="345">
        <f t="shared" si="8"/>
        <v>0</v>
      </c>
      <c r="G36" s="345">
        <f t="shared" si="8"/>
        <v>0</v>
      </c>
      <c r="H36" s="345">
        <f t="shared" si="8"/>
        <v>0</v>
      </c>
      <c r="I36" s="345">
        <f t="shared" si="8"/>
        <v>0</v>
      </c>
      <c r="J36" s="345">
        <f t="shared" si="8"/>
        <v>0</v>
      </c>
      <c r="K36" s="345">
        <f t="shared" si="8"/>
        <v>0</v>
      </c>
      <c r="L36" s="345">
        <f t="shared" si="8"/>
        <v>0</v>
      </c>
      <c r="M36" s="345">
        <f t="shared" si="8"/>
        <v>0</v>
      </c>
      <c r="N36" s="345">
        <f t="shared" si="8"/>
        <v>0</v>
      </c>
      <c r="O36" s="345">
        <f t="shared" si="8"/>
        <v>0</v>
      </c>
      <c r="P36" s="345">
        <f t="shared" si="8"/>
        <v>0</v>
      </c>
      <c r="Q36" s="345">
        <f t="shared" si="8"/>
        <v>0</v>
      </c>
      <c r="R36" s="345">
        <f t="shared" si="8"/>
        <v>0</v>
      </c>
      <c r="S36" s="345">
        <f t="shared" si="8"/>
        <v>0</v>
      </c>
      <c r="T36" s="345">
        <f t="shared" si="8"/>
        <v>0</v>
      </c>
      <c r="U36" s="345">
        <f t="shared" si="8"/>
        <v>0</v>
      </c>
      <c r="V36" s="345">
        <f t="shared" si="8"/>
        <v>0</v>
      </c>
      <c r="W36" s="345">
        <f t="shared" si="8"/>
        <v>0</v>
      </c>
      <c r="X36" s="345">
        <f t="shared" si="8"/>
        <v>0</v>
      </c>
      <c r="Y36" s="345">
        <f t="shared" si="8"/>
        <v>0</v>
      </c>
      <c r="Z36" s="345">
        <f t="shared" si="8"/>
        <v>0</v>
      </c>
      <c r="AA36" s="345">
        <f t="shared" si="8"/>
        <v>0</v>
      </c>
      <c r="AB36" s="345">
        <f t="shared" si="8"/>
        <v>0</v>
      </c>
      <c r="AC36" s="345">
        <f t="shared" si="8"/>
        <v>0</v>
      </c>
      <c r="AD36" s="345">
        <f t="shared" si="8"/>
        <v>0</v>
      </c>
      <c r="AE36" s="312">
        <f t="shared" si="7"/>
        <v>0</v>
      </c>
    </row>
    <row r="37" outlineLevel="1">
      <c r="A37" s="223" t="s">
        <v>222</v>
      </c>
      <c r="B37" s="345">
        <f t="shared" ref="B37:AD37" si="9">SUM(B34:B35)</f>
        <v>0</v>
      </c>
      <c r="C37" s="345">
        <f t="shared" si="9"/>
        <v>0</v>
      </c>
      <c r="D37" s="345">
        <f t="shared" si="9"/>
        <v>0</v>
      </c>
      <c r="E37" s="345">
        <f t="shared" si="9"/>
        <v>0</v>
      </c>
      <c r="F37" s="345">
        <f t="shared" si="9"/>
        <v>0</v>
      </c>
      <c r="G37" s="345">
        <f t="shared" si="9"/>
        <v>0</v>
      </c>
      <c r="H37" s="345">
        <f t="shared" si="9"/>
        <v>0</v>
      </c>
      <c r="I37" s="345">
        <f t="shared" si="9"/>
        <v>0</v>
      </c>
      <c r="J37" s="345">
        <f t="shared" si="9"/>
        <v>0</v>
      </c>
      <c r="K37" s="345">
        <f t="shared" si="9"/>
        <v>0</v>
      </c>
      <c r="L37" s="345">
        <f t="shared" si="9"/>
        <v>0</v>
      </c>
      <c r="M37" s="345">
        <f t="shared" si="9"/>
        <v>0</v>
      </c>
      <c r="N37" s="345">
        <f t="shared" si="9"/>
        <v>0</v>
      </c>
      <c r="O37" s="345">
        <f t="shared" si="9"/>
        <v>0</v>
      </c>
      <c r="P37" s="345">
        <f t="shared" si="9"/>
        <v>0</v>
      </c>
      <c r="Q37" s="345">
        <f t="shared" si="9"/>
        <v>0</v>
      </c>
      <c r="R37" s="345">
        <f t="shared" si="9"/>
        <v>0</v>
      </c>
      <c r="S37" s="345">
        <f t="shared" si="9"/>
        <v>0</v>
      </c>
      <c r="T37" s="345">
        <f t="shared" si="9"/>
        <v>0</v>
      </c>
      <c r="U37" s="345">
        <f t="shared" si="9"/>
        <v>0</v>
      </c>
      <c r="V37" s="345">
        <f t="shared" si="9"/>
        <v>0</v>
      </c>
      <c r="W37" s="345">
        <f t="shared" si="9"/>
        <v>0</v>
      </c>
      <c r="X37" s="345">
        <f t="shared" si="9"/>
        <v>0</v>
      </c>
      <c r="Y37" s="345">
        <f t="shared" si="9"/>
        <v>0</v>
      </c>
      <c r="Z37" s="345">
        <f t="shared" si="9"/>
        <v>0</v>
      </c>
      <c r="AA37" s="345">
        <f t="shared" si="9"/>
        <v>0</v>
      </c>
      <c r="AB37" s="345">
        <f t="shared" si="9"/>
        <v>0</v>
      </c>
      <c r="AC37" s="345">
        <f t="shared" si="9"/>
        <v>0</v>
      </c>
      <c r="AD37" s="345">
        <f t="shared" si="9"/>
        <v>0</v>
      </c>
      <c r="AE37" s="312">
        <f t="shared" si="7"/>
        <v>0</v>
      </c>
    </row>
    <row r="38" outlineLevel="1">
      <c r="A38" s="98"/>
      <c r="B38" s="127"/>
      <c r="C38" s="127"/>
      <c r="D38" s="127"/>
      <c r="E38" s="127"/>
      <c r="F38" s="127"/>
      <c r="G38" s="127"/>
      <c r="H38" s="127"/>
      <c r="I38" s="83"/>
      <c r="J38" s="83"/>
      <c r="K38" s="83"/>
      <c r="L38" s="83"/>
      <c r="M38" s="83"/>
      <c r="N38" s="83"/>
      <c r="O38" s="83"/>
      <c r="P38" s="83"/>
      <c r="Q38" s="83"/>
      <c r="R38" s="83"/>
      <c r="S38" s="83"/>
      <c r="T38" s="83"/>
      <c r="U38" s="83"/>
      <c r="V38" s="83"/>
      <c r="W38" s="83"/>
      <c r="X38" s="83"/>
      <c r="Y38" s="83"/>
      <c r="Z38" s="83"/>
      <c r="AA38" s="83"/>
      <c r="AB38" s="83"/>
      <c r="AC38" s="83"/>
      <c r="AD38" s="83"/>
      <c r="AE38" s="312"/>
    </row>
    <row r="39" outlineLevel="1">
      <c r="A39" s="215" t="s">
        <v>224</v>
      </c>
      <c r="B39" s="187"/>
      <c r="C39" s="187"/>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312">
        <f t="shared" ref="AE39:AE47" si="10">SUM(B39:AD39)</f>
        <v>0</v>
      </c>
    </row>
    <row r="40" outlineLevel="1">
      <c r="A40" s="215" t="s">
        <v>225</v>
      </c>
      <c r="B40" s="187"/>
      <c r="C40" s="187"/>
      <c r="D40" s="187"/>
      <c r="E40" s="187"/>
      <c r="F40" s="187"/>
      <c r="G40" s="187"/>
      <c r="H40" s="187"/>
      <c r="I40" s="187"/>
      <c r="J40" s="187"/>
      <c r="K40" s="187"/>
      <c r="L40" s="187"/>
      <c r="M40" s="187"/>
      <c r="N40" s="187"/>
      <c r="O40" s="187"/>
      <c r="P40" s="187"/>
      <c r="Q40" s="187"/>
      <c r="R40" s="187"/>
      <c r="S40" s="187"/>
      <c r="T40" s="187"/>
      <c r="U40" s="187"/>
      <c r="V40" s="187"/>
      <c r="W40" s="187"/>
      <c r="X40" s="187"/>
      <c r="Y40" s="187"/>
      <c r="Z40" s="187"/>
      <c r="AA40" s="187"/>
      <c r="AB40" s="187"/>
      <c r="AC40" s="187"/>
      <c r="AD40" s="187"/>
      <c r="AE40" s="312">
        <f t="shared" si="10"/>
        <v>0</v>
      </c>
    </row>
    <row r="41" outlineLevel="1">
      <c r="A41" s="215" t="s">
        <v>1110</v>
      </c>
      <c r="B41" s="187"/>
      <c r="C41" s="187"/>
      <c r="D41" s="187"/>
      <c r="E41" s="187"/>
      <c r="F41" s="187"/>
      <c r="G41" s="187"/>
      <c r="H41" s="187"/>
      <c r="I41" s="187"/>
      <c r="J41" s="187"/>
      <c r="K41" s="187"/>
      <c r="L41" s="187"/>
      <c r="M41" s="187"/>
      <c r="N41" s="187"/>
      <c r="O41" s="187"/>
      <c r="P41" s="187"/>
      <c r="Q41" s="187"/>
      <c r="R41" s="187"/>
      <c r="S41" s="187"/>
      <c r="T41" s="187"/>
      <c r="U41" s="187"/>
      <c r="V41" s="187"/>
      <c r="W41" s="187"/>
      <c r="X41" s="187"/>
      <c r="Y41" s="187"/>
      <c r="Z41" s="187"/>
      <c r="AA41" s="187"/>
      <c r="AB41" s="187"/>
      <c r="AC41" s="187"/>
      <c r="AD41" s="187"/>
      <c r="AE41" s="312">
        <f t="shared" si="10"/>
        <v>0</v>
      </c>
    </row>
    <row r="42" outlineLevel="1">
      <c r="A42" s="215" t="s">
        <v>1111</v>
      </c>
      <c r="B42" s="187"/>
      <c r="C42" s="187"/>
      <c r="D42" s="187"/>
      <c r="E42" s="187"/>
      <c r="F42" s="187"/>
      <c r="G42" s="187"/>
      <c r="H42" s="187"/>
      <c r="I42" s="187"/>
      <c r="J42" s="187"/>
      <c r="K42" s="187"/>
      <c r="L42" s="187"/>
      <c r="M42" s="187"/>
      <c r="N42" s="187"/>
      <c r="O42" s="187"/>
      <c r="P42" s="187"/>
      <c r="Q42" s="187"/>
      <c r="R42" s="187"/>
      <c r="S42" s="187"/>
      <c r="T42" s="187"/>
      <c r="U42" s="187"/>
      <c r="V42" s="187"/>
      <c r="W42" s="187"/>
      <c r="X42" s="187"/>
      <c r="Y42" s="187"/>
      <c r="Z42" s="187"/>
      <c r="AA42" s="187"/>
      <c r="AB42" s="187"/>
      <c r="AC42" s="187"/>
      <c r="AD42" s="187"/>
      <c r="AE42" s="312">
        <f t="shared" si="10"/>
        <v>0</v>
      </c>
    </row>
    <row r="43" outlineLevel="1">
      <c r="A43" s="215" t="s">
        <v>1112</v>
      </c>
      <c r="B43" s="187"/>
      <c r="C43" s="187"/>
      <c r="D43" s="187"/>
      <c r="E43" s="187"/>
      <c r="F43" s="187"/>
      <c r="G43" s="187"/>
      <c r="H43" s="187"/>
      <c r="I43" s="187"/>
      <c r="J43" s="187"/>
      <c r="K43" s="187"/>
      <c r="L43" s="187"/>
      <c r="M43" s="187"/>
      <c r="N43" s="187"/>
      <c r="O43" s="187"/>
      <c r="P43" s="187"/>
      <c r="Q43" s="187"/>
      <c r="R43" s="187"/>
      <c r="S43" s="187"/>
      <c r="T43" s="187"/>
      <c r="U43" s="187"/>
      <c r="V43" s="187"/>
      <c r="W43" s="187"/>
      <c r="X43" s="187"/>
      <c r="Y43" s="187"/>
      <c r="Z43" s="187"/>
      <c r="AA43" s="187"/>
      <c r="AB43" s="187"/>
      <c r="AC43" s="187"/>
      <c r="AD43" s="187"/>
      <c r="AE43" s="312">
        <f t="shared" si="10"/>
        <v>0</v>
      </c>
    </row>
    <row r="44" outlineLevel="1">
      <c r="A44" s="215" t="s">
        <v>1113</v>
      </c>
      <c r="B44" s="187"/>
      <c r="C44" s="187"/>
      <c r="D44" s="187"/>
      <c r="E44" s="187"/>
      <c r="F44" s="187"/>
      <c r="G44" s="187"/>
      <c r="H44" s="187"/>
      <c r="I44" s="187"/>
      <c r="J44" s="187"/>
      <c r="K44" s="187"/>
      <c r="L44" s="187"/>
      <c r="M44" s="187"/>
      <c r="N44" s="187"/>
      <c r="O44" s="187"/>
      <c r="P44" s="187"/>
      <c r="Q44" s="187"/>
      <c r="R44" s="187"/>
      <c r="S44" s="187"/>
      <c r="T44" s="187"/>
      <c r="U44" s="187"/>
      <c r="V44" s="187"/>
      <c r="W44" s="187"/>
      <c r="X44" s="187"/>
      <c r="Y44" s="187"/>
      <c r="Z44" s="187"/>
      <c r="AA44" s="187"/>
      <c r="AB44" s="187"/>
      <c r="AC44" s="187"/>
      <c r="AD44" s="187"/>
      <c r="AE44" s="312">
        <f t="shared" si="10"/>
        <v>0</v>
      </c>
    </row>
    <row r="45" outlineLevel="1">
      <c r="A45" s="215" t="s">
        <v>1114</v>
      </c>
      <c r="B45" s="187"/>
      <c r="C45" s="187"/>
      <c r="D45" s="187"/>
      <c r="E45" s="187"/>
      <c r="F45" s="187"/>
      <c r="G45" s="187"/>
      <c r="H45" s="187"/>
      <c r="I45" s="187"/>
      <c r="J45" s="187"/>
      <c r="K45" s="187"/>
      <c r="L45" s="187"/>
      <c r="M45" s="187"/>
      <c r="N45" s="187"/>
      <c r="O45" s="187"/>
      <c r="P45" s="187"/>
      <c r="Q45" s="187"/>
      <c r="R45" s="187"/>
      <c r="S45" s="187"/>
      <c r="T45" s="187"/>
      <c r="U45" s="187"/>
      <c r="V45" s="187"/>
      <c r="W45" s="187"/>
      <c r="X45" s="187"/>
      <c r="Y45" s="187"/>
      <c r="Z45" s="187"/>
      <c r="AA45" s="187"/>
      <c r="AB45" s="187"/>
      <c r="AC45" s="187"/>
      <c r="AD45" s="187"/>
      <c r="AE45" s="312">
        <f t="shared" si="10"/>
        <v>0</v>
      </c>
    </row>
    <row r="46" outlineLevel="1">
      <c r="A46" s="215" t="s">
        <v>1115</v>
      </c>
      <c r="B46" s="187"/>
      <c r="C46" s="187"/>
      <c r="D46" s="187"/>
      <c r="E46" s="187"/>
      <c r="F46" s="187"/>
      <c r="G46" s="187"/>
      <c r="H46" s="187"/>
      <c r="I46" s="187"/>
      <c r="J46" s="187"/>
      <c r="K46" s="187"/>
      <c r="L46" s="187"/>
      <c r="M46" s="187"/>
      <c r="N46" s="187"/>
      <c r="O46" s="187"/>
      <c r="P46" s="187"/>
      <c r="Q46" s="187"/>
      <c r="R46" s="187"/>
      <c r="S46" s="187"/>
      <c r="T46" s="187"/>
      <c r="U46" s="187"/>
      <c r="V46" s="187"/>
      <c r="W46" s="187"/>
      <c r="X46" s="187"/>
      <c r="Y46" s="187"/>
      <c r="Z46" s="187"/>
      <c r="AA46" s="187"/>
      <c r="AB46" s="187"/>
      <c r="AC46" s="187"/>
      <c r="AD46" s="187"/>
      <c r="AE46" s="312">
        <f t="shared" si="10"/>
        <v>0</v>
      </c>
    </row>
    <row r="47" outlineLevel="1">
      <c r="A47" s="225" t="s">
        <v>141</v>
      </c>
      <c r="B47" s="345">
        <f t="shared" ref="B47:AD47" si="11">SUM(B39:B46)</f>
        <v>0</v>
      </c>
      <c r="C47" s="345">
        <f t="shared" si="11"/>
        <v>0</v>
      </c>
      <c r="D47" s="345">
        <f t="shared" si="11"/>
        <v>0</v>
      </c>
      <c r="E47" s="345">
        <f t="shared" si="11"/>
        <v>0</v>
      </c>
      <c r="F47" s="345">
        <f t="shared" si="11"/>
        <v>0</v>
      </c>
      <c r="G47" s="345">
        <f t="shared" si="11"/>
        <v>0</v>
      </c>
      <c r="H47" s="345">
        <f t="shared" si="11"/>
        <v>0</v>
      </c>
      <c r="I47" s="345">
        <f t="shared" si="11"/>
        <v>0</v>
      </c>
      <c r="J47" s="345">
        <f t="shared" si="11"/>
        <v>0</v>
      </c>
      <c r="K47" s="345">
        <f t="shared" si="11"/>
        <v>0</v>
      </c>
      <c r="L47" s="345">
        <f t="shared" si="11"/>
        <v>0</v>
      </c>
      <c r="M47" s="345">
        <f t="shared" si="11"/>
        <v>0</v>
      </c>
      <c r="N47" s="345">
        <f t="shared" si="11"/>
        <v>0</v>
      </c>
      <c r="O47" s="345">
        <f t="shared" si="11"/>
        <v>0</v>
      </c>
      <c r="P47" s="345">
        <f t="shared" si="11"/>
        <v>0</v>
      </c>
      <c r="Q47" s="345">
        <f t="shared" si="11"/>
        <v>0</v>
      </c>
      <c r="R47" s="345">
        <f t="shared" si="11"/>
        <v>0</v>
      </c>
      <c r="S47" s="345">
        <f t="shared" si="11"/>
        <v>0</v>
      </c>
      <c r="T47" s="345">
        <f t="shared" si="11"/>
        <v>0</v>
      </c>
      <c r="U47" s="345">
        <f t="shared" si="11"/>
        <v>0</v>
      </c>
      <c r="V47" s="345">
        <f t="shared" si="11"/>
        <v>0</v>
      </c>
      <c r="W47" s="345">
        <f t="shared" si="11"/>
        <v>0</v>
      </c>
      <c r="X47" s="345">
        <f t="shared" si="11"/>
        <v>0</v>
      </c>
      <c r="Y47" s="345">
        <f t="shared" si="11"/>
        <v>0</v>
      </c>
      <c r="Z47" s="345">
        <f t="shared" si="11"/>
        <v>0</v>
      </c>
      <c r="AA47" s="345">
        <f t="shared" si="11"/>
        <v>0</v>
      </c>
      <c r="AB47" s="345">
        <f t="shared" si="11"/>
        <v>0</v>
      </c>
      <c r="AC47" s="345">
        <f t="shared" si="11"/>
        <v>0</v>
      </c>
      <c r="AD47" s="345">
        <f t="shared" si="11"/>
        <v>0</v>
      </c>
      <c r="AE47" s="312">
        <f t="shared" si="10"/>
        <v>0</v>
      </c>
    </row>
    <row r="48" outlineLevel="1">
      <c r="A48" s="98"/>
      <c r="B48" s="127"/>
      <c r="C48" s="127"/>
      <c r="D48" s="127"/>
      <c r="E48" s="127"/>
      <c r="F48" s="127"/>
      <c r="G48" s="127"/>
      <c r="H48" s="127"/>
      <c r="I48" s="83"/>
      <c r="J48" s="83"/>
      <c r="K48" s="83"/>
      <c r="L48" s="83"/>
      <c r="M48" s="83"/>
      <c r="N48" s="83"/>
      <c r="O48" s="83"/>
      <c r="P48" s="83"/>
      <c r="Q48" s="83"/>
      <c r="R48" s="83"/>
      <c r="S48" s="83"/>
      <c r="T48" s="83"/>
      <c r="U48" s="83"/>
      <c r="V48" s="83"/>
      <c r="W48" s="83"/>
      <c r="X48" s="83"/>
      <c r="Y48" s="83"/>
      <c r="Z48" s="83"/>
      <c r="AA48" s="83"/>
      <c r="AB48" s="83"/>
      <c r="AC48" s="83"/>
      <c r="AD48" s="83"/>
      <c r="AE48" s="312"/>
    </row>
    <row r="49" outlineLevel="1">
      <c r="A49" s="138" t="s">
        <v>1116</v>
      </c>
      <c r="B49" s="127"/>
      <c r="C49" s="127"/>
      <c r="D49" s="127"/>
      <c r="E49" s="127"/>
      <c r="F49" s="127"/>
      <c r="G49" s="197"/>
      <c r="H49" s="127"/>
      <c r="I49" s="83"/>
      <c r="J49" s="83"/>
      <c r="K49" s="83"/>
      <c r="L49" s="83"/>
      <c r="M49" s="83"/>
      <c r="N49" s="83"/>
      <c r="O49" s="83"/>
      <c r="P49" s="83"/>
      <c r="Q49" s="83"/>
      <c r="R49" s="83"/>
      <c r="S49" s="83"/>
      <c r="T49" s="83"/>
      <c r="U49" s="83"/>
      <c r="V49" s="83"/>
      <c r="W49" s="83"/>
      <c r="X49" s="83"/>
      <c r="Y49" s="83"/>
      <c r="Z49" s="83"/>
      <c r="AA49" s="83"/>
      <c r="AB49" s="83"/>
      <c r="AC49" s="83"/>
      <c r="AD49" s="83"/>
      <c r="AE49" s="346"/>
    </row>
    <row r="50" outlineLevel="1">
      <c r="A50" s="215" t="s">
        <v>666</v>
      </c>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c r="AE50" s="309">
        <f t="shared" ref="AE50:AE53" si="12">SUM(B50:AD50)</f>
        <v>0</v>
      </c>
    </row>
    <row r="51" outlineLevel="1">
      <c r="A51" s="215" t="s">
        <v>483</v>
      </c>
      <c r="B51" s="113"/>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309">
        <f t="shared" si="12"/>
        <v>0</v>
      </c>
    </row>
    <row r="52" outlineLevel="1">
      <c r="A52" s="215" t="s">
        <v>667</v>
      </c>
      <c r="B52" s="113"/>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309">
        <f t="shared" si="12"/>
        <v>0</v>
      </c>
    </row>
    <row r="53" outlineLevel="1">
      <c r="A53" s="365" t="s">
        <v>668</v>
      </c>
      <c r="B53" s="353">
        <f t="shared" ref="B53:AD53" si="13">SUM(B50:B52)</f>
        <v>0</v>
      </c>
      <c r="C53" s="353">
        <f t="shared" si="13"/>
        <v>0</v>
      </c>
      <c r="D53" s="353">
        <f t="shared" si="13"/>
        <v>0</v>
      </c>
      <c r="E53" s="353">
        <f t="shared" si="13"/>
        <v>0</v>
      </c>
      <c r="F53" s="353">
        <f t="shared" si="13"/>
        <v>0</v>
      </c>
      <c r="G53" s="353">
        <f t="shared" si="13"/>
        <v>0</v>
      </c>
      <c r="H53" s="353">
        <f t="shared" si="13"/>
        <v>0</v>
      </c>
      <c r="I53" s="353">
        <f t="shared" si="13"/>
        <v>0</v>
      </c>
      <c r="J53" s="353">
        <f t="shared" si="13"/>
        <v>0</v>
      </c>
      <c r="K53" s="353">
        <f t="shared" si="13"/>
        <v>0</v>
      </c>
      <c r="L53" s="353">
        <f t="shared" si="13"/>
        <v>0</v>
      </c>
      <c r="M53" s="353">
        <f t="shared" si="13"/>
        <v>0</v>
      </c>
      <c r="N53" s="353">
        <f t="shared" si="13"/>
        <v>0</v>
      </c>
      <c r="O53" s="353">
        <f t="shared" si="13"/>
        <v>0</v>
      </c>
      <c r="P53" s="353">
        <f t="shared" si="13"/>
        <v>0</v>
      </c>
      <c r="Q53" s="353">
        <f t="shared" si="13"/>
        <v>0</v>
      </c>
      <c r="R53" s="353">
        <f t="shared" si="13"/>
        <v>0</v>
      </c>
      <c r="S53" s="353">
        <f t="shared" si="13"/>
        <v>0</v>
      </c>
      <c r="T53" s="353">
        <f t="shared" si="13"/>
        <v>0</v>
      </c>
      <c r="U53" s="353">
        <f t="shared" si="13"/>
        <v>0</v>
      </c>
      <c r="V53" s="353">
        <f t="shared" si="13"/>
        <v>0</v>
      </c>
      <c r="W53" s="353">
        <f t="shared" si="13"/>
        <v>0</v>
      </c>
      <c r="X53" s="353">
        <f t="shared" si="13"/>
        <v>0</v>
      </c>
      <c r="Y53" s="353">
        <f t="shared" si="13"/>
        <v>0</v>
      </c>
      <c r="Z53" s="353">
        <f t="shared" si="13"/>
        <v>0</v>
      </c>
      <c r="AA53" s="353">
        <f t="shared" si="13"/>
        <v>0</v>
      </c>
      <c r="AB53" s="353">
        <f t="shared" si="13"/>
        <v>0</v>
      </c>
      <c r="AC53" s="353">
        <f t="shared" si="13"/>
        <v>0</v>
      </c>
      <c r="AD53" s="353">
        <f t="shared" si="13"/>
        <v>0</v>
      </c>
      <c r="AE53" s="309">
        <f t="shared" si="12"/>
        <v>0</v>
      </c>
    </row>
    <row r="54" outlineLevel="1">
      <c r="A54" s="98"/>
      <c r="B54" s="127"/>
      <c r="C54" s="127"/>
      <c r="D54" s="127"/>
      <c r="E54" s="127"/>
      <c r="F54" s="127"/>
      <c r="G54" s="127"/>
      <c r="H54" s="127"/>
      <c r="I54" s="83"/>
      <c r="J54" s="83"/>
      <c r="K54" s="83"/>
      <c r="L54" s="83"/>
      <c r="M54" s="83"/>
      <c r="N54" s="83"/>
      <c r="O54" s="83"/>
      <c r="P54" s="83"/>
      <c r="Q54" s="83"/>
      <c r="R54" s="83"/>
      <c r="S54" s="83"/>
      <c r="T54" s="83"/>
      <c r="U54" s="83"/>
      <c r="V54" s="83"/>
      <c r="W54" s="83"/>
      <c r="X54" s="83"/>
      <c r="Y54" s="83"/>
      <c r="Z54" s="83"/>
      <c r="AA54" s="83"/>
      <c r="AB54" s="83"/>
      <c r="AC54" s="83"/>
      <c r="AD54" s="83"/>
      <c r="AE54" s="312"/>
    </row>
    <row r="55" outlineLevel="1">
      <c r="A55" s="428" t="s">
        <v>1117</v>
      </c>
      <c r="B55" s="429"/>
      <c r="C55" s="429"/>
      <c r="D55" s="429"/>
      <c r="E55" s="429"/>
      <c r="F55" s="429"/>
      <c r="G55" s="429"/>
      <c r="H55" s="429"/>
      <c r="I55" s="429"/>
      <c r="J55" s="429"/>
      <c r="K55" s="429"/>
      <c r="L55" s="429"/>
      <c r="M55" s="429"/>
      <c r="N55" s="429"/>
      <c r="O55" s="429"/>
      <c r="P55" s="429"/>
      <c r="Q55" s="429"/>
      <c r="R55" s="429"/>
      <c r="S55" s="429"/>
      <c r="T55" s="430"/>
      <c r="U55" s="430"/>
      <c r="V55" s="430"/>
      <c r="W55" s="430"/>
      <c r="X55" s="430"/>
      <c r="Y55" s="430"/>
      <c r="Z55" s="430"/>
      <c r="AA55" s="430"/>
      <c r="AB55" s="430"/>
      <c r="AC55" s="430"/>
      <c r="AD55" s="430"/>
      <c r="AE55" s="789"/>
    </row>
    <row r="56" outlineLevel="1">
      <c r="A56" s="215" t="s">
        <v>1118</v>
      </c>
      <c r="B56" s="187"/>
      <c r="C56" s="187"/>
      <c r="D56" s="187"/>
      <c r="E56" s="187"/>
      <c r="F56" s="187"/>
      <c r="G56" s="187"/>
      <c r="H56" s="187"/>
      <c r="I56" s="187"/>
      <c r="J56" s="187"/>
      <c r="K56" s="187"/>
      <c r="L56" s="187"/>
      <c r="M56" s="187"/>
      <c r="N56" s="187"/>
      <c r="O56" s="187"/>
      <c r="P56" s="187"/>
      <c r="Q56" s="187"/>
      <c r="R56" s="187"/>
      <c r="S56" s="187"/>
      <c r="T56" s="187"/>
      <c r="U56" s="187"/>
      <c r="V56" s="187"/>
      <c r="W56" s="187"/>
      <c r="X56" s="187"/>
      <c r="Y56" s="187"/>
      <c r="Z56" s="187"/>
      <c r="AA56" s="187"/>
      <c r="AB56" s="187"/>
      <c r="AC56" s="187"/>
      <c r="AD56" s="187"/>
      <c r="AE56" s="312">
        <f t="shared" ref="AE56:AE61" si="14">SUM(B56:AD56)</f>
        <v>0</v>
      </c>
    </row>
    <row r="57" outlineLevel="1">
      <c r="A57" s="215" t="s">
        <v>1119</v>
      </c>
      <c r="B57" s="187"/>
      <c r="C57" s="187"/>
      <c r="D57" s="187"/>
      <c r="E57" s="187"/>
      <c r="F57" s="187"/>
      <c r="G57" s="187"/>
      <c r="H57" s="187"/>
      <c r="I57" s="187"/>
      <c r="J57" s="187"/>
      <c r="K57" s="187"/>
      <c r="L57" s="187"/>
      <c r="M57" s="187"/>
      <c r="N57" s="187"/>
      <c r="O57" s="187"/>
      <c r="P57" s="187"/>
      <c r="Q57" s="187"/>
      <c r="R57" s="187"/>
      <c r="S57" s="187"/>
      <c r="T57" s="187"/>
      <c r="U57" s="187"/>
      <c r="V57" s="187"/>
      <c r="W57" s="187"/>
      <c r="X57" s="187"/>
      <c r="Y57" s="187"/>
      <c r="Z57" s="187"/>
      <c r="AA57" s="187"/>
      <c r="AB57" s="187"/>
      <c r="AC57" s="187"/>
      <c r="AD57" s="187"/>
      <c r="AE57" s="312">
        <f t="shared" si="14"/>
        <v>0</v>
      </c>
    </row>
    <row r="58" outlineLevel="1">
      <c r="A58" s="215" t="s">
        <v>1120</v>
      </c>
      <c r="B58" s="187"/>
      <c r="C58" s="187"/>
      <c r="D58" s="187"/>
      <c r="E58" s="187"/>
      <c r="F58" s="187"/>
      <c r="G58" s="187"/>
      <c r="H58" s="187"/>
      <c r="I58" s="187"/>
      <c r="J58" s="187"/>
      <c r="K58" s="187"/>
      <c r="L58" s="187"/>
      <c r="M58" s="187"/>
      <c r="N58" s="187"/>
      <c r="O58" s="187"/>
      <c r="P58" s="187"/>
      <c r="Q58" s="187"/>
      <c r="R58" s="187"/>
      <c r="S58" s="187"/>
      <c r="T58" s="187"/>
      <c r="U58" s="187"/>
      <c r="V58" s="187"/>
      <c r="W58" s="187"/>
      <c r="X58" s="187"/>
      <c r="Y58" s="187"/>
      <c r="Z58" s="187"/>
      <c r="AA58" s="187"/>
      <c r="AB58" s="187"/>
      <c r="AC58" s="187"/>
      <c r="AD58" s="187"/>
      <c r="AE58" s="312">
        <f t="shared" si="14"/>
        <v>0</v>
      </c>
    </row>
    <row r="59" outlineLevel="1">
      <c r="A59" s="215" t="s">
        <v>1121</v>
      </c>
      <c r="B59" s="187"/>
      <c r="C59" s="187"/>
      <c r="D59" s="187"/>
      <c r="E59" s="187"/>
      <c r="F59" s="187"/>
      <c r="G59" s="187"/>
      <c r="H59" s="187"/>
      <c r="I59" s="187"/>
      <c r="J59" s="187"/>
      <c r="K59" s="187"/>
      <c r="L59" s="187"/>
      <c r="M59" s="187"/>
      <c r="N59" s="187"/>
      <c r="O59" s="187"/>
      <c r="P59" s="187"/>
      <c r="Q59" s="187"/>
      <c r="R59" s="187"/>
      <c r="S59" s="187"/>
      <c r="T59" s="187"/>
      <c r="U59" s="187"/>
      <c r="V59" s="187"/>
      <c r="W59" s="187"/>
      <c r="X59" s="187"/>
      <c r="Y59" s="187"/>
      <c r="Z59" s="187"/>
      <c r="AA59" s="187"/>
      <c r="AB59" s="187"/>
      <c r="AC59" s="187"/>
      <c r="AD59" s="187"/>
      <c r="AE59" s="312">
        <f t="shared" si="14"/>
        <v>0</v>
      </c>
    </row>
    <row r="60" outlineLevel="1">
      <c r="A60" s="223" t="s">
        <v>221</v>
      </c>
      <c r="B60" s="345">
        <f t="shared" ref="B60:AD60" si="15">SUM(B56:B57)</f>
        <v>0</v>
      </c>
      <c r="C60" s="345">
        <f t="shared" si="15"/>
        <v>0</v>
      </c>
      <c r="D60" s="345">
        <f t="shared" si="15"/>
        <v>0</v>
      </c>
      <c r="E60" s="345">
        <f t="shared" si="15"/>
        <v>0</v>
      </c>
      <c r="F60" s="345">
        <f t="shared" si="15"/>
        <v>0</v>
      </c>
      <c r="G60" s="345">
        <f t="shared" si="15"/>
        <v>0</v>
      </c>
      <c r="H60" s="345">
        <f t="shared" si="15"/>
        <v>0</v>
      </c>
      <c r="I60" s="345">
        <f t="shared" si="15"/>
        <v>0</v>
      </c>
      <c r="J60" s="345">
        <f t="shared" si="15"/>
        <v>0</v>
      </c>
      <c r="K60" s="345">
        <f t="shared" si="15"/>
        <v>0</v>
      </c>
      <c r="L60" s="345">
        <f t="shared" si="15"/>
        <v>0</v>
      </c>
      <c r="M60" s="345">
        <f t="shared" si="15"/>
        <v>0</v>
      </c>
      <c r="N60" s="345">
        <f t="shared" si="15"/>
        <v>0</v>
      </c>
      <c r="O60" s="345">
        <f t="shared" si="15"/>
        <v>0</v>
      </c>
      <c r="P60" s="345">
        <f t="shared" si="15"/>
        <v>0</v>
      </c>
      <c r="Q60" s="345">
        <f t="shared" si="15"/>
        <v>0</v>
      </c>
      <c r="R60" s="345">
        <f t="shared" si="15"/>
        <v>0</v>
      </c>
      <c r="S60" s="345">
        <f t="shared" si="15"/>
        <v>0</v>
      </c>
      <c r="T60" s="345">
        <f t="shared" si="15"/>
        <v>0</v>
      </c>
      <c r="U60" s="345">
        <f t="shared" si="15"/>
        <v>0</v>
      </c>
      <c r="V60" s="345">
        <f t="shared" si="15"/>
        <v>0</v>
      </c>
      <c r="W60" s="345">
        <f t="shared" si="15"/>
        <v>0</v>
      </c>
      <c r="X60" s="345">
        <f t="shared" si="15"/>
        <v>0</v>
      </c>
      <c r="Y60" s="345">
        <f t="shared" si="15"/>
        <v>0</v>
      </c>
      <c r="Z60" s="345">
        <f t="shared" si="15"/>
        <v>0</v>
      </c>
      <c r="AA60" s="345">
        <f t="shared" si="15"/>
        <v>0</v>
      </c>
      <c r="AB60" s="345">
        <f t="shared" si="15"/>
        <v>0</v>
      </c>
      <c r="AC60" s="345">
        <f t="shared" si="15"/>
        <v>0</v>
      </c>
      <c r="AD60" s="345">
        <f t="shared" si="15"/>
        <v>0</v>
      </c>
      <c r="AE60" s="312">
        <f t="shared" si="14"/>
        <v>0</v>
      </c>
    </row>
    <row r="61" outlineLevel="1">
      <c r="A61" s="223" t="s">
        <v>222</v>
      </c>
      <c r="B61" s="345">
        <f t="shared" ref="B61:AD61" si="16">SUM(B58:B59)</f>
        <v>0</v>
      </c>
      <c r="C61" s="345">
        <f t="shared" si="16"/>
        <v>0</v>
      </c>
      <c r="D61" s="345">
        <f t="shared" si="16"/>
        <v>0</v>
      </c>
      <c r="E61" s="345">
        <f t="shared" si="16"/>
        <v>0</v>
      </c>
      <c r="F61" s="345">
        <f t="shared" si="16"/>
        <v>0</v>
      </c>
      <c r="G61" s="345">
        <f t="shared" si="16"/>
        <v>0</v>
      </c>
      <c r="H61" s="345">
        <f t="shared" si="16"/>
        <v>0</v>
      </c>
      <c r="I61" s="345">
        <f t="shared" si="16"/>
        <v>0</v>
      </c>
      <c r="J61" s="345">
        <f t="shared" si="16"/>
        <v>0</v>
      </c>
      <c r="K61" s="345">
        <f t="shared" si="16"/>
        <v>0</v>
      </c>
      <c r="L61" s="345">
        <f t="shared" si="16"/>
        <v>0</v>
      </c>
      <c r="M61" s="345">
        <f t="shared" si="16"/>
        <v>0</v>
      </c>
      <c r="N61" s="345">
        <f t="shared" si="16"/>
        <v>0</v>
      </c>
      <c r="O61" s="345">
        <f t="shared" si="16"/>
        <v>0</v>
      </c>
      <c r="P61" s="345">
        <f t="shared" si="16"/>
        <v>0</v>
      </c>
      <c r="Q61" s="345">
        <f t="shared" si="16"/>
        <v>0</v>
      </c>
      <c r="R61" s="345">
        <f t="shared" si="16"/>
        <v>0</v>
      </c>
      <c r="S61" s="345">
        <f t="shared" si="16"/>
        <v>0</v>
      </c>
      <c r="T61" s="345">
        <f t="shared" si="16"/>
        <v>0</v>
      </c>
      <c r="U61" s="345">
        <f t="shared" si="16"/>
        <v>0</v>
      </c>
      <c r="V61" s="345">
        <f t="shared" si="16"/>
        <v>0</v>
      </c>
      <c r="W61" s="345">
        <f t="shared" si="16"/>
        <v>0</v>
      </c>
      <c r="X61" s="345">
        <f t="shared" si="16"/>
        <v>0</v>
      </c>
      <c r="Y61" s="345">
        <f t="shared" si="16"/>
        <v>0</v>
      </c>
      <c r="Z61" s="345">
        <f t="shared" si="16"/>
        <v>0</v>
      </c>
      <c r="AA61" s="345">
        <f t="shared" si="16"/>
        <v>0</v>
      </c>
      <c r="AB61" s="345">
        <f t="shared" si="16"/>
        <v>0</v>
      </c>
      <c r="AC61" s="345">
        <f t="shared" si="16"/>
        <v>0</v>
      </c>
      <c r="AD61" s="345">
        <f t="shared" si="16"/>
        <v>0</v>
      </c>
      <c r="AE61" s="312">
        <f t="shared" si="14"/>
        <v>0</v>
      </c>
    </row>
    <row r="62" outlineLevel="1">
      <c r="A62" s="98"/>
      <c r="B62" s="177"/>
      <c r="C62" s="177"/>
      <c r="D62" s="177"/>
      <c r="E62" s="177"/>
      <c r="F62" s="177"/>
      <c r="G62" s="177"/>
      <c r="H62" s="177"/>
      <c r="I62" s="177"/>
      <c r="J62" s="177"/>
      <c r="K62" s="177"/>
      <c r="L62" s="177"/>
      <c r="M62" s="177"/>
      <c r="N62" s="177"/>
      <c r="O62" s="177"/>
      <c r="P62" s="177"/>
      <c r="Q62" s="177"/>
      <c r="R62" s="177"/>
      <c r="S62" s="177"/>
      <c r="T62" s="177"/>
      <c r="U62" s="177"/>
      <c r="V62" s="177"/>
      <c r="W62" s="177"/>
      <c r="X62" s="177"/>
      <c r="Y62" s="177"/>
      <c r="Z62" s="177"/>
      <c r="AA62" s="177"/>
      <c r="AB62" s="177"/>
      <c r="AC62" s="177"/>
      <c r="AD62" s="177"/>
      <c r="AE62" s="346"/>
    </row>
    <row r="63" outlineLevel="1">
      <c r="A63" s="215" t="s">
        <v>224</v>
      </c>
      <c r="B63" s="187"/>
      <c r="C63" s="187"/>
      <c r="D63" s="187"/>
      <c r="E63" s="187"/>
      <c r="F63" s="187"/>
      <c r="G63" s="187"/>
      <c r="H63" s="187"/>
      <c r="I63" s="187"/>
      <c r="J63" s="187"/>
      <c r="K63" s="187"/>
      <c r="L63" s="187"/>
      <c r="M63" s="187"/>
      <c r="N63" s="187"/>
      <c r="O63" s="187"/>
      <c r="P63" s="187"/>
      <c r="Q63" s="187"/>
      <c r="R63" s="187"/>
      <c r="S63" s="187"/>
      <c r="T63" s="187"/>
      <c r="U63" s="187"/>
      <c r="V63" s="187"/>
      <c r="W63" s="187"/>
      <c r="X63" s="187"/>
      <c r="Y63" s="187"/>
      <c r="Z63" s="187"/>
      <c r="AA63" s="187"/>
      <c r="AB63" s="187"/>
      <c r="AC63" s="187"/>
      <c r="AD63" s="187"/>
      <c r="AE63" s="312">
        <f t="shared" ref="AE63:AE71" si="17">SUM(B63:AD63)</f>
        <v>0</v>
      </c>
    </row>
    <row r="64" outlineLevel="1">
      <c r="A64" s="215" t="s">
        <v>225</v>
      </c>
      <c r="B64" s="187"/>
      <c r="C64" s="187"/>
      <c r="D64" s="187"/>
      <c r="E64" s="187"/>
      <c r="F64" s="187"/>
      <c r="G64" s="187"/>
      <c r="H64" s="187"/>
      <c r="I64" s="187"/>
      <c r="J64" s="187"/>
      <c r="K64" s="187"/>
      <c r="L64" s="187"/>
      <c r="M64" s="187"/>
      <c r="N64" s="187"/>
      <c r="O64" s="187"/>
      <c r="P64" s="187"/>
      <c r="Q64" s="187"/>
      <c r="R64" s="187"/>
      <c r="S64" s="187"/>
      <c r="T64" s="187"/>
      <c r="U64" s="187"/>
      <c r="V64" s="187"/>
      <c r="W64" s="187"/>
      <c r="X64" s="187"/>
      <c r="Y64" s="187"/>
      <c r="Z64" s="187"/>
      <c r="AA64" s="187"/>
      <c r="AB64" s="187"/>
      <c r="AC64" s="187"/>
      <c r="AD64" s="187"/>
      <c r="AE64" s="312">
        <f t="shared" si="17"/>
        <v>0</v>
      </c>
    </row>
    <row r="65" outlineLevel="1">
      <c r="A65" s="215" t="s">
        <v>1122</v>
      </c>
      <c r="B65" s="187"/>
      <c r="C65" s="187"/>
      <c r="D65" s="187"/>
      <c r="E65" s="187"/>
      <c r="F65" s="187"/>
      <c r="G65" s="187"/>
      <c r="H65" s="187"/>
      <c r="I65" s="187"/>
      <c r="J65" s="187"/>
      <c r="K65" s="187"/>
      <c r="L65" s="187"/>
      <c r="M65" s="187"/>
      <c r="N65" s="187"/>
      <c r="O65" s="187"/>
      <c r="P65" s="187"/>
      <c r="Q65" s="187"/>
      <c r="R65" s="187"/>
      <c r="S65" s="187"/>
      <c r="T65" s="187"/>
      <c r="U65" s="187"/>
      <c r="V65" s="187"/>
      <c r="W65" s="187"/>
      <c r="X65" s="187"/>
      <c r="Y65" s="187"/>
      <c r="Z65" s="187"/>
      <c r="AA65" s="187"/>
      <c r="AB65" s="187"/>
      <c r="AC65" s="187"/>
      <c r="AD65" s="187"/>
      <c r="AE65" s="312">
        <f t="shared" si="17"/>
        <v>0</v>
      </c>
    </row>
    <row r="66" outlineLevel="1">
      <c r="A66" s="215" t="s">
        <v>1123</v>
      </c>
      <c r="B66" s="187"/>
      <c r="C66" s="187"/>
      <c r="D66" s="187"/>
      <c r="E66" s="187"/>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312">
        <f t="shared" si="17"/>
        <v>0</v>
      </c>
    </row>
    <row r="67" outlineLevel="1">
      <c r="A67" s="215" t="s">
        <v>1124</v>
      </c>
      <c r="B67" s="187"/>
      <c r="C67" s="187"/>
      <c r="D67" s="187"/>
      <c r="E67" s="187"/>
      <c r="F67" s="187"/>
      <c r="G67" s="187"/>
      <c r="H67" s="187"/>
      <c r="I67" s="187"/>
      <c r="J67" s="187"/>
      <c r="K67" s="187"/>
      <c r="L67" s="187"/>
      <c r="M67" s="187"/>
      <c r="N67" s="187"/>
      <c r="O67" s="187"/>
      <c r="P67" s="187"/>
      <c r="Q67" s="187"/>
      <c r="R67" s="187"/>
      <c r="S67" s="187"/>
      <c r="T67" s="187"/>
      <c r="U67" s="187"/>
      <c r="V67" s="187"/>
      <c r="W67" s="187"/>
      <c r="X67" s="187"/>
      <c r="Y67" s="187"/>
      <c r="Z67" s="187"/>
      <c r="AA67" s="187"/>
      <c r="AB67" s="187"/>
      <c r="AC67" s="187"/>
      <c r="AD67" s="187"/>
      <c r="AE67" s="312">
        <f t="shared" si="17"/>
        <v>0</v>
      </c>
    </row>
    <row r="68" outlineLevel="1">
      <c r="A68" s="215" t="s">
        <v>1125</v>
      </c>
      <c r="B68" s="187"/>
      <c r="C68" s="187"/>
      <c r="D68" s="187"/>
      <c r="E68" s="187"/>
      <c r="F68" s="187"/>
      <c r="G68" s="187"/>
      <c r="H68" s="187"/>
      <c r="I68" s="187"/>
      <c r="J68" s="187"/>
      <c r="K68" s="187"/>
      <c r="L68" s="187"/>
      <c r="M68" s="187"/>
      <c r="N68" s="187"/>
      <c r="O68" s="187"/>
      <c r="P68" s="187"/>
      <c r="Q68" s="187"/>
      <c r="R68" s="187"/>
      <c r="S68" s="187"/>
      <c r="T68" s="187"/>
      <c r="U68" s="187"/>
      <c r="V68" s="187"/>
      <c r="W68" s="187"/>
      <c r="X68" s="187"/>
      <c r="Y68" s="187"/>
      <c r="Z68" s="187"/>
      <c r="AA68" s="187"/>
      <c r="AB68" s="187"/>
      <c r="AC68" s="187"/>
      <c r="AD68" s="187"/>
      <c r="AE68" s="312">
        <f t="shared" si="17"/>
        <v>0</v>
      </c>
    </row>
    <row r="69" outlineLevel="1">
      <c r="A69" s="215" t="s">
        <v>1126</v>
      </c>
      <c r="B69" s="187"/>
      <c r="C69" s="187"/>
      <c r="D69" s="187"/>
      <c r="E69" s="187"/>
      <c r="F69" s="187"/>
      <c r="G69" s="187"/>
      <c r="H69" s="187"/>
      <c r="I69" s="187"/>
      <c r="J69" s="187"/>
      <c r="K69" s="187"/>
      <c r="L69" s="187"/>
      <c r="M69" s="187"/>
      <c r="N69" s="187"/>
      <c r="O69" s="187"/>
      <c r="P69" s="187"/>
      <c r="Q69" s="187"/>
      <c r="R69" s="187"/>
      <c r="S69" s="187"/>
      <c r="T69" s="187"/>
      <c r="U69" s="187"/>
      <c r="V69" s="187"/>
      <c r="W69" s="187"/>
      <c r="X69" s="187"/>
      <c r="Y69" s="187"/>
      <c r="Z69" s="187"/>
      <c r="AA69" s="187"/>
      <c r="AB69" s="187"/>
      <c r="AC69" s="187"/>
      <c r="AD69" s="187"/>
      <c r="AE69" s="312">
        <f t="shared" si="17"/>
        <v>0</v>
      </c>
    </row>
    <row r="70" outlineLevel="1">
      <c r="A70" s="215" t="s">
        <v>1127</v>
      </c>
      <c r="B70" s="187"/>
      <c r="C70" s="187"/>
      <c r="D70" s="187"/>
      <c r="E70" s="187"/>
      <c r="F70" s="187"/>
      <c r="G70" s="187"/>
      <c r="H70" s="187"/>
      <c r="I70" s="187"/>
      <c r="J70" s="187"/>
      <c r="K70" s="187"/>
      <c r="L70" s="187"/>
      <c r="M70" s="187"/>
      <c r="N70" s="187"/>
      <c r="O70" s="187"/>
      <c r="P70" s="187"/>
      <c r="Q70" s="187"/>
      <c r="R70" s="187"/>
      <c r="S70" s="187"/>
      <c r="T70" s="187"/>
      <c r="U70" s="187"/>
      <c r="V70" s="187"/>
      <c r="W70" s="187"/>
      <c r="X70" s="187"/>
      <c r="Y70" s="187"/>
      <c r="Z70" s="187"/>
      <c r="AA70" s="187"/>
      <c r="AB70" s="187"/>
      <c r="AC70" s="187"/>
      <c r="AD70" s="187"/>
      <c r="AE70" s="312">
        <f t="shared" si="17"/>
        <v>0</v>
      </c>
    </row>
    <row r="71" outlineLevel="1">
      <c r="A71" s="225" t="s">
        <v>141</v>
      </c>
      <c r="B71" s="345">
        <f t="shared" ref="B71:AD71" si="18">SUM(B63:B70)</f>
        <v>0</v>
      </c>
      <c r="C71" s="345">
        <f t="shared" si="18"/>
        <v>0</v>
      </c>
      <c r="D71" s="345">
        <f t="shared" si="18"/>
        <v>0</v>
      </c>
      <c r="E71" s="345">
        <f t="shared" si="18"/>
        <v>0</v>
      </c>
      <c r="F71" s="345">
        <f t="shared" si="18"/>
        <v>0</v>
      </c>
      <c r="G71" s="345">
        <f t="shared" si="18"/>
        <v>0</v>
      </c>
      <c r="H71" s="345">
        <f t="shared" si="18"/>
        <v>0</v>
      </c>
      <c r="I71" s="345">
        <f t="shared" si="18"/>
        <v>0</v>
      </c>
      <c r="J71" s="345">
        <f t="shared" si="18"/>
        <v>0</v>
      </c>
      <c r="K71" s="345">
        <f t="shared" si="18"/>
        <v>0</v>
      </c>
      <c r="L71" s="345">
        <f t="shared" si="18"/>
        <v>0</v>
      </c>
      <c r="M71" s="345">
        <f t="shared" si="18"/>
        <v>0</v>
      </c>
      <c r="N71" s="345">
        <f t="shared" si="18"/>
        <v>0</v>
      </c>
      <c r="O71" s="345">
        <f t="shared" si="18"/>
        <v>0</v>
      </c>
      <c r="P71" s="345">
        <f t="shared" si="18"/>
        <v>0</v>
      </c>
      <c r="Q71" s="345">
        <f t="shared" si="18"/>
        <v>0</v>
      </c>
      <c r="R71" s="345">
        <f t="shared" si="18"/>
        <v>0</v>
      </c>
      <c r="S71" s="345">
        <f t="shared" si="18"/>
        <v>0</v>
      </c>
      <c r="T71" s="345">
        <f t="shared" si="18"/>
        <v>0</v>
      </c>
      <c r="U71" s="345">
        <f t="shared" si="18"/>
        <v>0</v>
      </c>
      <c r="V71" s="345">
        <f t="shared" si="18"/>
        <v>0</v>
      </c>
      <c r="W71" s="345">
        <f t="shared" si="18"/>
        <v>0</v>
      </c>
      <c r="X71" s="345">
        <f t="shared" si="18"/>
        <v>0</v>
      </c>
      <c r="Y71" s="345">
        <f t="shared" si="18"/>
        <v>0</v>
      </c>
      <c r="Z71" s="345">
        <f t="shared" si="18"/>
        <v>0</v>
      </c>
      <c r="AA71" s="345">
        <f t="shared" si="18"/>
        <v>0</v>
      </c>
      <c r="AB71" s="345">
        <f t="shared" si="18"/>
        <v>0</v>
      </c>
      <c r="AC71" s="345">
        <f t="shared" si="18"/>
        <v>0</v>
      </c>
      <c r="AD71" s="345">
        <f t="shared" si="18"/>
        <v>0</v>
      </c>
      <c r="AE71" s="312">
        <f t="shared" si="17"/>
        <v>0</v>
      </c>
    </row>
    <row r="72" outlineLevel="1">
      <c r="A72" s="166"/>
      <c r="B72" s="177"/>
      <c r="C72" s="177"/>
      <c r="D72" s="177"/>
      <c r="E72" s="177"/>
      <c r="F72" s="177"/>
      <c r="G72" s="177"/>
      <c r="H72" s="177"/>
      <c r="I72" s="177"/>
      <c r="J72" s="177"/>
      <c r="K72" s="177"/>
      <c r="L72" s="177"/>
      <c r="M72" s="177"/>
      <c r="N72" s="177"/>
      <c r="O72" s="177"/>
      <c r="P72" s="177"/>
      <c r="Q72" s="177"/>
      <c r="R72" s="177"/>
      <c r="S72" s="177"/>
      <c r="T72" s="177"/>
      <c r="U72" s="177"/>
      <c r="V72" s="177"/>
      <c r="W72" s="177"/>
      <c r="X72" s="177"/>
      <c r="Y72" s="177"/>
      <c r="Z72" s="177"/>
      <c r="AA72" s="177"/>
      <c r="AB72" s="177"/>
      <c r="AC72" s="177"/>
      <c r="AD72" s="177"/>
      <c r="AE72" s="309"/>
    </row>
    <row r="73" outlineLevel="1">
      <c r="A73" s="138" t="s">
        <v>1128</v>
      </c>
      <c r="B73" s="177"/>
      <c r="C73" s="177"/>
      <c r="D73" s="177"/>
      <c r="E73" s="177"/>
      <c r="F73" s="177"/>
      <c r="G73" s="177"/>
      <c r="H73" s="177"/>
      <c r="I73" s="177"/>
      <c r="J73" s="177"/>
      <c r="K73" s="177"/>
      <c r="L73" s="177"/>
      <c r="M73" s="177"/>
      <c r="N73" s="177"/>
      <c r="O73" s="177"/>
      <c r="P73" s="177"/>
      <c r="Q73" s="177"/>
      <c r="R73" s="177"/>
      <c r="S73" s="177"/>
      <c r="T73" s="177"/>
      <c r="U73" s="177"/>
      <c r="V73" s="177"/>
      <c r="W73" s="177"/>
      <c r="X73" s="177"/>
      <c r="Y73" s="177"/>
      <c r="Z73" s="177"/>
      <c r="AA73" s="177"/>
      <c r="AB73" s="177"/>
      <c r="AC73" s="177"/>
      <c r="AD73" s="177"/>
      <c r="AE73" s="346"/>
    </row>
    <row r="74" outlineLevel="1">
      <c r="A74" s="215" t="s">
        <v>666</v>
      </c>
      <c r="B74" s="197"/>
      <c r="C74" s="197"/>
      <c r="D74" s="197"/>
      <c r="E74" s="234"/>
      <c r="F74" s="234"/>
      <c r="G74" s="234"/>
      <c r="H74" s="234"/>
      <c r="I74" s="234"/>
      <c r="J74" s="234"/>
      <c r="K74" s="234"/>
      <c r="L74" s="197"/>
      <c r="M74" s="234"/>
      <c r="N74" s="234"/>
      <c r="O74" s="234"/>
      <c r="P74" s="234"/>
      <c r="Q74" s="234"/>
      <c r="R74" s="234"/>
      <c r="S74" s="234"/>
      <c r="T74" s="234"/>
      <c r="U74" s="234"/>
      <c r="V74" s="234"/>
      <c r="W74" s="234"/>
      <c r="X74" s="197"/>
      <c r="Y74" s="234"/>
      <c r="Z74" s="234"/>
      <c r="AA74" s="234"/>
      <c r="AB74" s="234"/>
      <c r="AC74" s="234"/>
      <c r="AD74" s="197"/>
      <c r="AE74" s="309">
        <f t="shared" ref="AE74:AE77" si="19">SUM(B74:AD74)</f>
        <v>0</v>
      </c>
    </row>
    <row r="75" outlineLevel="1">
      <c r="A75" s="215" t="s">
        <v>483</v>
      </c>
      <c r="B75" s="97"/>
      <c r="C75" s="97"/>
      <c r="D75" s="97"/>
      <c r="E75" s="97"/>
      <c r="F75" s="97"/>
      <c r="G75" s="331"/>
      <c r="H75" s="331"/>
      <c r="I75" s="331"/>
      <c r="J75" s="331"/>
      <c r="K75" s="97"/>
      <c r="L75" s="331"/>
      <c r="M75" s="331"/>
      <c r="N75" s="331"/>
      <c r="O75" s="331"/>
      <c r="P75" s="331"/>
      <c r="Q75" s="331"/>
      <c r="R75" s="331"/>
      <c r="S75" s="331"/>
      <c r="T75" s="331"/>
      <c r="U75" s="331"/>
      <c r="V75" s="331"/>
      <c r="W75" s="331"/>
      <c r="X75" s="331"/>
      <c r="Y75" s="331"/>
      <c r="Z75" s="331"/>
      <c r="AA75" s="331"/>
      <c r="AB75" s="331"/>
      <c r="AC75" s="331"/>
      <c r="AD75" s="331"/>
      <c r="AE75" s="309">
        <f t="shared" si="19"/>
        <v>0</v>
      </c>
    </row>
    <row r="76" outlineLevel="1">
      <c r="A76" s="215" t="s">
        <v>667</v>
      </c>
      <c r="B76" s="97"/>
      <c r="C76" s="97"/>
      <c r="D76" s="97"/>
      <c r="E76" s="97"/>
      <c r="F76" s="97"/>
      <c r="G76" s="331"/>
      <c r="H76" s="331"/>
      <c r="I76" s="331"/>
      <c r="J76" s="331"/>
      <c r="K76" s="97"/>
      <c r="L76" s="331"/>
      <c r="M76" s="331"/>
      <c r="N76" s="331"/>
      <c r="O76" s="331"/>
      <c r="P76" s="331"/>
      <c r="Q76" s="331"/>
      <c r="R76" s="331"/>
      <c r="S76" s="331"/>
      <c r="T76" s="331"/>
      <c r="U76" s="331"/>
      <c r="V76" s="331"/>
      <c r="W76" s="331"/>
      <c r="X76" s="331"/>
      <c r="Y76" s="331"/>
      <c r="Z76" s="331"/>
      <c r="AA76" s="331"/>
      <c r="AB76" s="331"/>
      <c r="AC76" s="331"/>
      <c r="AD76" s="331"/>
      <c r="AE76" s="309">
        <f t="shared" si="19"/>
        <v>0</v>
      </c>
    </row>
    <row r="77" outlineLevel="1">
      <c r="A77" s="426" t="s">
        <v>668</v>
      </c>
      <c r="B77" s="427">
        <f t="shared" ref="B77:AD77" si="20">sum(B74:B76)</f>
        <v>0</v>
      </c>
      <c r="C77" s="427">
        <f t="shared" si="20"/>
        <v>0</v>
      </c>
      <c r="D77" s="427">
        <f t="shared" si="20"/>
        <v>0</v>
      </c>
      <c r="E77" s="427">
        <f t="shared" si="20"/>
        <v>0</v>
      </c>
      <c r="F77" s="427">
        <f t="shared" si="20"/>
        <v>0</v>
      </c>
      <c r="G77" s="427">
        <f t="shared" si="20"/>
        <v>0</v>
      </c>
      <c r="H77" s="427">
        <f t="shared" si="20"/>
        <v>0</v>
      </c>
      <c r="I77" s="427">
        <f t="shared" si="20"/>
        <v>0</v>
      </c>
      <c r="J77" s="427">
        <f t="shared" si="20"/>
        <v>0</v>
      </c>
      <c r="K77" s="427">
        <f t="shared" si="20"/>
        <v>0</v>
      </c>
      <c r="L77" s="427">
        <f t="shared" si="20"/>
        <v>0</v>
      </c>
      <c r="M77" s="427">
        <f t="shared" si="20"/>
        <v>0</v>
      </c>
      <c r="N77" s="427">
        <f t="shared" si="20"/>
        <v>0</v>
      </c>
      <c r="O77" s="427">
        <f t="shared" si="20"/>
        <v>0</v>
      </c>
      <c r="P77" s="427">
        <f t="shared" si="20"/>
        <v>0</v>
      </c>
      <c r="Q77" s="427">
        <f t="shared" si="20"/>
        <v>0</v>
      </c>
      <c r="R77" s="427">
        <f t="shared" si="20"/>
        <v>0</v>
      </c>
      <c r="S77" s="427">
        <f t="shared" si="20"/>
        <v>0</v>
      </c>
      <c r="T77" s="427">
        <f t="shared" si="20"/>
        <v>0</v>
      </c>
      <c r="U77" s="427">
        <f t="shared" si="20"/>
        <v>0</v>
      </c>
      <c r="V77" s="427">
        <f t="shared" si="20"/>
        <v>0</v>
      </c>
      <c r="W77" s="427">
        <f t="shared" si="20"/>
        <v>0</v>
      </c>
      <c r="X77" s="427">
        <f t="shared" si="20"/>
        <v>0</v>
      </c>
      <c r="Y77" s="427">
        <f t="shared" si="20"/>
        <v>0</v>
      </c>
      <c r="Z77" s="427">
        <f t="shared" si="20"/>
        <v>0</v>
      </c>
      <c r="AA77" s="427">
        <f t="shared" si="20"/>
        <v>0</v>
      </c>
      <c r="AB77" s="427">
        <f t="shared" si="20"/>
        <v>0</v>
      </c>
      <c r="AC77" s="427">
        <f t="shared" si="20"/>
        <v>0</v>
      </c>
      <c r="AD77" s="427">
        <f t="shared" si="20"/>
        <v>0</v>
      </c>
      <c r="AE77" s="790">
        <f t="shared" si="19"/>
        <v>0</v>
      </c>
    </row>
    <row r="78">
      <c r="A78" s="83"/>
      <c r="B78" s="83"/>
      <c r="C78" s="83"/>
      <c r="D78" s="83"/>
      <c r="E78" s="83"/>
      <c r="F78" s="83"/>
      <c r="G78" s="83"/>
      <c r="H78" s="83"/>
      <c r="I78" s="83"/>
      <c r="J78" s="83"/>
      <c r="K78" s="83"/>
      <c r="L78" s="83"/>
      <c r="M78" s="83"/>
      <c r="N78" s="83"/>
      <c r="O78" s="83"/>
      <c r="P78" s="83"/>
      <c r="Q78" s="83"/>
      <c r="R78" s="83"/>
      <c r="S78" s="83"/>
      <c r="T78" s="83"/>
      <c r="U78" s="83"/>
      <c r="V78" s="83"/>
      <c r="W78" s="83"/>
      <c r="X78" s="83"/>
      <c r="Y78" s="83"/>
      <c r="Z78" s="83"/>
      <c r="AA78" s="83"/>
      <c r="AB78" s="83"/>
      <c r="AC78" s="83"/>
      <c r="AD78" s="83"/>
      <c r="AE78" s="312"/>
    </row>
    <row r="79">
      <c r="A79" s="83"/>
      <c r="B79" s="83"/>
      <c r="C79" s="83"/>
      <c r="D79" s="83"/>
      <c r="E79" s="83"/>
      <c r="F79" s="83"/>
      <c r="G79" s="83"/>
      <c r="H79" s="83"/>
      <c r="I79" s="83"/>
      <c r="J79" s="83"/>
      <c r="K79" s="83"/>
      <c r="L79" s="83"/>
      <c r="M79" s="83"/>
      <c r="N79" s="83"/>
      <c r="O79" s="83"/>
      <c r="P79" s="83"/>
      <c r="Q79" s="83"/>
      <c r="R79" s="83"/>
      <c r="S79" s="83"/>
      <c r="T79" s="83"/>
      <c r="U79" s="83"/>
      <c r="V79" s="83"/>
      <c r="W79" s="83"/>
      <c r="X79" s="83"/>
      <c r="Y79" s="83"/>
      <c r="Z79" s="83"/>
      <c r="AA79" s="83"/>
      <c r="AB79" s="83"/>
      <c r="AC79" s="83"/>
      <c r="AD79" s="83"/>
      <c r="AE79" s="312"/>
    </row>
    <row r="80">
      <c r="A80" s="83"/>
      <c r="B80" s="83"/>
      <c r="C80" s="83"/>
      <c r="D80" s="83"/>
      <c r="E80" s="83"/>
      <c r="F80" s="83"/>
      <c r="G80" s="83"/>
      <c r="H80" s="83"/>
      <c r="I80" s="83"/>
      <c r="J80" s="83"/>
      <c r="K80" s="83"/>
      <c r="L80" s="83"/>
      <c r="M80" s="83"/>
      <c r="N80" s="83"/>
      <c r="O80" s="83"/>
      <c r="P80" s="83"/>
      <c r="Q80" s="83"/>
      <c r="R80" s="83"/>
      <c r="S80" s="83"/>
      <c r="T80" s="83"/>
      <c r="U80" s="83"/>
      <c r="V80" s="83"/>
      <c r="W80" s="83"/>
      <c r="X80" s="83"/>
      <c r="Y80" s="83"/>
      <c r="Z80" s="83"/>
      <c r="AA80" s="83"/>
      <c r="AB80" s="83"/>
      <c r="AC80" s="83"/>
      <c r="AD80" s="83"/>
      <c r="AE80" s="312"/>
    </row>
    <row r="81" ht="30.75" customHeight="1">
      <c r="A81" s="412" t="s">
        <v>1129</v>
      </c>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c r="AA81" s="146"/>
      <c r="AB81" s="146"/>
      <c r="AC81" s="146"/>
      <c r="AD81" s="146"/>
      <c r="AE81" s="312"/>
    </row>
    <row r="82" collapsed="1">
      <c r="A82" s="133" t="s">
        <v>89</v>
      </c>
      <c r="B82" s="134">
        <f>Summary!B38</f>
        <v>1415.9076</v>
      </c>
      <c r="C82" s="134">
        <f>Summary!C38</f>
        <v>1526.2932</v>
      </c>
      <c r="D82" s="134">
        <f>Summary!D38</f>
        <v>1784.2134</v>
      </c>
      <c r="E82" s="134">
        <f>Summary!E38</f>
        <v>3203.3052</v>
      </c>
      <c r="F82" s="134">
        <f>Summary!F38</f>
        <v>5828.1474</v>
      </c>
      <c r="G82" s="134">
        <f>Summary!G38</f>
        <v>7178.2482</v>
      </c>
      <c r="H82" s="134">
        <f>Summary!H38</f>
        <v>4623.4584</v>
      </c>
      <c r="I82" s="134">
        <f>Summary!I38</f>
        <v>6599.7852</v>
      </c>
      <c r="J82" s="134">
        <f>Summary!J38</f>
        <v>4488.6606</v>
      </c>
      <c r="K82" s="134">
        <f>Summary!K38</f>
        <v>7720.6236</v>
      </c>
      <c r="L82" s="134">
        <f>Summary!L38</f>
        <v>10142.7384</v>
      </c>
      <c r="M82" s="134">
        <f>Summary!M38</f>
        <v>4710.4932</v>
      </c>
      <c r="N82" s="134">
        <f>Summary!N38</f>
        <v>1260.9432</v>
      </c>
      <c r="O82" s="134">
        <f>Summary!O38</f>
        <v>0</v>
      </c>
      <c r="P82" s="134">
        <f>Summary!P38</f>
        <v>537.0684</v>
      </c>
      <c r="Q82" s="134">
        <f>Summary!Q38</f>
        <v>713.2608</v>
      </c>
      <c r="R82" s="134">
        <f>Summary!R38</f>
        <v>254.736</v>
      </c>
      <c r="S82" s="134">
        <f>Summary!S38</f>
        <v>1018.944</v>
      </c>
      <c r="T82" s="134">
        <f>Summary!T38</f>
        <v>723.8748</v>
      </c>
      <c r="U82" s="134">
        <f>Summary!U38</f>
        <v>1757.6784</v>
      </c>
      <c r="V82" s="134">
        <f>Summary!V38</f>
        <v>496.7352</v>
      </c>
      <c r="W82" s="134">
        <f>Summary!W38</f>
        <v>0</v>
      </c>
      <c r="X82" s="134">
        <f>Summary!X38</f>
        <v>712.1994</v>
      </c>
      <c r="Y82" s="134">
        <f>Summary!Y38</f>
        <v>254.736</v>
      </c>
      <c r="Z82" s="134">
        <f>Summary!Z38</f>
        <v>1017.8826</v>
      </c>
      <c r="AA82" s="134">
        <f>Summary!AA38</f>
        <v>254.736</v>
      </c>
      <c r="AB82" s="134">
        <f>Summary!AB38</f>
        <v>253.6746</v>
      </c>
      <c r="AC82" s="134">
        <f>Summary!AC38</f>
        <v>2811.6486</v>
      </c>
      <c r="AD82" s="134">
        <f>Summary!AD38</f>
        <v>2072.9142</v>
      </c>
      <c r="AE82" s="312">
        <f>sum(B82:AD82)</f>
        <v>73362.9066</v>
      </c>
    </row>
    <row r="83" hidden="1" outlineLevel="1">
      <c r="A83" s="783" t="s">
        <v>121</v>
      </c>
      <c r="B83" s="415"/>
      <c r="C83" s="415"/>
      <c r="D83" s="415"/>
      <c r="E83" s="415"/>
      <c r="F83" s="415"/>
      <c r="G83" s="415"/>
      <c r="H83" s="415"/>
      <c r="I83" s="415"/>
      <c r="J83" s="415"/>
      <c r="K83" s="415"/>
      <c r="L83" s="415"/>
      <c r="M83" s="415"/>
      <c r="N83" s="415"/>
      <c r="O83" s="415"/>
      <c r="P83" s="415"/>
      <c r="Q83" s="415"/>
      <c r="R83" s="415"/>
      <c r="S83" s="415"/>
      <c r="T83" s="415"/>
      <c r="U83" s="415"/>
      <c r="V83" s="415"/>
      <c r="W83" s="415"/>
      <c r="X83" s="415"/>
      <c r="Y83" s="415"/>
      <c r="Z83" s="415"/>
      <c r="AA83" s="415"/>
      <c r="AB83" s="415"/>
      <c r="AC83" s="415"/>
      <c r="AD83" s="415"/>
      <c r="AE83" s="312"/>
    </row>
    <row r="84" hidden="1" outlineLevel="1">
      <c r="A84" s="785" t="s">
        <v>41</v>
      </c>
      <c r="B84" s="134">
        <f>Summary!B40</f>
        <v>81.9076</v>
      </c>
      <c r="C84" s="134">
        <f>Summary!C40</f>
        <v>88.2932</v>
      </c>
      <c r="D84" s="134">
        <f>Summary!D40</f>
        <v>103.2134</v>
      </c>
      <c r="E84" s="134">
        <f>Summary!E40</f>
        <v>185.3052</v>
      </c>
      <c r="F84" s="134">
        <f>Summary!F40</f>
        <v>337.1474</v>
      </c>
      <c r="G84" s="134">
        <f>Summary!G40</f>
        <v>415.2482</v>
      </c>
      <c r="H84" s="134">
        <f>Summary!H40</f>
        <v>267.4584</v>
      </c>
      <c r="I84" s="134">
        <f>Summary!I40</f>
        <v>381.7852</v>
      </c>
      <c r="J84" s="134">
        <f>Summary!J40</f>
        <v>259.6606</v>
      </c>
      <c r="K84" s="134">
        <f>Summary!K40</f>
        <v>446.6236</v>
      </c>
      <c r="L84" s="134">
        <f>Summary!L40</f>
        <v>586.7384</v>
      </c>
      <c r="M84" s="134">
        <f>Summary!M40</f>
        <v>272.4932</v>
      </c>
      <c r="N84" s="134">
        <f>Summary!N40</f>
        <v>72.9432</v>
      </c>
      <c r="O84" s="134">
        <f>Summary!O40</f>
        <v>0</v>
      </c>
      <c r="P84" s="134">
        <f>Summary!P40</f>
        <v>31.0684</v>
      </c>
      <c r="Q84" s="134">
        <f>Summary!Q40</f>
        <v>41.2608</v>
      </c>
      <c r="R84" s="134">
        <f>Summary!R40</f>
        <v>14.736</v>
      </c>
      <c r="S84" s="134">
        <f>Summary!S40</f>
        <v>58.944</v>
      </c>
      <c r="T84" s="134">
        <f>Summary!T40</f>
        <v>41.8748</v>
      </c>
      <c r="U84" s="134">
        <f>Summary!U40</f>
        <v>101.6784</v>
      </c>
      <c r="V84" s="134">
        <f>Summary!V40</f>
        <v>28.7352</v>
      </c>
      <c r="W84" s="134">
        <f>Summary!W40</f>
        <v>0</v>
      </c>
      <c r="X84" s="134">
        <f>Summary!X40</f>
        <v>41.1994</v>
      </c>
      <c r="Y84" s="134">
        <f>Summary!Y40</f>
        <v>14.736</v>
      </c>
      <c r="Z84" s="134">
        <f>Summary!Z40</f>
        <v>58.8826</v>
      </c>
      <c r="AA84" s="134">
        <f>Summary!AA40</f>
        <v>14.736</v>
      </c>
      <c r="AB84" s="134">
        <f>Summary!AB40</f>
        <v>14.6746</v>
      </c>
      <c r="AC84" s="134">
        <f>Summary!AC40</f>
        <v>162.6486</v>
      </c>
      <c r="AD84" s="134">
        <f>Summary!AD40</f>
        <v>119.9142</v>
      </c>
      <c r="AE84" s="312">
        <f t="shared" ref="AE84:AE86" si="21">sum(B84:AD84)</f>
        <v>4243.9066</v>
      </c>
    </row>
    <row r="85" hidden="1" outlineLevel="1">
      <c r="A85" s="785" t="s">
        <v>640</v>
      </c>
      <c r="B85" s="134" t="str">
        <f>Summary!B41</f>
        <v/>
      </c>
      <c r="C85" s="134" t="str">
        <f>Summary!C41</f>
        <v/>
      </c>
      <c r="D85" s="134" t="str">
        <f>Summary!D41</f>
        <v/>
      </c>
      <c r="E85" s="134" t="str">
        <f>Summary!E41</f>
        <v/>
      </c>
      <c r="F85" s="134" t="str">
        <f>Summary!F41</f>
        <v/>
      </c>
      <c r="G85" s="134" t="str">
        <f>Summary!G41</f>
        <v/>
      </c>
      <c r="H85" s="134" t="str">
        <f>Summary!H41</f>
        <v/>
      </c>
      <c r="I85" s="134" t="str">
        <f>Summary!I41</f>
        <v/>
      </c>
      <c r="J85" s="134" t="str">
        <f>Summary!J41</f>
        <v/>
      </c>
      <c r="K85" s="134" t="str">
        <f>Summary!K41</f>
        <v/>
      </c>
      <c r="L85" s="134" t="str">
        <f>Summary!L41</f>
        <v/>
      </c>
      <c r="M85" s="134" t="str">
        <f>Summary!M41</f>
        <v/>
      </c>
      <c r="N85" s="134" t="str">
        <f>Summary!N41</f>
        <v/>
      </c>
      <c r="O85" s="134" t="str">
        <f>Summary!O41</f>
        <v/>
      </c>
      <c r="P85" s="134" t="str">
        <f>Summary!P41</f>
        <v/>
      </c>
      <c r="Q85" s="134" t="str">
        <f>Summary!Q41</f>
        <v/>
      </c>
      <c r="R85" s="134" t="str">
        <f>Summary!R41</f>
        <v/>
      </c>
      <c r="S85" s="134" t="str">
        <f>Summary!S41</f>
        <v/>
      </c>
      <c r="T85" s="134" t="str">
        <f>Summary!T41</f>
        <v/>
      </c>
      <c r="U85" s="134" t="str">
        <f>Summary!U41</f>
        <v/>
      </c>
      <c r="V85" s="134" t="str">
        <f>Summary!V41</f>
        <v/>
      </c>
      <c r="W85" s="134" t="str">
        <f>Summary!W41</f>
        <v/>
      </c>
      <c r="X85" s="134" t="str">
        <f>Summary!X41</f>
        <v/>
      </c>
      <c r="Y85" s="134" t="str">
        <f>Summary!Y41</f>
        <v/>
      </c>
      <c r="Z85" s="134" t="str">
        <f>Summary!Z41</f>
        <v/>
      </c>
      <c r="AA85" s="134" t="str">
        <f>Summary!AA41</f>
        <v/>
      </c>
      <c r="AB85" s="134" t="str">
        <f>Summary!AB41</f>
        <v/>
      </c>
      <c r="AC85" s="134" t="str">
        <f>Summary!AC41</f>
        <v/>
      </c>
      <c r="AD85" s="134" t="str">
        <f>Summary!AD41</f>
        <v/>
      </c>
      <c r="AE85" s="312">
        <f t="shared" si="21"/>
        <v>0</v>
      </c>
    </row>
    <row r="86">
      <c r="A86" s="133" t="s">
        <v>96</v>
      </c>
      <c r="B86" s="141">
        <f>Summary!B68</f>
        <v>6</v>
      </c>
      <c r="C86" s="141">
        <f>Summary!C68</f>
        <v>7</v>
      </c>
      <c r="D86" s="141">
        <f>Summary!D68</f>
        <v>8</v>
      </c>
      <c r="E86" s="141">
        <f>Summary!E68</f>
        <v>15</v>
      </c>
      <c r="F86" s="141">
        <f>Summary!F68</f>
        <v>28</v>
      </c>
      <c r="G86" s="141">
        <f>Summary!G68</f>
        <v>34</v>
      </c>
      <c r="H86" s="141">
        <f>Summary!H68</f>
        <v>22</v>
      </c>
      <c r="I86" s="141">
        <f>Summary!I68</f>
        <v>31</v>
      </c>
      <c r="J86" s="141">
        <f>Summary!J68</f>
        <v>22</v>
      </c>
      <c r="K86" s="141">
        <f>Summary!K68</f>
        <v>37</v>
      </c>
      <c r="L86" s="141">
        <f>Summary!L68</f>
        <v>48</v>
      </c>
      <c r="M86" s="141">
        <f>Summary!M68</f>
        <v>19</v>
      </c>
      <c r="N86" s="141">
        <f>Summary!N68</f>
        <v>5</v>
      </c>
      <c r="O86" s="141">
        <f>Summary!O68</f>
        <v>0</v>
      </c>
      <c r="P86" s="141">
        <f>Summary!P68</f>
        <v>3</v>
      </c>
      <c r="Q86" s="141">
        <f>Summary!Q68</f>
        <v>3</v>
      </c>
      <c r="R86" s="141">
        <f>Summary!R68</f>
        <v>1</v>
      </c>
      <c r="S86" s="141">
        <f>Summary!S68</f>
        <v>4</v>
      </c>
      <c r="T86" s="141">
        <f>Summary!T68</f>
        <v>3</v>
      </c>
      <c r="U86" s="141">
        <f>Summary!U68</f>
        <v>7</v>
      </c>
      <c r="V86" s="141">
        <f>Summary!V68</f>
        <v>2</v>
      </c>
      <c r="W86" s="141">
        <f>Summary!W68</f>
        <v>0</v>
      </c>
      <c r="X86" s="141">
        <f>Summary!X68</f>
        <v>3</v>
      </c>
      <c r="Y86" s="141">
        <f>Summary!Y68</f>
        <v>1</v>
      </c>
      <c r="Z86" s="141">
        <f>Summary!Z68</f>
        <v>4</v>
      </c>
      <c r="AA86" s="141">
        <f>Summary!AA68</f>
        <v>1</v>
      </c>
      <c r="AB86" s="141">
        <f>Summary!AB68</f>
        <v>1</v>
      </c>
      <c r="AC86" s="141">
        <f>Summary!AC68</f>
        <v>15</v>
      </c>
      <c r="AD86" s="141">
        <f>Summary!AD68</f>
        <v>12</v>
      </c>
      <c r="AE86" s="312">
        <f t="shared" si="21"/>
        <v>342</v>
      </c>
    </row>
    <row r="87">
      <c r="A87" s="98"/>
      <c r="B87" s="83"/>
      <c r="C87" s="83"/>
      <c r="D87" s="83"/>
      <c r="E87" s="83"/>
      <c r="F87" s="83"/>
      <c r="G87" s="83"/>
      <c r="H87" s="83"/>
      <c r="I87" s="83"/>
      <c r="J87" s="83"/>
      <c r="K87" s="83"/>
      <c r="L87" s="83"/>
      <c r="M87" s="83"/>
      <c r="N87" s="83"/>
      <c r="O87" s="83"/>
      <c r="P87" s="83"/>
      <c r="Q87" s="83"/>
      <c r="R87" s="83"/>
      <c r="S87" s="83"/>
      <c r="T87" s="83"/>
      <c r="U87" s="83"/>
      <c r="V87" s="83"/>
      <c r="W87" s="83"/>
      <c r="X87" s="83"/>
      <c r="Y87" s="83"/>
      <c r="Z87" s="83"/>
      <c r="AA87" s="83"/>
      <c r="AB87" s="83"/>
      <c r="AC87" s="83"/>
      <c r="AD87" s="83"/>
      <c r="AE87" s="307"/>
    </row>
    <row r="88">
      <c r="A88" s="215" t="s">
        <v>1130</v>
      </c>
      <c r="B88" s="83"/>
      <c r="C88" s="83"/>
      <c r="D88" s="83"/>
      <c r="E88" s="83"/>
      <c r="F88" s="83"/>
      <c r="G88" s="83"/>
      <c r="H88" s="83"/>
      <c r="I88" s="83"/>
      <c r="J88" s="83"/>
      <c r="K88" s="83"/>
      <c r="L88" s="83"/>
      <c r="M88" s="83"/>
      <c r="N88" s="83"/>
      <c r="O88" s="83"/>
      <c r="P88" s="83"/>
      <c r="Q88" s="83"/>
      <c r="R88" s="83"/>
      <c r="S88" s="83"/>
      <c r="T88" s="83"/>
      <c r="U88" s="83"/>
      <c r="V88" s="83"/>
      <c r="W88" s="83"/>
      <c r="X88" s="83"/>
      <c r="Y88" s="83"/>
      <c r="Z88" s="83"/>
      <c r="AA88" s="83"/>
      <c r="AB88" s="83"/>
      <c r="AC88" s="83"/>
      <c r="AD88" s="83"/>
      <c r="AE88" s="307"/>
    </row>
    <row r="89">
      <c r="A89" s="98"/>
      <c r="B89" s="83"/>
      <c r="C89" s="83"/>
      <c r="D89" s="83"/>
      <c r="E89" s="83"/>
      <c r="F89" s="83"/>
      <c r="G89" s="83"/>
      <c r="H89" s="83"/>
      <c r="I89" s="83"/>
      <c r="J89" s="83"/>
      <c r="K89" s="83"/>
      <c r="L89" s="83"/>
      <c r="M89" s="83"/>
      <c r="N89" s="83"/>
      <c r="O89" s="83"/>
      <c r="P89" s="83"/>
      <c r="Q89" s="83"/>
      <c r="R89" s="83"/>
      <c r="S89" s="83"/>
      <c r="T89" s="83"/>
      <c r="U89" s="83"/>
      <c r="V89" s="83"/>
      <c r="W89" s="83"/>
      <c r="X89" s="83"/>
      <c r="Y89" s="83"/>
      <c r="Z89" s="83"/>
      <c r="AA89" s="83"/>
      <c r="AB89" s="83"/>
      <c r="AC89" s="83"/>
      <c r="AD89" s="83"/>
      <c r="AE89" s="307"/>
    </row>
    <row r="90">
      <c r="A90" s="138" t="s">
        <v>1131</v>
      </c>
      <c r="B90" s="155"/>
      <c r="C90" s="83"/>
      <c r="D90" s="83"/>
      <c r="E90" s="83"/>
      <c r="F90" s="83"/>
      <c r="G90" s="83"/>
      <c r="H90" s="83"/>
      <c r="I90" s="791"/>
      <c r="J90" s="83"/>
      <c r="K90" s="83"/>
      <c r="L90" s="83"/>
      <c r="M90" s="83"/>
      <c r="N90" s="83"/>
      <c r="O90" s="83"/>
      <c r="P90" s="83"/>
      <c r="Q90" s="83"/>
      <c r="R90" s="83"/>
      <c r="S90" s="83"/>
      <c r="T90" s="83"/>
      <c r="U90" s="83"/>
      <c r="V90" s="83"/>
      <c r="W90" s="83"/>
      <c r="X90" s="83"/>
      <c r="Y90" s="83"/>
      <c r="Z90" s="83"/>
      <c r="AA90" s="83"/>
      <c r="AB90" s="83"/>
      <c r="AC90" s="83"/>
      <c r="AD90" s="83"/>
      <c r="AE90" s="312"/>
    </row>
    <row r="91">
      <c r="A91" s="153" t="s">
        <v>1132</v>
      </c>
      <c r="B91" s="155">
        <f t="shared" ref="B91:AD91" si="22">B86</f>
        <v>6</v>
      </c>
      <c r="C91" s="155">
        <f t="shared" si="22"/>
        <v>7</v>
      </c>
      <c r="D91" s="155">
        <f t="shared" si="22"/>
        <v>8</v>
      </c>
      <c r="E91" s="155">
        <f t="shared" si="22"/>
        <v>15</v>
      </c>
      <c r="F91" s="155">
        <f t="shared" si="22"/>
        <v>28</v>
      </c>
      <c r="G91" s="155">
        <f t="shared" si="22"/>
        <v>34</v>
      </c>
      <c r="H91" s="155">
        <f t="shared" si="22"/>
        <v>22</v>
      </c>
      <c r="I91" s="155">
        <f t="shared" si="22"/>
        <v>31</v>
      </c>
      <c r="J91" s="155">
        <f t="shared" si="22"/>
        <v>22</v>
      </c>
      <c r="K91" s="155">
        <f t="shared" si="22"/>
        <v>37</v>
      </c>
      <c r="L91" s="155">
        <f t="shared" si="22"/>
        <v>48</v>
      </c>
      <c r="M91" s="155">
        <f t="shared" si="22"/>
        <v>19</v>
      </c>
      <c r="N91" s="155">
        <f t="shared" si="22"/>
        <v>5</v>
      </c>
      <c r="O91" s="155">
        <f t="shared" si="22"/>
        <v>0</v>
      </c>
      <c r="P91" s="155">
        <f t="shared" si="22"/>
        <v>3</v>
      </c>
      <c r="Q91" s="155">
        <f t="shared" si="22"/>
        <v>3</v>
      </c>
      <c r="R91" s="155">
        <f t="shared" si="22"/>
        <v>1</v>
      </c>
      <c r="S91" s="155">
        <f t="shared" si="22"/>
        <v>4</v>
      </c>
      <c r="T91" s="155">
        <f t="shared" si="22"/>
        <v>3</v>
      </c>
      <c r="U91" s="155">
        <f t="shared" si="22"/>
        <v>7</v>
      </c>
      <c r="V91" s="155">
        <f t="shared" si="22"/>
        <v>2</v>
      </c>
      <c r="W91" s="155">
        <f t="shared" si="22"/>
        <v>0</v>
      </c>
      <c r="X91" s="155">
        <f t="shared" si="22"/>
        <v>3</v>
      </c>
      <c r="Y91" s="155">
        <f t="shared" si="22"/>
        <v>1</v>
      </c>
      <c r="Z91" s="155">
        <f t="shared" si="22"/>
        <v>4</v>
      </c>
      <c r="AA91" s="155">
        <f t="shared" si="22"/>
        <v>1</v>
      </c>
      <c r="AB91" s="155">
        <f t="shared" si="22"/>
        <v>1</v>
      </c>
      <c r="AC91" s="155">
        <f t="shared" si="22"/>
        <v>15</v>
      </c>
      <c r="AD91" s="155">
        <f t="shared" si="22"/>
        <v>12</v>
      </c>
      <c r="AE91" s="312">
        <f t="shared" ref="AE91:AE95" si="23">sum(B91:AD91)</f>
        <v>342</v>
      </c>
    </row>
    <row r="92">
      <c r="A92" s="153" t="s">
        <v>1133</v>
      </c>
      <c r="B92" s="96"/>
      <c r="C92" s="96"/>
      <c r="D92" s="96"/>
      <c r="E92" s="96"/>
      <c r="F92" s="96"/>
      <c r="G92" s="96"/>
      <c r="H92" s="96"/>
      <c r="I92" s="89"/>
      <c r="J92" s="89"/>
      <c r="K92" s="89"/>
      <c r="L92" s="89"/>
      <c r="M92" s="89"/>
      <c r="N92" s="89"/>
      <c r="O92" s="792"/>
      <c r="P92" s="792"/>
      <c r="Q92" s="792"/>
      <c r="R92" s="89"/>
      <c r="S92" s="92"/>
      <c r="T92" s="92"/>
      <c r="U92" s="92"/>
      <c r="V92" s="92"/>
      <c r="W92" s="92"/>
      <c r="X92" s="92"/>
      <c r="Y92" s="92"/>
      <c r="Z92" s="793"/>
      <c r="AA92" s="92"/>
      <c r="AB92" s="92"/>
      <c r="AC92" s="793"/>
      <c r="AD92" s="793"/>
      <c r="AE92" s="312">
        <f t="shared" si="23"/>
        <v>0</v>
      </c>
    </row>
    <row r="93">
      <c r="A93" s="786" t="s">
        <v>1134</v>
      </c>
      <c r="B93" s="96"/>
      <c r="C93" s="96"/>
      <c r="D93" s="96"/>
      <c r="E93" s="96"/>
      <c r="F93" s="96"/>
      <c r="G93" s="96"/>
      <c r="H93" s="96"/>
      <c r="I93" s="89"/>
      <c r="J93" s="89"/>
      <c r="K93" s="89"/>
      <c r="L93" s="89"/>
      <c r="M93" s="89"/>
      <c r="N93" s="89"/>
      <c r="O93" s="792"/>
      <c r="P93" s="792"/>
      <c r="Q93" s="792"/>
      <c r="R93" s="89"/>
      <c r="S93" s="92"/>
      <c r="T93" s="92"/>
      <c r="U93" s="92"/>
      <c r="V93" s="92"/>
      <c r="W93" s="92"/>
      <c r="X93" s="92"/>
      <c r="Y93" s="92"/>
      <c r="Z93" s="794"/>
      <c r="AA93" s="92"/>
      <c r="AB93" s="92"/>
      <c r="AC93" s="92"/>
      <c r="AD93" s="92"/>
      <c r="AE93" s="312">
        <f t="shared" si="23"/>
        <v>0</v>
      </c>
    </row>
    <row r="94">
      <c r="A94" s="153" t="s">
        <v>1135</v>
      </c>
      <c r="B94" s="96"/>
      <c r="C94" s="96"/>
      <c r="D94" s="96"/>
      <c r="E94" s="96"/>
      <c r="F94" s="96"/>
      <c r="G94" s="96"/>
      <c r="H94" s="96"/>
      <c r="I94" s="89"/>
      <c r="J94" s="89"/>
      <c r="K94" s="89"/>
      <c r="L94" s="89"/>
      <c r="M94" s="89"/>
      <c r="N94" s="89"/>
      <c r="O94" s="792"/>
      <c r="P94" s="792"/>
      <c r="Q94" s="792"/>
      <c r="R94" s="89"/>
      <c r="S94" s="92"/>
      <c r="T94" s="92"/>
      <c r="U94" s="92"/>
      <c r="V94" s="92"/>
      <c r="W94" s="92"/>
      <c r="X94" s="92"/>
      <c r="Y94" s="92"/>
      <c r="Z94" s="794"/>
      <c r="AA94" s="92"/>
      <c r="AB94" s="92"/>
      <c r="AC94" s="92"/>
      <c r="AD94" s="92"/>
      <c r="AE94" s="312">
        <f t="shared" si="23"/>
        <v>0</v>
      </c>
    </row>
    <row r="95">
      <c r="A95" s="158" t="s">
        <v>127</v>
      </c>
      <c r="B95" s="315">
        <f t="shared" ref="B95:AD95" si="24">SUM(B91:B94)</f>
        <v>6</v>
      </c>
      <c r="C95" s="315">
        <f t="shared" si="24"/>
        <v>7</v>
      </c>
      <c r="D95" s="315">
        <f t="shared" si="24"/>
        <v>8</v>
      </c>
      <c r="E95" s="315">
        <f t="shared" si="24"/>
        <v>15</v>
      </c>
      <c r="F95" s="315">
        <f t="shared" si="24"/>
        <v>28</v>
      </c>
      <c r="G95" s="315">
        <f t="shared" si="24"/>
        <v>34</v>
      </c>
      <c r="H95" s="315">
        <f t="shared" si="24"/>
        <v>22</v>
      </c>
      <c r="I95" s="315">
        <f t="shared" si="24"/>
        <v>31</v>
      </c>
      <c r="J95" s="315">
        <f t="shared" si="24"/>
        <v>22</v>
      </c>
      <c r="K95" s="315">
        <f t="shared" si="24"/>
        <v>37</v>
      </c>
      <c r="L95" s="315">
        <f t="shared" si="24"/>
        <v>48</v>
      </c>
      <c r="M95" s="315">
        <f t="shared" si="24"/>
        <v>19</v>
      </c>
      <c r="N95" s="315">
        <f t="shared" si="24"/>
        <v>5</v>
      </c>
      <c r="O95" s="315">
        <f t="shared" si="24"/>
        <v>0</v>
      </c>
      <c r="P95" s="315">
        <f t="shared" si="24"/>
        <v>3</v>
      </c>
      <c r="Q95" s="315">
        <f t="shared" si="24"/>
        <v>3</v>
      </c>
      <c r="R95" s="315">
        <f t="shared" si="24"/>
        <v>1</v>
      </c>
      <c r="S95" s="315">
        <f t="shared" si="24"/>
        <v>4</v>
      </c>
      <c r="T95" s="315">
        <f t="shared" si="24"/>
        <v>3</v>
      </c>
      <c r="U95" s="315">
        <f t="shared" si="24"/>
        <v>7</v>
      </c>
      <c r="V95" s="315">
        <f t="shared" si="24"/>
        <v>2</v>
      </c>
      <c r="W95" s="315">
        <f t="shared" si="24"/>
        <v>0</v>
      </c>
      <c r="X95" s="315">
        <f t="shared" si="24"/>
        <v>3</v>
      </c>
      <c r="Y95" s="315">
        <f t="shared" si="24"/>
        <v>1</v>
      </c>
      <c r="Z95" s="315">
        <f t="shared" si="24"/>
        <v>4</v>
      </c>
      <c r="AA95" s="315">
        <f t="shared" si="24"/>
        <v>1</v>
      </c>
      <c r="AB95" s="315">
        <f t="shared" si="24"/>
        <v>1</v>
      </c>
      <c r="AC95" s="315">
        <f t="shared" si="24"/>
        <v>15</v>
      </c>
      <c r="AD95" s="315">
        <f t="shared" si="24"/>
        <v>12</v>
      </c>
      <c r="AE95" s="312">
        <f t="shared" si="23"/>
        <v>342</v>
      </c>
    </row>
    <row r="96">
      <c r="A96" s="98"/>
      <c r="B96" s="162"/>
      <c r="C96" s="162"/>
      <c r="D96" s="162"/>
      <c r="E96" s="162"/>
      <c r="F96" s="162"/>
      <c r="G96" s="162"/>
      <c r="H96" s="162"/>
      <c r="I96" s="162"/>
      <c r="J96" s="83"/>
      <c r="K96" s="83"/>
      <c r="L96" s="83"/>
      <c r="M96" s="83"/>
      <c r="N96" s="83"/>
      <c r="O96" s="83"/>
      <c r="P96" s="83"/>
      <c r="Q96" s="83"/>
      <c r="R96" s="83"/>
      <c r="S96" s="83"/>
      <c r="T96" s="83"/>
      <c r="U96" s="83"/>
      <c r="V96" s="83"/>
      <c r="W96" s="83"/>
      <c r="X96" s="83"/>
      <c r="Y96" s="83"/>
      <c r="Z96" s="83"/>
      <c r="AA96" s="83"/>
      <c r="AB96" s="83"/>
      <c r="AC96" s="83"/>
      <c r="AD96" s="83"/>
      <c r="AE96" s="408"/>
    </row>
    <row r="97">
      <c r="A97" s="153" t="s">
        <v>131</v>
      </c>
      <c r="B97" s="96"/>
      <c r="C97" s="96"/>
      <c r="D97" s="96"/>
      <c r="E97" s="96"/>
      <c r="F97" s="96"/>
      <c r="G97" s="96"/>
      <c r="H97" s="96"/>
      <c r="I97" s="96"/>
      <c r="J97" s="96"/>
      <c r="K97" s="96"/>
      <c r="L97" s="96"/>
      <c r="M97" s="89"/>
      <c r="N97" s="89"/>
      <c r="O97" s="89"/>
      <c r="P97" s="89"/>
      <c r="Q97" s="89"/>
      <c r="R97" s="89"/>
      <c r="S97" s="92"/>
      <c r="T97" s="92"/>
      <c r="U97" s="92"/>
      <c r="V97" s="92"/>
      <c r="W97" s="92"/>
      <c r="X97" s="92"/>
      <c r="Y97" s="92"/>
      <c r="Z97" s="795"/>
      <c r="AA97" s="92"/>
      <c r="AB97" s="92"/>
      <c r="AC97" s="795"/>
      <c r="AD97" s="795"/>
      <c r="AE97" s="312">
        <f t="shared" ref="AE97:AE105" si="25">sum(B97:AD97)</f>
        <v>0</v>
      </c>
    </row>
    <row r="98">
      <c r="A98" s="153" t="s">
        <v>132</v>
      </c>
      <c r="B98" s="96"/>
      <c r="C98" s="96"/>
      <c r="D98" s="96"/>
      <c r="E98" s="96"/>
      <c r="F98" s="96"/>
      <c r="G98" s="96"/>
      <c r="H98" s="96"/>
      <c r="I98" s="96"/>
      <c r="J98" s="96"/>
      <c r="K98" s="96"/>
      <c r="L98" s="96"/>
      <c r="M98" s="89"/>
      <c r="N98" s="89"/>
      <c r="O98" s="89"/>
      <c r="P98" s="89"/>
      <c r="Q98" s="89"/>
      <c r="R98" s="89"/>
      <c r="S98" s="92"/>
      <c r="T98" s="92"/>
      <c r="U98" s="92"/>
      <c r="V98" s="92"/>
      <c r="W98" s="92"/>
      <c r="X98" s="92"/>
      <c r="Y98" s="92"/>
      <c r="Z98" s="793"/>
      <c r="AA98" s="796"/>
      <c r="AB98" s="92"/>
      <c r="AC98" s="796"/>
      <c r="AD98" s="796"/>
      <c r="AE98" s="312">
        <f t="shared" si="25"/>
        <v>0</v>
      </c>
    </row>
    <row r="99">
      <c r="A99" s="153" t="s">
        <v>1136</v>
      </c>
      <c r="B99" s="96"/>
      <c r="C99" s="96"/>
      <c r="D99" s="96"/>
      <c r="E99" s="96"/>
      <c r="F99" s="96"/>
      <c r="G99" s="96"/>
      <c r="H99" s="96"/>
      <c r="I99" s="96"/>
      <c r="J99" s="96"/>
      <c r="K99" s="96"/>
      <c r="L99" s="96"/>
      <c r="M99" s="96"/>
      <c r="N99" s="96"/>
      <c r="O99" s="96"/>
      <c r="P99" s="96"/>
      <c r="Q99" s="96"/>
      <c r="R99" s="96"/>
      <c r="S99" s="96"/>
      <c r="T99" s="96"/>
      <c r="U99" s="96"/>
      <c r="V99" s="96"/>
      <c r="W99" s="96"/>
      <c r="X99" s="96"/>
      <c r="Y99" s="96"/>
      <c r="Z99" s="797"/>
      <c r="AA99" s="96"/>
      <c r="AB99" s="96"/>
      <c r="AC99" s="797"/>
      <c r="AD99" s="797"/>
      <c r="AE99" s="312">
        <f t="shared" si="25"/>
        <v>0</v>
      </c>
    </row>
    <row r="100">
      <c r="A100" s="153" t="s">
        <v>1137</v>
      </c>
      <c r="B100" s="192"/>
      <c r="C100" s="192"/>
      <c r="D100" s="192"/>
      <c r="E100" s="192"/>
      <c r="F100" s="192"/>
      <c r="G100" s="96"/>
      <c r="H100" s="96"/>
      <c r="I100" s="96"/>
      <c r="J100" s="96"/>
      <c r="K100" s="96"/>
      <c r="L100" s="96"/>
      <c r="M100" s="89"/>
      <c r="N100" s="89"/>
      <c r="O100" s="792"/>
      <c r="P100" s="792"/>
      <c r="Q100" s="792"/>
      <c r="R100" s="792"/>
      <c r="S100" s="92"/>
      <c r="T100" s="92"/>
      <c r="U100" s="92"/>
      <c r="V100" s="96"/>
      <c r="W100" s="96"/>
      <c r="X100" s="96"/>
      <c r="Y100" s="96"/>
      <c r="Z100" s="797"/>
      <c r="AA100" s="96"/>
      <c r="AB100" s="96"/>
      <c r="AC100" s="797"/>
      <c r="AD100" s="797"/>
      <c r="AE100" s="312">
        <f t="shared" si="25"/>
        <v>0</v>
      </c>
    </row>
    <row r="101">
      <c r="A101" s="153" t="s">
        <v>1138</v>
      </c>
      <c r="B101" s="96"/>
      <c r="C101" s="96"/>
      <c r="D101" s="96"/>
      <c r="E101" s="96"/>
      <c r="F101" s="96"/>
      <c r="G101" s="96"/>
      <c r="H101" s="96"/>
      <c r="I101" s="96"/>
      <c r="J101" s="96"/>
      <c r="K101" s="96"/>
      <c r="L101" s="96"/>
      <c r="M101" s="96"/>
      <c r="N101" s="96"/>
      <c r="O101" s="96"/>
      <c r="P101" s="96"/>
      <c r="Q101" s="96"/>
      <c r="R101" s="96"/>
      <c r="S101" s="96"/>
      <c r="T101" s="96"/>
      <c r="U101" s="96"/>
      <c r="V101" s="96"/>
      <c r="W101" s="96"/>
      <c r="X101" s="96"/>
      <c r="Y101" s="96"/>
      <c r="Z101" s="96"/>
      <c r="AA101" s="92"/>
      <c r="AB101" s="96"/>
      <c r="AC101" s="797"/>
      <c r="AD101" s="797"/>
      <c r="AE101" s="312">
        <f t="shared" si="25"/>
        <v>0</v>
      </c>
    </row>
    <row r="102">
      <c r="A102" s="153" t="s">
        <v>1139</v>
      </c>
      <c r="B102" s="192"/>
      <c r="C102" s="192"/>
      <c r="D102" s="192"/>
      <c r="E102" s="192"/>
      <c r="F102" s="192"/>
      <c r="G102" s="96"/>
      <c r="H102" s="96"/>
      <c r="I102" s="96"/>
      <c r="J102" s="96"/>
      <c r="K102" s="96"/>
      <c r="L102" s="96"/>
      <c r="M102" s="89"/>
      <c r="N102" s="89"/>
      <c r="O102" s="792"/>
      <c r="P102" s="792"/>
      <c r="Q102" s="792"/>
      <c r="R102" s="792"/>
      <c r="S102" s="92"/>
      <c r="T102" s="92"/>
      <c r="U102" s="92"/>
      <c r="V102" s="96"/>
      <c r="W102" s="96"/>
      <c r="X102" s="96"/>
      <c r="Y102" s="96"/>
      <c r="Z102" s="96"/>
      <c r="AA102" s="92"/>
      <c r="AB102" s="96"/>
      <c r="AC102" s="797"/>
      <c r="AD102" s="797"/>
      <c r="AE102" s="312">
        <f t="shared" si="25"/>
        <v>0</v>
      </c>
    </row>
    <row r="103">
      <c r="A103" s="153" t="s">
        <v>1140</v>
      </c>
      <c r="B103" s="96"/>
      <c r="C103" s="96"/>
      <c r="D103" s="96"/>
      <c r="E103" s="96"/>
      <c r="F103" s="96"/>
      <c r="G103" s="96"/>
      <c r="H103" s="96"/>
      <c r="I103" s="96"/>
      <c r="J103" s="96"/>
      <c r="K103" s="96"/>
      <c r="L103" s="96"/>
      <c r="M103" s="96"/>
      <c r="N103" s="96"/>
      <c r="O103" s="96"/>
      <c r="P103" s="96"/>
      <c r="Q103" s="96"/>
      <c r="R103" s="96"/>
      <c r="S103" s="96"/>
      <c r="T103" s="96"/>
      <c r="U103" s="96"/>
      <c r="V103" s="96"/>
      <c r="W103" s="96"/>
      <c r="X103" s="96"/>
      <c r="Y103" s="96"/>
      <c r="Z103" s="96"/>
      <c r="AA103" s="92"/>
      <c r="AB103" s="96"/>
      <c r="AC103" s="797"/>
      <c r="AD103" s="797"/>
      <c r="AE103" s="312">
        <f t="shared" si="25"/>
        <v>0</v>
      </c>
    </row>
    <row r="104">
      <c r="A104" s="153" t="s">
        <v>1141</v>
      </c>
      <c r="B104" s="96"/>
      <c r="C104" s="96"/>
      <c r="D104" s="96"/>
      <c r="E104" s="96"/>
      <c r="F104" s="96"/>
      <c r="G104" s="96"/>
      <c r="H104" s="96"/>
      <c r="I104" s="96"/>
      <c r="J104" s="96"/>
      <c r="K104" s="96"/>
      <c r="L104" s="96"/>
      <c r="M104" s="96"/>
      <c r="N104" s="96"/>
      <c r="O104" s="96"/>
      <c r="P104" s="96"/>
      <c r="Q104" s="96"/>
      <c r="R104" s="96"/>
      <c r="S104" s="92"/>
      <c r="T104" s="92"/>
      <c r="U104" s="92"/>
      <c r="V104" s="96"/>
      <c r="W104" s="96"/>
      <c r="X104" s="96"/>
      <c r="Y104" s="96"/>
      <c r="Z104" s="96"/>
      <c r="AA104" s="92"/>
      <c r="AB104" s="96"/>
      <c r="AC104" s="797"/>
      <c r="AD104" s="797"/>
      <c r="AE104" s="312">
        <f t="shared" si="25"/>
        <v>0</v>
      </c>
    </row>
    <row r="105">
      <c r="A105" s="798" t="s">
        <v>141</v>
      </c>
      <c r="B105" s="799">
        <f t="shared" ref="B105:AD105" si="26">SUM(B97:B104)</f>
        <v>0</v>
      </c>
      <c r="C105" s="799">
        <f t="shared" si="26"/>
        <v>0</v>
      </c>
      <c r="D105" s="799">
        <f t="shared" si="26"/>
        <v>0</v>
      </c>
      <c r="E105" s="799">
        <f t="shared" si="26"/>
        <v>0</v>
      </c>
      <c r="F105" s="799">
        <f t="shared" si="26"/>
        <v>0</v>
      </c>
      <c r="G105" s="799">
        <f t="shared" si="26"/>
        <v>0</v>
      </c>
      <c r="H105" s="799">
        <f t="shared" si="26"/>
        <v>0</v>
      </c>
      <c r="I105" s="799">
        <f t="shared" si="26"/>
        <v>0</v>
      </c>
      <c r="J105" s="799">
        <f t="shared" si="26"/>
        <v>0</v>
      </c>
      <c r="K105" s="799">
        <f t="shared" si="26"/>
        <v>0</v>
      </c>
      <c r="L105" s="799">
        <f t="shared" si="26"/>
        <v>0</v>
      </c>
      <c r="M105" s="799">
        <f t="shared" si="26"/>
        <v>0</v>
      </c>
      <c r="N105" s="799">
        <f t="shared" si="26"/>
        <v>0</v>
      </c>
      <c r="O105" s="799">
        <f t="shared" si="26"/>
        <v>0</v>
      </c>
      <c r="P105" s="799">
        <f t="shared" si="26"/>
        <v>0</v>
      </c>
      <c r="Q105" s="799">
        <f t="shared" si="26"/>
        <v>0</v>
      </c>
      <c r="R105" s="799">
        <f t="shared" si="26"/>
        <v>0</v>
      </c>
      <c r="S105" s="799">
        <f t="shared" si="26"/>
        <v>0</v>
      </c>
      <c r="T105" s="799">
        <f t="shared" si="26"/>
        <v>0</v>
      </c>
      <c r="U105" s="799">
        <f t="shared" si="26"/>
        <v>0</v>
      </c>
      <c r="V105" s="799">
        <f t="shared" si="26"/>
        <v>0</v>
      </c>
      <c r="W105" s="799">
        <f t="shared" si="26"/>
        <v>0</v>
      </c>
      <c r="X105" s="799">
        <f t="shared" si="26"/>
        <v>0</v>
      </c>
      <c r="Y105" s="799">
        <f t="shared" si="26"/>
        <v>0</v>
      </c>
      <c r="Z105" s="799">
        <f t="shared" si="26"/>
        <v>0</v>
      </c>
      <c r="AA105" s="799">
        <f t="shared" si="26"/>
        <v>0</v>
      </c>
      <c r="AB105" s="799">
        <f t="shared" si="26"/>
        <v>0</v>
      </c>
      <c r="AC105" s="799">
        <f t="shared" si="26"/>
        <v>0</v>
      </c>
      <c r="AD105" s="799">
        <f t="shared" si="26"/>
        <v>0</v>
      </c>
      <c r="AE105" s="800">
        <f t="shared" si="25"/>
        <v>0</v>
      </c>
    </row>
    <row r="106">
      <c r="A106" s="83"/>
      <c r="B106" s="127"/>
      <c r="C106" s="127"/>
      <c r="D106" s="127"/>
      <c r="E106" s="127"/>
      <c r="F106" s="127"/>
      <c r="G106" s="127"/>
      <c r="H106" s="127"/>
      <c r="I106" s="83"/>
      <c r="J106" s="83"/>
      <c r="K106" s="83"/>
      <c r="L106" s="83"/>
      <c r="M106" s="83"/>
      <c r="N106" s="83"/>
      <c r="O106" s="83"/>
      <c r="P106" s="83"/>
      <c r="Q106" s="83"/>
      <c r="R106" s="83"/>
      <c r="S106" s="83"/>
      <c r="T106" s="83"/>
      <c r="U106" s="83"/>
      <c r="V106" s="83"/>
      <c r="W106" s="83"/>
      <c r="X106" s="83"/>
      <c r="Y106" s="83"/>
      <c r="Z106" s="83"/>
      <c r="AA106" s="83"/>
      <c r="AB106" s="83"/>
      <c r="AC106" s="83"/>
      <c r="AD106" s="83"/>
      <c r="AE106" s="312"/>
    </row>
    <row r="107">
      <c r="A107" s="787" t="s">
        <v>1142</v>
      </c>
      <c r="B107" s="420"/>
      <c r="C107" s="420"/>
      <c r="D107" s="420"/>
      <c r="E107" s="420"/>
      <c r="F107" s="420"/>
      <c r="G107" s="420"/>
      <c r="H107" s="420"/>
      <c r="I107" s="420"/>
      <c r="J107" s="420"/>
      <c r="K107" s="420"/>
      <c r="L107" s="420"/>
      <c r="M107" s="420"/>
      <c r="N107" s="420"/>
      <c r="O107" s="420"/>
      <c r="P107" s="420"/>
      <c r="Q107" s="420"/>
      <c r="R107" s="420"/>
      <c r="S107" s="420"/>
      <c r="T107" s="420"/>
      <c r="U107" s="420"/>
      <c r="V107" s="420"/>
      <c r="W107" s="420"/>
      <c r="X107" s="420"/>
      <c r="Y107" s="420"/>
      <c r="Z107" s="420"/>
      <c r="AA107" s="420"/>
      <c r="AB107" s="420"/>
      <c r="AC107" s="420"/>
      <c r="AD107" s="420"/>
      <c r="AE107" s="383"/>
    </row>
    <row r="108" outlineLevel="1">
      <c r="A108" s="788"/>
      <c r="AE108" s="383"/>
    </row>
    <row r="109" outlineLevel="1">
      <c r="A109" s="428" t="s">
        <v>1143</v>
      </c>
      <c r="B109" s="433"/>
      <c r="C109" s="433"/>
      <c r="D109" s="433"/>
      <c r="E109" s="433"/>
      <c r="F109" s="433"/>
      <c r="G109" s="433"/>
      <c r="H109" s="433"/>
      <c r="I109" s="434"/>
      <c r="J109" s="434"/>
      <c r="K109" s="434"/>
      <c r="L109" s="434"/>
      <c r="M109" s="434"/>
      <c r="N109" s="434"/>
      <c r="O109" s="434"/>
      <c r="P109" s="434"/>
      <c r="Q109" s="434"/>
      <c r="R109" s="434"/>
      <c r="S109" s="434"/>
      <c r="T109" s="434"/>
      <c r="U109" s="434"/>
      <c r="V109" s="434"/>
      <c r="W109" s="434"/>
      <c r="X109" s="434"/>
      <c r="Y109" s="434"/>
      <c r="Z109" s="434"/>
      <c r="AA109" s="434"/>
      <c r="AB109" s="434"/>
      <c r="AC109" s="434"/>
      <c r="AD109" s="434"/>
      <c r="AE109" s="789"/>
    </row>
    <row r="110" outlineLevel="1">
      <c r="A110" s="215" t="s">
        <v>1144</v>
      </c>
      <c r="B110" s="187"/>
      <c r="C110" s="187"/>
      <c r="D110" s="187"/>
      <c r="E110" s="187"/>
      <c r="F110" s="187"/>
      <c r="G110" s="187"/>
      <c r="H110" s="187"/>
      <c r="I110" s="187"/>
      <c r="J110" s="187"/>
      <c r="K110" s="187"/>
      <c r="L110" s="187"/>
      <c r="M110" s="187"/>
      <c r="N110" s="187"/>
      <c r="O110" s="187"/>
      <c r="P110" s="187"/>
      <c r="Q110" s="187"/>
      <c r="R110" s="187"/>
      <c r="S110" s="187"/>
      <c r="T110" s="187"/>
      <c r="U110" s="187"/>
      <c r="V110" s="187"/>
      <c r="W110" s="187"/>
      <c r="X110" s="187"/>
      <c r="Y110" s="187"/>
      <c r="Z110" s="187"/>
      <c r="AA110" s="187"/>
      <c r="AB110" s="187"/>
      <c r="AC110" s="187"/>
      <c r="AD110" s="187"/>
      <c r="AE110" s="312">
        <f t="shared" ref="AE110:AE115" si="27">SUM(B110:AD110)</f>
        <v>0</v>
      </c>
    </row>
    <row r="111" outlineLevel="1">
      <c r="A111" s="215" t="s">
        <v>1145</v>
      </c>
      <c r="B111" s="187"/>
      <c r="C111" s="187"/>
      <c r="D111" s="187"/>
      <c r="E111" s="187"/>
      <c r="F111" s="187"/>
      <c r="G111" s="187"/>
      <c r="H111" s="187"/>
      <c r="I111" s="187"/>
      <c r="J111" s="187"/>
      <c r="K111" s="187"/>
      <c r="L111" s="187"/>
      <c r="M111" s="187"/>
      <c r="N111" s="187"/>
      <c r="O111" s="187"/>
      <c r="P111" s="187"/>
      <c r="Q111" s="187"/>
      <c r="R111" s="187"/>
      <c r="S111" s="187"/>
      <c r="T111" s="187"/>
      <c r="U111" s="187"/>
      <c r="V111" s="187"/>
      <c r="W111" s="187"/>
      <c r="X111" s="187"/>
      <c r="Y111" s="187"/>
      <c r="Z111" s="187"/>
      <c r="AA111" s="187"/>
      <c r="AB111" s="187"/>
      <c r="AC111" s="187"/>
      <c r="AD111" s="187"/>
      <c r="AE111" s="312">
        <f t="shared" si="27"/>
        <v>0</v>
      </c>
    </row>
    <row r="112" outlineLevel="1">
      <c r="A112" s="215" t="s">
        <v>1146</v>
      </c>
      <c r="B112" s="192"/>
      <c r="C112" s="192"/>
      <c r="D112" s="192"/>
      <c r="E112" s="192"/>
      <c r="F112" s="192"/>
      <c r="G112" s="187"/>
      <c r="H112" s="187"/>
      <c r="I112" s="187"/>
      <c r="J112" s="187"/>
      <c r="K112" s="187"/>
      <c r="L112" s="187"/>
      <c r="M112" s="187"/>
      <c r="N112" s="187"/>
      <c r="O112" s="187"/>
      <c r="P112" s="187"/>
      <c r="Q112" s="187"/>
      <c r="R112" s="187"/>
      <c r="S112" s="187"/>
      <c r="T112" s="187"/>
      <c r="U112" s="187"/>
      <c r="V112" s="187"/>
      <c r="W112" s="187"/>
      <c r="X112" s="187"/>
      <c r="Y112" s="187"/>
      <c r="Z112" s="187"/>
      <c r="AA112" s="187"/>
      <c r="AB112" s="187"/>
      <c r="AC112" s="187"/>
      <c r="AD112" s="187"/>
      <c r="AE112" s="312">
        <f t="shared" si="27"/>
        <v>0</v>
      </c>
    </row>
    <row r="113" outlineLevel="1">
      <c r="A113" s="215" t="s">
        <v>1147</v>
      </c>
      <c r="B113" s="192"/>
      <c r="C113" s="192"/>
      <c r="D113" s="192"/>
      <c r="E113" s="192"/>
      <c r="F113" s="192"/>
      <c r="G113" s="187"/>
      <c r="H113" s="187"/>
      <c r="I113" s="187"/>
      <c r="J113" s="187"/>
      <c r="K113" s="187"/>
      <c r="L113" s="187"/>
      <c r="M113" s="187"/>
      <c r="N113" s="187"/>
      <c r="O113" s="187"/>
      <c r="P113" s="187"/>
      <c r="Q113" s="187"/>
      <c r="R113" s="187"/>
      <c r="S113" s="187"/>
      <c r="T113" s="187"/>
      <c r="U113" s="187"/>
      <c r="V113" s="187"/>
      <c r="W113" s="187"/>
      <c r="X113" s="187"/>
      <c r="Y113" s="187"/>
      <c r="Z113" s="187"/>
      <c r="AA113" s="187"/>
      <c r="AB113" s="187"/>
      <c r="AC113" s="187"/>
      <c r="AD113" s="187"/>
      <c r="AE113" s="312">
        <f t="shared" si="27"/>
        <v>0</v>
      </c>
    </row>
    <row r="114" outlineLevel="1">
      <c r="A114" s="223" t="s">
        <v>221</v>
      </c>
      <c r="B114" s="345">
        <f t="shared" ref="B114:AD114" si="28">SUM(B110:B111)</f>
        <v>0</v>
      </c>
      <c r="C114" s="345">
        <f t="shared" si="28"/>
        <v>0</v>
      </c>
      <c r="D114" s="345">
        <f t="shared" si="28"/>
        <v>0</v>
      </c>
      <c r="E114" s="345">
        <f t="shared" si="28"/>
        <v>0</v>
      </c>
      <c r="F114" s="345">
        <f t="shared" si="28"/>
        <v>0</v>
      </c>
      <c r="G114" s="345">
        <f t="shared" si="28"/>
        <v>0</v>
      </c>
      <c r="H114" s="345">
        <f t="shared" si="28"/>
        <v>0</v>
      </c>
      <c r="I114" s="345">
        <f t="shared" si="28"/>
        <v>0</v>
      </c>
      <c r="J114" s="345">
        <f t="shared" si="28"/>
        <v>0</v>
      </c>
      <c r="K114" s="345">
        <f t="shared" si="28"/>
        <v>0</v>
      </c>
      <c r="L114" s="345">
        <f t="shared" si="28"/>
        <v>0</v>
      </c>
      <c r="M114" s="345">
        <f t="shared" si="28"/>
        <v>0</v>
      </c>
      <c r="N114" s="345">
        <f t="shared" si="28"/>
        <v>0</v>
      </c>
      <c r="O114" s="345">
        <f t="shared" si="28"/>
        <v>0</v>
      </c>
      <c r="P114" s="345">
        <f t="shared" si="28"/>
        <v>0</v>
      </c>
      <c r="Q114" s="345">
        <f t="shared" si="28"/>
        <v>0</v>
      </c>
      <c r="R114" s="345">
        <f t="shared" si="28"/>
        <v>0</v>
      </c>
      <c r="S114" s="345">
        <f t="shared" si="28"/>
        <v>0</v>
      </c>
      <c r="T114" s="345">
        <f t="shared" si="28"/>
        <v>0</v>
      </c>
      <c r="U114" s="345">
        <f t="shared" si="28"/>
        <v>0</v>
      </c>
      <c r="V114" s="345">
        <f t="shared" si="28"/>
        <v>0</v>
      </c>
      <c r="W114" s="345">
        <f t="shared" si="28"/>
        <v>0</v>
      </c>
      <c r="X114" s="345">
        <f t="shared" si="28"/>
        <v>0</v>
      </c>
      <c r="Y114" s="345">
        <f t="shared" si="28"/>
        <v>0</v>
      </c>
      <c r="Z114" s="345">
        <f t="shared" si="28"/>
        <v>0</v>
      </c>
      <c r="AA114" s="345">
        <f t="shared" si="28"/>
        <v>0</v>
      </c>
      <c r="AB114" s="345">
        <f t="shared" si="28"/>
        <v>0</v>
      </c>
      <c r="AC114" s="345">
        <f t="shared" si="28"/>
        <v>0</v>
      </c>
      <c r="AD114" s="345">
        <f t="shared" si="28"/>
        <v>0</v>
      </c>
      <c r="AE114" s="312">
        <f t="shared" si="27"/>
        <v>0</v>
      </c>
    </row>
    <row r="115" outlineLevel="1">
      <c r="A115" s="223" t="s">
        <v>222</v>
      </c>
      <c r="B115" s="345">
        <f t="shared" ref="B115:AD115" si="29">SUM(B112:B113)</f>
        <v>0</v>
      </c>
      <c r="C115" s="345">
        <f t="shared" si="29"/>
        <v>0</v>
      </c>
      <c r="D115" s="345">
        <f t="shared" si="29"/>
        <v>0</v>
      </c>
      <c r="E115" s="345">
        <f t="shared" si="29"/>
        <v>0</v>
      </c>
      <c r="F115" s="345">
        <f t="shared" si="29"/>
        <v>0</v>
      </c>
      <c r="G115" s="345">
        <f t="shared" si="29"/>
        <v>0</v>
      </c>
      <c r="H115" s="345">
        <f t="shared" si="29"/>
        <v>0</v>
      </c>
      <c r="I115" s="345">
        <f t="shared" si="29"/>
        <v>0</v>
      </c>
      <c r="J115" s="345">
        <f t="shared" si="29"/>
        <v>0</v>
      </c>
      <c r="K115" s="345">
        <f t="shared" si="29"/>
        <v>0</v>
      </c>
      <c r="L115" s="345">
        <f t="shared" si="29"/>
        <v>0</v>
      </c>
      <c r="M115" s="345">
        <f t="shared" si="29"/>
        <v>0</v>
      </c>
      <c r="N115" s="345">
        <f t="shared" si="29"/>
        <v>0</v>
      </c>
      <c r="O115" s="345">
        <f t="shared" si="29"/>
        <v>0</v>
      </c>
      <c r="P115" s="345">
        <f t="shared" si="29"/>
        <v>0</v>
      </c>
      <c r="Q115" s="345">
        <f t="shared" si="29"/>
        <v>0</v>
      </c>
      <c r="R115" s="345">
        <f t="shared" si="29"/>
        <v>0</v>
      </c>
      <c r="S115" s="345">
        <f t="shared" si="29"/>
        <v>0</v>
      </c>
      <c r="T115" s="345">
        <f t="shared" si="29"/>
        <v>0</v>
      </c>
      <c r="U115" s="345">
        <f t="shared" si="29"/>
        <v>0</v>
      </c>
      <c r="V115" s="345">
        <f t="shared" si="29"/>
        <v>0</v>
      </c>
      <c r="W115" s="345">
        <f t="shared" si="29"/>
        <v>0</v>
      </c>
      <c r="X115" s="345">
        <f t="shared" si="29"/>
        <v>0</v>
      </c>
      <c r="Y115" s="345">
        <f t="shared" si="29"/>
        <v>0</v>
      </c>
      <c r="Z115" s="345">
        <f t="shared" si="29"/>
        <v>0</v>
      </c>
      <c r="AA115" s="345">
        <f t="shared" si="29"/>
        <v>0</v>
      </c>
      <c r="AB115" s="345">
        <f t="shared" si="29"/>
        <v>0</v>
      </c>
      <c r="AC115" s="345">
        <f t="shared" si="29"/>
        <v>0</v>
      </c>
      <c r="AD115" s="345">
        <f t="shared" si="29"/>
        <v>0</v>
      </c>
      <c r="AE115" s="312">
        <f t="shared" si="27"/>
        <v>0</v>
      </c>
    </row>
    <row r="116" outlineLevel="1">
      <c r="A116" s="98"/>
      <c r="B116" s="127"/>
      <c r="C116" s="127"/>
      <c r="D116" s="127"/>
      <c r="E116" s="127"/>
      <c r="F116" s="127"/>
      <c r="G116" s="127"/>
      <c r="H116" s="127"/>
      <c r="I116" s="83"/>
      <c r="J116" s="83"/>
      <c r="K116" s="83"/>
      <c r="L116" s="83"/>
      <c r="M116" s="83"/>
      <c r="N116" s="83"/>
      <c r="O116" s="83"/>
      <c r="P116" s="83"/>
      <c r="Q116" s="83"/>
      <c r="R116" s="83"/>
      <c r="S116" s="83"/>
      <c r="T116" s="83"/>
      <c r="U116" s="83"/>
      <c r="V116" s="83"/>
      <c r="W116" s="83"/>
      <c r="X116" s="83"/>
      <c r="Y116" s="83"/>
      <c r="Z116" s="83"/>
      <c r="AA116" s="83"/>
      <c r="AB116" s="83"/>
      <c r="AC116" s="83"/>
      <c r="AD116" s="83"/>
      <c r="AE116" s="312"/>
    </row>
    <row r="117" outlineLevel="1">
      <c r="A117" s="215" t="s">
        <v>224</v>
      </c>
      <c r="B117" s="187"/>
      <c r="C117" s="187"/>
      <c r="D117" s="187"/>
      <c r="E117" s="187"/>
      <c r="F117" s="187"/>
      <c r="G117" s="187"/>
      <c r="H117" s="187"/>
      <c r="I117" s="187"/>
      <c r="J117" s="187"/>
      <c r="K117" s="187"/>
      <c r="L117" s="187"/>
      <c r="M117" s="187"/>
      <c r="N117" s="187"/>
      <c r="O117" s="187"/>
      <c r="P117" s="187"/>
      <c r="Q117" s="187"/>
      <c r="R117" s="187"/>
      <c r="S117" s="187"/>
      <c r="T117" s="187"/>
      <c r="U117" s="187"/>
      <c r="V117" s="187"/>
      <c r="W117" s="187"/>
      <c r="X117" s="187"/>
      <c r="Y117" s="187"/>
      <c r="Z117" s="187"/>
      <c r="AA117" s="187"/>
      <c r="AB117" s="187"/>
      <c r="AC117" s="187"/>
      <c r="AD117" s="187"/>
      <c r="AE117" s="312">
        <f t="shared" ref="AE117:AE125" si="30">SUM(B117:AD117)</f>
        <v>0</v>
      </c>
    </row>
    <row r="118" outlineLevel="1">
      <c r="A118" s="215" t="s">
        <v>225</v>
      </c>
      <c r="B118" s="187"/>
      <c r="C118" s="187"/>
      <c r="D118" s="187"/>
      <c r="E118" s="187"/>
      <c r="F118" s="187"/>
      <c r="G118" s="187"/>
      <c r="H118" s="187"/>
      <c r="I118" s="187"/>
      <c r="J118" s="187"/>
      <c r="K118" s="187"/>
      <c r="L118" s="187"/>
      <c r="M118" s="187"/>
      <c r="N118" s="187"/>
      <c r="O118" s="187"/>
      <c r="P118" s="187"/>
      <c r="Q118" s="187"/>
      <c r="R118" s="187"/>
      <c r="S118" s="187"/>
      <c r="T118" s="187"/>
      <c r="U118" s="187"/>
      <c r="V118" s="187"/>
      <c r="W118" s="187"/>
      <c r="X118" s="187"/>
      <c r="Y118" s="187"/>
      <c r="Z118" s="187"/>
      <c r="AA118" s="187"/>
      <c r="AB118" s="187"/>
      <c r="AC118" s="187"/>
      <c r="AD118" s="187"/>
      <c r="AE118" s="312">
        <f t="shared" si="30"/>
        <v>0</v>
      </c>
    </row>
    <row r="119" outlineLevel="1">
      <c r="A119" s="215" t="s">
        <v>1148</v>
      </c>
      <c r="B119" s="187"/>
      <c r="C119" s="187"/>
      <c r="D119" s="187"/>
      <c r="E119" s="187"/>
      <c r="F119" s="187"/>
      <c r="G119" s="187"/>
      <c r="H119" s="187"/>
      <c r="I119" s="187"/>
      <c r="J119" s="187"/>
      <c r="K119" s="187"/>
      <c r="L119" s="187"/>
      <c r="M119" s="187"/>
      <c r="N119" s="187"/>
      <c r="O119" s="187"/>
      <c r="P119" s="187"/>
      <c r="Q119" s="187"/>
      <c r="R119" s="187"/>
      <c r="S119" s="187"/>
      <c r="T119" s="187"/>
      <c r="U119" s="187"/>
      <c r="V119" s="187"/>
      <c r="W119" s="187"/>
      <c r="X119" s="187"/>
      <c r="Y119" s="187"/>
      <c r="Z119" s="187"/>
      <c r="AA119" s="187"/>
      <c r="AB119" s="187"/>
      <c r="AC119" s="187"/>
      <c r="AD119" s="187"/>
      <c r="AE119" s="312">
        <f t="shared" si="30"/>
        <v>0</v>
      </c>
    </row>
    <row r="120" outlineLevel="1">
      <c r="A120" s="215" t="s">
        <v>1149</v>
      </c>
      <c r="B120" s="187"/>
      <c r="C120" s="187"/>
      <c r="D120" s="187"/>
      <c r="E120" s="187"/>
      <c r="F120" s="187"/>
      <c r="G120" s="187"/>
      <c r="H120" s="187"/>
      <c r="I120" s="187"/>
      <c r="J120" s="187"/>
      <c r="K120" s="187"/>
      <c r="L120" s="187"/>
      <c r="M120" s="187"/>
      <c r="N120" s="187"/>
      <c r="O120" s="187"/>
      <c r="P120" s="187"/>
      <c r="Q120" s="187"/>
      <c r="R120" s="187"/>
      <c r="S120" s="187"/>
      <c r="T120" s="187"/>
      <c r="U120" s="187"/>
      <c r="V120" s="187"/>
      <c r="W120" s="187"/>
      <c r="X120" s="187"/>
      <c r="Y120" s="187"/>
      <c r="Z120" s="187"/>
      <c r="AA120" s="187"/>
      <c r="AB120" s="187"/>
      <c r="AC120" s="187"/>
      <c r="AD120" s="187"/>
      <c r="AE120" s="312">
        <f t="shared" si="30"/>
        <v>0</v>
      </c>
    </row>
    <row r="121" outlineLevel="1">
      <c r="A121" s="215" t="s">
        <v>1150</v>
      </c>
      <c r="B121" s="187"/>
      <c r="C121" s="187"/>
      <c r="D121" s="187"/>
      <c r="E121" s="187"/>
      <c r="F121" s="187"/>
      <c r="G121" s="187"/>
      <c r="H121" s="187"/>
      <c r="I121" s="187"/>
      <c r="J121" s="187"/>
      <c r="K121" s="187"/>
      <c r="L121" s="187"/>
      <c r="M121" s="187"/>
      <c r="N121" s="187"/>
      <c r="O121" s="187"/>
      <c r="P121" s="187"/>
      <c r="Q121" s="187"/>
      <c r="R121" s="187"/>
      <c r="S121" s="187"/>
      <c r="T121" s="187"/>
      <c r="U121" s="187"/>
      <c r="V121" s="187"/>
      <c r="W121" s="187"/>
      <c r="X121" s="187"/>
      <c r="Y121" s="187"/>
      <c r="Z121" s="187"/>
      <c r="AA121" s="187"/>
      <c r="AB121" s="187"/>
      <c r="AC121" s="187"/>
      <c r="AD121" s="187"/>
      <c r="AE121" s="312">
        <f t="shared" si="30"/>
        <v>0</v>
      </c>
    </row>
    <row r="122" outlineLevel="1">
      <c r="A122" s="215" t="s">
        <v>1151</v>
      </c>
      <c r="B122" s="187"/>
      <c r="C122" s="187"/>
      <c r="D122" s="187"/>
      <c r="E122" s="187"/>
      <c r="F122" s="187"/>
      <c r="G122" s="187"/>
      <c r="H122" s="187"/>
      <c r="I122" s="187"/>
      <c r="J122" s="187"/>
      <c r="K122" s="187"/>
      <c r="L122" s="187"/>
      <c r="M122" s="187"/>
      <c r="N122" s="187"/>
      <c r="O122" s="187"/>
      <c r="P122" s="187"/>
      <c r="Q122" s="187"/>
      <c r="R122" s="187"/>
      <c r="S122" s="187"/>
      <c r="T122" s="187"/>
      <c r="U122" s="187"/>
      <c r="V122" s="187"/>
      <c r="W122" s="187"/>
      <c r="X122" s="187"/>
      <c r="Y122" s="187"/>
      <c r="Z122" s="187"/>
      <c r="AA122" s="187"/>
      <c r="AB122" s="187"/>
      <c r="AC122" s="187"/>
      <c r="AD122" s="187"/>
      <c r="AE122" s="312">
        <f t="shared" si="30"/>
        <v>0</v>
      </c>
    </row>
    <row r="123" outlineLevel="1">
      <c r="A123" s="215" t="s">
        <v>1152</v>
      </c>
      <c r="B123" s="187"/>
      <c r="C123" s="187"/>
      <c r="D123" s="187"/>
      <c r="E123" s="187"/>
      <c r="F123" s="187"/>
      <c r="G123" s="187"/>
      <c r="H123" s="187"/>
      <c r="I123" s="187"/>
      <c r="J123" s="187"/>
      <c r="K123" s="187"/>
      <c r="L123" s="187"/>
      <c r="M123" s="187"/>
      <c r="N123" s="187"/>
      <c r="O123" s="187"/>
      <c r="P123" s="187"/>
      <c r="Q123" s="187"/>
      <c r="R123" s="187"/>
      <c r="S123" s="187"/>
      <c r="T123" s="187"/>
      <c r="U123" s="187"/>
      <c r="V123" s="187"/>
      <c r="W123" s="187"/>
      <c r="X123" s="187"/>
      <c r="Y123" s="187"/>
      <c r="Z123" s="187"/>
      <c r="AA123" s="187"/>
      <c r="AB123" s="187"/>
      <c r="AC123" s="187"/>
      <c r="AD123" s="187"/>
      <c r="AE123" s="312">
        <f t="shared" si="30"/>
        <v>0</v>
      </c>
    </row>
    <row r="124" outlineLevel="1">
      <c r="A124" s="215" t="s">
        <v>1153</v>
      </c>
      <c r="B124" s="187"/>
      <c r="C124" s="187"/>
      <c r="D124" s="187"/>
      <c r="E124" s="187"/>
      <c r="F124" s="187"/>
      <c r="G124" s="187"/>
      <c r="H124" s="187"/>
      <c r="I124" s="187"/>
      <c r="J124" s="187"/>
      <c r="K124" s="187"/>
      <c r="L124" s="187"/>
      <c r="M124" s="187"/>
      <c r="N124" s="187"/>
      <c r="O124" s="187"/>
      <c r="P124" s="187"/>
      <c r="Q124" s="187"/>
      <c r="R124" s="187"/>
      <c r="S124" s="187"/>
      <c r="T124" s="187"/>
      <c r="U124" s="187"/>
      <c r="V124" s="187"/>
      <c r="W124" s="187"/>
      <c r="X124" s="187"/>
      <c r="Y124" s="187"/>
      <c r="Z124" s="187"/>
      <c r="AA124" s="187"/>
      <c r="AB124" s="187"/>
      <c r="AC124" s="187"/>
      <c r="AD124" s="187"/>
      <c r="AE124" s="312">
        <f t="shared" si="30"/>
        <v>0</v>
      </c>
    </row>
    <row r="125" outlineLevel="1">
      <c r="A125" s="225" t="s">
        <v>141</v>
      </c>
      <c r="B125" s="345">
        <f t="shared" ref="B125:AD125" si="31">SUM(B117:B124)</f>
        <v>0</v>
      </c>
      <c r="C125" s="345">
        <f t="shared" si="31"/>
        <v>0</v>
      </c>
      <c r="D125" s="345">
        <f t="shared" si="31"/>
        <v>0</v>
      </c>
      <c r="E125" s="345">
        <f t="shared" si="31"/>
        <v>0</v>
      </c>
      <c r="F125" s="345">
        <f t="shared" si="31"/>
        <v>0</v>
      </c>
      <c r="G125" s="345">
        <f t="shared" si="31"/>
        <v>0</v>
      </c>
      <c r="H125" s="345">
        <f t="shared" si="31"/>
        <v>0</v>
      </c>
      <c r="I125" s="345">
        <f t="shared" si="31"/>
        <v>0</v>
      </c>
      <c r="J125" s="345">
        <f t="shared" si="31"/>
        <v>0</v>
      </c>
      <c r="K125" s="345">
        <f t="shared" si="31"/>
        <v>0</v>
      </c>
      <c r="L125" s="345">
        <f t="shared" si="31"/>
        <v>0</v>
      </c>
      <c r="M125" s="345">
        <f t="shared" si="31"/>
        <v>0</v>
      </c>
      <c r="N125" s="345">
        <f t="shared" si="31"/>
        <v>0</v>
      </c>
      <c r="O125" s="345">
        <f t="shared" si="31"/>
        <v>0</v>
      </c>
      <c r="P125" s="345">
        <f t="shared" si="31"/>
        <v>0</v>
      </c>
      <c r="Q125" s="345">
        <f t="shared" si="31"/>
        <v>0</v>
      </c>
      <c r="R125" s="345">
        <f t="shared" si="31"/>
        <v>0</v>
      </c>
      <c r="S125" s="345">
        <f t="shared" si="31"/>
        <v>0</v>
      </c>
      <c r="T125" s="345">
        <f t="shared" si="31"/>
        <v>0</v>
      </c>
      <c r="U125" s="345">
        <f t="shared" si="31"/>
        <v>0</v>
      </c>
      <c r="V125" s="345">
        <f t="shared" si="31"/>
        <v>0</v>
      </c>
      <c r="W125" s="345">
        <f t="shared" si="31"/>
        <v>0</v>
      </c>
      <c r="X125" s="345">
        <f t="shared" si="31"/>
        <v>0</v>
      </c>
      <c r="Y125" s="345">
        <f t="shared" si="31"/>
        <v>0</v>
      </c>
      <c r="Z125" s="345">
        <f t="shared" si="31"/>
        <v>0</v>
      </c>
      <c r="AA125" s="345">
        <f t="shared" si="31"/>
        <v>0</v>
      </c>
      <c r="AB125" s="345">
        <f t="shared" si="31"/>
        <v>0</v>
      </c>
      <c r="AC125" s="345">
        <f t="shared" si="31"/>
        <v>0</v>
      </c>
      <c r="AD125" s="345">
        <f t="shared" si="31"/>
        <v>0</v>
      </c>
      <c r="AE125" s="312">
        <f t="shared" si="30"/>
        <v>0</v>
      </c>
    </row>
    <row r="126" outlineLevel="1">
      <c r="A126" s="98"/>
      <c r="B126" s="127"/>
      <c r="C126" s="127"/>
      <c r="D126" s="127"/>
      <c r="E126" s="127"/>
      <c r="F126" s="127"/>
      <c r="G126" s="127"/>
      <c r="H126" s="127"/>
      <c r="I126" s="83"/>
      <c r="J126" s="83"/>
      <c r="K126" s="83"/>
      <c r="L126" s="83"/>
      <c r="M126" s="83"/>
      <c r="N126" s="83"/>
      <c r="O126" s="83"/>
      <c r="P126" s="83"/>
      <c r="Q126" s="83"/>
      <c r="R126" s="83"/>
      <c r="S126" s="83"/>
      <c r="T126" s="83"/>
      <c r="U126" s="83"/>
      <c r="V126" s="83"/>
      <c r="W126" s="83"/>
      <c r="X126" s="83"/>
      <c r="Y126" s="83"/>
      <c r="Z126" s="83"/>
      <c r="AA126" s="83"/>
      <c r="AB126" s="83"/>
      <c r="AC126" s="83"/>
      <c r="AD126" s="83"/>
      <c r="AE126" s="312"/>
    </row>
    <row r="127" outlineLevel="1">
      <c r="A127" s="138" t="s">
        <v>1154</v>
      </c>
      <c r="B127" s="127"/>
      <c r="C127" s="127"/>
      <c r="D127" s="127"/>
      <c r="E127" s="127"/>
      <c r="F127" s="127"/>
      <c r="G127" s="197"/>
      <c r="H127" s="127"/>
      <c r="I127" s="83"/>
      <c r="J127" s="83"/>
      <c r="K127" s="83"/>
      <c r="L127" s="83"/>
      <c r="M127" s="83"/>
      <c r="N127" s="83"/>
      <c r="O127" s="83"/>
      <c r="P127" s="83"/>
      <c r="Q127" s="83"/>
      <c r="R127" s="83"/>
      <c r="S127" s="83"/>
      <c r="T127" s="83"/>
      <c r="U127" s="83"/>
      <c r="V127" s="83"/>
      <c r="W127" s="83"/>
      <c r="X127" s="83"/>
      <c r="Y127" s="83"/>
      <c r="Z127" s="83"/>
      <c r="AA127" s="83"/>
      <c r="AB127" s="83"/>
      <c r="AC127" s="83"/>
      <c r="AD127" s="83"/>
      <c r="AE127" s="383"/>
    </row>
    <row r="128" outlineLevel="1">
      <c r="A128" s="215" t="s">
        <v>666</v>
      </c>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c r="AE128" s="383"/>
    </row>
    <row r="129" outlineLevel="1">
      <c r="A129" s="215" t="s">
        <v>483</v>
      </c>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383"/>
    </row>
    <row r="130" outlineLevel="1">
      <c r="A130" s="215" t="s">
        <v>667</v>
      </c>
      <c r="B130" s="113"/>
      <c r="C130" s="113"/>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383"/>
    </row>
    <row r="131" outlineLevel="1">
      <c r="A131" s="365" t="s">
        <v>668</v>
      </c>
      <c r="B131" s="353">
        <f t="shared" ref="B131:AD131" si="32">SUM(B128:B130)</f>
        <v>0</v>
      </c>
      <c r="C131" s="353">
        <f t="shared" si="32"/>
        <v>0</v>
      </c>
      <c r="D131" s="353">
        <f t="shared" si="32"/>
        <v>0</v>
      </c>
      <c r="E131" s="353">
        <f t="shared" si="32"/>
        <v>0</v>
      </c>
      <c r="F131" s="353">
        <f t="shared" si="32"/>
        <v>0</v>
      </c>
      <c r="G131" s="353">
        <f t="shared" si="32"/>
        <v>0</v>
      </c>
      <c r="H131" s="353">
        <f t="shared" si="32"/>
        <v>0</v>
      </c>
      <c r="I131" s="353">
        <f t="shared" si="32"/>
        <v>0</v>
      </c>
      <c r="J131" s="353">
        <f t="shared" si="32"/>
        <v>0</v>
      </c>
      <c r="K131" s="353">
        <f t="shared" si="32"/>
        <v>0</v>
      </c>
      <c r="L131" s="353">
        <f t="shared" si="32"/>
        <v>0</v>
      </c>
      <c r="M131" s="353">
        <f t="shared" si="32"/>
        <v>0</v>
      </c>
      <c r="N131" s="353">
        <f t="shared" si="32"/>
        <v>0</v>
      </c>
      <c r="O131" s="353">
        <f t="shared" si="32"/>
        <v>0</v>
      </c>
      <c r="P131" s="353">
        <f t="shared" si="32"/>
        <v>0</v>
      </c>
      <c r="Q131" s="353">
        <f t="shared" si="32"/>
        <v>0</v>
      </c>
      <c r="R131" s="353">
        <f t="shared" si="32"/>
        <v>0</v>
      </c>
      <c r="S131" s="353">
        <f t="shared" si="32"/>
        <v>0</v>
      </c>
      <c r="T131" s="353">
        <f t="shared" si="32"/>
        <v>0</v>
      </c>
      <c r="U131" s="353">
        <f t="shared" si="32"/>
        <v>0</v>
      </c>
      <c r="V131" s="353">
        <f t="shared" si="32"/>
        <v>0</v>
      </c>
      <c r="W131" s="353">
        <f t="shared" si="32"/>
        <v>0</v>
      </c>
      <c r="X131" s="353">
        <f t="shared" si="32"/>
        <v>0</v>
      </c>
      <c r="Y131" s="353">
        <f t="shared" si="32"/>
        <v>0</v>
      </c>
      <c r="Z131" s="353">
        <f t="shared" si="32"/>
        <v>0</v>
      </c>
      <c r="AA131" s="353">
        <f t="shared" si="32"/>
        <v>0</v>
      </c>
      <c r="AB131" s="353">
        <f t="shared" si="32"/>
        <v>0</v>
      </c>
      <c r="AC131" s="353">
        <f t="shared" si="32"/>
        <v>0</v>
      </c>
      <c r="AD131" s="353">
        <f t="shared" si="32"/>
        <v>0</v>
      </c>
      <c r="AE131" s="312"/>
    </row>
    <row r="132" outlineLevel="1">
      <c r="A132" s="98"/>
      <c r="B132" s="127"/>
      <c r="C132" s="127"/>
      <c r="D132" s="127"/>
      <c r="E132" s="127"/>
      <c r="F132" s="127"/>
      <c r="G132" s="127"/>
      <c r="H132" s="127"/>
      <c r="I132" s="83"/>
      <c r="J132" s="83"/>
      <c r="K132" s="83"/>
      <c r="L132" s="83"/>
      <c r="M132" s="83"/>
      <c r="N132" s="83"/>
      <c r="O132" s="83"/>
      <c r="P132" s="83"/>
      <c r="Q132" s="83"/>
      <c r="R132" s="83"/>
      <c r="S132" s="83"/>
      <c r="T132" s="83"/>
      <c r="U132" s="83"/>
      <c r="V132" s="83"/>
      <c r="W132" s="83"/>
      <c r="X132" s="83"/>
      <c r="Y132" s="83"/>
      <c r="Z132" s="83"/>
      <c r="AA132" s="83"/>
      <c r="AB132" s="83"/>
      <c r="AC132" s="83"/>
      <c r="AD132" s="83"/>
      <c r="AE132" s="312"/>
    </row>
    <row r="133" outlineLevel="1">
      <c r="A133" s="428" t="s">
        <v>1155</v>
      </c>
      <c r="B133" s="429"/>
      <c r="C133" s="429"/>
      <c r="D133" s="429"/>
      <c r="E133" s="429"/>
      <c r="F133" s="429"/>
      <c r="G133" s="429"/>
      <c r="H133" s="429"/>
      <c r="I133" s="429"/>
      <c r="J133" s="429"/>
      <c r="K133" s="429"/>
      <c r="L133" s="429"/>
      <c r="M133" s="429"/>
      <c r="N133" s="429"/>
      <c r="O133" s="429"/>
      <c r="P133" s="429"/>
      <c r="Q133" s="429"/>
      <c r="R133" s="429"/>
      <c r="S133" s="429"/>
      <c r="T133" s="430"/>
      <c r="U133" s="430"/>
      <c r="V133" s="430"/>
      <c r="W133" s="430"/>
      <c r="X133" s="430"/>
      <c r="Y133" s="430"/>
      <c r="Z133" s="430"/>
      <c r="AA133" s="430"/>
      <c r="AB133" s="430"/>
      <c r="AC133" s="430"/>
      <c r="AD133" s="430"/>
      <c r="AE133" s="789"/>
    </row>
    <row r="134" outlineLevel="1">
      <c r="A134" s="215" t="s">
        <v>1156</v>
      </c>
      <c r="B134" s="160"/>
      <c r="C134" s="160"/>
      <c r="D134" s="160"/>
      <c r="E134" s="160"/>
      <c r="F134" s="160"/>
      <c r="G134" s="160"/>
      <c r="H134" s="160"/>
      <c r="I134" s="160"/>
      <c r="J134" s="160">
        <v>1.0</v>
      </c>
      <c r="K134" s="160"/>
      <c r="L134" s="160"/>
      <c r="M134" s="160"/>
      <c r="N134" s="160"/>
      <c r="O134" s="160"/>
      <c r="P134" s="160"/>
      <c r="Q134" s="160"/>
      <c r="R134" s="160"/>
      <c r="S134" s="160"/>
      <c r="T134" s="160"/>
      <c r="U134" s="160"/>
      <c r="V134" s="160"/>
      <c r="W134" s="160"/>
      <c r="X134" s="160"/>
      <c r="Y134" s="160"/>
      <c r="Z134" s="160"/>
      <c r="AA134" s="160"/>
      <c r="AB134" s="160"/>
      <c r="AC134" s="160"/>
      <c r="AD134" s="160"/>
      <c r="AE134" s="312">
        <f t="shared" ref="AE134:AE139" si="33">SUM(B134:AD134)</f>
        <v>1</v>
      </c>
    </row>
    <row r="135" outlineLevel="1">
      <c r="A135" s="215" t="s">
        <v>1157</v>
      </c>
      <c r="B135" s="187"/>
      <c r="C135" s="187"/>
      <c r="D135" s="187"/>
      <c r="E135" s="187"/>
      <c r="F135" s="187"/>
      <c r="G135" s="187"/>
      <c r="H135" s="187"/>
      <c r="I135" s="187"/>
      <c r="J135" s="187"/>
      <c r="K135" s="187"/>
      <c r="L135" s="187"/>
      <c r="M135" s="187"/>
      <c r="N135" s="187"/>
      <c r="O135" s="187"/>
      <c r="P135" s="187"/>
      <c r="Q135" s="187"/>
      <c r="R135" s="187"/>
      <c r="S135" s="187"/>
      <c r="T135" s="187"/>
      <c r="U135" s="187"/>
      <c r="V135" s="187"/>
      <c r="W135" s="187"/>
      <c r="X135" s="187"/>
      <c r="Y135" s="187"/>
      <c r="Z135" s="187"/>
      <c r="AA135" s="187"/>
      <c r="AB135" s="187"/>
      <c r="AC135" s="187"/>
      <c r="AD135" s="187"/>
      <c r="AE135" s="312">
        <f t="shared" si="33"/>
        <v>0</v>
      </c>
    </row>
    <row r="136" outlineLevel="1">
      <c r="A136" s="215" t="s">
        <v>1158</v>
      </c>
      <c r="B136" s="187"/>
      <c r="C136" s="187"/>
      <c r="D136" s="187"/>
      <c r="E136" s="187"/>
      <c r="F136" s="187"/>
      <c r="G136" s="187"/>
      <c r="H136" s="187"/>
      <c r="I136" s="187"/>
      <c r="J136" s="187"/>
      <c r="K136" s="187"/>
      <c r="L136" s="187"/>
      <c r="M136" s="187"/>
      <c r="N136" s="187"/>
      <c r="O136" s="187"/>
      <c r="P136" s="187"/>
      <c r="Q136" s="187"/>
      <c r="R136" s="187"/>
      <c r="S136" s="187"/>
      <c r="T136" s="187"/>
      <c r="U136" s="187"/>
      <c r="V136" s="187"/>
      <c r="W136" s="187"/>
      <c r="X136" s="187"/>
      <c r="Y136" s="187"/>
      <c r="Z136" s="187"/>
      <c r="AA136" s="187"/>
      <c r="AB136" s="187"/>
      <c r="AC136" s="187"/>
      <c r="AD136" s="187"/>
      <c r="AE136" s="312">
        <f t="shared" si="33"/>
        <v>0</v>
      </c>
    </row>
    <row r="137" outlineLevel="1">
      <c r="A137" s="215" t="s">
        <v>1159</v>
      </c>
      <c r="B137" s="187"/>
      <c r="C137" s="187"/>
      <c r="D137" s="187"/>
      <c r="E137" s="187"/>
      <c r="F137" s="187"/>
      <c r="G137" s="187"/>
      <c r="H137" s="187"/>
      <c r="I137" s="187"/>
      <c r="J137" s="187"/>
      <c r="K137" s="187"/>
      <c r="L137" s="187"/>
      <c r="M137" s="187"/>
      <c r="N137" s="187"/>
      <c r="O137" s="187"/>
      <c r="P137" s="187"/>
      <c r="Q137" s="187"/>
      <c r="R137" s="187"/>
      <c r="S137" s="187"/>
      <c r="T137" s="187"/>
      <c r="U137" s="187"/>
      <c r="V137" s="187"/>
      <c r="W137" s="187"/>
      <c r="X137" s="187"/>
      <c r="Y137" s="187"/>
      <c r="Z137" s="187"/>
      <c r="AA137" s="187"/>
      <c r="AB137" s="187"/>
      <c r="AC137" s="187"/>
      <c r="AD137" s="187"/>
      <c r="AE137" s="312">
        <f t="shared" si="33"/>
        <v>0</v>
      </c>
    </row>
    <row r="138" outlineLevel="1">
      <c r="A138" s="223" t="s">
        <v>221</v>
      </c>
      <c r="B138" s="345">
        <f t="shared" ref="B138:AD138" si="34">SUM(B134:B135)</f>
        <v>0</v>
      </c>
      <c r="C138" s="345">
        <f t="shared" si="34"/>
        <v>0</v>
      </c>
      <c r="D138" s="345">
        <f t="shared" si="34"/>
        <v>0</v>
      </c>
      <c r="E138" s="345">
        <f t="shared" si="34"/>
        <v>0</v>
      </c>
      <c r="F138" s="345">
        <f t="shared" si="34"/>
        <v>0</v>
      </c>
      <c r="G138" s="345">
        <f t="shared" si="34"/>
        <v>0</v>
      </c>
      <c r="H138" s="345">
        <f t="shared" si="34"/>
        <v>0</v>
      </c>
      <c r="I138" s="345">
        <f t="shared" si="34"/>
        <v>0</v>
      </c>
      <c r="J138" s="345">
        <f t="shared" si="34"/>
        <v>1</v>
      </c>
      <c r="K138" s="345">
        <f t="shared" si="34"/>
        <v>0</v>
      </c>
      <c r="L138" s="345">
        <f t="shared" si="34"/>
        <v>0</v>
      </c>
      <c r="M138" s="345">
        <f t="shared" si="34"/>
        <v>0</v>
      </c>
      <c r="N138" s="345">
        <f t="shared" si="34"/>
        <v>0</v>
      </c>
      <c r="O138" s="345">
        <f t="shared" si="34"/>
        <v>0</v>
      </c>
      <c r="P138" s="345">
        <f t="shared" si="34"/>
        <v>0</v>
      </c>
      <c r="Q138" s="345">
        <f t="shared" si="34"/>
        <v>0</v>
      </c>
      <c r="R138" s="345">
        <f t="shared" si="34"/>
        <v>0</v>
      </c>
      <c r="S138" s="345">
        <f t="shared" si="34"/>
        <v>0</v>
      </c>
      <c r="T138" s="345">
        <f t="shared" si="34"/>
        <v>0</v>
      </c>
      <c r="U138" s="345">
        <f t="shared" si="34"/>
        <v>0</v>
      </c>
      <c r="V138" s="345">
        <f t="shared" si="34"/>
        <v>0</v>
      </c>
      <c r="W138" s="345">
        <f t="shared" si="34"/>
        <v>0</v>
      </c>
      <c r="X138" s="345">
        <f t="shared" si="34"/>
        <v>0</v>
      </c>
      <c r="Y138" s="345">
        <f t="shared" si="34"/>
        <v>0</v>
      </c>
      <c r="Z138" s="345">
        <f t="shared" si="34"/>
        <v>0</v>
      </c>
      <c r="AA138" s="345">
        <f t="shared" si="34"/>
        <v>0</v>
      </c>
      <c r="AB138" s="345">
        <f t="shared" si="34"/>
        <v>0</v>
      </c>
      <c r="AC138" s="345">
        <f t="shared" si="34"/>
        <v>0</v>
      </c>
      <c r="AD138" s="345">
        <f t="shared" si="34"/>
        <v>0</v>
      </c>
      <c r="AE138" s="312">
        <f t="shared" si="33"/>
        <v>1</v>
      </c>
    </row>
    <row r="139" outlineLevel="1">
      <c r="A139" s="223" t="s">
        <v>222</v>
      </c>
      <c r="B139" s="345">
        <f t="shared" ref="B139:AD139" si="35">SUM(B136:B137)</f>
        <v>0</v>
      </c>
      <c r="C139" s="345">
        <f t="shared" si="35"/>
        <v>0</v>
      </c>
      <c r="D139" s="345">
        <f t="shared" si="35"/>
        <v>0</v>
      </c>
      <c r="E139" s="345">
        <f t="shared" si="35"/>
        <v>0</v>
      </c>
      <c r="F139" s="345">
        <f t="shared" si="35"/>
        <v>0</v>
      </c>
      <c r="G139" s="345">
        <f t="shared" si="35"/>
        <v>0</v>
      </c>
      <c r="H139" s="345">
        <f t="shared" si="35"/>
        <v>0</v>
      </c>
      <c r="I139" s="345">
        <f t="shared" si="35"/>
        <v>0</v>
      </c>
      <c r="J139" s="345">
        <f t="shared" si="35"/>
        <v>0</v>
      </c>
      <c r="K139" s="345">
        <f t="shared" si="35"/>
        <v>0</v>
      </c>
      <c r="L139" s="345">
        <f t="shared" si="35"/>
        <v>0</v>
      </c>
      <c r="M139" s="345">
        <f t="shared" si="35"/>
        <v>0</v>
      </c>
      <c r="N139" s="345">
        <f t="shared" si="35"/>
        <v>0</v>
      </c>
      <c r="O139" s="345">
        <f t="shared" si="35"/>
        <v>0</v>
      </c>
      <c r="P139" s="345">
        <f t="shared" si="35"/>
        <v>0</v>
      </c>
      <c r="Q139" s="345">
        <f t="shared" si="35"/>
        <v>0</v>
      </c>
      <c r="R139" s="345">
        <f t="shared" si="35"/>
        <v>0</v>
      </c>
      <c r="S139" s="345">
        <f t="shared" si="35"/>
        <v>0</v>
      </c>
      <c r="T139" s="345">
        <f t="shared" si="35"/>
        <v>0</v>
      </c>
      <c r="U139" s="345">
        <f t="shared" si="35"/>
        <v>0</v>
      </c>
      <c r="V139" s="345">
        <f t="shared" si="35"/>
        <v>0</v>
      </c>
      <c r="W139" s="345">
        <f t="shared" si="35"/>
        <v>0</v>
      </c>
      <c r="X139" s="345">
        <f t="shared" si="35"/>
        <v>0</v>
      </c>
      <c r="Y139" s="345">
        <f t="shared" si="35"/>
        <v>0</v>
      </c>
      <c r="Z139" s="345">
        <f t="shared" si="35"/>
        <v>0</v>
      </c>
      <c r="AA139" s="345">
        <f t="shared" si="35"/>
        <v>0</v>
      </c>
      <c r="AB139" s="345">
        <f t="shared" si="35"/>
        <v>0</v>
      </c>
      <c r="AC139" s="345">
        <f t="shared" si="35"/>
        <v>0</v>
      </c>
      <c r="AD139" s="345">
        <f t="shared" si="35"/>
        <v>0</v>
      </c>
      <c r="AE139" s="312">
        <f t="shared" si="33"/>
        <v>0</v>
      </c>
    </row>
    <row r="140" outlineLevel="1">
      <c r="A140" s="98"/>
      <c r="B140" s="177"/>
      <c r="C140" s="177"/>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c r="AA140" s="177"/>
      <c r="AB140" s="177"/>
      <c r="AC140" s="177"/>
      <c r="AD140" s="177"/>
      <c r="AE140" s="346"/>
    </row>
    <row r="141" outlineLevel="1">
      <c r="A141" s="215" t="s">
        <v>224</v>
      </c>
      <c r="B141" s="187"/>
      <c r="C141" s="187"/>
      <c r="D141" s="187"/>
      <c r="E141" s="187"/>
      <c r="F141" s="187"/>
      <c r="G141" s="187"/>
      <c r="H141" s="187"/>
      <c r="I141" s="187"/>
      <c r="J141" s="187"/>
      <c r="K141" s="187"/>
      <c r="L141" s="187"/>
      <c r="M141" s="187"/>
      <c r="N141" s="187"/>
      <c r="O141" s="187"/>
      <c r="P141" s="187"/>
      <c r="Q141" s="187"/>
      <c r="R141" s="187"/>
      <c r="S141" s="187"/>
      <c r="T141" s="187"/>
      <c r="U141" s="187"/>
      <c r="V141" s="187"/>
      <c r="W141" s="187"/>
      <c r="X141" s="187"/>
      <c r="Y141" s="187"/>
      <c r="Z141" s="187"/>
      <c r="AA141" s="187"/>
      <c r="AB141" s="187"/>
      <c r="AC141" s="187"/>
      <c r="AD141" s="187"/>
      <c r="AE141" s="312">
        <f t="shared" ref="AE141:AE149" si="36">SUM(B141:AD141)</f>
        <v>0</v>
      </c>
    </row>
    <row r="142" outlineLevel="1">
      <c r="A142" s="215" t="s">
        <v>225</v>
      </c>
      <c r="B142" s="187"/>
      <c r="C142" s="187"/>
      <c r="D142" s="187"/>
      <c r="E142" s="187"/>
      <c r="F142" s="187"/>
      <c r="G142" s="187"/>
      <c r="H142" s="187"/>
      <c r="I142" s="187"/>
      <c r="J142" s="187"/>
      <c r="K142" s="187"/>
      <c r="L142" s="187"/>
      <c r="M142" s="187"/>
      <c r="N142" s="187"/>
      <c r="O142" s="187"/>
      <c r="P142" s="187"/>
      <c r="Q142" s="187"/>
      <c r="R142" s="187"/>
      <c r="S142" s="187"/>
      <c r="T142" s="187"/>
      <c r="U142" s="187"/>
      <c r="V142" s="187"/>
      <c r="W142" s="187"/>
      <c r="X142" s="187"/>
      <c r="Y142" s="187"/>
      <c r="Z142" s="187"/>
      <c r="AA142" s="187"/>
      <c r="AB142" s="187"/>
      <c r="AC142" s="187"/>
      <c r="AD142" s="187"/>
      <c r="AE142" s="312">
        <f t="shared" si="36"/>
        <v>0</v>
      </c>
    </row>
    <row r="143" outlineLevel="1">
      <c r="A143" s="215" t="s">
        <v>1160</v>
      </c>
      <c r="B143" s="187"/>
      <c r="C143" s="187"/>
      <c r="D143" s="187"/>
      <c r="E143" s="187"/>
      <c r="F143" s="187"/>
      <c r="G143" s="187"/>
      <c r="H143" s="187"/>
      <c r="I143" s="187"/>
      <c r="J143" s="187"/>
      <c r="K143" s="187"/>
      <c r="L143" s="187"/>
      <c r="M143" s="187"/>
      <c r="N143" s="187"/>
      <c r="O143" s="187"/>
      <c r="P143" s="187"/>
      <c r="Q143" s="187"/>
      <c r="R143" s="187"/>
      <c r="S143" s="187"/>
      <c r="T143" s="187"/>
      <c r="U143" s="187"/>
      <c r="V143" s="187"/>
      <c r="W143" s="187"/>
      <c r="X143" s="187"/>
      <c r="Y143" s="187"/>
      <c r="Z143" s="187"/>
      <c r="AA143" s="187"/>
      <c r="AB143" s="187"/>
      <c r="AC143" s="187"/>
      <c r="AD143" s="187"/>
      <c r="AE143" s="312">
        <f t="shared" si="36"/>
        <v>0</v>
      </c>
    </row>
    <row r="144" outlineLevel="1">
      <c r="A144" s="215" t="s">
        <v>1161</v>
      </c>
      <c r="B144" s="187"/>
      <c r="C144" s="187"/>
      <c r="D144" s="187"/>
      <c r="E144" s="187"/>
      <c r="F144" s="187"/>
      <c r="G144" s="187"/>
      <c r="H144" s="187"/>
      <c r="I144" s="187"/>
      <c r="J144" s="187"/>
      <c r="K144" s="187"/>
      <c r="L144" s="187"/>
      <c r="M144" s="187"/>
      <c r="N144" s="187"/>
      <c r="O144" s="187"/>
      <c r="P144" s="187"/>
      <c r="Q144" s="187"/>
      <c r="R144" s="187"/>
      <c r="S144" s="187"/>
      <c r="T144" s="187"/>
      <c r="U144" s="187"/>
      <c r="V144" s="187"/>
      <c r="W144" s="187"/>
      <c r="X144" s="187"/>
      <c r="Y144" s="187"/>
      <c r="Z144" s="187"/>
      <c r="AA144" s="187"/>
      <c r="AB144" s="187"/>
      <c r="AC144" s="187"/>
      <c r="AD144" s="187"/>
      <c r="AE144" s="312">
        <f t="shared" si="36"/>
        <v>0</v>
      </c>
    </row>
    <row r="145" outlineLevel="1">
      <c r="A145" s="215" t="s">
        <v>1162</v>
      </c>
      <c r="B145" s="187"/>
      <c r="C145" s="187"/>
      <c r="D145" s="187"/>
      <c r="E145" s="187"/>
      <c r="F145" s="187"/>
      <c r="G145" s="187"/>
      <c r="H145" s="187"/>
      <c r="I145" s="187"/>
      <c r="J145" s="187"/>
      <c r="K145" s="187"/>
      <c r="L145" s="187"/>
      <c r="M145" s="187"/>
      <c r="N145" s="187"/>
      <c r="O145" s="187"/>
      <c r="P145" s="187"/>
      <c r="Q145" s="187"/>
      <c r="R145" s="187"/>
      <c r="S145" s="187"/>
      <c r="T145" s="187"/>
      <c r="U145" s="187"/>
      <c r="V145" s="187"/>
      <c r="W145" s="187"/>
      <c r="X145" s="187"/>
      <c r="Y145" s="187"/>
      <c r="Z145" s="187"/>
      <c r="AA145" s="187"/>
      <c r="AB145" s="187"/>
      <c r="AC145" s="187"/>
      <c r="AD145" s="187"/>
      <c r="AE145" s="312">
        <f t="shared" si="36"/>
        <v>0</v>
      </c>
    </row>
    <row r="146" outlineLevel="1">
      <c r="A146" s="215" t="s">
        <v>1163</v>
      </c>
      <c r="B146" s="187"/>
      <c r="C146" s="187"/>
      <c r="D146" s="187"/>
      <c r="E146" s="187"/>
      <c r="F146" s="187"/>
      <c r="G146" s="187"/>
      <c r="H146" s="187"/>
      <c r="I146" s="187"/>
      <c r="J146" s="187"/>
      <c r="K146" s="187"/>
      <c r="L146" s="187"/>
      <c r="M146" s="187"/>
      <c r="N146" s="187"/>
      <c r="O146" s="187"/>
      <c r="P146" s="187"/>
      <c r="Q146" s="187"/>
      <c r="R146" s="187"/>
      <c r="S146" s="187"/>
      <c r="T146" s="187"/>
      <c r="U146" s="187"/>
      <c r="V146" s="187"/>
      <c r="W146" s="187"/>
      <c r="X146" s="187"/>
      <c r="Y146" s="187"/>
      <c r="Z146" s="187"/>
      <c r="AA146" s="187"/>
      <c r="AB146" s="187"/>
      <c r="AC146" s="187"/>
      <c r="AD146" s="187"/>
      <c r="AE146" s="312">
        <f t="shared" si="36"/>
        <v>0</v>
      </c>
    </row>
    <row r="147" outlineLevel="1">
      <c r="A147" s="215" t="s">
        <v>1164</v>
      </c>
      <c r="B147" s="187"/>
      <c r="C147" s="187"/>
      <c r="D147" s="187"/>
      <c r="E147" s="187"/>
      <c r="F147" s="187"/>
      <c r="G147" s="187"/>
      <c r="H147" s="187"/>
      <c r="I147" s="187"/>
      <c r="J147" s="187"/>
      <c r="K147" s="187"/>
      <c r="L147" s="187"/>
      <c r="M147" s="187"/>
      <c r="N147" s="187"/>
      <c r="O147" s="187"/>
      <c r="P147" s="187"/>
      <c r="Q147" s="187"/>
      <c r="R147" s="187"/>
      <c r="S147" s="187"/>
      <c r="T147" s="187"/>
      <c r="U147" s="187"/>
      <c r="V147" s="187"/>
      <c r="W147" s="187"/>
      <c r="X147" s="187"/>
      <c r="Y147" s="187"/>
      <c r="Z147" s="187"/>
      <c r="AA147" s="187"/>
      <c r="AB147" s="187"/>
      <c r="AC147" s="187"/>
      <c r="AD147" s="187"/>
      <c r="AE147" s="312">
        <f t="shared" si="36"/>
        <v>0</v>
      </c>
    </row>
    <row r="148" outlineLevel="1">
      <c r="A148" s="215" t="s">
        <v>1165</v>
      </c>
      <c r="B148" s="187"/>
      <c r="C148" s="187"/>
      <c r="D148" s="187"/>
      <c r="E148" s="187"/>
      <c r="F148" s="187"/>
      <c r="G148" s="187"/>
      <c r="H148" s="187"/>
      <c r="I148" s="187"/>
      <c r="J148" s="187"/>
      <c r="K148" s="187"/>
      <c r="L148" s="187"/>
      <c r="M148" s="187"/>
      <c r="N148" s="187"/>
      <c r="O148" s="187"/>
      <c r="P148" s="187"/>
      <c r="Q148" s="187"/>
      <c r="R148" s="187"/>
      <c r="S148" s="187"/>
      <c r="T148" s="187"/>
      <c r="U148" s="187"/>
      <c r="V148" s="187"/>
      <c r="W148" s="187"/>
      <c r="X148" s="187"/>
      <c r="Y148" s="187"/>
      <c r="Z148" s="187"/>
      <c r="AA148" s="187"/>
      <c r="AB148" s="187"/>
      <c r="AC148" s="187"/>
      <c r="AD148" s="187"/>
      <c r="AE148" s="312">
        <f t="shared" si="36"/>
        <v>0</v>
      </c>
    </row>
    <row r="149" outlineLevel="1">
      <c r="A149" s="225" t="s">
        <v>141</v>
      </c>
      <c r="B149" s="345">
        <f t="shared" ref="B149:AD149" si="37">SUM(B141:B148)</f>
        <v>0</v>
      </c>
      <c r="C149" s="345">
        <f t="shared" si="37"/>
        <v>0</v>
      </c>
      <c r="D149" s="345">
        <f t="shared" si="37"/>
        <v>0</v>
      </c>
      <c r="E149" s="345">
        <f t="shared" si="37"/>
        <v>0</v>
      </c>
      <c r="F149" s="345">
        <f t="shared" si="37"/>
        <v>0</v>
      </c>
      <c r="G149" s="345">
        <f t="shared" si="37"/>
        <v>0</v>
      </c>
      <c r="H149" s="345">
        <f t="shared" si="37"/>
        <v>0</v>
      </c>
      <c r="I149" s="345">
        <f t="shared" si="37"/>
        <v>0</v>
      </c>
      <c r="J149" s="345">
        <f t="shared" si="37"/>
        <v>0</v>
      </c>
      <c r="K149" s="345">
        <f t="shared" si="37"/>
        <v>0</v>
      </c>
      <c r="L149" s="345">
        <f t="shared" si="37"/>
        <v>0</v>
      </c>
      <c r="M149" s="345">
        <f t="shared" si="37"/>
        <v>0</v>
      </c>
      <c r="N149" s="345">
        <f t="shared" si="37"/>
        <v>0</v>
      </c>
      <c r="O149" s="345">
        <f t="shared" si="37"/>
        <v>0</v>
      </c>
      <c r="P149" s="345">
        <f t="shared" si="37"/>
        <v>0</v>
      </c>
      <c r="Q149" s="345">
        <f t="shared" si="37"/>
        <v>0</v>
      </c>
      <c r="R149" s="345">
        <f t="shared" si="37"/>
        <v>0</v>
      </c>
      <c r="S149" s="345">
        <f t="shared" si="37"/>
        <v>0</v>
      </c>
      <c r="T149" s="345">
        <f t="shared" si="37"/>
        <v>0</v>
      </c>
      <c r="U149" s="345">
        <f t="shared" si="37"/>
        <v>0</v>
      </c>
      <c r="V149" s="345">
        <f t="shared" si="37"/>
        <v>0</v>
      </c>
      <c r="W149" s="345">
        <f t="shared" si="37"/>
        <v>0</v>
      </c>
      <c r="X149" s="345">
        <f t="shared" si="37"/>
        <v>0</v>
      </c>
      <c r="Y149" s="345">
        <f t="shared" si="37"/>
        <v>0</v>
      </c>
      <c r="Z149" s="345">
        <f t="shared" si="37"/>
        <v>0</v>
      </c>
      <c r="AA149" s="345">
        <f t="shared" si="37"/>
        <v>0</v>
      </c>
      <c r="AB149" s="345">
        <f t="shared" si="37"/>
        <v>0</v>
      </c>
      <c r="AC149" s="345">
        <f t="shared" si="37"/>
        <v>0</v>
      </c>
      <c r="AD149" s="345">
        <f t="shared" si="37"/>
        <v>0</v>
      </c>
      <c r="AE149" s="312">
        <f t="shared" si="36"/>
        <v>0</v>
      </c>
    </row>
    <row r="150" outlineLevel="1">
      <c r="A150" s="166"/>
      <c r="B150" s="177"/>
      <c r="C150" s="177"/>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c r="AA150" s="177"/>
      <c r="AB150" s="177"/>
      <c r="AC150" s="177"/>
      <c r="AD150" s="177"/>
      <c r="AE150" s="312"/>
    </row>
    <row r="151" outlineLevel="1">
      <c r="A151" s="138" t="s">
        <v>1166</v>
      </c>
      <c r="B151" s="177"/>
      <c r="C151" s="177"/>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c r="AA151" s="177"/>
      <c r="AB151" s="177"/>
      <c r="AC151" s="177"/>
      <c r="AD151" s="177"/>
      <c r="AE151" s="312"/>
    </row>
    <row r="152" outlineLevel="1">
      <c r="A152" s="215" t="s">
        <v>666</v>
      </c>
      <c r="B152" s="197"/>
      <c r="C152" s="197"/>
      <c r="D152" s="197"/>
      <c r="E152" s="234"/>
      <c r="F152" s="234"/>
      <c r="G152" s="234"/>
      <c r="H152" s="234"/>
      <c r="I152" s="234"/>
      <c r="J152" s="234"/>
      <c r="K152" s="234"/>
      <c r="L152" s="197"/>
      <c r="M152" s="234"/>
      <c r="N152" s="234"/>
      <c r="O152" s="234"/>
      <c r="P152" s="234"/>
      <c r="Q152" s="234"/>
      <c r="R152" s="234"/>
      <c r="S152" s="234"/>
      <c r="T152" s="234"/>
      <c r="U152" s="234"/>
      <c r="V152" s="234"/>
      <c r="W152" s="234"/>
      <c r="X152" s="197"/>
      <c r="Y152" s="234"/>
      <c r="Z152" s="234"/>
      <c r="AA152" s="234"/>
      <c r="AB152" s="234"/>
      <c r="AC152" s="234"/>
      <c r="AD152" s="197"/>
      <c r="AE152" s="312"/>
    </row>
    <row r="153" outlineLevel="1">
      <c r="A153" s="215" t="s">
        <v>483</v>
      </c>
      <c r="B153" s="97"/>
      <c r="C153" s="97"/>
      <c r="D153" s="97"/>
      <c r="E153" s="97"/>
      <c r="F153" s="97"/>
      <c r="G153" s="331"/>
      <c r="H153" s="331"/>
      <c r="I153" s="331"/>
      <c r="J153" s="331"/>
      <c r="K153" s="97"/>
      <c r="L153" s="331"/>
      <c r="M153" s="331"/>
      <c r="N153" s="331"/>
      <c r="O153" s="331"/>
      <c r="P153" s="331"/>
      <c r="Q153" s="331"/>
      <c r="R153" s="331"/>
      <c r="S153" s="331"/>
      <c r="T153" s="331"/>
      <c r="U153" s="331"/>
      <c r="V153" s="331"/>
      <c r="W153" s="331"/>
      <c r="X153" s="331"/>
      <c r="Y153" s="331"/>
      <c r="Z153" s="331"/>
      <c r="AA153" s="331"/>
      <c r="AB153" s="331"/>
      <c r="AC153" s="331"/>
      <c r="AD153" s="331"/>
      <c r="AE153" s="312"/>
    </row>
    <row r="154" outlineLevel="1">
      <c r="A154" s="215" t="s">
        <v>667</v>
      </c>
      <c r="B154" s="97"/>
      <c r="C154" s="97"/>
      <c r="D154" s="97"/>
      <c r="E154" s="97"/>
      <c r="F154" s="97"/>
      <c r="G154" s="331"/>
      <c r="H154" s="331"/>
      <c r="I154" s="331"/>
      <c r="J154" s="331"/>
      <c r="K154" s="97"/>
      <c r="L154" s="331"/>
      <c r="M154" s="331"/>
      <c r="N154" s="331"/>
      <c r="O154" s="331"/>
      <c r="P154" s="331"/>
      <c r="Q154" s="331"/>
      <c r="R154" s="331"/>
      <c r="S154" s="331"/>
      <c r="T154" s="331"/>
      <c r="U154" s="331"/>
      <c r="V154" s="331"/>
      <c r="W154" s="331"/>
      <c r="X154" s="331"/>
      <c r="Y154" s="331"/>
      <c r="Z154" s="331"/>
      <c r="AA154" s="331"/>
      <c r="AB154" s="331"/>
      <c r="AC154" s="331"/>
      <c r="AD154" s="331"/>
      <c r="AE154" s="312"/>
    </row>
    <row r="155" outlineLevel="1">
      <c r="A155" s="365" t="s">
        <v>668</v>
      </c>
      <c r="B155" s="358">
        <f t="shared" ref="B155:AD155" si="38">sum(B152:B154)</f>
        <v>0</v>
      </c>
      <c r="C155" s="358">
        <f t="shared" si="38"/>
        <v>0</v>
      </c>
      <c r="D155" s="358">
        <f t="shared" si="38"/>
        <v>0</v>
      </c>
      <c r="E155" s="358">
        <f t="shared" si="38"/>
        <v>0</v>
      </c>
      <c r="F155" s="358">
        <f t="shared" si="38"/>
        <v>0</v>
      </c>
      <c r="G155" s="358">
        <f t="shared" si="38"/>
        <v>0</v>
      </c>
      <c r="H155" s="358">
        <f t="shared" si="38"/>
        <v>0</v>
      </c>
      <c r="I155" s="358">
        <f t="shared" si="38"/>
        <v>0</v>
      </c>
      <c r="J155" s="358">
        <f t="shared" si="38"/>
        <v>0</v>
      </c>
      <c r="K155" s="358">
        <f t="shared" si="38"/>
        <v>0</v>
      </c>
      <c r="L155" s="358">
        <f t="shared" si="38"/>
        <v>0</v>
      </c>
      <c r="M155" s="358">
        <f t="shared" si="38"/>
        <v>0</v>
      </c>
      <c r="N155" s="358">
        <f t="shared" si="38"/>
        <v>0</v>
      </c>
      <c r="O155" s="358">
        <f t="shared" si="38"/>
        <v>0</v>
      </c>
      <c r="P155" s="358">
        <f t="shared" si="38"/>
        <v>0</v>
      </c>
      <c r="Q155" s="358">
        <f t="shared" si="38"/>
        <v>0</v>
      </c>
      <c r="R155" s="358">
        <f t="shared" si="38"/>
        <v>0</v>
      </c>
      <c r="S155" s="358">
        <f t="shared" si="38"/>
        <v>0</v>
      </c>
      <c r="T155" s="358">
        <f t="shared" si="38"/>
        <v>0</v>
      </c>
      <c r="U155" s="358">
        <f t="shared" si="38"/>
        <v>0</v>
      </c>
      <c r="V155" s="358">
        <f t="shared" si="38"/>
        <v>0</v>
      </c>
      <c r="W155" s="358">
        <f t="shared" si="38"/>
        <v>0</v>
      </c>
      <c r="X155" s="358">
        <f t="shared" si="38"/>
        <v>0</v>
      </c>
      <c r="Y155" s="358">
        <f t="shared" si="38"/>
        <v>0</v>
      </c>
      <c r="Z155" s="358">
        <f t="shared" si="38"/>
        <v>0</v>
      </c>
      <c r="AA155" s="358">
        <f t="shared" si="38"/>
        <v>0</v>
      </c>
      <c r="AB155" s="358">
        <f t="shared" si="38"/>
        <v>0</v>
      </c>
      <c r="AC155" s="358">
        <f t="shared" si="38"/>
        <v>0</v>
      </c>
      <c r="AD155" s="358">
        <f t="shared" si="38"/>
        <v>0</v>
      </c>
      <c r="AE155" s="312"/>
    </row>
    <row r="156">
      <c r="A156" s="83"/>
      <c r="B156" s="127"/>
      <c r="C156" s="127"/>
      <c r="D156" s="127"/>
      <c r="E156" s="127"/>
      <c r="F156" s="127"/>
      <c r="G156" s="127"/>
      <c r="H156" s="127"/>
      <c r="I156" s="83"/>
      <c r="J156" s="83"/>
      <c r="K156" s="83"/>
      <c r="L156" s="83"/>
      <c r="M156" s="83"/>
      <c r="N156" s="83"/>
      <c r="O156" s="83"/>
      <c r="P156" s="83"/>
      <c r="Q156" s="83"/>
      <c r="R156" s="83"/>
      <c r="S156" s="83"/>
      <c r="T156" s="83"/>
      <c r="U156" s="83"/>
      <c r="V156" s="83"/>
      <c r="W156" s="83"/>
      <c r="X156" s="83"/>
      <c r="Y156" s="83"/>
      <c r="Z156" s="83"/>
      <c r="AA156" s="83"/>
      <c r="AB156" s="83"/>
      <c r="AC156" s="83"/>
      <c r="AD156" s="83"/>
      <c r="AE156" s="312"/>
    </row>
    <row r="157">
      <c r="A157" s="801"/>
      <c r="B157" s="439"/>
      <c r="C157" s="439"/>
      <c r="D157" s="439"/>
      <c r="E157" s="439"/>
      <c r="F157" s="439"/>
      <c r="G157" s="439"/>
      <c r="H157" s="439"/>
      <c r="I157" s="439"/>
      <c r="J157" s="439"/>
      <c r="K157" s="439"/>
      <c r="L157" s="439"/>
      <c r="M157" s="439"/>
      <c r="N157" s="439"/>
      <c r="O157" s="439"/>
      <c r="P157" s="439"/>
      <c r="Q157" s="439"/>
      <c r="R157" s="439"/>
      <c r="S157" s="439"/>
      <c r="T157" s="439"/>
      <c r="U157" s="439"/>
      <c r="V157" s="439"/>
      <c r="W157" s="439"/>
      <c r="X157" s="439"/>
      <c r="Y157" s="439"/>
      <c r="Z157" s="439"/>
      <c r="AA157" s="439"/>
      <c r="AB157" s="439"/>
      <c r="AC157" s="439"/>
      <c r="AD157" s="439"/>
      <c r="AE157" s="346"/>
    </row>
    <row r="158">
      <c r="AE158" s="383"/>
    </row>
    <row r="159">
      <c r="A159" s="802" t="s">
        <v>388</v>
      </c>
      <c r="B159" s="83"/>
      <c r="C159" s="83"/>
      <c r="D159" s="83"/>
      <c r="E159" s="83"/>
      <c r="F159" s="83"/>
      <c r="G159" s="83"/>
      <c r="H159" s="83"/>
      <c r="I159" s="83"/>
      <c r="J159" s="83"/>
      <c r="K159" s="83"/>
      <c r="L159" s="83"/>
      <c r="M159" s="83"/>
      <c r="N159" s="83"/>
      <c r="O159" s="83"/>
      <c r="P159" s="83"/>
      <c r="Q159" s="83"/>
      <c r="R159" s="83"/>
      <c r="S159" s="83"/>
      <c r="T159" s="83"/>
      <c r="U159" s="83"/>
      <c r="V159" s="83"/>
      <c r="W159" s="83"/>
      <c r="X159" s="83"/>
      <c r="Y159" s="83"/>
      <c r="Z159" s="83"/>
      <c r="AA159" s="83"/>
      <c r="AB159" s="83"/>
      <c r="AC159" s="83"/>
      <c r="AD159" s="83"/>
      <c r="AE159" s="346"/>
    </row>
    <row r="160">
      <c r="A160" s="803" t="s">
        <v>1167</v>
      </c>
      <c r="B160" s="257">
        <f t="shared" ref="B160:AD160" si="39">B10+B88</f>
        <v>0</v>
      </c>
      <c r="C160" s="257">
        <f t="shared" si="39"/>
        <v>0</v>
      </c>
      <c r="D160" s="257">
        <f t="shared" si="39"/>
        <v>0</v>
      </c>
      <c r="E160" s="257">
        <f t="shared" si="39"/>
        <v>0</v>
      </c>
      <c r="F160" s="257">
        <f t="shared" si="39"/>
        <v>0</v>
      </c>
      <c r="G160" s="257">
        <f t="shared" si="39"/>
        <v>0</v>
      </c>
      <c r="H160" s="257">
        <f t="shared" si="39"/>
        <v>0</v>
      </c>
      <c r="I160" s="257">
        <f t="shared" si="39"/>
        <v>0</v>
      </c>
      <c r="J160" s="257">
        <f t="shared" si="39"/>
        <v>0</v>
      </c>
      <c r="K160" s="257">
        <f t="shared" si="39"/>
        <v>0</v>
      </c>
      <c r="L160" s="257">
        <f t="shared" si="39"/>
        <v>0</v>
      </c>
      <c r="M160" s="257">
        <f t="shared" si="39"/>
        <v>0</v>
      </c>
      <c r="N160" s="257">
        <f t="shared" si="39"/>
        <v>0</v>
      </c>
      <c r="O160" s="257">
        <f t="shared" si="39"/>
        <v>0</v>
      </c>
      <c r="P160" s="257">
        <f t="shared" si="39"/>
        <v>0</v>
      </c>
      <c r="Q160" s="257">
        <f t="shared" si="39"/>
        <v>0</v>
      </c>
      <c r="R160" s="257">
        <f t="shared" si="39"/>
        <v>0</v>
      </c>
      <c r="S160" s="257">
        <f t="shared" si="39"/>
        <v>0</v>
      </c>
      <c r="T160" s="257">
        <f t="shared" si="39"/>
        <v>0</v>
      </c>
      <c r="U160" s="257">
        <f t="shared" si="39"/>
        <v>0</v>
      </c>
      <c r="V160" s="257">
        <f t="shared" si="39"/>
        <v>0</v>
      </c>
      <c r="W160" s="257">
        <f t="shared" si="39"/>
        <v>0</v>
      </c>
      <c r="X160" s="257">
        <f t="shared" si="39"/>
        <v>0</v>
      </c>
      <c r="Y160" s="257">
        <f t="shared" si="39"/>
        <v>0</v>
      </c>
      <c r="Z160" s="257">
        <f t="shared" si="39"/>
        <v>0</v>
      </c>
      <c r="AA160" s="257">
        <f t="shared" si="39"/>
        <v>0</v>
      </c>
      <c r="AB160" s="257">
        <f t="shared" si="39"/>
        <v>0</v>
      </c>
      <c r="AC160" s="257">
        <f t="shared" si="39"/>
        <v>0</v>
      </c>
      <c r="AD160" s="257">
        <f t="shared" si="39"/>
        <v>0</v>
      </c>
      <c r="AE160" s="804">
        <f t="shared" ref="AE160:AE171" si="40">SUM(B160:AD160)</f>
        <v>0</v>
      </c>
    </row>
    <row r="161">
      <c r="A161" s="248" t="s">
        <v>1168</v>
      </c>
      <c r="B161" s="134">
        <f>(B13+B14+B91+B92)*'Data - P&amp;L'!$C$3</f>
        <v>521.4</v>
      </c>
      <c r="C161" s="134">
        <f>(C13+C14+C91+C92)*'Data - P&amp;L'!$C$3</f>
        <v>608.3</v>
      </c>
      <c r="D161" s="134">
        <f>(D13+D14+D91+D92)*'Data - P&amp;L'!$C$3</f>
        <v>695.2</v>
      </c>
      <c r="E161" s="134">
        <f>(E13+E14+E91+E92)*'Data - P&amp;L'!$C$3</f>
        <v>1303.5</v>
      </c>
      <c r="F161" s="134">
        <f>(F13+F14+F91+F92)*'Data - P&amp;L'!$C$3</f>
        <v>2433.2</v>
      </c>
      <c r="G161" s="134">
        <f>(G13+G14+G91+G92)*'Data - P&amp;L'!$C$3</f>
        <v>2954.6</v>
      </c>
      <c r="H161" s="134">
        <f>(H13+H14+H91+H92)*'Data - P&amp;L'!$C$3</f>
        <v>1911.8</v>
      </c>
      <c r="I161" s="134">
        <f>(I13+I14+I91+I92)*'Data - P&amp;L'!$C$3</f>
        <v>2693.9</v>
      </c>
      <c r="J161" s="134">
        <f>(J13+J14+J91+J92)*'Data - P&amp;L'!$C$3</f>
        <v>1911.8</v>
      </c>
      <c r="K161" s="134">
        <f>(K13+K14+K91+K92)*'Data - P&amp;L'!$C$3</f>
        <v>3215.3</v>
      </c>
      <c r="L161" s="134">
        <f>(L13+L14+L91+L92)*'Data - P&amp;L'!$C$3</f>
        <v>4171.2</v>
      </c>
      <c r="M161" s="134">
        <f>(M13+M14+M91+M92)*'Data - P&amp;L'!$C$3</f>
        <v>1651.1</v>
      </c>
      <c r="N161" s="134">
        <f>(N13+N14+N91+N92)*'Data - P&amp;L'!$C$3</f>
        <v>434.5</v>
      </c>
      <c r="O161" s="134">
        <f>(O13+O14+O91+O92)*'Data - P&amp;L'!$C$3</f>
        <v>0</v>
      </c>
      <c r="P161" s="134">
        <f>(P13+P14+P91+P92)*'Data - P&amp;L'!$C$3</f>
        <v>260.7</v>
      </c>
      <c r="Q161" s="134">
        <f>(Q13+Q14+Q91+Q92)*'Data - P&amp;L'!$C$3</f>
        <v>260.7</v>
      </c>
      <c r="R161" s="134">
        <f>(R13+R14+R91+R92)*'Data - P&amp;L'!$C$3</f>
        <v>86.9</v>
      </c>
      <c r="S161" s="134">
        <f>(S13+S14+S91+S92)*'Data - P&amp;L'!$C$3</f>
        <v>347.6</v>
      </c>
      <c r="T161" s="134">
        <f>(T13+T14+T91+T92)*'Data - P&amp;L'!$C$3</f>
        <v>260.7</v>
      </c>
      <c r="U161" s="134">
        <f>(U13+U14+U91+U92)*'Data - P&amp;L'!$C$3</f>
        <v>608.3</v>
      </c>
      <c r="V161" s="134">
        <f>(V13+V14+V91+V92)*'Data - P&amp;L'!$C$3</f>
        <v>173.8</v>
      </c>
      <c r="W161" s="134">
        <f>(W13+W14+W91+W92)*'Data - P&amp;L'!$C$3</f>
        <v>0</v>
      </c>
      <c r="X161" s="134">
        <f>(X13+X14+X91+X92)*'Data - P&amp;L'!$C$3</f>
        <v>260.7</v>
      </c>
      <c r="Y161" s="134">
        <f>(Y13+Y14+Y91+Y92)*'Data - P&amp;L'!$C$3</f>
        <v>86.9</v>
      </c>
      <c r="Z161" s="134">
        <f>(Z13+Z14+Z91+Z92)*'Data - P&amp;L'!$C$3</f>
        <v>347.6</v>
      </c>
      <c r="AA161" s="134">
        <f>(AA13+AA14+AA91+AA92)*'Data - P&amp;L'!$C$3</f>
        <v>86.9</v>
      </c>
      <c r="AB161" s="134">
        <f>(AB13+AB14+AB91+AB92)*'Data - P&amp;L'!$C$3</f>
        <v>86.9</v>
      </c>
      <c r="AC161" s="134">
        <f>(AC13+AC14+AC91+AC92)*'Data - P&amp;L'!$C$3</f>
        <v>1303.5</v>
      </c>
      <c r="AD161" s="134">
        <f>(AD13+AD14+AD91+AD92)*'Data - P&amp;L'!$C$3</f>
        <v>1042.8</v>
      </c>
      <c r="AE161" s="303">
        <f t="shared" si="40"/>
        <v>29719.8</v>
      </c>
    </row>
    <row r="162">
      <c r="A162" s="250" t="s">
        <v>1169</v>
      </c>
      <c r="B162" s="134">
        <f>(B15+B16+B93+B94)*'Data - P&amp;L'!$C$4</f>
        <v>11810.81</v>
      </c>
      <c r="C162" s="134">
        <f>(C15+C16+C93+C94)*'Data - P&amp;L'!$C$4</f>
        <v>1756.98</v>
      </c>
      <c r="D162" s="134">
        <f>(D15+D16+D93+D94)*'Data - P&amp;L'!$C$4</f>
        <v>2342.64</v>
      </c>
      <c r="E162" s="134">
        <f>(E15+E16+E93+E94)*'Data - P&amp;L'!$C$4</f>
        <v>3513.96</v>
      </c>
      <c r="F162" s="134">
        <f>(F15+F16+F93+F94)*'Data - P&amp;L'!$C$4</f>
        <v>0</v>
      </c>
      <c r="G162" s="134">
        <f>(G15+G16+G93+G94)*'Data - P&amp;L'!$C$4</f>
        <v>683.27</v>
      </c>
      <c r="H162" s="134">
        <f>(H15+H16+H93+H94)*'Data - P&amp;L'!$C$4</f>
        <v>1073.71</v>
      </c>
      <c r="I162" s="134">
        <f>(I15+I16+I93+I94)*'Data - P&amp;L'!$C$4</f>
        <v>390.44</v>
      </c>
      <c r="J162" s="134">
        <f>(J15+J16+J93+J94)*'Data - P&amp;L'!$C$4</f>
        <v>1854.59</v>
      </c>
      <c r="K162" s="134">
        <f>(K15+K16+K93+K94)*'Data - P&amp;L'!$C$4</f>
        <v>1854.59</v>
      </c>
      <c r="L162" s="134">
        <f>(L15+L16+L93+L94)*'Data - P&amp;L'!$C$4</f>
        <v>2342.64</v>
      </c>
      <c r="M162" s="134">
        <f>(M15+M16+M93+M94)*'Data - P&amp;L'!$C$4</f>
        <v>0</v>
      </c>
      <c r="N162" s="134">
        <f>(N15+N16+N93+N94)*'Data - P&amp;L'!$C$4</f>
        <v>1171.32</v>
      </c>
      <c r="O162" s="134">
        <f>(O15+O16+O93+O94)*'Data - P&amp;L'!$C$4</f>
        <v>195.22</v>
      </c>
      <c r="P162" s="134">
        <f>(P15+P16+P93+P94)*'Data - P&amp;L'!$C$4</f>
        <v>488.05</v>
      </c>
      <c r="Q162" s="134">
        <f>(Q15+Q16+Q93+Q94)*'Data - P&amp;L'!$C$4</f>
        <v>292.83</v>
      </c>
      <c r="R162" s="134">
        <f>(R15+R16+R93+R94)*'Data - P&amp;L'!$C$4</f>
        <v>488.05</v>
      </c>
      <c r="S162" s="134">
        <f>(S15+S16+S93+S94)*'Data - P&amp;L'!$C$4</f>
        <v>390.44</v>
      </c>
      <c r="T162" s="134">
        <f>(T15+T16+T93+T94)*'Data - P&amp;L'!$C$4</f>
        <v>0</v>
      </c>
      <c r="U162" s="134">
        <f>(U15+U16+U93+U94)*'Data - P&amp;L'!$C$4</f>
        <v>0</v>
      </c>
      <c r="V162" s="134">
        <f>(V15+V16+V93+V94)*'Data - P&amp;L'!$C$4</f>
        <v>97.61</v>
      </c>
      <c r="W162" s="134">
        <f>(W15+W16+W93+W94)*'Data - P&amp;L'!$C$4</f>
        <v>292.83</v>
      </c>
      <c r="X162" s="134">
        <f>(X15+X16+X93+X94)*'Data - P&amp;L'!$C$4</f>
        <v>390.44</v>
      </c>
      <c r="Y162" s="134">
        <f>(Y15+Y16+Y93+Y94)*'Data - P&amp;L'!$C$4</f>
        <v>488.05</v>
      </c>
      <c r="Z162" s="134">
        <f>(Z15+Z16+Z93+Z94)*'Data - P&amp;L'!$C$4</f>
        <v>683.27</v>
      </c>
      <c r="AA162" s="134">
        <f>(AA15+AA16+AA93+AA94)*'Data - P&amp;L'!$C$4</f>
        <v>0</v>
      </c>
      <c r="AB162" s="134">
        <f>(AB15+AB16+AB93+AB94)*'Data - P&amp;L'!$C$4</f>
        <v>97.61</v>
      </c>
      <c r="AC162" s="134">
        <f>(AC15+AC16+AC93+AC94)*'Data - P&amp;L'!$C$4</f>
        <v>292.83</v>
      </c>
      <c r="AD162" s="134">
        <f>(AD15+AD16+AD93+AD94)*'Data - P&amp;L'!$C$4</f>
        <v>1073.71</v>
      </c>
      <c r="AE162" s="303">
        <f t="shared" si="40"/>
        <v>34065.89</v>
      </c>
    </row>
    <row r="163">
      <c r="A163" s="250" t="s">
        <v>1170</v>
      </c>
      <c r="B163" s="134">
        <f>(B19+B97)*'Data - P&amp;L'!$C$6</f>
        <v>0</v>
      </c>
      <c r="C163" s="134">
        <f>(C19+C97)*'Data - P&amp;L'!$C$6</f>
        <v>0</v>
      </c>
      <c r="D163" s="134">
        <f>(D19+D97)*'Data - P&amp;L'!$C$6</f>
        <v>0</v>
      </c>
      <c r="E163" s="134">
        <f>(E19+E97)*'Data - P&amp;L'!$C$6</f>
        <v>0</v>
      </c>
      <c r="F163" s="134">
        <f>(F19+F97)*'Data - P&amp;L'!$C$6</f>
        <v>0</v>
      </c>
      <c r="G163" s="134">
        <f>(G19+G97)*'Data - P&amp;L'!$C$6</f>
        <v>0</v>
      </c>
      <c r="H163" s="134">
        <f>(H19+H97)*'Data - P&amp;L'!$C$6</f>
        <v>0</v>
      </c>
      <c r="I163" s="134">
        <f>(I19+I97)*'Data - P&amp;L'!$C$6</f>
        <v>0</v>
      </c>
      <c r="J163" s="134">
        <f>(J19+J97)*'Data - P&amp;L'!$C$6</f>
        <v>0</v>
      </c>
      <c r="K163" s="134">
        <f>(K19+K97)*'Data - P&amp;L'!$C$6</f>
        <v>0</v>
      </c>
      <c r="L163" s="134">
        <f>(L19+L97)*'Data - P&amp;L'!$C$6</f>
        <v>0</v>
      </c>
      <c r="M163" s="134">
        <f>(M19+M97)*'Data - P&amp;L'!$C$6</f>
        <v>0</v>
      </c>
      <c r="N163" s="134">
        <f>(N19+N97)*'Data - P&amp;L'!$C$6</f>
        <v>0</v>
      </c>
      <c r="O163" s="134">
        <f>(O19+O97)*'Data - P&amp;L'!$C$6</f>
        <v>0</v>
      </c>
      <c r="P163" s="134">
        <f>(P19+P97)*'Data - P&amp;L'!$C$6</f>
        <v>0</v>
      </c>
      <c r="Q163" s="134">
        <f>(Q19+Q97)*'Data - P&amp;L'!$C$6</f>
        <v>0</v>
      </c>
      <c r="R163" s="134">
        <f>(R19+R97)*'Data - P&amp;L'!$C$6</f>
        <v>0</v>
      </c>
      <c r="S163" s="134">
        <f>(S19+S97)*'Data - P&amp;L'!$C$6</f>
        <v>0</v>
      </c>
      <c r="T163" s="134">
        <f>(T19+T97)*'Data - P&amp;L'!$C$6</f>
        <v>0</v>
      </c>
      <c r="U163" s="134">
        <f>(U19+U97)*'Data - P&amp;L'!$C$6</f>
        <v>0</v>
      </c>
      <c r="V163" s="134">
        <f>(V19+V97)*'Data - P&amp;L'!$C$6</f>
        <v>0</v>
      </c>
      <c r="W163" s="134">
        <f>(W19+W97)*'Data - P&amp;L'!$C$6</f>
        <v>0</v>
      </c>
      <c r="X163" s="134">
        <f>(X19+X97)*'Data - P&amp;L'!$C$6</f>
        <v>0</v>
      </c>
      <c r="Y163" s="134">
        <f>(Y19+Y97)*'Data - P&amp;L'!$C$6</f>
        <v>0</v>
      </c>
      <c r="Z163" s="134">
        <f>(Z19+Z97)*'Data - P&amp;L'!$C$6</f>
        <v>0</v>
      </c>
      <c r="AA163" s="134">
        <f>(AA19+AA97)*'Data - P&amp;L'!$C$6</f>
        <v>0</v>
      </c>
      <c r="AB163" s="134">
        <f>(AB19+AB97)*'Data - P&amp;L'!$C$6</f>
        <v>0</v>
      </c>
      <c r="AC163" s="134">
        <f>(AC19+AC97)*'Data - P&amp;L'!$C$6</f>
        <v>0</v>
      </c>
      <c r="AD163" s="134">
        <f>(AD19+AD97)*'Data - P&amp;L'!$C$6</f>
        <v>0</v>
      </c>
      <c r="AE163" s="303">
        <f t="shared" si="40"/>
        <v>0</v>
      </c>
    </row>
    <row r="164">
      <c r="A164" s="250" t="s">
        <v>1171</v>
      </c>
      <c r="B164" s="134">
        <f>(B20+B98)*'Data - P&amp;L'!$C$8</f>
        <v>0</v>
      </c>
      <c r="C164" s="134">
        <f>(C20+C98)*'Data - P&amp;L'!$C$8</f>
        <v>0</v>
      </c>
      <c r="D164" s="134">
        <f>(D20+D98)*'Data - P&amp;L'!$C$8</f>
        <v>0</v>
      </c>
      <c r="E164" s="134">
        <f>(E20+E98)*'Data - P&amp;L'!$C$8</f>
        <v>0</v>
      </c>
      <c r="F164" s="134">
        <f>(F20+F98)*'Data - P&amp;L'!$C$8</f>
        <v>0</v>
      </c>
      <c r="G164" s="134">
        <f>(G20+G98)*'Data - P&amp;L'!$C$8</f>
        <v>0</v>
      </c>
      <c r="H164" s="134">
        <f>(H20+H98)*'Data - P&amp;L'!$C$8</f>
        <v>0</v>
      </c>
      <c r="I164" s="134">
        <f>(I20+I98)*'Data - P&amp;L'!$C$8</f>
        <v>0</v>
      </c>
      <c r="J164" s="134">
        <f>(J20+J98)*'Data - P&amp;L'!$C$8</f>
        <v>0</v>
      </c>
      <c r="K164" s="134">
        <f>(K20+K98)*'Data - P&amp;L'!$C$8</f>
        <v>0</v>
      </c>
      <c r="L164" s="134">
        <f>(L20+L98)*'Data - P&amp;L'!$C$8</f>
        <v>0</v>
      </c>
      <c r="M164" s="134">
        <f>(M20+M98)*'Data - P&amp;L'!$C$8</f>
        <v>0</v>
      </c>
      <c r="N164" s="134">
        <f>(N20+N98)*'Data - P&amp;L'!$C$8</f>
        <v>0</v>
      </c>
      <c r="O164" s="134">
        <f>(O20+O98)*'Data - P&amp;L'!$C$8</f>
        <v>0</v>
      </c>
      <c r="P164" s="134">
        <f>(P20+P98)*'Data - P&amp;L'!$C$8</f>
        <v>0</v>
      </c>
      <c r="Q164" s="134">
        <f>(Q20+Q98)*'Data - P&amp;L'!$C$8</f>
        <v>0</v>
      </c>
      <c r="R164" s="134">
        <f>(R20+R98)*'Data - P&amp;L'!$C$8</f>
        <v>0</v>
      </c>
      <c r="S164" s="134">
        <f>(S20+S98)*'Data - P&amp;L'!$C$8</f>
        <v>0</v>
      </c>
      <c r="T164" s="134">
        <f>(T20+T98)*'Data - P&amp;L'!$C$8</f>
        <v>0</v>
      </c>
      <c r="U164" s="134">
        <f>(U20+U98)*'Data - P&amp;L'!$C$8</f>
        <v>0</v>
      </c>
      <c r="V164" s="134">
        <f>(V20+V98)*'Data - P&amp;L'!$C$8</f>
        <v>0</v>
      </c>
      <c r="W164" s="134">
        <f>(W20+W98)*'Data - P&amp;L'!$C$8</f>
        <v>0</v>
      </c>
      <c r="X164" s="134">
        <f>(X20+X98)*'Data - P&amp;L'!$C$8</f>
        <v>0</v>
      </c>
      <c r="Y164" s="134">
        <f>(Y20+Y98)*'Data - P&amp;L'!$C$8</f>
        <v>0</v>
      </c>
      <c r="Z164" s="134">
        <f>(Z20+Z98)*'Data - P&amp;L'!$C$8</f>
        <v>0</v>
      </c>
      <c r="AA164" s="134">
        <f>(AA20+AA98)*'Data - P&amp;L'!$C$8</f>
        <v>0</v>
      </c>
      <c r="AB164" s="134">
        <f>(AB20+AB98)*'Data - P&amp;L'!$C$8</f>
        <v>0</v>
      </c>
      <c r="AC164" s="134">
        <f>(AC20+AC98)*'Data - P&amp;L'!$C$8</f>
        <v>0</v>
      </c>
      <c r="AD164" s="134">
        <f>(AD20+AD98)*'Data - P&amp;L'!$C$8</f>
        <v>0</v>
      </c>
      <c r="AE164" s="303">
        <f t="shared" si="40"/>
        <v>0</v>
      </c>
    </row>
    <row r="165">
      <c r="A165" s="250" t="s">
        <v>1172</v>
      </c>
      <c r="B165" s="134">
        <f>(B21+B22+B99+B100)*'Data - P&amp;L'!$C$9</f>
        <v>0</v>
      </c>
      <c r="C165" s="134">
        <f>(C21+C22+C99+C100)*'Data - P&amp;L'!$C$9</f>
        <v>0</v>
      </c>
      <c r="D165" s="134">
        <f>(D21+D22+D99+D100)*'Data - P&amp;L'!$C$9</f>
        <v>0</v>
      </c>
      <c r="E165" s="134">
        <f>(E21+E22+E99+E100)*'Data - P&amp;L'!$C$9</f>
        <v>0</v>
      </c>
      <c r="F165" s="134">
        <f>(F21+F22+F99+F100)*'Data - P&amp;L'!$C$9</f>
        <v>0</v>
      </c>
      <c r="G165" s="134">
        <f>(G21+G22+G99+G100)*'Data - P&amp;L'!$C$9</f>
        <v>0</v>
      </c>
      <c r="H165" s="134">
        <f>(H21+H22+H99+H100)*'Data - P&amp;L'!$C$9</f>
        <v>0</v>
      </c>
      <c r="I165" s="134">
        <f>(I21+I22+I99+I100)*'Data - P&amp;L'!$C$9</f>
        <v>0</v>
      </c>
      <c r="J165" s="134">
        <f>(J21+J22+J99+J100)*'Data - P&amp;L'!$C$9</f>
        <v>0</v>
      </c>
      <c r="K165" s="134">
        <f>(K21+K22+K99+K100)*'Data - P&amp;L'!$C$9</f>
        <v>0</v>
      </c>
      <c r="L165" s="134">
        <f>(L21+L22+L99+L100)*'Data - P&amp;L'!$C$9</f>
        <v>0</v>
      </c>
      <c r="M165" s="134">
        <f>(M21+M22+M99+M100)*'Data - P&amp;L'!$C$9</f>
        <v>0</v>
      </c>
      <c r="N165" s="134">
        <f>(N21+N22+N99+N100)*'Data - P&amp;L'!$C$9</f>
        <v>0</v>
      </c>
      <c r="O165" s="134">
        <f>(O21+O22+O99+O100)*'Data - P&amp;L'!$C$9</f>
        <v>0</v>
      </c>
      <c r="P165" s="134">
        <f>(P21+P22+P99+P100)*'Data - P&amp;L'!$C$9</f>
        <v>0</v>
      </c>
      <c r="Q165" s="134">
        <f>(Q21+Q22+Q99+Q100)*'Data - P&amp;L'!$C$9</f>
        <v>0</v>
      </c>
      <c r="R165" s="134">
        <f>(R21+R22+R99+R100)*'Data - P&amp;L'!$C$9</f>
        <v>0</v>
      </c>
      <c r="S165" s="134">
        <f>(S21+S22+S99+S100)*'Data - P&amp;L'!$C$9</f>
        <v>0</v>
      </c>
      <c r="T165" s="134">
        <f>(T21+T22+T99+T100)*'Data - P&amp;L'!$C$9</f>
        <v>0</v>
      </c>
      <c r="U165" s="134">
        <f>(U21+U22+U99+U100)*'Data - P&amp;L'!$C$9</f>
        <v>0</v>
      </c>
      <c r="V165" s="134">
        <f>(V21+V22+V99+V100)*'Data - P&amp;L'!$C$9</f>
        <v>0</v>
      </c>
      <c r="W165" s="134">
        <f>(W21+W22+W99+W100)*'Data - P&amp;L'!$C$9</f>
        <v>0</v>
      </c>
      <c r="X165" s="134">
        <f>(X21+X22+X99+X100)*'Data - P&amp;L'!$C$9</f>
        <v>0</v>
      </c>
      <c r="Y165" s="134">
        <f>(Y21+Y22+Y99+Y100)*'Data - P&amp;L'!$C$9</f>
        <v>0</v>
      </c>
      <c r="Z165" s="134">
        <f>(Z21+Z22+Z99+Z100)*'Data - P&amp;L'!$C$9</f>
        <v>0</v>
      </c>
      <c r="AA165" s="134">
        <f>(AA21+AA22+AA99+AA100)*'Data - P&amp;L'!$C$9</f>
        <v>0</v>
      </c>
      <c r="AB165" s="134">
        <f>(AB21+AB22+AB99+AB100)*'Data - P&amp;L'!$C$9</f>
        <v>0</v>
      </c>
      <c r="AC165" s="134">
        <f>(AC21+AC22+AC99+AC100)*'Data - P&amp;L'!$C$9</f>
        <v>0</v>
      </c>
      <c r="AD165" s="134">
        <f>(AD21+AD22+AD99+AD100)*'Data - P&amp;L'!$C$9</f>
        <v>0</v>
      </c>
      <c r="AE165" s="303">
        <f t="shared" si="40"/>
        <v>0</v>
      </c>
    </row>
    <row r="166">
      <c r="A166" s="250" t="s">
        <v>1173</v>
      </c>
      <c r="B166" s="134">
        <f>(B23+B24+B101+B102)*'Data - P&amp;L'!$C$5</f>
        <v>0</v>
      </c>
      <c r="C166" s="134">
        <f>(C23+C24+C101+C102)*'Data - P&amp;L'!$C$5</f>
        <v>0</v>
      </c>
      <c r="D166" s="134">
        <f>(D23+D24+D101+D102)*'Data - P&amp;L'!$C$5</f>
        <v>0</v>
      </c>
      <c r="E166" s="134">
        <f>(E23+E24+E101+E102)*'Data - P&amp;L'!$C$5</f>
        <v>0</v>
      </c>
      <c r="F166" s="134">
        <f>(F23+F24+F101+F102)*'Data - P&amp;L'!$C$5</f>
        <v>0</v>
      </c>
      <c r="G166" s="134">
        <f>(G23+G24+G101+G102)*'Data - P&amp;L'!$C$5</f>
        <v>0</v>
      </c>
      <c r="H166" s="134">
        <f>(H23+H24+H101+H102)*'Data - P&amp;L'!$C$5</f>
        <v>0</v>
      </c>
      <c r="I166" s="134">
        <f>(I23+I24+I101+I102)*'Data - P&amp;L'!$C$5</f>
        <v>0</v>
      </c>
      <c r="J166" s="134">
        <f>(J23+J24+J101+J102)*'Data - P&amp;L'!$C$5</f>
        <v>0</v>
      </c>
      <c r="K166" s="134">
        <f>(K23+K24+K101+K102)*'Data - P&amp;L'!$C$5</f>
        <v>0</v>
      </c>
      <c r="L166" s="134">
        <f>(L23+L24+L101+L102)*'Data - P&amp;L'!$C$5</f>
        <v>0</v>
      </c>
      <c r="M166" s="134">
        <f>(M23+M24+M101+M102)*'Data - P&amp;L'!$C$5</f>
        <v>0</v>
      </c>
      <c r="N166" s="134">
        <f>(N23+N24+N101+N102)*'Data - P&amp;L'!$C$5</f>
        <v>0</v>
      </c>
      <c r="O166" s="134">
        <f>(O23+O24+O101+O102)*'Data - P&amp;L'!$C$5</f>
        <v>0</v>
      </c>
      <c r="P166" s="134">
        <f>(P23+P24+P101+P102)*'Data - P&amp;L'!$C$5</f>
        <v>0</v>
      </c>
      <c r="Q166" s="134">
        <f>(Q23+Q24+Q101+Q102)*'Data - P&amp;L'!$C$5</f>
        <v>0</v>
      </c>
      <c r="R166" s="134">
        <f>(R23+R24+R101+R102)*'Data - P&amp;L'!$C$5</f>
        <v>0</v>
      </c>
      <c r="S166" s="134">
        <f>(S23+S24+S101+S102)*'Data - P&amp;L'!$C$5</f>
        <v>0</v>
      </c>
      <c r="T166" s="134">
        <f>(T23+T24+T101+T102)*'Data - P&amp;L'!$C$5</f>
        <v>0</v>
      </c>
      <c r="U166" s="134">
        <f>(U23+U24+U101+U102)*'Data - P&amp;L'!$C$5</f>
        <v>0</v>
      </c>
      <c r="V166" s="134">
        <f>(V23+V24+V101+V102)*'Data - P&amp;L'!$C$5</f>
        <v>0</v>
      </c>
      <c r="W166" s="134">
        <f>(W23+W24+W101+W102)*'Data - P&amp;L'!$C$5</f>
        <v>0</v>
      </c>
      <c r="X166" s="134">
        <f>(X23+X24+X101+X102)*'Data - P&amp;L'!$C$5</f>
        <v>0</v>
      </c>
      <c r="Y166" s="134">
        <f>(Y23+Y24+Y101+Y102)*'Data - P&amp;L'!$C$5</f>
        <v>0</v>
      </c>
      <c r="Z166" s="134">
        <f>(Z23+Z24+Z101+Z102)*'Data - P&amp;L'!$C$5</f>
        <v>0</v>
      </c>
      <c r="AA166" s="134">
        <f>(AA23+AA24+AA101+AA102)*'Data - P&amp;L'!$C$5</f>
        <v>0</v>
      </c>
      <c r="AB166" s="134">
        <f>(AB23+AB24+AB101+AB102)*'Data - P&amp;L'!$C$5</f>
        <v>0</v>
      </c>
      <c r="AC166" s="134">
        <f>(AC23+AC24+AC101+AC102)*'Data - P&amp;L'!$C$5</f>
        <v>0</v>
      </c>
      <c r="AD166" s="134">
        <f>(AD23+AD24+AD101+AD102)*'Data - P&amp;L'!$C$5</f>
        <v>0</v>
      </c>
      <c r="AE166" s="303">
        <f t="shared" si="40"/>
        <v>0</v>
      </c>
    </row>
    <row r="167">
      <c r="A167" s="250" t="s">
        <v>1174</v>
      </c>
      <c r="B167" s="134">
        <f>(B25+B26+B103+B104)*'Data - P&amp;L'!$C$10</f>
        <v>0</v>
      </c>
      <c r="C167" s="134">
        <f>(C25+C26+C103+C104)*'Data - P&amp;L'!$C$10</f>
        <v>0</v>
      </c>
      <c r="D167" s="134">
        <f>(D25+D26+D103+D104)*'Data - P&amp;L'!$C$10</f>
        <v>0</v>
      </c>
      <c r="E167" s="134">
        <f>(E25+E26+E103+E104)*'Data - P&amp;L'!$C$10</f>
        <v>0</v>
      </c>
      <c r="F167" s="134">
        <f>(F25+F26+F103+F104)*'Data - P&amp;L'!$C$10</f>
        <v>0</v>
      </c>
      <c r="G167" s="134">
        <f>(G25+G26+G103+G104)*'Data - P&amp;L'!$C$10</f>
        <v>0</v>
      </c>
      <c r="H167" s="134">
        <f>(H25+H26+H103+H104)*'Data - P&amp;L'!$C$10</f>
        <v>0</v>
      </c>
      <c r="I167" s="134">
        <f>(I25+I26+I103+I104)*'Data - P&amp;L'!$C$10</f>
        <v>0</v>
      </c>
      <c r="J167" s="134">
        <f>(J25+J26+J103+J104)*'Data - P&amp;L'!$C$10</f>
        <v>0</v>
      </c>
      <c r="K167" s="134">
        <f>(K25+K26+K103+K104)*'Data - P&amp;L'!$C$10</f>
        <v>0</v>
      </c>
      <c r="L167" s="134">
        <f>(L25+L26+L103+L104)*'Data - P&amp;L'!$C$10</f>
        <v>0</v>
      </c>
      <c r="M167" s="134">
        <f>(M25+M26+M103+M104)*'Data - P&amp;L'!$C$10</f>
        <v>0</v>
      </c>
      <c r="N167" s="134">
        <f>(N25+N26+N103+N104)*'Data - P&amp;L'!$C$10</f>
        <v>0</v>
      </c>
      <c r="O167" s="134">
        <f>(O25+O26+O103+O104)*'Data - P&amp;L'!$C$10</f>
        <v>0</v>
      </c>
      <c r="P167" s="134">
        <f>(P25+P26+P103+P104)*'Data - P&amp;L'!$C$10</f>
        <v>0</v>
      </c>
      <c r="Q167" s="134">
        <f>(Q25+Q26+Q103+Q104)*'Data - P&amp;L'!$C$10</f>
        <v>0</v>
      </c>
      <c r="R167" s="134">
        <f>(R25+R26+R103+R104)*'Data - P&amp;L'!$C$10</f>
        <v>0</v>
      </c>
      <c r="S167" s="134">
        <f>(S25+S26+S103+S104)*'Data - P&amp;L'!$C$10</f>
        <v>0</v>
      </c>
      <c r="T167" s="134">
        <f>(T25+T26+T103+T104)*'Data - P&amp;L'!$C$10</f>
        <v>0</v>
      </c>
      <c r="U167" s="134">
        <f>(U25+U26+U103+U104)*'Data - P&amp;L'!$C$10</f>
        <v>0</v>
      </c>
      <c r="V167" s="134">
        <f>(V25+V26+V103+V104)*'Data - P&amp;L'!$C$10</f>
        <v>0</v>
      </c>
      <c r="W167" s="134">
        <f>(W25+W26+W103+W104)*'Data - P&amp;L'!$C$10</f>
        <v>0</v>
      </c>
      <c r="X167" s="134">
        <f>(X25+X26+X103+X104)*'Data - P&amp;L'!$C$10</f>
        <v>0</v>
      </c>
      <c r="Y167" s="134">
        <f>(Y25+Y26+Y103+Y104)*'Data - P&amp;L'!$C$10</f>
        <v>0</v>
      </c>
      <c r="Z167" s="134">
        <f>(Z25+Z26+Z103+Z104)*'Data - P&amp;L'!$C$10</f>
        <v>0</v>
      </c>
      <c r="AA167" s="134">
        <f>(AA25+AA26+AA103+AA104)*'Data - P&amp;L'!$C$10</f>
        <v>0</v>
      </c>
      <c r="AB167" s="134">
        <f>(AB25+AB26+AB103+AB104)*'Data - P&amp;L'!$C$10</f>
        <v>0</v>
      </c>
      <c r="AC167" s="134">
        <f>(AC25+AC26+AC103+AC104)*'Data - P&amp;L'!$C$10</f>
        <v>0</v>
      </c>
      <c r="AD167" s="134">
        <f>(AD25+AD26+AD103+AD104)*'Data - P&amp;L'!$C$10</f>
        <v>0</v>
      </c>
      <c r="AE167" s="303">
        <f t="shared" si="40"/>
        <v>0</v>
      </c>
    </row>
    <row r="168">
      <c r="A168" s="450" t="s">
        <v>1175</v>
      </c>
      <c r="B168" s="251">
        <f>(B17*'Data - P&amp;L'!$C$38)+(B95*'Data - P&amp;L'!$C$39)</f>
        <v>1516.38</v>
      </c>
      <c r="C168" s="251">
        <f>(C17*'Data - P&amp;L'!$C$38)+(C95*'Data - P&amp;L'!$C$39)</f>
        <v>298.5</v>
      </c>
      <c r="D168" s="251">
        <f>(D17*'Data - P&amp;L'!$C$38)+(D95*'Data - P&amp;L'!$C$39)</f>
        <v>382.08</v>
      </c>
      <c r="E168" s="251">
        <f>(E17*'Data - P&amp;L'!$C$38)+(E95*'Data - P&amp;L'!$C$39)</f>
        <v>608.94</v>
      </c>
      <c r="F168" s="251">
        <f>(F17*'Data - P&amp;L'!$C$38)+(F95*'Data - P&amp;L'!$C$39)</f>
        <v>334.32</v>
      </c>
      <c r="G168" s="251">
        <f>(G17*'Data - P&amp;L'!$C$38)+(G95*'Data - P&amp;L'!$C$39)</f>
        <v>489.54</v>
      </c>
      <c r="H168" s="251">
        <f>(H17*'Data - P&amp;L'!$C$38)+(H95*'Data - P&amp;L'!$C$39)</f>
        <v>394.02</v>
      </c>
      <c r="I168" s="251">
        <f>(I17*'Data - P&amp;L'!$C$38)+(I95*'Data - P&amp;L'!$C$39)</f>
        <v>417.9</v>
      </c>
      <c r="J168" s="251">
        <f>(J17*'Data - P&amp;L'!$C$38)+(J95*'Data - P&amp;L'!$C$39)</f>
        <v>489.54</v>
      </c>
      <c r="K168" s="251">
        <f>(K17*'Data - P&amp;L'!$C$38)+(K95*'Data - P&amp;L'!$C$39)</f>
        <v>668.64</v>
      </c>
      <c r="L168" s="251">
        <f>(L17*'Data - P&amp;L'!$C$38)+(L95*'Data - P&amp;L'!$C$39)</f>
        <v>859.68</v>
      </c>
      <c r="M168" s="251">
        <f>(M17*'Data - P&amp;L'!$C$38)+(M95*'Data - P&amp;L'!$C$39)</f>
        <v>226.86</v>
      </c>
      <c r="N168" s="251">
        <f>(N17*'Data - P&amp;L'!$C$38)+(N95*'Data - P&amp;L'!$C$39)</f>
        <v>202.98</v>
      </c>
      <c r="O168" s="251">
        <f>(O17*'Data - P&amp;L'!$C$38)+(O95*'Data - P&amp;L'!$C$39)</f>
        <v>23.88</v>
      </c>
      <c r="P168" s="251">
        <f>(P17*'Data - P&amp;L'!$C$38)+(P95*'Data - P&amp;L'!$C$39)</f>
        <v>95.52</v>
      </c>
      <c r="Q168" s="251">
        <f>(Q17*'Data - P&amp;L'!$C$38)+(Q95*'Data - P&amp;L'!$C$39)</f>
        <v>71.64</v>
      </c>
      <c r="R168" s="251">
        <f>(R17*'Data - P&amp;L'!$C$38)+(R95*'Data - P&amp;L'!$C$39)</f>
        <v>71.64</v>
      </c>
      <c r="S168" s="251">
        <f>(S17*'Data - P&amp;L'!$C$38)+(S95*'Data - P&amp;L'!$C$39)</f>
        <v>95.52</v>
      </c>
      <c r="T168" s="251">
        <f>(T17*'Data - P&amp;L'!$C$38)+(T95*'Data - P&amp;L'!$C$39)</f>
        <v>35.82</v>
      </c>
      <c r="U168" s="251">
        <f>(U17*'Data - P&amp;L'!$C$38)+(U95*'Data - P&amp;L'!$C$39)</f>
        <v>83.58</v>
      </c>
      <c r="V168" s="251">
        <f>(V17*'Data - P&amp;L'!$C$38)+(V95*'Data - P&amp;L'!$C$39)</f>
        <v>35.82</v>
      </c>
      <c r="W168" s="251">
        <f>(W17*'Data - P&amp;L'!$C$38)+(W95*'Data - P&amp;L'!$C$39)</f>
        <v>35.82</v>
      </c>
      <c r="X168" s="251">
        <f>(X17*'Data - P&amp;L'!$C$38)+(X95*'Data - P&amp;L'!$C$39)</f>
        <v>83.58</v>
      </c>
      <c r="Y168" s="251">
        <f>(Y17*'Data - P&amp;L'!$C$38)+(Y95*'Data - P&amp;L'!$C$39)</f>
        <v>71.64</v>
      </c>
      <c r="Z168" s="251">
        <f>(Z17*'Data - P&amp;L'!$C$38)+(Z95*'Data - P&amp;L'!$C$39)</f>
        <v>131.34</v>
      </c>
      <c r="AA168" s="251">
        <f>(AA17*'Data - P&amp;L'!$C$38)+(AA95*'Data - P&amp;L'!$C$39)</f>
        <v>11.94</v>
      </c>
      <c r="AB168" s="251">
        <f>(AB17*'Data - P&amp;L'!$C$38)+(AB95*'Data - P&amp;L'!$C$39)</f>
        <v>23.88</v>
      </c>
      <c r="AC168" s="251">
        <f>(AC17*'Data - P&amp;L'!$C$38)+(AC95*'Data - P&amp;L'!$C$39)</f>
        <v>214.92</v>
      </c>
      <c r="AD168" s="251">
        <f>(AD17*'Data - P&amp;L'!$C$38)+(AD95*'Data - P&amp;L'!$C$39)</f>
        <v>274.62</v>
      </c>
      <c r="AE168" s="805">
        <f t="shared" si="40"/>
        <v>8250.54</v>
      </c>
    </row>
    <row r="169">
      <c r="A169" s="250" t="s">
        <v>1176</v>
      </c>
      <c r="B169" s="134">
        <f>(B17*'Data - P&amp;L'!$C$34)+(B95*'Data - P&amp;L'!$C$35)</f>
        <v>4263.65</v>
      </c>
      <c r="C169" s="134">
        <f>(C17*'Data - P&amp;L'!$C$34)+(C95*'Data - P&amp;L'!$C$35)</f>
        <v>726.24</v>
      </c>
      <c r="D169" s="134">
        <f>(D17*'Data - P&amp;L'!$C$34)+(D95*'Data - P&amp;L'!$C$35)</f>
        <v>948.24</v>
      </c>
      <c r="E169" s="134">
        <f>(E17*'Data - P&amp;L'!$C$34)+(E95*'Data - P&amp;L'!$C$35)</f>
        <v>1467.54</v>
      </c>
      <c r="F169" s="134">
        <f>(F17*'Data - P&amp;L'!$C$34)+(F95*'Data - P&amp;L'!$C$35)</f>
        <v>421.68</v>
      </c>
      <c r="G169" s="134">
        <f>(G17*'Data - P&amp;L'!$C$34)+(G95*'Data - P&amp;L'!$C$35)</f>
        <v>753.47</v>
      </c>
      <c r="H169" s="134">
        <f>(H17*'Data - P&amp;L'!$C$34)+(H95*'Data - P&amp;L'!$C$35)</f>
        <v>710.71</v>
      </c>
      <c r="I169" s="134">
        <f>(I17*'Data - P&amp;L'!$C$34)+(I95*'Data - P&amp;L'!$C$35)</f>
        <v>604.82</v>
      </c>
      <c r="J169" s="134">
        <f>(J17*'Data - P&amp;L'!$C$34)+(J95*'Data - P&amp;L'!$C$35)</f>
        <v>986.63</v>
      </c>
      <c r="K169" s="134">
        <f>(K17*'Data - P&amp;L'!$C$34)+(K95*'Data - P&amp;L'!$C$35)</f>
        <v>1212.53</v>
      </c>
      <c r="L169" s="134">
        <f>(L17*'Data - P&amp;L'!$C$34)+(L95*'Data - P&amp;L'!$C$35)</f>
        <v>1550.64</v>
      </c>
      <c r="M169" s="134">
        <f>(M17*'Data - P&amp;L'!$C$34)+(M95*'Data - P&amp;L'!$C$35)</f>
        <v>286.14</v>
      </c>
      <c r="N169" s="134">
        <f>(N17*'Data - P&amp;L'!$C$34)+(N95*'Data - P&amp;L'!$C$35)</f>
        <v>489.18</v>
      </c>
      <c r="O169" s="134">
        <f>(O17*'Data - P&amp;L'!$C$34)+(O95*'Data - P&amp;L'!$C$35)</f>
        <v>68.98</v>
      </c>
      <c r="P169" s="134">
        <f>(P17*'Data - P&amp;L'!$C$34)+(P95*'Data - P&amp;L'!$C$35)</f>
        <v>217.63</v>
      </c>
      <c r="Q169" s="134">
        <f>(Q17*'Data - P&amp;L'!$C$34)+(Q95*'Data - P&amp;L'!$C$35)</f>
        <v>148.65</v>
      </c>
      <c r="R169" s="134">
        <f>(R17*'Data - P&amp;L'!$C$34)+(R95*'Data - P&amp;L'!$C$35)</f>
        <v>187.51</v>
      </c>
      <c r="S169" s="134">
        <f>(S17*'Data - P&amp;L'!$C$34)+(S95*'Data - P&amp;L'!$C$35)</f>
        <v>198.2</v>
      </c>
      <c r="T169" s="134">
        <f>(T17*'Data - P&amp;L'!$C$34)+(T95*'Data - P&amp;L'!$C$35)</f>
        <v>45.18</v>
      </c>
      <c r="U169" s="134">
        <f>(U17*'Data - P&amp;L'!$C$34)+(U95*'Data - P&amp;L'!$C$35)</f>
        <v>105.42</v>
      </c>
      <c r="V169" s="134">
        <f>(V17*'Data - P&amp;L'!$C$34)+(V95*'Data - P&amp;L'!$C$35)</f>
        <v>64.61</v>
      </c>
      <c r="W169" s="134">
        <f>(W17*'Data - P&amp;L'!$C$34)+(W95*'Data - P&amp;L'!$C$35)</f>
        <v>103.47</v>
      </c>
      <c r="X169" s="134">
        <f>(X17*'Data - P&amp;L'!$C$34)+(X95*'Data - P&amp;L'!$C$35)</f>
        <v>183.14</v>
      </c>
      <c r="Y169" s="134">
        <f>(Y17*'Data - P&amp;L'!$C$34)+(Y95*'Data - P&amp;L'!$C$35)</f>
        <v>187.51</v>
      </c>
      <c r="Z169" s="134">
        <f>(Z17*'Data - P&amp;L'!$C$34)+(Z95*'Data - P&amp;L'!$C$35)</f>
        <v>301.67</v>
      </c>
      <c r="AA169" s="134">
        <f>(AA17*'Data - P&amp;L'!$C$34)+(AA95*'Data - P&amp;L'!$C$35)</f>
        <v>15.06</v>
      </c>
      <c r="AB169" s="134">
        <f>(AB17*'Data - P&amp;L'!$C$34)+(AB95*'Data - P&amp;L'!$C$35)</f>
        <v>49.55</v>
      </c>
      <c r="AC169" s="134">
        <f>(AC17*'Data - P&amp;L'!$C$34)+(AC95*'Data - P&amp;L'!$C$35)</f>
        <v>329.37</v>
      </c>
      <c r="AD169" s="134">
        <f>(AD17*'Data - P&amp;L'!$C$34)+(AD95*'Data - P&amp;L'!$C$35)</f>
        <v>560.11</v>
      </c>
      <c r="AE169" s="303">
        <f t="shared" si="40"/>
        <v>17187.53</v>
      </c>
    </row>
    <row r="170">
      <c r="A170" s="250" t="s">
        <v>1177</v>
      </c>
      <c r="B170" s="134">
        <f>(B27*'Data - P&amp;L'!$D$38)+(B105*'Data - P&amp;L'!$D$39)</f>
        <v>0</v>
      </c>
      <c r="C170" s="134">
        <f>(C27*'Data - P&amp;L'!$D$38)+(C105*'Data - P&amp;L'!$D$39)</f>
        <v>0</v>
      </c>
      <c r="D170" s="134">
        <f>(D27*'Data - P&amp;L'!$D$38)+(D105*'Data - P&amp;L'!$D$39)</f>
        <v>0</v>
      </c>
      <c r="E170" s="134">
        <f>(E27*'Data - P&amp;L'!$D$38)+(E105*'Data - P&amp;L'!$D$39)</f>
        <v>0</v>
      </c>
      <c r="F170" s="134">
        <f>(F27*'Data - P&amp;L'!$D$38)+(F105*'Data - P&amp;L'!$D$39)</f>
        <v>0</v>
      </c>
      <c r="G170" s="134">
        <f>(G27*'Data - P&amp;L'!$D$38)+(G105*'Data - P&amp;L'!$D$39)</f>
        <v>0</v>
      </c>
      <c r="H170" s="134">
        <f>(H27*'Data - P&amp;L'!$D$38)+(H105*'Data - P&amp;L'!$D$39)</f>
        <v>0</v>
      </c>
      <c r="I170" s="134">
        <f>(I27*'Data - P&amp;L'!$D$38)+(I105*'Data - P&amp;L'!$D$39)</f>
        <v>0</v>
      </c>
      <c r="J170" s="134">
        <f>(J27*'Data - P&amp;L'!$D$38)+(J105*'Data - P&amp;L'!$D$39)</f>
        <v>0</v>
      </c>
      <c r="K170" s="134">
        <f>(K27*'Data - P&amp;L'!$D$38)+(K105*'Data - P&amp;L'!$D$39)</f>
        <v>0</v>
      </c>
      <c r="L170" s="134">
        <f>(L27*'Data - P&amp;L'!$D$38)+(L105*'Data - P&amp;L'!$D$39)</f>
        <v>0</v>
      </c>
      <c r="M170" s="134">
        <f>(M27*'Data - P&amp;L'!$D$38)+(M105*'Data - P&amp;L'!$D$39)</f>
        <v>0</v>
      </c>
      <c r="N170" s="134">
        <f>(N27*'Data - P&amp;L'!$D$38)+(N105*'Data - P&amp;L'!$D$39)</f>
        <v>0</v>
      </c>
      <c r="O170" s="134">
        <f>(O27*'Data - P&amp;L'!$D$38)+(O105*'Data - P&amp;L'!$D$39)</f>
        <v>0</v>
      </c>
      <c r="P170" s="134">
        <f>(P27*'Data - P&amp;L'!$D$38)+(P105*'Data - P&amp;L'!$D$39)</f>
        <v>0</v>
      </c>
      <c r="Q170" s="134">
        <f>(Q27*'Data - P&amp;L'!$D$38)+(Q105*'Data - P&amp;L'!$D$39)</f>
        <v>0</v>
      </c>
      <c r="R170" s="134">
        <f>(R27*'Data - P&amp;L'!$D$38)+(R105*'Data - P&amp;L'!$D$39)</f>
        <v>0</v>
      </c>
      <c r="S170" s="134">
        <f>(S27*'Data - P&amp;L'!$D$38)+(S105*'Data - P&amp;L'!$D$39)</f>
        <v>0</v>
      </c>
      <c r="T170" s="134">
        <f>(T27*'Data - P&amp;L'!$D$38)+(T105*'Data - P&amp;L'!$D$39)</f>
        <v>0</v>
      </c>
      <c r="U170" s="134">
        <f>(U27*'Data - P&amp;L'!$D$38)+(U105*'Data - P&amp;L'!$D$39)</f>
        <v>0</v>
      </c>
      <c r="V170" s="134">
        <f>(V27*'Data - P&amp;L'!$D$38)+(V105*'Data - P&amp;L'!$D$39)</f>
        <v>0</v>
      </c>
      <c r="W170" s="134">
        <f>(W27*'Data - P&amp;L'!$D$38)+(W105*'Data - P&amp;L'!$D$39)</f>
        <v>0</v>
      </c>
      <c r="X170" s="134">
        <f>(X27*'Data - P&amp;L'!$D$38)+(X105*'Data - P&amp;L'!$D$39)</f>
        <v>0</v>
      </c>
      <c r="Y170" s="134">
        <f>(Y27*'Data - P&amp;L'!$D$38)+(Y105*'Data - P&amp;L'!$D$39)</f>
        <v>0</v>
      </c>
      <c r="Z170" s="134">
        <f>(Z27*'Data - P&amp;L'!$D$38)+(Z105*'Data - P&amp;L'!$D$39)</f>
        <v>0</v>
      </c>
      <c r="AA170" s="134">
        <f>(AA27*'Data - P&amp;L'!$D$38)+(AA105*'Data - P&amp;L'!$D$39)</f>
        <v>0</v>
      </c>
      <c r="AB170" s="134">
        <f>(AB27*'Data - P&amp;L'!$D$38)+(AB105*'Data - P&amp;L'!$D$39)</f>
        <v>0</v>
      </c>
      <c r="AC170" s="134">
        <f>(AC27*'Data - P&amp;L'!$D$38)+(AC105*'Data - P&amp;L'!$D$39)</f>
        <v>0</v>
      </c>
      <c r="AD170" s="134">
        <f>(AD27*'Data - P&amp;L'!$D$38)+(AD105*'Data - P&amp;L'!$D$39)</f>
        <v>0</v>
      </c>
      <c r="AE170" s="303">
        <f t="shared" si="40"/>
        <v>0</v>
      </c>
    </row>
    <row r="171">
      <c r="A171" s="256" t="s">
        <v>1178</v>
      </c>
      <c r="B171" s="257">
        <f>(B27*'Data - P&amp;L'!$D$34)+(B105*'Data - P&amp;L'!$D$35)</f>
        <v>0</v>
      </c>
      <c r="C171" s="257">
        <f>(C27*'Data - P&amp;L'!$D$34)+(C105*'Data - P&amp;L'!$D$35)</f>
        <v>0</v>
      </c>
      <c r="D171" s="257">
        <f>(D27*'Data - P&amp;L'!$D$34)+(D105*'Data - P&amp;L'!$D$35)</f>
        <v>0</v>
      </c>
      <c r="E171" s="257">
        <f>(E27*'Data - P&amp;L'!$D$34)+(E105*'Data - P&amp;L'!$D$35)</f>
        <v>0</v>
      </c>
      <c r="F171" s="257">
        <f>(F27*'Data - P&amp;L'!$D$34)+(F105*'Data - P&amp;L'!$D$35)</f>
        <v>0</v>
      </c>
      <c r="G171" s="257">
        <f>(G27*'Data - P&amp;L'!$D$34)+(G105*'Data - P&amp;L'!$D$35)</f>
        <v>0</v>
      </c>
      <c r="H171" s="257">
        <f>(H27*'Data - P&amp;L'!$D$34)+(H105*'Data - P&amp;L'!$D$35)</f>
        <v>0</v>
      </c>
      <c r="I171" s="257">
        <f>(I27*'Data - P&amp;L'!$D$34)+(I105*'Data - P&amp;L'!$D$35)</f>
        <v>0</v>
      </c>
      <c r="J171" s="257">
        <f>(J27*'Data - P&amp;L'!$D$34)+(J105*'Data - P&amp;L'!$D$35)</f>
        <v>0</v>
      </c>
      <c r="K171" s="257">
        <f>(K27*'Data - P&amp;L'!$D$34)+(K105*'Data - P&amp;L'!$D$35)</f>
        <v>0</v>
      </c>
      <c r="L171" s="257">
        <f>(L27*'Data - P&amp;L'!$D$34)+(L105*'Data - P&amp;L'!$D$35)</f>
        <v>0</v>
      </c>
      <c r="M171" s="257">
        <f>(M27*'Data - P&amp;L'!$D$34)+(M105*'Data - P&amp;L'!$D$35)</f>
        <v>0</v>
      </c>
      <c r="N171" s="257">
        <f>(N27*'Data - P&amp;L'!$D$34)+(N105*'Data - P&amp;L'!$D$35)</f>
        <v>0</v>
      </c>
      <c r="O171" s="257">
        <f>(O27*'Data - P&amp;L'!$D$34)+(O105*'Data - P&amp;L'!$D$35)</f>
        <v>0</v>
      </c>
      <c r="P171" s="257">
        <f>(P27*'Data - P&amp;L'!$D$34)+(P105*'Data - P&amp;L'!$D$35)</f>
        <v>0</v>
      </c>
      <c r="Q171" s="257">
        <f>(Q27*'Data - P&amp;L'!$D$34)+(Q105*'Data - P&amp;L'!$D$35)</f>
        <v>0</v>
      </c>
      <c r="R171" s="257">
        <f>(R27*'Data - P&amp;L'!$D$34)+(R105*'Data - P&amp;L'!$D$35)</f>
        <v>0</v>
      </c>
      <c r="S171" s="257">
        <f>(S27*'Data - P&amp;L'!$D$34)+(S105*'Data - P&amp;L'!$D$35)</f>
        <v>0</v>
      </c>
      <c r="T171" s="257">
        <f>(T27*'Data - P&amp;L'!$D$34)+(T105*'Data - P&amp;L'!$D$35)</f>
        <v>0</v>
      </c>
      <c r="U171" s="257">
        <f>(U27*'Data - P&amp;L'!$D$34)+(U105*'Data - P&amp;L'!$D$35)</f>
        <v>0</v>
      </c>
      <c r="V171" s="257">
        <f>(V27*'Data - P&amp;L'!$D$34)+(V105*'Data - P&amp;L'!$D$35)</f>
        <v>0</v>
      </c>
      <c r="W171" s="257">
        <f>(W27*'Data - P&amp;L'!$D$34)+(W105*'Data - P&amp;L'!$D$35)</f>
        <v>0</v>
      </c>
      <c r="X171" s="257">
        <f>(X27*'Data - P&amp;L'!$D$34)+(X105*'Data - P&amp;L'!$D$35)</f>
        <v>0</v>
      </c>
      <c r="Y171" s="257">
        <f>(Y27*'Data - P&amp;L'!$D$34)+(Y105*'Data - P&amp;L'!$D$35)</f>
        <v>0</v>
      </c>
      <c r="Z171" s="257">
        <f>(Z27*'Data - P&amp;L'!$D$34)+(Z105*'Data - P&amp;L'!$D$35)</f>
        <v>0</v>
      </c>
      <c r="AA171" s="257">
        <f>(AA27*'Data - P&amp;L'!$D$34)+(AA105*'Data - P&amp;L'!$D$35)</f>
        <v>0</v>
      </c>
      <c r="AB171" s="257">
        <f>(AB27*'Data - P&amp;L'!$D$34)+(AB105*'Data - P&amp;L'!$D$35)</f>
        <v>0</v>
      </c>
      <c r="AC171" s="257">
        <f>(AC27*'Data - P&amp;L'!$D$34)+(AC105*'Data - P&amp;L'!$D$35)</f>
        <v>0</v>
      </c>
      <c r="AD171" s="257">
        <f>(AD27*'Data - P&amp;L'!$D$34)+(AD105*'Data - P&amp;L'!$D$35)</f>
        <v>0</v>
      </c>
      <c r="AE171" s="804">
        <f t="shared" si="40"/>
        <v>0</v>
      </c>
    </row>
    <row r="172">
      <c r="AE172" s="383"/>
    </row>
    <row r="173">
      <c r="A173" s="806" t="s">
        <v>1179</v>
      </c>
      <c r="B173" s="267"/>
      <c r="C173" s="267"/>
      <c r="D173" s="267"/>
      <c r="E173" s="267"/>
      <c r="F173" s="267"/>
      <c r="G173" s="267"/>
      <c r="H173" s="267"/>
      <c r="I173" s="267"/>
      <c r="J173" s="267"/>
      <c r="K173" s="267"/>
      <c r="L173" s="267"/>
      <c r="M173" s="267"/>
      <c r="N173" s="267"/>
      <c r="O173" s="267"/>
      <c r="P173" s="267"/>
      <c r="Q173" s="267"/>
      <c r="R173" s="267"/>
      <c r="S173" s="267"/>
      <c r="T173" s="267"/>
      <c r="U173" s="267"/>
      <c r="V173" s="267"/>
      <c r="W173" s="267"/>
      <c r="X173" s="267"/>
      <c r="Y173" s="267"/>
      <c r="Z173" s="267"/>
      <c r="AA173" s="267"/>
      <c r="AB173" s="267"/>
      <c r="AC173" s="267"/>
      <c r="AD173" s="267"/>
      <c r="AE173" s="370"/>
    </row>
    <row r="174">
      <c r="A174" s="269">
        <f>SUM(B173:AD173)</f>
        <v>0</v>
      </c>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263"/>
      <c r="Z174" s="263"/>
      <c r="AA174" s="263"/>
      <c r="AB174" s="263"/>
      <c r="AC174" s="263"/>
      <c r="AD174" s="263"/>
      <c r="AE174" s="303"/>
    </row>
    <row r="175">
      <c r="A175" s="807" t="s">
        <v>1180</v>
      </c>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263"/>
      <c r="Z175" s="263"/>
      <c r="AA175" s="263"/>
      <c r="AB175" s="263"/>
      <c r="AC175" s="263"/>
      <c r="AD175" s="263"/>
      <c r="AE175" s="303"/>
    </row>
    <row r="176">
      <c r="A176" s="269">
        <f>SUM(B175:AD175)</f>
        <v>0</v>
      </c>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263"/>
      <c r="Z176" s="263"/>
      <c r="AA176" s="263"/>
      <c r="AB176" s="263"/>
      <c r="AC176" s="263"/>
      <c r="AD176" s="263"/>
      <c r="AE176" s="303"/>
    </row>
    <row r="177">
      <c r="A177" s="806" t="s">
        <v>1181</v>
      </c>
      <c r="B177" s="267" t="str">
        <f t="shared" ref="B177:AD177" si="41">#REF!-B169</f>
        <v>#REF!</v>
      </c>
      <c r="C177" s="267" t="str">
        <f t="shared" si="41"/>
        <v>#REF!</v>
      </c>
      <c r="D177" s="267" t="str">
        <f t="shared" si="41"/>
        <v>#REF!</v>
      </c>
      <c r="E177" s="267" t="str">
        <f t="shared" si="41"/>
        <v>#REF!</v>
      </c>
      <c r="F177" s="267" t="str">
        <f t="shared" si="41"/>
        <v>#REF!</v>
      </c>
      <c r="G177" s="267" t="str">
        <f t="shared" si="41"/>
        <v>#REF!</v>
      </c>
      <c r="H177" s="267" t="str">
        <f t="shared" si="41"/>
        <v>#REF!</v>
      </c>
      <c r="I177" s="267" t="str">
        <f t="shared" si="41"/>
        <v>#REF!</v>
      </c>
      <c r="J177" s="267" t="str">
        <f t="shared" si="41"/>
        <v>#REF!</v>
      </c>
      <c r="K177" s="267" t="str">
        <f t="shared" si="41"/>
        <v>#REF!</v>
      </c>
      <c r="L177" s="267" t="str">
        <f t="shared" si="41"/>
        <v>#REF!</v>
      </c>
      <c r="M177" s="267" t="str">
        <f t="shared" si="41"/>
        <v>#REF!</v>
      </c>
      <c r="N177" s="267" t="str">
        <f t="shared" si="41"/>
        <v>#REF!</v>
      </c>
      <c r="O177" s="267" t="str">
        <f t="shared" si="41"/>
        <v>#REF!</v>
      </c>
      <c r="P177" s="267" t="str">
        <f t="shared" si="41"/>
        <v>#REF!</v>
      </c>
      <c r="Q177" s="267" t="str">
        <f t="shared" si="41"/>
        <v>#REF!</v>
      </c>
      <c r="R177" s="267" t="str">
        <f t="shared" si="41"/>
        <v>#REF!</v>
      </c>
      <c r="S177" s="267" t="str">
        <f t="shared" si="41"/>
        <v>#REF!</v>
      </c>
      <c r="T177" s="267" t="str">
        <f t="shared" si="41"/>
        <v>#REF!</v>
      </c>
      <c r="U177" s="267" t="str">
        <f t="shared" si="41"/>
        <v>#REF!</v>
      </c>
      <c r="V177" s="267" t="str">
        <f t="shared" si="41"/>
        <v>#REF!</v>
      </c>
      <c r="W177" s="267" t="str">
        <f t="shared" si="41"/>
        <v>#REF!</v>
      </c>
      <c r="X177" s="267" t="str">
        <f t="shared" si="41"/>
        <v>#REF!</v>
      </c>
      <c r="Y177" s="267" t="str">
        <f t="shared" si="41"/>
        <v>#REF!</v>
      </c>
      <c r="Z177" s="267" t="str">
        <f t="shared" si="41"/>
        <v>#REF!</v>
      </c>
      <c r="AA177" s="267" t="str">
        <f t="shared" si="41"/>
        <v>#REF!</v>
      </c>
      <c r="AB177" s="267" t="str">
        <f t="shared" si="41"/>
        <v>#REF!</v>
      </c>
      <c r="AC177" s="267" t="str">
        <f t="shared" si="41"/>
        <v>#REF!</v>
      </c>
      <c r="AD177" s="267" t="str">
        <f t="shared" si="41"/>
        <v>#REF!</v>
      </c>
      <c r="AE177" s="370" t="str">
        <f>SUM(B177:AD177)</f>
        <v>#REF!</v>
      </c>
    </row>
    <row r="178">
      <c r="A178" s="465" t="str">
        <f>SUM(B177:AD177)</f>
        <v>#REF!</v>
      </c>
      <c r="B178" s="272"/>
      <c r="C178" s="272"/>
      <c r="D178" s="272"/>
      <c r="E178" s="272"/>
      <c r="F178" s="272"/>
      <c r="G178" s="272"/>
      <c r="H178" s="272"/>
      <c r="I178" s="272"/>
      <c r="J178" s="272"/>
      <c r="K178" s="272"/>
      <c r="L178" s="272"/>
      <c r="M178" s="272"/>
      <c r="N178" s="272"/>
      <c r="O178" s="272"/>
      <c r="P178" s="272"/>
      <c r="Q178" s="272"/>
      <c r="R178" s="272"/>
      <c r="S178" s="272"/>
      <c r="T178" s="272"/>
      <c r="U178" s="272"/>
      <c r="V178" s="272"/>
      <c r="W178" s="272"/>
      <c r="X178" s="272"/>
      <c r="Y178" s="272"/>
      <c r="Z178" s="272"/>
      <c r="AA178" s="272"/>
      <c r="AB178" s="272"/>
      <c r="AC178" s="272"/>
      <c r="AD178" s="272"/>
      <c r="AE178" s="303"/>
    </row>
    <row r="179">
      <c r="A179" s="807" t="s">
        <v>1182</v>
      </c>
      <c r="B179" s="263" t="str">
        <f t="shared" ref="B179:AD179" si="42">#REF!-B171</f>
        <v>#REF!</v>
      </c>
      <c r="C179" s="263" t="str">
        <f t="shared" si="42"/>
        <v>#REF!</v>
      </c>
      <c r="D179" s="263" t="str">
        <f t="shared" si="42"/>
        <v>#REF!</v>
      </c>
      <c r="E179" s="263" t="str">
        <f t="shared" si="42"/>
        <v>#REF!</v>
      </c>
      <c r="F179" s="263" t="str">
        <f t="shared" si="42"/>
        <v>#REF!</v>
      </c>
      <c r="G179" s="263" t="str">
        <f t="shared" si="42"/>
        <v>#REF!</v>
      </c>
      <c r="H179" s="263" t="str">
        <f t="shared" si="42"/>
        <v>#REF!</v>
      </c>
      <c r="I179" s="263" t="str">
        <f t="shared" si="42"/>
        <v>#REF!</v>
      </c>
      <c r="J179" s="263" t="str">
        <f t="shared" si="42"/>
        <v>#REF!</v>
      </c>
      <c r="K179" s="263" t="str">
        <f t="shared" si="42"/>
        <v>#REF!</v>
      </c>
      <c r="L179" s="263" t="str">
        <f t="shared" si="42"/>
        <v>#REF!</v>
      </c>
      <c r="M179" s="263" t="str">
        <f t="shared" si="42"/>
        <v>#REF!</v>
      </c>
      <c r="N179" s="263" t="str">
        <f t="shared" si="42"/>
        <v>#REF!</v>
      </c>
      <c r="O179" s="263" t="str">
        <f t="shared" si="42"/>
        <v>#REF!</v>
      </c>
      <c r="P179" s="263" t="str">
        <f t="shared" si="42"/>
        <v>#REF!</v>
      </c>
      <c r="Q179" s="263" t="str">
        <f t="shared" si="42"/>
        <v>#REF!</v>
      </c>
      <c r="R179" s="263" t="str">
        <f t="shared" si="42"/>
        <v>#REF!</v>
      </c>
      <c r="S179" s="263" t="str">
        <f t="shared" si="42"/>
        <v>#REF!</v>
      </c>
      <c r="T179" s="263" t="str">
        <f t="shared" si="42"/>
        <v>#REF!</v>
      </c>
      <c r="U179" s="263" t="str">
        <f t="shared" si="42"/>
        <v>#REF!</v>
      </c>
      <c r="V179" s="263" t="str">
        <f t="shared" si="42"/>
        <v>#REF!</v>
      </c>
      <c r="W179" s="263" t="str">
        <f t="shared" si="42"/>
        <v>#REF!</v>
      </c>
      <c r="X179" s="263" t="str">
        <f t="shared" si="42"/>
        <v>#REF!</v>
      </c>
      <c r="Y179" s="263" t="str">
        <f t="shared" si="42"/>
        <v>#REF!</v>
      </c>
      <c r="Z179" s="263" t="str">
        <f t="shared" si="42"/>
        <v>#REF!</v>
      </c>
      <c r="AA179" s="263" t="str">
        <f t="shared" si="42"/>
        <v>#REF!</v>
      </c>
      <c r="AB179" s="263" t="str">
        <f t="shared" si="42"/>
        <v>#REF!</v>
      </c>
      <c r="AC179" s="263" t="str">
        <f t="shared" si="42"/>
        <v>#REF!</v>
      </c>
      <c r="AD179" s="263" t="str">
        <f t="shared" si="42"/>
        <v>#REF!</v>
      </c>
      <c r="AE179" s="303" t="str">
        <f>SUM(B179:AD179)</f>
        <v>#REF!</v>
      </c>
    </row>
    <row r="180">
      <c r="A180" s="808" t="str">
        <f>SUM(B179:AD179)</f>
        <v>#REF!</v>
      </c>
      <c r="B180" s="469"/>
      <c r="C180" s="469"/>
      <c r="D180" s="469"/>
      <c r="E180" s="469"/>
      <c r="F180" s="469"/>
      <c r="G180" s="469"/>
      <c r="H180" s="469"/>
      <c r="I180" s="469"/>
      <c r="J180" s="469"/>
      <c r="K180" s="469"/>
      <c r="L180" s="469"/>
      <c r="M180" s="469"/>
      <c r="N180" s="469"/>
      <c r="O180" s="469"/>
      <c r="P180" s="469"/>
      <c r="Q180" s="469"/>
      <c r="R180" s="469"/>
      <c r="S180" s="469"/>
      <c r="T180" s="469"/>
      <c r="U180" s="469"/>
      <c r="V180" s="469"/>
      <c r="W180" s="469"/>
      <c r="X180" s="469"/>
      <c r="Y180" s="469"/>
      <c r="Z180" s="469"/>
      <c r="AA180" s="469"/>
      <c r="AB180" s="469"/>
      <c r="AC180" s="469"/>
      <c r="AD180" s="469"/>
      <c r="AE180" s="373"/>
    </row>
    <row r="181">
      <c r="AE181" s="383"/>
    </row>
    <row r="182">
      <c r="AE182" s="383"/>
    </row>
    <row r="183">
      <c r="AE183" s="383"/>
    </row>
    <row r="184">
      <c r="AE184" s="383"/>
    </row>
    <row r="185">
      <c r="AE185" s="383"/>
    </row>
    <row r="186">
      <c r="AE186" s="383"/>
    </row>
    <row r="187">
      <c r="AE187" s="383"/>
    </row>
    <row r="188">
      <c r="AE188" s="383"/>
    </row>
    <row r="189">
      <c r="AE189" s="383"/>
    </row>
    <row r="190">
      <c r="AE190" s="383"/>
    </row>
    <row r="191">
      <c r="AE191" s="383"/>
    </row>
    <row r="192">
      <c r="AE192" s="383"/>
    </row>
    <row r="193">
      <c r="AE193" s="383"/>
    </row>
    <row r="194">
      <c r="AE194" s="383"/>
    </row>
    <row r="195">
      <c r="AE195" s="383"/>
    </row>
    <row r="196">
      <c r="AE196" s="383"/>
    </row>
    <row r="197">
      <c r="AE197" s="383"/>
    </row>
    <row r="198">
      <c r="AE198" s="383"/>
    </row>
    <row r="199">
      <c r="AE199" s="383"/>
    </row>
    <row r="200">
      <c r="AE200" s="383"/>
    </row>
    <row r="201">
      <c r="AE201" s="383"/>
    </row>
    <row r="202">
      <c r="AE202" s="383"/>
    </row>
    <row r="203">
      <c r="AE203" s="383"/>
    </row>
    <row r="204">
      <c r="AE204" s="383"/>
    </row>
    <row r="205">
      <c r="AE205" s="383"/>
    </row>
    <row r="206">
      <c r="AE206" s="383"/>
    </row>
    <row r="207">
      <c r="AE207" s="383"/>
    </row>
    <row r="208">
      <c r="AE208" s="383"/>
    </row>
    <row r="209">
      <c r="AE209" s="383"/>
    </row>
    <row r="210">
      <c r="AE210" s="383"/>
    </row>
    <row r="211">
      <c r="AE211" s="383"/>
    </row>
    <row r="212">
      <c r="AE212" s="383"/>
    </row>
    <row r="213">
      <c r="AE213" s="383"/>
    </row>
    <row r="214">
      <c r="AE214" s="383"/>
    </row>
    <row r="215">
      <c r="AE215" s="383"/>
    </row>
    <row r="216">
      <c r="AE216" s="383"/>
    </row>
    <row r="217">
      <c r="AE217" s="383"/>
    </row>
    <row r="218">
      <c r="AE218" s="383"/>
    </row>
    <row r="219">
      <c r="AE219" s="383"/>
    </row>
    <row r="220">
      <c r="AE220" s="383"/>
    </row>
    <row r="221">
      <c r="AE221" s="383"/>
    </row>
    <row r="222">
      <c r="AE222" s="383"/>
    </row>
    <row r="223">
      <c r="AE223" s="383"/>
    </row>
    <row r="224">
      <c r="AE224" s="383"/>
    </row>
    <row r="225">
      <c r="AE225" s="383"/>
    </row>
    <row r="226">
      <c r="AE226" s="383"/>
    </row>
    <row r="227">
      <c r="AE227" s="383"/>
    </row>
    <row r="228">
      <c r="AE228" s="383"/>
    </row>
    <row r="229">
      <c r="AE229" s="383"/>
    </row>
    <row r="230">
      <c r="AE230" s="383"/>
    </row>
    <row r="231">
      <c r="AE231" s="383"/>
    </row>
    <row r="232">
      <c r="AE232" s="383"/>
    </row>
    <row r="233">
      <c r="AE233" s="383"/>
    </row>
    <row r="234">
      <c r="AE234" s="383"/>
    </row>
    <row r="235">
      <c r="AE235" s="383"/>
    </row>
    <row r="236">
      <c r="AE236" s="383"/>
    </row>
    <row r="237">
      <c r="AE237" s="383"/>
    </row>
    <row r="238">
      <c r="AE238" s="383"/>
    </row>
    <row r="239">
      <c r="AE239" s="383"/>
    </row>
    <row r="240">
      <c r="AE240" s="383"/>
    </row>
    <row r="241">
      <c r="AE241" s="383"/>
    </row>
    <row r="242">
      <c r="AE242" s="383"/>
    </row>
    <row r="243">
      <c r="AE243" s="383"/>
    </row>
    <row r="244">
      <c r="AE244" s="383"/>
    </row>
    <row r="245">
      <c r="AE245" s="383"/>
    </row>
    <row r="246">
      <c r="AE246" s="383"/>
    </row>
    <row r="247">
      <c r="AE247" s="383"/>
    </row>
    <row r="248">
      <c r="AE248" s="383"/>
    </row>
    <row r="249">
      <c r="AE249" s="383"/>
    </row>
    <row r="250">
      <c r="AE250" s="383"/>
    </row>
    <row r="251">
      <c r="AE251" s="383"/>
    </row>
    <row r="252">
      <c r="AE252" s="383"/>
    </row>
    <row r="253">
      <c r="AE253" s="383"/>
    </row>
    <row r="254">
      <c r="AE254" s="383"/>
    </row>
    <row r="255">
      <c r="AE255" s="383"/>
    </row>
    <row r="256">
      <c r="AE256" s="383"/>
    </row>
    <row r="257">
      <c r="AE257" s="383"/>
    </row>
    <row r="258">
      <c r="AE258" s="383"/>
    </row>
    <row r="259">
      <c r="AE259" s="383"/>
    </row>
    <row r="260">
      <c r="AE260" s="383"/>
    </row>
    <row r="261">
      <c r="AE261" s="383"/>
    </row>
    <row r="262">
      <c r="AE262" s="383"/>
    </row>
    <row r="263">
      <c r="AE263" s="383"/>
    </row>
    <row r="264">
      <c r="AE264" s="383"/>
    </row>
    <row r="265">
      <c r="AE265" s="383"/>
    </row>
    <row r="266">
      <c r="AE266" s="383"/>
    </row>
    <row r="267">
      <c r="AE267" s="383"/>
    </row>
    <row r="268">
      <c r="AE268" s="383"/>
    </row>
    <row r="269">
      <c r="AE269" s="383"/>
    </row>
    <row r="270">
      <c r="AE270" s="383"/>
    </row>
    <row r="271">
      <c r="AE271" s="383"/>
    </row>
    <row r="272">
      <c r="AE272" s="383"/>
    </row>
    <row r="273">
      <c r="AE273" s="383"/>
    </row>
    <row r="274">
      <c r="AE274" s="383"/>
    </row>
    <row r="275">
      <c r="AE275" s="383"/>
    </row>
    <row r="276">
      <c r="AE276" s="383"/>
    </row>
    <row r="277">
      <c r="AE277" s="383"/>
    </row>
    <row r="278">
      <c r="AE278" s="383"/>
    </row>
    <row r="279">
      <c r="AE279" s="383"/>
    </row>
    <row r="280">
      <c r="AE280" s="383"/>
    </row>
    <row r="281">
      <c r="AE281" s="383"/>
    </row>
    <row r="282">
      <c r="AE282" s="383"/>
    </row>
    <row r="283">
      <c r="AE283" s="383"/>
    </row>
    <row r="284">
      <c r="AE284" s="383"/>
    </row>
    <row r="285">
      <c r="AE285" s="383"/>
    </row>
    <row r="286">
      <c r="AE286" s="383"/>
    </row>
    <row r="287">
      <c r="AE287" s="383"/>
    </row>
    <row r="288">
      <c r="AE288" s="383"/>
    </row>
    <row r="289">
      <c r="AE289" s="383"/>
    </row>
    <row r="290">
      <c r="AE290" s="383"/>
    </row>
    <row r="291">
      <c r="AE291" s="383"/>
    </row>
    <row r="292">
      <c r="AE292" s="383"/>
    </row>
    <row r="293">
      <c r="AE293" s="383"/>
    </row>
    <row r="294">
      <c r="AE294" s="383"/>
    </row>
    <row r="295">
      <c r="AE295" s="383"/>
    </row>
    <row r="296">
      <c r="AE296" s="383"/>
    </row>
    <row r="297">
      <c r="AE297" s="383"/>
    </row>
    <row r="298">
      <c r="AE298" s="383"/>
    </row>
    <row r="299">
      <c r="AE299" s="383"/>
    </row>
    <row r="300">
      <c r="AE300" s="383"/>
    </row>
    <row r="301">
      <c r="AE301" s="383"/>
    </row>
    <row r="302">
      <c r="AE302" s="383"/>
    </row>
    <row r="303">
      <c r="AE303" s="383"/>
    </row>
    <row r="304">
      <c r="AE304" s="383"/>
    </row>
    <row r="305">
      <c r="AE305" s="383"/>
    </row>
    <row r="306">
      <c r="AE306" s="383"/>
    </row>
    <row r="307">
      <c r="AE307" s="383"/>
    </row>
    <row r="308">
      <c r="AE308" s="383"/>
    </row>
    <row r="309">
      <c r="AE309" s="383"/>
    </row>
    <row r="310">
      <c r="AE310" s="383"/>
    </row>
    <row r="311">
      <c r="AE311" s="383"/>
    </row>
    <row r="312">
      <c r="AE312" s="383"/>
    </row>
    <row r="313">
      <c r="AE313" s="383"/>
    </row>
    <row r="314">
      <c r="AE314" s="383"/>
    </row>
    <row r="315">
      <c r="AE315" s="383"/>
    </row>
    <row r="316">
      <c r="AE316" s="383"/>
    </row>
    <row r="317">
      <c r="AE317" s="383"/>
    </row>
    <row r="318">
      <c r="AE318" s="383"/>
    </row>
    <row r="319">
      <c r="AE319" s="383"/>
    </row>
    <row r="320">
      <c r="AE320" s="383"/>
    </row>
    <row r="321">
      <c r="AE321" s="383"/>
    </row>
    <row r="322">
      <c r="AE322" s="383"/>
    </row>
    <row r="323">
      <c r="AE323" s="383"/>
    </row>
    <row r="324">
      <c r="AE324" s="383"/>
    </row>
    <row r="325">
      <c r="AE325" s="383"/>
    </row>
    <row r="326">
      <c r="AE326" s="383"/>
    </row>
    <row r="327">
      <c r="AE327" s="383"/>
    </row>
    <row r="328">
      <c r="AE328" s="383"/>
    </row>
    <row r="329">
      <c r="AE329" s="383"/>
    </row>
    <row r="330">
      <c r="AE330" s="383"/>
    </row>
    <row r="331">
      <c r="AE331" s="383"/>
    </row>
    <row r="332">
      <c r="AE332" s="383"/>
    </row>
    <row r="333">
      <c r="AE333" s="383"/>
    </row>
    <row r="334">
      <c r="AE334" s="383"/>
    </row>
    <row r="335">
      <c r="AE335" s="383"/>
    </row>
    <row r="336">
      <c r="AE336" s="383"/>
    </row>
    <row r="337">
      <c r="AE337" s="383"/>
    </row>
    <row r="338">
      <c r="AE338" s="383"/>
    </row>
    <row r="339">
      <c r="AE339" s="383"/>
    </row>
    <row r="340">
      <c r="AE340" s="383"/>
    </row>
    <row r="341">
      <c r="AE341" s="383"/>
    </row>
    <row r="342">
      <c r="AE342" s="383"/>
    </row>
    <row r="343">
      <c r="AE343" s="383"/>
    </row>
    <row r="344">
      <c r="AE344" s="383"/>
    </row>
    <row r="345">
      <c r="AE345" s="383"/>
    </row>
    <row r="346">
      <c r="AE346" s="383"/>
    </row>
    <row r="347">
      <c r="AE347" s="383"/>
    </row>
    <row r="348">
      <c r="AE348" s="383"/>
    </row>
    <row r="349">
      <c r="AE349" s="383"/>
    </row>
    <row r="350">
      <c r="AE350" s="383"/>
    </row>
    <row r="351">
      <c r="AE351" s="383"/>
    </row>
    <row r="352">
      <c r="AE352" s="383"/>
    </row>
    <row r="353">
      <c r="AE353" s="383"/>
    </row>
    <row r="354">
      <c r="AE354" s="383"/>
    </row>
    <row r="355">
      <c r="AE355" s="383"/>
    </row>
    <row r="356">
      <c r="AE356" s="383"/>
    </row>
    <row r="357">
      <c r="AE357" s="383"/>
    </row>
    <row r="358">
      <c r="AE358" s="383"/>
    </row>
    <row r="359">
      <c r="AE359" s="383"/>
    </row>
    <row r="360">
      <c r="AE360" s="383"/>
    </row>
    <row r="361">
      <c r="AE361" s="383"/>
    </row>
    <row r="362">
      <c r="AE362" s="383"/>
    </row>
    <row r="363">
      <c r="AE363" s="383"/>
    </row>
    <row r="364">
      <c r="AE364" s="383"/>
    </row>
    <row r="365">
      <c r="AE365" s="383"/>
    </row>
    <row r="366">
      <c r="AE366" s="383"/>
    </row>
    <row r="367">
      <c r="AE367" s="383"/>
    </row>
    <row r="368">
      <c r="AE368" s="383"/>
    </row>
    <row r="369">
      <c r="AE369" s="383"/>
    </row>
    <row r="370">
      <c r="AE370" s="383"/>
    </row>
    <row r="371">
      <c r="AE371" s="383"/>
    </row>
    <row r="372">
      <c r="AE372" s="383"/>
    </row>
    <row r="373">
      <c r="AE373" s="383"/>
    </row>
    <row r="374">
      <c r="AE374" s="383"/>
    </row>
    <row r="375">
      <c r="AE375" s="383"/>
    </row>
    <row r="376">
      <c r="AE376" s="383"/>
    </row>
    <row r="377">
      <c r="AE377" s="383"/>
    </row>
    <row r="378">
      <c r="AE378" s="383"/>
    </row>
    <row r="379">
      <c r="AE379" s="383"/>
    </row>
    <row r="380">
      <c r="AE380" s="383"/>
    </row>
    <row r="381">
      <c r="AE381" s="383"/>
    </row>
    <row r="382">
      <c r="AE382" s="383"/>
    </row>
    <row r="383">
      <c r="AE383" s="383"/>
    </row>
    <row r="384">
      <c r="AE384" s="383"/>
    </row>
    <row r="385">
      <c r="AE385" s="383"/>
    </row>
    <row r="386">
      <c r="AE386" s="383"/>
    </row>
    <row r="387">
      <c r="AE387" s="383"/>
    </row>
    <row r="388">
      <c r="AE388" s="383"/>
    </row>
    <row r="389">
      <c r="AE389" s="383"/>
    </row>
    <row r="390">
      <c r="AE390" s="383"/>
    </row>
    <row r="391">
      <c r="AE391" s="383"/>
    </row>
    <row r="392">
      <c r="AE392" s="383"/>
    </row>
    <row r="393">
      <c r="AE393" s="383"/>
    </row>
    <row r="394">
      <c r="AE394" s="383"/>
    </row>
    <row r="395">
      <c r="AE395" s="383"/>
    </row>
    <row r="396">
      <c r="AE396" s="383"/>
    </row>
    <row r="397">
      <c r="AE397" s="383"/>
    </row>
    <row r="398">
      <c r="AE398" s="383"/>
    </row>
    <row r="399">
      <c r="AE399" s="383"/>
    </row>
    <row r="400">
      <c r="AE400" s="383"/>
    </row>
    <row r="401">
      <c r="AE401" s="383"/>
    </row>
    <row r="402">
      <c r="AE402" s="383"/>
    </row>
    <row r="403">
      <c r="AE403" s="383"/>
    </row>
    <row r="404">
      <c r="AE404" s="383"/>
    </row>
    <row r="405">
      <c r="AE405" s="383"/>
    </row>
    <row r="406">
      <c r="AE406" s="383"/>
    </row>
    <row r="407">
      <c r="AE407" s="383"/>
    </row>
    <row r="408">
      <c r="AE408" s="383"/>
    </row>
    <row r="409">
      <c r="AE409" s="383"/>
    </row>
    <row r="410">
      <c r="AE410" s="383"/>
    </row>
    <row r="411">
      <c r="AE411" s="383"/>
    </row>
    <row r="412">
      <c r="AE412" s="383"/>
    </row>
    <row r="413">
      <c r="AE413" s="383"/>
    </row>
    <row r="414">
      <c r="AE414" s="383"/>
    </row>
    <row r="415">
      <c r="AE415" s="383"/>
    </row>
    <row r="416">
      <c r="AE416" s="383"/>
    </row>
    <row r="417">
      <c r="AE417" s="383"/>
    </row>
    <row r="418">
      <c r="AE418" s="383"/>
    </row>
    <row r="419">
      <c r="AE419" s="383"/>
    </row>
    <row r="420">
      <c r="AE420" s="383"/>
    </row>
    <row r="421">
      <c r="AE421" s="383"/>
    </row>
    <row r="422">
      <c r="AE422" s="383"/>
    </row>
    <row r="423">
      <c r="AE423" s="383"/>
    </row>
    <row r="424">
      <c r="AE424" s="383"/>
    </row>
    <row r="425">
      <c r="AE425" s="383"/>
    </row>
    <row r="426">
      <c r="AE426" s="383"/>
    </row>
    <row r="427">
      <c r="AE427" s="383"/>
    </row>
    <row r="428">
      <c r="AE428" s="383"/>
    </row>
    <row r="429">
      <c r="AE429" s="383"/>
    </row>
    <row r="430">
      <c r="AE430" s="383"/>
    </row>
    <row r="431">
      <c r="AE431" s="383"/>
    </row>
    <row r="432">
      <c r="AE432" s="383"/>
    </row>
    <row r="433">
      <c r="AE433" s="383"/>
    </row>
    <row r="434">
      <c r="AE434" s="383"/>
    </row>
    <row r="435">
      <c r="AE435" s="383"/>
    </row>
    <row r="436">
      <c r="AE436" s="383"/>
    </row>
    <row r="437">
      <c r="AE437" s="383"/>
    </row>
    <row r="438">
      <c r="AE438" s="383"/>
    </row>
    <row r="439">
      <c r="AE439" s="383"/>
    </row>
    <row r="440">
      <c r="AE440" s="383"/>
    </row>
    <row r="441">
      <c r="AE441" s="383"/>
    </row>
    <row r="442">
      <c r="AE442" s="383"/>
    </row>
    <row r="443">
      <c r="AE443" s="383"/>
    </row>
    <row r="444">
      <c r="AE444" s="383"/>
    </row>
    <row r="445">
      <c r="AE445" s="383"/>
    </row>
    <row r="446">
      <c r="AE446" s="383"/>
    </row>
    <row r="447">
      <c r="AE447" s="383"/>
    </row>
    <row r="448">
      <c r="AE448" s="383"/>
    </row>
    <row r="449">
      <c r="AE449" s="383"/>
    </row>
    <row r="450">
      <c r="AE450" s="383"/>
    </row>
    <row r="451">
      <c r="AE451" s="383"/>
    </row>
    <row r="452">
      <c r="AE452" s="383"/>
    </row>
    <row r="453">
      <c r="AE453" s="383"/>
    </row>
    <row r="454">
      <c r="AE454" s="383"/>
    </row>
    <row r="455">
      <c r="AE455" s="383"/>
    </row>
    <row r="456">
      <c r="AE456" s="383"/>
    </row>
    <row r="457">
      <c r="AE457" s="383"/>
    </row>
    <row r="458">
      <c r="AE458" s="383"/>
    </row>
    <row r="459">
      <c r="AE459" s="383"/>
    </row>
    <row r="460">
      <c r="AE460" s="383"/>
    </row>
    <row r="461">
      <c r="AE461" s="383"/>
    </row>
    <row r="462">
      <c r="AE462" s="383"/>
    </row>
    <row r="463">
      <c r="AE463" s="383"/>
    </row>
    <row r="464">
      <c r="AE464" s="383"/>
    </row>
    <row r="465">
      <c r="AE465" s="383"/>
    </row>
    <row r="466">
      <c r="AE466" s="383"/>
    </row>
    <row r="467">
      <c r="AE467" s="383"/>
    </row>
    <row r="468">
      <c r="AE468" s="383"/>
    </row>
    <row r="469">
      <c r="AE469" s="383"/>
    </row>
    <row r="470">
      <c r="AE470" s="383"/>
    </row>
    <row r="471">
      <c r="AE471" s="383"/>
    </row>
    <row r="472">
      <c r="AE472" s="383"/>
    </row>
    <row r="473">
      <c r="AE473" s="383"/>
    </row>
    <row r="474">
      <c r="AE474" s="383"/>
    </row>
    <row r="475">
      <c r="AE475" s="383"/>
    </row>
    <row r="476">
      <c r="AE476" s="383"/>
    </row>
    <row r="477">
      <c r="AE477" s="383"/>
    </row>
    <row r="478">
      <c r="AE478" s="383"/>
    </row>
    <row r="479">
      <c r="AE479" s="383"/>
    </row>
    <row r="480">
      <c r="AE480" s="383"/>
    </row>
    <row r="481">
      <c r="AE481" s="383"/>
    </row>
    <row r="482">
      <c r="AE482" s="383"/>
    </row>
    <row r="483">
      <c r="AE483" s="383"/>
    </row>
    <row r="484">
      <c r="AE484" s="383"/>
    </row>
    <row r="485">
      <c r="AE485" s="383"/>
    </row>
    <row r="486">
      <c r="AE486" s="383"/>
    </row>
    <row r="487">
      <c r="AE487" s="383"/>
    </row>
    <row r="488">
      <c r="AE488" s="383"/>
    </row>
    <row r="489">
      <c r="AE489" s="383"/>
    </row>
    <row r="490">
      <c r="AE490" s="383"/>
    </row>
    <row r="491">
      <c r="AE491" s="383"/>
    </row>
    <row r="492">
      <c r="AE492" s="383"/>
    </row>
    <row r="493">
      <c r="AE493" s="383"/>
    </row>
    <row r="494">
      <c r="AE494" s="383"/>
    </row>
    <row r="495">
      <c r="AE495" s="383"/>
    </row>
    <row r="496">
      <c r="AE496" s="383"/>
    </row>
    <row r="497">
      <c r="AE497" s="383"/>
    </row>
    <row r="498">
      <c r="AE498" s="383"/>
    </row>
    <row r="499">
      <c r="AE499" s="383"/>
    </row>
    <row r="500">
      <c r="AE500" s="383"/>
    </row>
    <row r="501">
      <c r="AE501" s="383"/>
    </row>
    <row r="502">
      <c r="AE502" s="383"/>
    </row>
    <row r="503">
      <c r="AE503" s="383"/>
    </row>
    <row r="504">
      <c r="AE504" s="383"/>
    </row>
    <row r="505">
      <c r="AE505" s="383"/>
    </row>
    <row r="506">
      <c r="AE506" s="383"/>
    </row>
    <row r="507">
      <c r="AE507" s="383"/>
    </row>
    <row r="508">
      <c r="AE508" s="383"/>
    </row>
    <row r="509">
      <c r="AE509" s="383"/>
    </row>
    <row r="510">
      <c r="AE510" s="383"/>
    </row>
    <row r="511">
      <c r="AE511" s="383"/>
    </row>
    <row r="512">
      <c r="AE512" s="383"/>
    </row>
    <row r="513">
      <c r="AE513" s="383"/>
    </row>
    <row r="514">
      <c r="AE514" s="383"/>
    </row>
    <row r="515">
      <c r="AE515" s="383"/>
    </row>
    <row r="516">
      <c r="AE516" s="383"/>
    </row>
    <row r="517">
      <c r="AE517" s="383"/>
    </row>
    <row r="518">
      <c r="AE518" s="383"/>
    </row>
    <row r="519">
      <c r="AE519" s="383"/>
    </row>
    <row r="520">
      <c r="AE520" s="383"/>
    </row>
    <row r="521">
      <c r="AE521" s="383"/>
    </row>
    <row r="522">
      <c r="AE522" s="383"/>
    </row>
    <row r="523">
      <c r="AE523" s="383"/>
    </row>
    <row r="524">
      <c r="AE524" s="383"/>
    </row>
    <row r="525">
      <c r="AE525" s="383"/>
    </row>
    <row r="526">
      <c r="AE526" s="383"/>
    </row>
    <row r="527">
      <c r="AE527" s="383"/>
    </row>
    <row r="528">
      <c r="AE528" s="383"/>
    </row>
    <row r="529">
      <c r="AE529" s="383"/>
    </row>
    <row r="530">
      <c r="AE530" s="383"/>
    </row>
    <row r="531">
      <c r="AE531" s="383"/>
    </row>
    <row r="532">
      <c r="AE532" s="383"/>
    </row>
    <row r="533">
      <c r="AE533" s="383"/>
    </row>
    <row r="534">
      <c r="AE534" s="383"/>
    </row>
    <row r="535">
      <c r="AE535" s="383"/>
    </row>
    <row r="536">
      <c r="AE536" s="383"/>
    </row>
    <row r="537">
      <c r="AE537" s="383"/>
    </row>
    <row r="538">
      <c r="AE538" s="383"/>
    </row>
    <row r="539">
      <c r="AE539" s="383"/>
    </row>
    <row r="540">
      <c r="AE540" s="383"/>
    </row>
    <row r="541">
      <c r="AE541" s="383"/>
    </row>
    <row r="542">
      <c r="AE542" s="383"/>
    </row>
    <row r="543">
      <c r="AE543" s="383"/>
    </row>
    <row r="544">
      <c r="AE544" s="383"/>
    </row>
    <row r="545">
      <c r="AE545" s="383"/>
    </row>
    <row r="546">
      <c r="AE546" s="383"/>
    </row>
    <row r="547">
      <c r="AE547" s="383"/>
    </row>
    <row r="548">
      <c r="AE548" s="383"/>
    </row>
    <row r="549">
      <c r="AE549" s="383"/>
    </row>
    <row r="550">
      <c r="AE550" s="383"/>
    </row>
    <row r="551">
      <c r="AE551" s="383"/>
    </row>
    <row r="552">
      <c r="AE552" s="383"/>
    </row>
    <row r="553">
      <c r="AE553" s="383"/>
    </row>
    <row r="554">
      <c r="AE554" s="383"/>
    </row>
    <row r="555">
      <c r="AE555" s="383"/>
    </row>
    <row r="556">
      <c r="AE556" s="383"/>
    </row>
    <row r="557">
      <c r="AE557" s="383"/>
    </row>
    <row r="558">
      <c r="AE558" s="383"/>
    </row>
    <row r="559">
      <c r="AE559" s="383"/>
    </row>
    <row r="560">
      <c r="AE560" s="383"/>
    </row>
    <row r="561">
      <c r="AE561" s="383"/>
    </row>
    <row r="562">
      <c r="AE562" s="383"/>
    </row>
    <row r="563">
      <c r="AE563" s="383"/>
    </row>
    <row r="564">
      <c r="AE564" s="383"/>
    </row>
    <row r="565">
      <c r="AE565" s="383"/>
    </row>
    <row r="566">
      <c r="AE566" s="383"/>
    </row>
    <row r="567">
      <c r="AE567" s="383"/>
    </row>
    <row r="568">
      <c r="AE568" s="383"/>
    </row>
    <row r="569">
      <c r="AE569" s="383"/>
    </row>
    <row r="570">
      <c r="AE570" s="383"/>
    </row>
    <row r="571">
      <c r="AE571" s="383"/>
    </row>
    <row r="572">
      <c r="AE572" s="383"/>
    </row>
    <row r="573">
      <c r="AE573" s="383"/>
    </row>
    <row r="574">
      <c r="AE574" s="383"/>
    </row>
    <row r="575">
      <c r="AE575" s="383"/>
    </row>
    <row r="576">
      <c r="AE576" s="383"/>
    </row>
    <row r="577">
      <c r="AE577" s="383"/>
    </row>
    <row r="578">
      <c r="AE578" s="383"/>
    </row>
    <row r="579">
      <c r="AE579" s="383"/>
    </row>
    <row r="580">
      <c r="AE580" s="383"/>
    </row>
    <row r="581">
      <c r="AE581" s="383"/>
    </row>
    <row r="582">
      <c r="AE582" s="383"/>
    </row>
    <row r="583">
      <c r="AE583" s="383"/>
    </row>
    <row r="584">
      <c r="AE584" s="383"/>
    </row>
    <row r="585">
      <c r="AE585" s="383"/>
    </row>
    <row r="586">
      <c r="AE586" s="383"/>
    </row>
    <row r="587">
      <c r="AE587" s="383"/>
    </row>
    <row r="588">
      <c r="AE588" s="383"/>
    </row>
    <row r="589">
      <c r="AE589" s="383"/>
    </row>
    <row r="590">
      <c r="AE590" s="383"/>
    </row>
    <row r="591">
      <c r="AE591" s="383"/>
    </row>
    <row r="592">
      <c r="AE592" s="383"/>
    </row>
    <row r="593">
      <c r="AE593" s="383"/>
    </row>
    <row r="594">
      <c r="AE594" s="383"/>
    </row>
    <row r="595">
      <c r="AE595" s="383"/>
    </row>
    <row r="596">
      <c r="AE596" s="383"/>
    </row>
    <row r="597">
      <c r="AE597" s="383"/>
    </row>
    <row r="598">
      <c r="AE598" s="383"/>
    </row>
    <row r="599">
      <c r="AE599" s="383"/>
    </row>
    <row r="600">
      <c r="AE600" s="383"/>
    </row>
    <row r="601">
      <c r="AE601" s="383"/>
    </row>
    <row r="602">
      <c r="AE602" s="383"/>
    </row>
    <row r="603">
      <c r="AE603" s="383"/>
    </row>
    <row r="604">
      <c r="AE604" s="383"/>
    </row>
    <row r="605">
      <c r="AE605" s="383"/>
    </row>
    <row r="606">
      <c r="AE606" s="383"/>
    </row>
    <row r="607">
      <c r="AE607" s="383"/>
    </row>
    <row r="608">
      <c r="AE608" s="383"/>
    </row>
    <row r="609">
      <c r="AE609" s="383"/>
    </row>
    <row r="610">
      <c r="AE610" s="383"/>
    </row>
    <row r="611">
      <c r="AE611" s="383"/>
    </row>
    <row r="612">
      <c r="AE612" s="383"/>
    </row>
    <row r="613">
      <c r="AE613" s="383"/>
    </row>
    <row r="614">
      <c r="AE614" s="383"/>
    </row>
    <row r="615">
      <c r="AE615" s="383"/>
    </row>
    <row r="616">
      <c r="AE616" s="383"/>
    </row>
    <row r="617">
      <c r="AE617" s="383"/>
    </row>
    <row r="618">
      <c r="AE618" s="383"/>
    </row>
    <row r="619">
      <c r="AE619" s="383"/>
    </row>
    <row r="620">
      <c r="AE620" s="383"/>
    </row>
    <row r="621">
      <c r="AE621" s="383"/>
    </row>
    <row r="622">
      <c r="AE622" s="383"/>
    </row>
    <row r="623">
      <c r="AE623" s="383"/>
    </row>
    <row r="624">
      <c r="AE624" s="383"/>
    </row>
    <row r="625">
      <c r="AE625" s="383"/>
    </row>
    <row r="626">
      <c r="AE626" s="383"/>
    </row>
    <row r="627">
      <c r="AE627" s="383"/>
    </row>
    <row r="628">
      <c r="AE628" s="383"/>
    </row>
    <row r="629">
      <c r="AE629" s="383"/>
    </row>
    <row r="630">
      <c r="AE630" s="383"/>
    </row>
    <row r="631">
      <c r="AE631" s="383"/>
    </row>
    <row r="632">
      <c r="AE632" s="383"/>
    </row>
    <row r="633">
      <c r="AE633" s="383"/>
    </row>
    <row r="634">
      <c r="AE634" s="383"/>
    </row>
    <row r="635">
      <c r="AE635" s="383"/>
    </row>
    <row r="636">
      <c r="AE636" s="383"/>
    </row>
    <row r="637">
      <c r="AE637" s="383"/>
    </row>
    <row r="638">
      <c r="AE638" s="383"/>
    </row>
    <row r="639">
      <c r="AE639" s="383"/>
    </row>
    <row r="640">
      <c r="AE640" s="383"/>
    </row>
    <row r="641">
      <c r="AE641" s="383"/>
    </row>
    <row r="642">
      <c r="AE642" s="383"/>
    </row>
    <row r="643">
      <c r="AE643" s="383"/>
    </row>
    <row r="644">
      <c r="AE644" s="383"/>
    </row>
    <row r="645">
      <c r="AE645" s="383"/>
    </row>
    <row r="646">
      <c r="AE646" s="383"/>
    </row>
    <row r="647">
      <c r="AE647" s="383"/>
    </row>
    <row r="648">
      <c r="AE648" s="383"/>
    </row>
    <row r="649">
      <c r="AE649" s="383"/>
    </row>
    <row r="650">
      <c r="AE650" s="383"/>
    </row>
    <row r="651">
      <c r="AE651" s="383"/>
    </row>
    <row r="652">
      <c r="AE652" s="383"/>
    </row>
    <row r="653">
      <c r="AE653" s="383"/>
    </row>
    <row r="654">
      <c r="AE654" s="383"/>
    </row>
    <row r="655">
      <c r="AE655" s="383"/>
    </row>
    <row r="656">
      <c r="AE656" s="383"/>
    </row>
    <row r="657">
      <c r="AE657" s="383"/>
    </row>
    <row r="658">
      <c r="AE658" s="383"/>
    </row>
    <row r="659">
      <c r="AE659" s="383"/>
    </row>
    <row r="660">
      <c r="AE660" s="383"/>
    </row>
    <row r="661">
      <c r="AE661" s="383"/>
    </row>
    <row r="662">
      <c r="AE662" s="383"/>
    </row>
    <row r="663">
      <c r="AE663" s="383"/>
    </row>
    <row r="664">
      <c r="AE664" s="383"/>
    </row>
    <row r="665">
      <c r="AE665" s="383"/>
    </row>
    <row r="666">
      <c r="AE666" s="383"/>
    </row>
    <row r="667">
      <c r="AE667" s="383"/>
    </row>
    <row r="668">
      <c r="AE668" s="383"/>
    </row>
    <row r="669">
      <c r="AE669" s="383"/>
    </row>
    <row r="670">
      <c r="AE670" s="383"/>
    </row>
    <row r="671">
      <c r="AE671" s="383"/>
    </row>
    <row r="672">
      <c r="AE672" s="383"/>
    </row>
    <row r="673">
      <c r="AE673" s="383"/>
    </row>
    <row r="674">
      <c r="AE674" s="383"/>
    </row>
    <row r="675">
      <c r="AE675" s="383"/>
    </row>
    <row r="676">
      <c r="AE676" s="383"/>
    </row>
    <row r="677">
      <c r="AE677" s="383"/>
    </row>
    <row r="678">
      <c r="AE678" s="383"/>
    </row>
    <row r="679">
      <c r="AE679" s="383"/>
    </row>
    <row r="680">
      <c r="AE680" s="383"/>
    </row>
    <row r="681">
      <c r="AE681" s="383"/>
    </row>
    <row r="682">
      <c r="AE682" s="383"/>
    </row>
    <row r="683">
      <c r="AE683" s="383"/>
    </row>
    <row r="684">
      <c r="AE684" s="383"/>
    </row>
    <row r="685">
      <c r="AE685" s="383"/>
    </row>
    <row r="686">
      <c r="AE686" s="383"/>
    </row>
    <row r="687">
      <c r="AE687" s="383"/>
    </row>
    <row r="688">
      <c r="AE688" s="383"/>
    </row>
    <row r="689">
      <c r="AE689" s="383"/>
    </row>
    <row r="690">
      <c r="AE690" s="383"/>
    </row>
    <row r="691">
      <c r="AE691" s="383"/>
    </row>
    <row r="692">
      <c r="AE692" s="383"/>
    </row>
    <row r="693">
      <c r="AE693" s="383"/>
    </row>
    <row r="694">
      <c r="AE694" s="383"/>
    </row>
    <row r="695">
      <c r="AE695" s="383"/>
    </row>
    <row r="696">
      <c r="AE696" s="383"/>
    </row>
    <row r="697">
      <c r="AE697" s="383"/>
    </row>
    <row r="698">
      <c r="AE698" s="383"/>
    </row>
    <row r="699">
      <c r="AE699" s="383"/>
    </row>
    <row r="700">
      <c r="AE700" s="383"/>
    </row>
    <row r="701">
      <c r="AE701" s="383"/>
    </row>
    <row r="702">
      <c r="AE702" s="383"/>
    </row>
    <row r="703">
      <c r="AE703" s="383"/>
    </row>
    <row r="704">
      <c r="AE704" s="383"/>
    </row>
    <row r="705">
      <c r="AE705" s="383"/>
    </row>
    <row r="706">
      <c r="AE706" s="383"/>
    </row>
    <row r="707">
      <c r="AE707" s="383"/>
    </row>
    <row r="708">
      <c r="AE708" s="383"/>
    </row>
    <row r="709">
      <c r="AE709" s="383"/>
    </row>
    <row r="710">
      <c r="AE710" s="383"/>
    </row>
    <row r="711">
      <c r="AE711" s="383"/>
    </row>
    <row r="712">
      <c r="AE712" s="383"/>
    </row>
    <row r="713">
      <c r="AE713" s="383"/>
    </row>
    <row r="714">
      <c r="AE714" s="383"/>
    </row>
    <row r="715">
      <c r="AE715" s="383"/>
    </row>
    <row r="716">
      <c r="AE716" s="383"/>
    </row>
    <row r="717">
      <c r="AE717" s="383"/>
    </row>
    <row r="718">
      <c r="AE718" s="383"/>
    </row>
    <row r="719">
      <c r="AE719" s="383"/>
    </row>
    <row r="720">
      <c r="AE720" s="383"/>
    </row>
    <row r="721">
      <c r="AE721" s="383"/>
    </row>
    <row r="722">
      <c r="AE722" s="383"/>
    </row>
    <row r="723">
      <c r="AE723" s="383"/>
    </row>
    <row r="724">
      <c r="AE724" s="383"/>
    </row>
    <row r="725">
      <c r="AE725" s="383"/>
    </row>
    <row r="726">
      <c r="AE726" s="383"/>
    </row>
    <row r="727">
      <c r="AE727" s="383"/>
    </row>
    <row r="728">
      <c r="AE728" s="383"/>
    </row>
    <row r="729">
      <c r="AE729" s="383"/>
    </row>
    <row r="730">
      <c r="AE730" s="383"/>
    </row>
    <row r="731">
      <c r="AE731" s="383"/>
    </row>
    <row r="732">
      <c r="AE732" s="383"/>
    </row>
    <row r="733">
      <c r="AE733" s="383"/>
    </row>
    <row r="734">
      <c r="AE734" s="383"/>
    </row>
    <row r="735">
      <c r="AE735" s="383"/>
    </row>
    <row r="736">
      <c r="AE736" s="383"/>
    </row>
    <row r="737">
      <c r="AE737" s="383"/>
    </row>
    <row r="738">
      <c r="AE738" s="383"/>
    </row>
    <row r="739">
      <c r="AE739" s="383"/>
    </row>
    <row r="740">
      <c r="AE740" s="383"/>
    </row>
    <row r="741">
      <c r="AE741" s="383"/>
    </row>
    <row r="742">
      <c r="AE742" s="383"/>
    </row>
    <row r="743">
      <c r="AE743" s="383"/>
    </row>
    <row r="744">
      <c r="AE744" s="383"/>
    </row>
    <row r="745">
      <c r="AE745" s="383"/>
    </row>
    <row r="746">
      <c r="AE746" s="383"/>
    </row>
    <row r="747">
      <c r="AE747" s="383"/>
    </row>
    <row r="748">
      <c r="AE748" s="383"/>
    </row>
    <row r="749">
      <c r="AE749" s="383"/>
    </row>
    <row r="750">
      <c r="AE750" s="383"/>
    </row>
    <row r="751">
      <c r="AE751" s="383"/>
    </row>
    <row r="752">
      <c r="AE752" s="383"/>
    </row>
    <row r="753">
      <c r="AE753" s="383"/>
    </row>
    <row r="754">
      <c r="AE754" s="383"/>
    </row>
    <row r="755">
      <c r="AE755" s="383"/>
    </row>
    <row r="756">
      <c r="AE756" s="383"/>
    </row>
    <row r="757">
      <c r="AE757" s="383"/>
    </row>
    <row r="758">
      <c r="AE758" s="383"/>
    </row>
    <row r="759">
      <c r="AE759" s="383"/>
    </row>
    <row r="760">
      <c r="AE760" s="383"/>
    </row>
    <row r="761">
      <c r="AE761" s="383"/>
    </row>
    <row r="762">
      <c r="AE762" s="383"/>
    </row>
    <row r="763">
      <c r="AE763" s="383"/>
    </row>
    <row r="764">
      <c r="AE764" s="383"/>
    </row>
    <row r="765">
      <c r="AE765" s="383"/>
    </row>
    <row r="766">
      <c r="AE766" s="383"/>
    </row>
    <row r="767">
      <c r="AE767" s="383"/>
    </row>
    <row r="768">
      <c r="AE768" s="383"/>
    </row>
    <row r="769">
      <c r="AE769" s="383"/>
    </row>
    <row r="770">
      <c r="AE770" s="383"/>
    </row>
    <row r="771">
      <c r="AE771" s="383"/>
    </row>
    <row r="772">
      <c r="AE772" s="383"/>
    </row>
    <row r="773">
      <c r="AE773" s="383"/>
    </row>
    <row r="774">
      <c r="AE774" s="383"/>
    </row>
    <row r="775">
      <c r="AE775" s="383"/>
    </row>
    <row r="776">
      <c r="AE776" s="383"/>
    </row>
    <row r="777">
      <c r="AE777" s="383"/>
    </row>
    <row r="778">
      <c r="AE778" s="383"/>
    </row>
    <row r="779">
      <c r="AE779" s="383"/>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782" t="s">
        <v>1089</v>
      </c>
      <c r="B1" s="78">
        <v>45292.0</v>
      </c>
      <c r="C1" s="78">
        <v>45293.0</v>
      </c>
      <c r="D1" s="78">
        <v>45294.0</v>
      </c>
      <c r="E1" s="78">
        <v>45295.0</v>
      </c>
      <c r="F1" s="78">
        <v>45296.0</v>
      </c>
      <c r="G1" s="78">
        <v>45297.0</v>
      </c>
      <c r="H1" s="78">
        <v>45298.0</v>
      </c>
      <c r="I1" s="78">
        <v>45299.0</v>
      </c>
      <c r="J1" s="78">
        <v>45300.0</v>
      </c>
      <c r="K1" s="78">
        <v>45301.0</v>
      </c>
      <c r="L1" s="78">
        <v>45302.0</v>
      </c>
      <c r="M1" s="78">
        <v>45303.0</v>
      </c>
      <c r="N1" s="78">
        <v>45304.0</v>
      </c>
      <c r="O1" s="78">
        <v>45305.0</v>
      </c>
      <c r="P1" s="78">
        <v>45306.0</v>
      </c>
      <c r="Q1" s="78">
        <v>45307.0</v>
      </c>
      <c r="R1" s="78">
        <v>45308.0</v>
      </c>
      <c r="S1" s="78">
        <v>45309.0</v>
      </c>
      <c r="T1" s="78">
        <v>45310.0</v>
      </c>
      <c r="U1" s="78">
        <v>45311.0</v>
      </c>
      <c r="V1" s="78">
        <v>45312.0</v>
      </c>
      <c r="W1" s="78">
        <v>45313.0</v>
      </c>
      <c r="X1" s="78">
        <v>45314.0</v>
      </c>
      <c r="Y1" s="78">
        <v>45315.0</v>
      </c>
      <c r="Z1" s="78">
        <v>45316.0</v>
      </c>
      <c r="AA1" s="78">
        <v>45317.0</v>
      </c>
      <c r="AB1" s="78">
        <v>45318.0</v>
      </c>
      <c r="AC1" s="78">
        <v>45319.0</v>
      </c>
      <c r="AD1" s="78">
        <v>45320.0</v>
      </c>
      <c r="AE1" s="78">
        <v>45321.0</v>
      </c>
      <c r="AF1" s="78">
        <v>45322.0</v>
      </c>
      <c r="AG1" s="809"/>
    </row>
    <row r="2">
      <c r="A2" s="80" t="s">
        <v>105</v>
      </c>
      <c r="B2" s="81" t="s">
        <v>5</v>
      </c>
      <c r="C2" s="81" t="s">
        <v>6</v>
      </c>
      <c r="D2" s="81" t="s">
        <v>0</v>
      </c>
      <c r="E2" s="81" t="s">
        <v>1</v>
      </c>
      <c r="F2" s="81" t="s">
        <v>2</v>
      </c>
      <c r="G2" s="81" t="s">
        <v>3</v>
      </c>
      <c r="H2" s="81" t="s">
        <v>4</v>
      </c>
      <c r="I2" s="81" t="s">
        <v>5</v>
      </c>
      <c r="J2" s="81" t="s">
        <v>6</v>
      </c>
      <c r="K2" s="81" t="s">
        <v>0</v>
      </c>
      <c r="L2" s="81" t="s">
        <v>1</v>
      </c>
      <c r="M2" s="81" t="s">
        <v>2</v>
      </c>
      <c r="N2" s="81" t="s">
        <v>3</v>
      </c>
      <c r="O2" s="81" t="s">
        <v>4</v>
      </c>
      <c r="P2" s="81" t="s">
        <v>5</v>
      </c>
      <c r="Q2" s="81" t="s">
        <v>6</v>
      </c>
      <c r="R2" s="81" t="s">
        <v>0</v>
      </c>
      <c r="S2" s="81" t="s">
        <v>1</v>
      </c>
      <c r="T2" s="81" t="s">
        <v>2</v>
      </c>
      <c r="U2" s="81" t="s">
        <v>3</v>
      </c>
      <c r="V2" s="81" t="s">
        <v>4</v>
      </c>
      <c r="W2" s="81" t="s">
        <v>5</v>
      </c>
      <c r="X2" s="81" t="s">
        <v>6</v>
      </c>
      <c r="Y2" s="81" t="s">
        <v>0</v>
      </c>
      <c r="Z2" s="81" t="s">
        <v>1</v>
      </c>
      <c r="AA2" s="81" t="s">
        <v>2</v>
      </c>
      <c r="AB2" s="81" t="s">
        <v>3</v>
      </c>
      <c r="AC2" s="81" t="s">
        <v>4</v>
      </c>
      <c r="AD2" s="81" t="s">
        <v>5</v>
      </c>
      <c r="AE2" s="81" t="s">
        <v>6</v>
      </c>
      <c r="AF2" s="81" t="s">
        <v>0</v>
      </c>
      <c r="AG2" s="809"/>
    </row>
    <row r="3">
      <c r="A3" s="132" t="s">
        <v>89</v>
      </c>
      <c r="B3" s="83"/>
      <c r="C3" s="83"/>
      <c r="D3" s="83"/>
      <c r="E3" s="83"/>
      <c r="F3" s="83"/>
      <c r="G3" s="83"/>
      <c r="H3" s="83"/>
      <c r="I3" s="83"/>
      <c r="J3" s="83"/>
      <c r="K3" s="83"/>
      <c r="L3" s="83"/>
      <c r="M3" s="83"/>
      <c r="N3" s="83"/>
      <c r="O3" s="83"/>
      <c r="P3" s="83"/>
      <c r="Q3" s="83"/>
      <c r="R3" s="83"/>
      <c r="S3" s="83"/>
      <c r="T3" s="83"/>
      <c r="U3" s="83"/>
      <c r="V3" s="83"/>
      <c r="W3" s="83"/>
      <c r="X3" s="83"/>
      <c r="Y3" s="83"/>
      <c r="Z3" s="83"/>
      <c r="AA3" s="83"/>
      <c r="AB3" s="83"/>
      <c r="AC3" s="83"/>
      <c r="AD3" s="83"/>
      <c r="AE3" s="83"/>
      <c r="AF3" s="83"/>
      <c r="AG3" s="810"/>
    </row>
    <row r="4">
      <c r="A4" s="133" t="s">
        <v>1183</v>
      </c>
      <c r="B4" s="134">
        <f>Summary!B23</f>
        <v>636.818772</v>
      </c>
      <c r="C4" s="134">
        <f>Summary!C23</f>
        <v>318.409386</v>
      </c>
      <c r="D4" s="134">
        <f>Summary!D23</f>
        <v>955.228158</v>
      </c>
      <c r="E4" s="134">
        <f>Summary!E23</f>
        <v>318.409386</v>
      </c>
      <c r="F4" s="134">
        <f>Summary!F23</f>
        <v>0</v>
      </c>
      <c r="G4" s="134">
        <f>Summary!G23</f>
        <v>0</v>
      </c>
      <c r="H4" s="134">
        <f>Summary!H23</f>
        <v>955.228158</v>
      </c>
      <c r="I4" s="134">
        <f>Summary!I23</f>
        <v>955.228158</v>
      </c>
      <c r="J4" s="134">
        <f>Summary!J23</f>
        <v>636.818772</v>
      </c>
      <c r="K4" s="134">
        <f>Summary!K23</f>
        <v>318.409386</v>
      </c>
      <c r="L4" s="134">
        <f>Summary!L23</f>
        <v>318.409386</v>
      </c>
      <c r="M4" s="134">
        <f>Summary!M23</f>
        <v>318.409386</v>
      </c>
      <c r="N4" s="134">
        <f>Summary!N23</f>
        <v>0</v>
      </c>
      <c r="O4" s="134">
        <f>Summary!O23</f>
        <v>0</v>
      </c>
      <c r="P4" s="134">
        <f>Summary!P23</f>
        <v>0</v>
      </c>
      <c r="Q4" s="134">
        <f>Summary!Q23</f>
        <v>318.409386</v>
      </c>
      <c r="R4" s="134">
        <f>Summary!R23</f>
        <v>0</v>
      </c>
      <c r="S4" s="134">
        <f>Summary!S23</f>
        <v>0</v>
      </c>
      <c r="T4" s="134">
        <f>Summary!T23</f>
        <v>636.818772</v>
      </c>
      <c r="U4" s="134">
        <f>Summary!U23</f>
        <v>0</v>
      </c>
      <c r="V4" s="134">
        <f>Summary!V23</f>
        <v>0</v>
      </c>
      <c r="W4" s="134">
        <f>Summary!W23</f>
        <v>0</v>
      </c>
      <c r="X4" s="134">
        <f>Summary!X23</f>
        <v>318.409386</v>
      </c>
      <c r="Y4" s="134">
        <f>Summary!Y23</f>
        <v>0</v>
      </c>
      <c r="Z4" s="134">
        <f>Summary!Z23</f>
        <v>0</v>
      </c>
      <c r="AA4" s="134">
        <f>Summary!AA23</f>
        <v>0</v>
      </c>
      <c r="AB4" s="134">
        <f>Summary!AB23</f>
        <v>955.228158</v>
      </c>
      <c r="AC4" s="134">
        <f>Summary!AC23</f>
        <v>318.409386</v>
      </c>
      <c r="AD4" s="134">
        <f>Summary!AD23</f>
        <v>0</v>
      </c>
      <c r="AE4" s="134" t="str">
        <f t="shared" ref="AE4:AF4" si="1">#REF!</f>
        <v>#REF!</v>
      </c>
      <c r="AF4" s="134" t="str">
        <f t="shared" si="1"/>
        <v>#REF!</v>
      </c>
      <c r="AG4" s="810" t="str">
        <f t="shared" ref="AG4:AG7" si="3">sum(B4:AF4)</f>
        <v>#REF!</v>
      </c>
    </row>
    <row r="5">
      <c r="A5" s="133" t="s">
        <v>1184</v>
      </c>
      <c r="B5" s="811">
        <f>Summary!B27</f>
        <v>0</v>
      </c>
      <c r="C5" s="811">
        <f>Summary!C27</f>
        <v>317.3586</v>
      </c>
      <c r="D5" s="811">
        <f>Summary!D27</f>
        <v>0</v>
      </c>
      <c r="E5" s="811">
        <f>Summary!E27</f>
        <v>0</v>
      </c>
      <c r="F5" s="811">
        <f>Summary!F27</f>
        <v>0</v>
      </c>
      <c r="G5" s="811">
        <f>Summary!G27</f>
        <v>0</v>
      </c>
      <c r="H5" s="134">
        <f>Summary!H27</f>
        <v>0</v>
      </c>
      <c r="I5" s="134">
        <f>Summary!I27</f>
        <v>0</v>
      </c>
      <c r="J5" s="134">
        <f>Summary!J27</f>
        <v>0</v>
      </c>
      <c r="K5" s="134">
        <f>Summary!K27</f>
        <v>0</v>
      </c>
      <c r="L5" s="134">
        <f>Summary!L27</f>
        <v>0</v>
      </c>
      <c r="M5" s="134">
        <f>Summary!M27</f>
        <v>0</v>
      </c>
      <c r="N5" s="134">
        <f>Summary!N27</f>
        <v>0</v>
      </c>
      <c r="O5" s="134">
        <f>Summary!O27</f>
        <v>0</v>
      </c>
      <c r="P5" s="134">
        <f>Summary!P27</f>
        <v>0</v>
      </c>
      <c r="Q5" s="134">
        <f>Summary!Q27</f>
        <v>0</v>
      </c>
      <c r="R5" s="134">
        <f>Summary!R27</f>
        <v>0</v>
      </c>
      <c r="S5" s="134">
        <f>Summary!S27</f>
        <v>0</v>
      </c>
      <c r="T5" s="134">
        <f>Summary!T27</f>
        <v>0</v>
      </c>
      <c r="U5" s="134">
        <f>Summary!U27</f>
        <v>0</v>
      </c>
      <c r="V5" s="134">
        <f>Summary!V27</f>
        <v>0</v>
      </c>
      <c r="W5" s="134">
        <f>Summary!W27</f>
        <v>0</v>
      </c>
      <c r="X5" s="134">
        <f>Summary!X27</f>
        <v>0</v>
      </c>
      <c r="Y5" s="134">
        <f>Summary!Y27</f>
        <v>0</v>
      </c>
      <c r="Z5" s="134">
        <f>Summary!Z27</f>
        <v>0</v>
      </c>
      <c r="AA5" s="134">
        <f>Summary!AA27</f>
        <v>0</v>
      </c>
      <c r="AB5" s="134">
        <f>Summary!AB27</f>
        <v>0</v>
      </c>
      <c r="AC5" s="134">
        <f>Summary!AC27</f>
        <v>0</v>
      </c>
      <c r="AD5" s="134">
        <f>Summary!AD27</f>
        <v>0</v>
      </c>
      <c r="AE5" s="134" t="str">
        <f t="shared" ref="AE5:AF5" si="2">#REF!</f>
        <v>#REF!</v>
      </c>
      <c r="AF5" s="134" t="str">
        <f t="shared" si="2"/>
        <v>#REF!</v>
      </c>
      <c r="AG5" s="810" t="str">
        <f t="shared" si="3"/>
        <v>#REF!</v>
      </c>
    </row>
    <row r="6">
      <c r="A6" s="133" t="s">
        <v>1185</v>
      </c>
      <c r="B6" s="812">
        <f>Summary!B34</f>
        <v>38400.3906</v>
      </c>
      <c r="C6" s="812">
        <f>Summary!C35</f>
        <v>5382</v>
      </c>
      <c r="D6" s="812">
        <f>Summary!D35</f>
        <v>7176</v>
      </c>
      <c r="E6" s="812">
        <f>Summary!E35</f>
        <v>10764</v>
      </c>
      <c r="F6" s="812">
        <f>Summary!F35</f>
        <v>0</v>
      </c>
      <c r="G6" s="812">
        <f>Summary!G35</f>
        <v>2093</v>
      </c>
      <c r="H6" s="812">
        <f>Summary!H35</f>
        <v>3289</v>
      </c>
      <c r="I6" s="812">
        <f>Summary!I35</f>
        <v>1196</v>
      </c>
      <c r="J6" s="812">
        <f>Summary!J35</f>
        <v>5681</v>
      </c>
      <c r="K6" s="812">
        <f>Summary!K35</f>
        <v>5681</v>
      </c>
      <c r="L6" s="812">
        <f>Summary!L35</f>
        <v>7176</v>
      </c>
      <c r="M6" s="812">
        <f>Summary!M35</f>
        <v>0</v>
      </c>
      <c r="N6" s="812">
        <f>Summary!N35</f>
        <v>3588</v>
      </c>
      <c r="O6" s="812">
        <f>Summary!O35</f>
        <v>598</v>
      </c>
      <c r="P6" s="812">
        <f>Summary!P35</f>
        <v>1495</v>
      </c>
      <c r="Q6" s="812">
        <f>Summary!Q35</f>
        <v>897</v>
      </c>
      <c r="R6" s="812">
        <f>Summary!R35</f>
        <v>1495</v>
      </c>
      <c r="S6" s="812">
        <f>Summary!S35</f>
        <v>1196</v>
      </c>
      <c r="T6" s="812">
        <f>Summary!T35</f>
        <v>0</v>
      </c>
      <c r="U6" s="812">
        <f>Summary!U35</f>
        <v>0</v>
      </c>
      <c r="V6" s="812">
        <f>Summary!V34</f>
        <v>317.3586</v>
      </c>
      <c r="W6" s="812">
        <f>Summary!W34</f>
        <v>952.0758</v>
      </c>
      <c r="X6" s="812">
        <f>Summary!X34</f>
        <v>1269.4344</v>
      </c>
      <c r="Y6" s="812">
        <f>Summary!Y34</f>
        <v>1586.793</v>
      </c>
      <c r="Z6" s="812">
        <f>Summary!Z34</f>
        <v>2221.5102</v>
      </c>
      <c r="AA6" s="812">
        <f>Summary!AA34</f>
        <v>0</v>
      </c>
      <c r="AB6" s="812">
        <f>Summary!AB34</f>
        <v>317.3586</v>
      </c>
      <c r="AC6" s="812">
        <f>Summary!AC34</f>
        <v>952.0758</v>
      </c>
      <c r="AD6" s="812">
        <f>Summary!AD34</f>
        <v>3490.9446</v>
      </c>
      <c r="AE6" s="812" t="str">
        <f t="shared" ref="AE6:AF6" si="4">#REF!</f>
        <v>#REF!</v>
      </c>
      <c r="AF6" s="812" t="str">
        <f t="shared" si="4"/>
        <v>#REF!</v>
      </c>
      <c r="AG6" s="810" t="str">
        <f t="shared" si="3"/>
        <v>#REF!</v>
      </c>
    </row>
    <row r="7">
      <c r="A7" s="813" t="s">
        <v>1186</v>
      </c>
      <c r="B7" s="812">
        <f t="shared" ref="B7:AF7" si="5">SUM(B4:B6)</f>
        <v>39037.20937</v>
      </c>
      <c r="C7" s="812">
        <f t="shared" si="5"/>
        <v>6017.767986</v>
      </c>
      <c r="D7" s="812">
        <f t="shared" si="5"/>
        <v>8131.228158</v>
      </c>
      <c r="E7" s="812">
        <f t="shared" si="5"/>
        <v>11082.40939</v>
      </c>
      <c r="F7" s="812">
        <f t="shared" si="5"/>
        <v>0</v>
      </c>
      <c r="G7" s="812">
        <f t="shared" si="5"/>
        <v>2093</v>
      </c>
      <c r="H7" s="812">
        <f t="shared" si="5"/>
        <v>4244.228158</v>
      </c>
      <c r="I7" s="812">
        <f t="shared" si="5"/>
        <v>2151.228158</v>
      </c>
      <c r="J7" s="812">
        <f t="shared" si="5"/>
        <v>6317.818772</v>
      </c>
      <c r="K7" s="812">
        <f t="shared" si="5"/>
        <v>5999.409386</v>
      </c>
      <c r="L7" s="812">
        <f t="shared" si="5"/>
        <v>7494.409386</v>
      </c>
      <c r="M7" s="812">
        <f t="shared" si="5"/>
        <v>318.409386</v>
      </c>
      <c r="N7" s="812">
        <f t="shared" si="5"/>
        <v>3588</v>
      </c>
      <c r="O7" s="812">
        <f t="shared" si="5"/>
        <v>598</v>
      </c>
      <c r="P7" s="812">
        <f t="shared" si="5"/>
        <v>1495</v>
      </c>
      <c r="Q7" s="812">
        <f t="shared" si="5"/>
        <v>1215.409386</v>
      </c>
      <c r="R7" s="812">
        <f t="shared" si="5"/>
        <v>1495</v>
      </c>
      <c r="S7" s="812">
        <f t="shared" si="5"/>
        <v>1196</v>
      </c>
      <c r="T7" s="812">
        <f t="shared" si="5"/>
        <v>636.818772</v>
      </c>
      <c r="U7" s="812">
        <f t="shared" si="5"/>
        <v>0</v>
      </c>
      <c r="V7" s="812">
        <f t="shared" si="5"/>
        <v>317.3586</v>
      </c>
      <c r="W7" s="812">
        <f t="shared" si="5"/>
        <v>952.0758</v>
      </c>
      <c r="X7" s="812">
        <f t="shared" si="5"/>
        <v>1587.843786</v>
      </c>
      <c r="Y7" s="812">
        <f t="shared" si="5"/>
        <v>1586.793</v>
      </c>
      <c r="Z7" s="812">
        <f t="shared" si="5"/>
        <v>2221.5102</v>
      </c>
      <c r="AA7" s="812">
        <f t="shared" si="5"/>
        <v>0</v>
      </c>
      <c r="AB7" s="812">
        <f t="shared" si="5"/>
        <v>1272.586758</v>
      </c>
      <c r="AC7" s="812">
        <f t="shared" si="5"/>
        <v>1270.485186</v>
      </c>
      <c r="AD7" s="812">
        <f t="shared" si="5"/>
        <v>3490.9446</v>
      </c>
      <c r="AE7" s="812" t="str">
        <f t="shared" si="5"/>
        <v>#REF!</v>
      </c>
      <c r="AF7" s="812" t="str">
        <f t="shared" si="5"/>
        <v>#REF!</v>
      </c>
      <c r="AG7" s="810" t="str">
        <f t="shared" si="3"/>
        <v>#REF!</v>
      </c>
    </row>
    <row r="8">
      <c r="A8" s="98"/>
      <c r="B8" s="83"/>
      <c r="C8" s="83"/>
      <c r="D8" s="83"/>
      <c r="E8" s="83"/>
      <c r="F8" s="83"/>
      <c r="G8" s="83"/>
      <c r="H8" s="83"/>
      <c r="I8" s="83"/>
      <c r="J8" s="83"/>
      <c r="K8" s="83"/>
      <c r="L8" s="83"/>
      <c r="M8" s="83"/>
      <c r="N8" s="83"/>
      <c r="O8" s="83"/>
      <c r="P8" s="83"/>
      <c r="Q8" s="83"/>
      <c r="R8" s="83"/>
      <c r="S8" s="83"/>
      <c r="T8" s="83"/>
      <c r="U8" s="83"/>
      <c r="V8" s="83"/>
      <c r="W8" s="83"/>
      <c r="X8" s="83"/>
      <c r="Y8" s="83"/>
      <c r="Z8" s="83"/>
      <c r="AA8" s="83"/>
      <c r="AB8" s="83"/>
      <c r="AC8" s="83"/>
      <c r="AD8" s="83"/>
      <c r="AE8" s="83"/>
      <c r="AF8" s="83"/>
      <c r="AG8" s="814"/>
    </row>
    <row r="9">
      <c r="A9" s="138" t="s">
        <v>96</v>
      </c>
      <c r="B9" s="83"/>
      <c r="C9" s="83"/>
      <c r="D9" s="83"/>
      <c r="E9" s="83"/>
      <c r="F9" s="83"/>
      <c r="G9" s="83"/>
      <c r="H9" s="83"/>
      <c r="I9" s="83"/>
      <c r="J9" s="83"/>
      <c r="K9" s="83"/>
      <c r="L9" s="83"/>
      <c r="M9" s="83"/>
      <c r="N9" s="83"/>
      <c r="O9" s="83"/>
      <c r="P9" s="83"/>
      <c r="Q9" s="83"/>
      <c r="R9" s="83"/>
      <c r="S9" s="83"/>
      <c r="T9" s="83"/>
      <c r="U9" s="83"/>
      <c r="V9" s="83"/>
      <c r="W9" s="83"/>
      <c r="X9" s="83"/>
      <c r="Y9" s="83"/>
      <c r="Z9" s="83"/>
      <c r="AA9" s="83"/>
      <c r="AB9" s="83"/>
      <c r="AC9" s="83"/>
      <c r="AD9" s="83"/>
      <c r="AE9" s="83"/>
      <c r="AF9" s="83"/>
      <c r="AG9" s="814"/>
    </row>
    <row r="10">
      <c r="A10" s="139" t="s">
        <v>1187</v>
      </c>
      <c r="B10" s="141">
        <f>Summary!B62</f>
        <v>2</v>
      </c>
      <c r="C10" s="141">
        <f>Summary!C62</f>
        <v>1</v>
      </c>
      <c r="D10" s="141">
        <f>Summary!D62</f>
        <v>3</v>
      </c>
      <c r="E10" s="141">
        <f>Summary!E62</f>
        <v>1</v>
      </c>
      <c r="F10" s="141">
        <f>Summary!F62</f>
        <v>0</v>
      </c>
      <c r="G10" s="141">
        <f>Summary!G62</f>
        <v>0</v>
      </c>
      <c r="H10" s="141">
        <f>Summary!H62</f>
        <v>4</v>
      </c>
      <c r="I10" s="141">
        <f>Summary!I62</f>
        <v>3</v>
      </c>
      <c r="J10" s="141">
        <f>Summary!J62</f>
        <v>2</v>
      </c>
      <c r="K10" s="141">
        <f>Summary!K62</f>
        <v>1</v>
      </c>
      <c r="L10" s="141">
        <f>Summary!L62</f>
        <v>1</v>
      </c>
      <c r="M10" s="141">
        <f>Summary!M62</f>
        <v>1</v>
      </c>
      <c r="N10" s="141">
        <f>Summary!N62</f>
        <v>0</v>
      </c>
      <c r="O10" s="141">
        <f>Summary!O62</f>
        <v>0</v>
      </c>
      <c r="P10" s="141">
        <f>Summary!P62</f>
        <v>0</v>
      </c>
      <c r="Q10" s="141">
        <f>Summary!Q62</f>
        <v>1</v>
      </c>
      <c r="R10" s="141">
        <f>Summary!R62</f>
        <v>0</v>
      </c>
      <c r="S10" s="141">
        <f>Summary!S62</f>
        <v>0</v>
      </c>
      <c r="T10" s="141">
        <f>Summary!T62</f>
        <v>2</v>
      </c>
      <c r="U10" s="141">
        <f>Summary!U62</f>
        <v>0</v>
      </c>
      <c r="V10" s="141">
        <f>Summary!V62</f>
        <v>0</v>
      </c>
      <c r="W10" s="141">
        <f>Summary!W62</f>
        <v>0</v>
      </c>
      <c r="X10" s="141">
        <f>Summary!X62</f>
        <v>1</v>
      </c>
      <c r="Y10" s="141">
        <f>Summary!Y62</f>
        <v>0</v>
      </c>
      <c r="Z10" s="141">
        <f>Summary!Z62</f>
        <v>0</v>
      </c>
      <c r="AA10" s="141">
        <f>Summary!AA62</f>
        <v>0</v>
      </c>
      <c r="AB10" s="141">
        <f>Summary!AB62</f>
        <v>3</v>
      </c>
      <c r="AC10" s="141">
        <f>Summary!AC62</f>
        <v>1</v>
      </c>
      <c r="AD10" s="141">
        <f>Summary!AD62</f>
        <v>0</v>
      </c>
      <c r="AE10" s="141" t="str">
        <f t="shared" ref="AE10:AF10" si="6">#REF!</f>
        <v>#REF!</v>
      </c>
      <c r="AF10" s="141" t="str">
        <f t="shared" si="6"/>
        <v>#REF!</v>
      </c>
      <c r="AG10" s="810" t="str">
        <f t="shared" ref="AG10:AG13" si="8">sum(B10:AF10)</f>
        <v>#REF!</v>
      </c>
    </row>
    <row r="11">
      <c r="A11" s="139" t="s">
        <v>1188</v>
      </c>
      <c r="B11" s="815">
        <f>Summary!B63</f>
        <v>0</v>
      </c>
      <c r="C11" s="815">
        <f>Summary!C63</f>
        <v>1</v>
      </c>
      <c r="D11" s="815">
        <f>Summary!D63</f>
        <v>0</v>
      </c>
      <c r="E11" s="815">
        <f>Summary!E63</f>
        <v>0</v>
      </c>
      <c r="F11" s="815">
        <f>Summary!F63</f>
        <v>0</v>
      </c>
      <c r="G11" s="815">
        <f>Summary!G63</f>
        <v>0</v>
      </c>
      <c r="H11" s="141">
        <f>Summary!H63</f>
        <v>0</v>
      </c>
      <c r="I11" s="141">
        <f>Summary!I63</f>
        <v>0</v>
      </c>
      <c r="J11" s="141">
        <f>Summary!J63</f>
        <v>0</v>
      </c>
      <c r="K11" s="141">
        <f>Summary!K63</f>
        <v>0</v>
      </c>
      <c r="L11" s="141">
        <f>Summary!L63</f>
        <v>0</v>
      </c>
      <c r="M11" s="141">
        <f>Summary!M63</f>
        <v>0</v>
      </c>
      <c r="N11" s="141">
        <f>Summary!N63</f>
        <v>0</v>
      </c>
      <c r="O11" s="141">
        <f>Summary!O63</f>
        <v>0</v>
      </c>
      <c r="P11" s="141">
        <f>Summary!P63</f>
        <v>0</v>
      </c>
      <c r="Q11" s="141">
        <f>Summary!Q63</f>
        <v>0</v>
      </c>
      <c r="R11" s="141">
        <f>Summary!R63</f>
        <v>0</v>
      </c>
      <c r="S11" s="141">
        <f>Summary!S63</f>
        <v>0</v>
      </c>
      <c r="T11" s="141">
        <f>Summary!T63</f>
        <v>0</v>
      </c>
      <c r="U11" s="141">
        <f>Summary!U63</f>
        <v>0</v>
      </c>
      <c r="V11" s="141">
        <f>Summary!V63</f>
        <v>0</v>
      </c>
      <c r="W11" s="141">
        <f>Summary!W63</f>
        <v>0</v>
      </c>
      <c r="X11" s="141">
        <f>Summary!X63</f>
        <v>0</v>
      </c>
      <c r="Y11" s="141">
        <f>Summary!Y63</f>
        <v>0</v>
      </c>
      <c r="Z11" s="141">
        <f>Summary!Z63</f>
        <v>0</v>
      </c>
      <c r="AA11" s="141">
        <f>Summary!AA63</f>
        <v>0</v>
      </c>
      <c r="AB11" s="141">
        <f>Summary!AB63</f>
        <v>0</v>
      </c>
      <c r="AC11" s="141">
        <f>Summary!AC63</f>
        <v>0</v>
      </c>
      <c r="AD11" s="141">
        <f>Summary!AD63</f>
        <v>0</v>
      </c>
      <c r="AE11" s="141" t="str">
        <f t="shared" ref="AE11:AF11" si="7">#REF!</f>
        <v>#REF!</v>
      </c>
      <c r="AF11" s="141" t="str">
        <f t="shared" si="7"/>
        <v>#REF!</v>
      </c>
      <c r="AG11" s="810" t="str">
        <f t="shared" si="8"/>
        <v>#REF!</v>
      </c>
    </row>
    <row r="12">
      <c r="A12" s="139" t="s">
        <v>1189</v>
      </c>
      <c r="B12" s="816">
        <f>Summary!B67</f>
        <v>121</v>
      </c>
      <c r="C12" s="816">
        <f>Summary!C67</f>
        <v>18</v>
      </c>
      <c r="D12" s="816">
        <f>Summary!D67</f>
        <v>24</v>
      </c>
      <c r="E12" s="816">
        <f>Summary!E67</f>
        <v>36</v>
      </c>
      <c r="F12" s="816">
        <f>Summary!F67</f>
        <v>0</v>
      </c>
      <c r="G12" s="816">
        <f>Summary!G67</f>
        <v>7</v>
      </c>
      <c r="H12" s="816">
        <f>Summary!H67</f>
        <v>11</v>
      </c>
      <c r="I12" s="816">
        <f>Summary!I67</f>
        <v>4</v>
      </c>
      <c r="J12" s="816">
        <f>Summary!J67</f>
        <v>19</v>
      </c>
      <c r="K12" s="816">
        <f>Summary!K67</f>
        <v>19</v>
      </c>
      <c r="L12" s="816">
        <f>Summary!L67</f>
        <v>24</v>
      </c>
      <c r="M12" s="816">
        <f>Summary!M67</f>
        <v>0</v>
      </c>
      <c r="N12" s="816">
        <f>Summary!N67</f>
        <v>12</v>
      </c>
      <c r="O12" s="816">
        <f>Summary!O67</f>
        <v>2</v>
      </c>
      <c r="P12" s="816">
        <f>Summary!P67</f>
        <v>5</v>
      </c>
      <c r="Q12" s="816">
        <f>Summary!Q67</f>
        <v>3</v>
      </c>
      <c r="R12" s="816">
        <f>Summary!R67</f>
        <v>5</v>
      </c>
      <c r="S12" s="816">
        <f>Summary!S67</f>
        <v>4</v>
      </c>
      <c r="T12" s="816">
        <f>Summary!T67</f>
        <v>0</v>
      </c>
      <c r="U12" s="816">
        <f>Summary!U67</f>
        <v>0</v>
      </c>
      <c r="V12" s="816">
        <f>Summary!V67</f>
        <v>1</v>
      </c>
      <c r="W12" s="816">
        <f>Summary!W67</f>
        <v>3</v>
      </c>
      <c r="X12" s="816">
        <f>Summary!X67</f>
        <v>4</v>
      </c>
      <c r="Y12" s="816">
        <f>Summary!Y67</f>
        <v>5</v>
      </c>
      <c r="Z12" s="816">
        <f>Summary!Z67</f>
        <v>7</v>
      </c>
      <c r="AA12" s="816">
        <f>Summary!AA67</f>
        <v>0</v>
      </c>
      <c r="AB12" s="816">
        <f>Summary!AB67</f>
        <v>1</v>
      </c>
      <c r="AC12" s="816">
        <f>Summary!AC67</f>
        <v>3</v>
      </c>
      <c r="AD12" s="816">
        <f>Summary!AD67</f>
        <v>11</v>
      </c>
      <c r="AE12" s="816" t="str">
        <f t="shared" ref="AE12:AF12" si="9">#REF!</f>
        <v>#REF!</v>
      </c>
      <c r="AF12" s="816" t="str">
        <f t="shared" si="9"/>
        <v>#REF!</v>
      </c>
      <c r="AG12" s="810" t="str">
        <f t="shared" si="8"/>
        <v>#REF!</v>
      </c>
    </row>
    <row r="13">
      <c r="A13" s="139" t="s">
        <v>1190</v>
      </c>
      <c r="B13" s="816">
        <f t="shared" ref="B13:AF13" si="10">SUM(B10:B12)</f>
        <v>123</v>
      </c>
      <c r="C13" s="816">
        <f t="shared" si="10"/>
        <v>20</v>
      </c>
      <c r="D13" s="816">
        <f t="shared" si="10"/>
        <v>27</v>
      </c>
      <c r="E13" s="816">
        <f t="shared" si="10"/>
        <v>37</v>
      </c>
      <c r="F13" s="816">
        <f t="shared" si="10"/>
        <v>0</v>
      </c>
      <c r="G13" s="816">
        <f t="shared" si="10"/>
        <v>7</v>
      </c>
      <c r="H13" s="816">
        <f t="shared" si="10"/>
        <v>15</v>
      </c>
      <c r="I13" s="816">
        <f t="shared" si="10"/>
        <v>7</v>
      </c>
      <c r="J13" s="816">
        <f t="shared" si="10"/>
        <v>21</v>
      </c>
      <c r="K13" s="816">
        <f t="shared" si="10"/>
        <v>20</v>
      </c>
      <c r="L13" s="816">
        <f t="shared" si="10"/>
        <v>25</v>
      </c>
      <c r="M13" s="816">
        <f t="shared" si="10"/>
        <v>1</v>
      </c>
      <c r="N13" s="816">
        <f t="shared" si="10"/>
        <v>12</v>
      </c>
      <c r="O13" s="816">
        <f t="shared" si="10"/>
        <v>2</v>
      </c>
      <c r="P13" s="816">
        <f t="shared" si="10"/>
        <v>5</v>
      </c>
      <c r="Q13" s="816">
        <f t="shared" si="10"/>
        <v>4</v>
      </c>
      <c r="R13" s="816">
        <f t="shared" si="10"/>
        <v>5</v>
      </c>
      <c r="S13" s="816">
        <f t="shared" si="10"/>
        <v>4</v>
      </c>
      <c r="T13" s="816">
        <f t="shared" si="10"/>
        <v>2</v>
      </c>
      <c r="U13" s="816">
        <f t="shared" si="10"/>
        <v>0</v>
      </c>
      <c r="V13" s="816">
        <f t="shared" si="10"/>
        <v>1</v>
      </c>
      <c r="W13" s="816">
        <f t="shared" si="10"/>
        <v>3</v>
      </c>
      <c r="X13" s="816">
        <f t="shared" si="10"/>
        <v>5</v>
      </c>
      <c r="Y13" s="816">
        <f t="shared" si="10"/>
        <v>5</v>
      </c>
      <c r="Z13" s="816">
        <f t="shared" si="10"/>
        <v>7</v>
      </c>
      <c r="AA13" s="816">
        <f t="shared" si="10"/>
        <v>0</v>
      </c>
      <c r="AB13" s="816">
        <f t="shared" si="10"/>
        <v>4</v>
      </c>
      <c r="AC13" s="816">
        <f t="shared" si="10"/>
        <v>4</v>
      </c>
      <c r="AD13" s="816">
        <f t="shared" si="10"/>
        <v>11</v>
      </c>
      <c r="AE13" s="816" t="str">
        <f t="shared" si="10"/>
        <v>#REF!</v>
      </c>
      <c r="AF13" s="816" t="str">
        <f t="shared" si="10"/>
        <v>#REF!</v>
      </c>
      <c r="AG13" s="810" t="str">
        <f t="shared" si="8"/>
        <v>#REF!</v>
      </c>
    </row>
    <row r="14">
      <c r="A14" s="98"/>
      <c r="B14" s="83"/>
      <c r="C14" s="83"/>
      <c r="D14" s="83"/>
      <c r="E14" s="83"/>
      <c r="F14" s="83"/>
      <c r="G14" s="83"/>
      <c r="H14" s="83"/>
      <c r="I14" s="83"/>
      <c r="J14" s="83"/>
      <c r="K14" s="83"/>
      <c r="L14" s="83"/>
      <c r="M14" s="83"/>
      <c r="N14" s="83"/>
      <c r="O14" s="83"/>
      <c r="P14" s="83"/>
      <c r="Q14" s="83"/>
      <c r="R14" s="83"/>
      <c r="S14" s="83"/>
      <c r="T14" s="83"/>
      <c r="U14" s="83"/>
      <c r="V14" s="83"/>
      <c r="W14" s="83"/>
      <c r="X14" s="83"/>
      <c r="Y14" s="83"/>
      <c r="Z14" s="83"/>
      <c r="AA14" s="83"/>
      <c r="AB14" s="83"/>
      <c r="AC14" s="83"/>
      <c r="AD14" s="83"/>
      <c r="AE14" s="83"/>
      <c r="AF14" s="83"/>
      <c r="AG14" s="814"/>
    </row>
    <row r="15">
      <c r="A15" s="138" t="s">
        <v>1191</v>
      </c>
      <c r="B15" s="83"/>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14"/>
    </row>
    <row r="16">
      <c r="A16" s="147" t="s">
        <v>1192</v>
      </c>
      <c r="B16" s="148">
        <f>Summary!B23</f>
        <v>636.818772</v>
      </c>
      <c r="C16" s="148">
        <f>Summary!C23</f>
        <v>318.409386</v>
      </c>
      <c r="D16" s="148">
        <f>Summary!D23</f>
        <v>955.228158</v>
      </c>
      <c r="E16" s="148">
        <f>Summary!E23</f>
        <v>318.409386</v>
      </c>
      <c r="F16" s="148">
        <f>Summary!F23</f>
        <v>0</v>
      </c>
      <c r="G16" s="148">
        <f>Summary!G23</f>
        <v>0</v>
      </c>
      <c r="H16" s="148">
        <f>Summary!H23</f>
        <v>955.228158</v>
      </c>
      <c r="I16" s="148">
        <f>Summary!I23</f>
        <v>955.228158</v>
      </c>
      <c r="J16" s="148">
        <f>Summary!J23</f>
        <v>636.818772</v>
      </c>
      <c r="K16" s="148">
        <f>Summary!K23</f>
        <v>318.409386</v>
      </c>
      <c r="L16" s="148">
        <f>Summary!L23</f>
        <v>318.409386</v>
      </c>
      <c r="M16" s="148">
        <f>Summary!M23</f>
        <v>318.409386</v>
      </c>
      <c r="N16" s="148">
        <f>Summary!N23</f>
        <v>0</v>
      </c>
      <c r="O16" s="148">
        <f>Summary!O23</f>
        <v>0</v>
      </c>
      <c r="P16" s="148">
        <f>Summary!P23</f>
        <v>0</v>
      </c>
      <c r="Q16" s="148">
        <f>Summary!Q23</f>
        <v>318.409386</v>
      </c>
      <c r="R16" s="148">
        <f>Summary!R23</f>
        <v>0</v>
      </c>
      <c r="S16" s="148">
        <f>Summary!S23</f>
        <v>0</v>
      </c>
      <c r="T16" s="148">
        <f>Summary!T23</f>
        <v>636.818772</v>
      </c>
      <c r="U16" s="148">
        <f>Summary!U23</f>
        <v>0</v>
      </c>
      <c r="V16" s="148">
        <f>Summary!V23</f>
        <v>0</v>
      </c>
      <c r="W16" s="148">
        <f>Summary!W23</f>
        <v>0</v>
      </c>
      <c r="X16" s="148">
        <f>Summary!X23</f>
        <v>318.409386</v>
      </c>
      <c r="Y16" s="148">
        <f>Summary!Y23</f>
        <v>0</v>
      </c>
      <c r="Z16" s="148">
        <f>Summary!Z23</f>
        <v>0</v>
      </c>
      <c r="AA16" s="148">
        <f>Summary!AA23</f>
        <v>0</v>
      </c>
      <c r="AB16" s="148">
        <f>Summary!AB23</f>
        <v>955.228158</v>
      </c>
      <c r="AC16" s="148">
        <f>Summary!AC23</f>
        <v>318.409386</v>
      </c>
      <c r="AD16" s="148">
        <f>Summary!AD23</f>
        <v>0</v>
      </c>
      <c r="AE16" s="148" t="str">
        <f t="shared" ref="AE16:AF16" si="11">#REF!</f>
        <v>#REF!</v>
      </c>
      <c r="AF16" s="148" t="str">
        <f t="shared" si="11"/>
        <v>#REF!</v>
      </c>
      <c r="AG16" s="817" t="str">
        <f t="shared" ref="AG16:AG20" si="12">SUM(B16:AF16)</f>
        <v>#REF!</v>
      </c>
    </row>
    <row r="17">
      <c r="A17" s="147" t="s">
        <v>1193</v>
      </c>
      <c r="B17" s="148">
        <v>0.0</v>
      </c>
      <c r="C17" s="148">
        <v>0.0</v>
      </c>
      <c r="D17" s="148">
        <v>0.0</v>
      </c>
      <c r="E17" s="148">
        <v>0.0</v>
      </c>
      <c r="F17" s="148">
        <v>0.0</v>
      </c>
      <c r="G17" s="148">
        <v>0.0</v>
      </c>
      <c r="H17" s="148">
        <v>0.0</v>
      </c>
      <c r="I17" s="148">
        <v>0.0</v>
      </c>
      <c r="J17" s="148">
        <v>0.0</v>
      </c>
      <c r="K17" s="148">
        <v>0.0</v>
      </c>
      <c r="L17" s="148">
        <v>0.0</v>
      </c>
      <c r="M17" s="148">
        <v>0.0</v>
      </c>
      <c r="N17" s="148">
        <v>0.0</v>
      </c>
      <c r="O17" s="148">
        <v>0.0</v>
      </c>
      <c r="P17" s="148">
        <v>0.0</v>
      </c>
      <c r="Q17" s="403">
        <v>0.0</v>
      </c>
      <c r="R17" s="148">
        <v>0.0</v>
      </c>
      <c r="S17" s="148">
        <v>0.0</v>
      </c>
      <c r="T17" s="148">
        <v>0.0</v>
      </c>
      <c r="U17" s="403">
        <v>0.0</v>
      </c>
      <c r="V17" s="148">
        <v>0.0</v>
      </c>
      <c r="W17" s="148">
        <v>0.0</v>
      </c>
      <c r="X17" s="148">
        <v>0.0</v>
      </c>
      <c r="Y17" s="148">
        <v>0.0</v>
      </c>
      <c r="Z17" s="148">
        <v>0.0</v>
      </c>
      <c r="AA17" s="148">
        <v>0.0</v>
      </c>
      <c r="AB17" s="148">
        <v>0.0</v>
      </c>
      <c r="AC17" s="148"/>
      <c r="AD17" s="148"/>
      <c r="AE17" s="148"/>
      <c r="AF17" s="148"/>
      <c r="AG17" s="817">
        <f t="shared" si="12"/>
        <v>0</v>
      </c>
    </row>
    <row r="18">
      <c r="A18" s="147" t="s">
        <v>1194</v>
      </c>
      <c r="B18" s="148">
        <v>0.0</v>
      </c>
      <c r="C18" s="148">
        <v>0.0</v>
      </c>
      <c r="D18" s="148">
        <v>0.0</v>
      </c>
      <c r="E18" s="148">
        <v>0.0</v>
      </c>
      <c r="F18" s="148">
        <v>0.0</v>
      </c>
      <c r="G18" s="148">
        <v>0.0</v>
      </c>
      <c r="H18" s="148">
        <v>0.0</v>
      </c>
      <c r="I18" s="148">
        <v>0.0</v>
      </c>
      <c r="J18" s="148">
        <v>0.0</v>
      </c>
      <c r="K18" s="148">
        <v>0.0</v>
      </c>
      <c r="L18" s="148">
        <v>0.0</v>
      </c>
      <c r="M18" s="148">
        <v>0.0</v>
      </c>
      <c r="N18" s="148">
        <v>0.0</v>
      </c>
      <c r="O18" s="148">
        <v>0.0</v>
      </c>
      <c r="P18" s="148">
        <v>0.0</v>
      </c>
      <c r="Q18" s="148">
        <v>0.0</v>
      </c>
      <c r="R18" s="148">
        <v>0.0</v>
      </c>
      <c r="S18" s="148">
        <v>0.0</v>
      </c>
      <c r="T18" s="148">
        <v>0.0</v>
      </c>
      <c r="U18" s="148">
        <v>0.0</v>
      </c>
      <c r="V18" s="148">
        <v>0.0</v>
      </c>
      <c r="W18" s="148">
        <v>0.0</v>
      </c>
      <c r="X18" s="148">
        <v>0.0</v>
      </c>
      <c r="Y18" s="148">
        <v>0.0</v>
      </c>
      <c r="Z18" s="148">
        <v>0.0</v>
      </c>
      <c r="AA18" s="148">
        <v>0.0</v>
      </c>
      <c r="AB18" s="148">
        <v>0.0</v>
      </c>
      <c r="AC18" s="148">
        <v>0.0</v>
      </c>
      <c r="AD18" s="148">
        <v>0.0</v>
      </c>
      <c r="AE18" s="148">
        <v>0.0</v>
      </c>
      <c r="AF18" s="148">
        <v>0.0</v>
      </c>
      <c r="AG18" s="817">
        <f t="shared" si="12"/>
        <v>0</v>
      </c>
    </row>
    <row r="19">
      <c r="A19" s="147" t="s">
        <v>1195</v>
      </c>
      <c r="B19" s="148">
        <v>0.0</v>
      </c>
      <c r="C19" s="148">
        <v>0.0</v>
      </c>
      <c r="D19" s="148">
        <v>0.0</v>
      </c>
      <c r="E19" s="148">
        <v>0.0</v>
      </c>
      <c r="F19" s="148">
        <v>0.0</v>
      </c>
      <c r="G19" s="148">
        <v>0.0</v>
      </c>
      <c r="H19" s="148">
        <v>0.0</v>
      </c>
      <c r="I19" s="148">
        <v>0.0</v>
      </c>
      <c r="J19" s="148">
        <v>0.0</v>
      </c>
      <c r="K19" s="148">
        <v>0.0</v>
      </c>
      <c r="L19" s="148">
        <v>0.0</v>
      </c>
      <c r="M19" s="148">
        <v>0.0</v>
      </c>
      <c r="N19" s="148">
        <v>0.0</v>
      </c>
      <c r="O19" s="148">
        <v>0.0</v>
      </c>
      <c r="P19" s="148">
        <v>0.0</v>
      </c>
      <c r="Q19" s="148">
        <v>0.0</v>
      </c>
      <c r="R19" s="148">
        <v>0.0</v>
      </c>
      <c r="S19" s="148">
        <v>0.0</v>
      </c>
      <c r="T19" s="148">
        <v>0.0</v>
      </c>
      <c r="U19" s="148">
        <v>0.0</v>
      </c>
      <c r="V19" s="148">
        <v>0.0</v>
      </c>
      <c r="W19" s="148">
        <v>0.0</v>
      </c>
      <c r="X19" s="148">
        <v>0.0</v>
      </c>
      <c r="Y19" s="148">
        <v>0.0</v>
      </c>
      <c r="Z19" s="148">
        <v>0.0</v>
      </c>
      <c r="AA19" s="148">
        <v>0.0</v>
      </c>
      <c r="AB19" s="148">
        <v>0.0</v>
      </c>
      <c r="AC19" s="148">
        <v>0.0</v>
      </c>
      <c r="AD19" s="148">
        <v>0.0</v>
      </c>
      <c r="AE19" s="148">
        <v>0.0</v>
      </c>
      <c r="AF19" s="148">
        <v>0.0</v>
      </c>
      <c r="AG19" s="817">
        <f t="shared" si="12"/>
        <v>0</v>
      </c>
    </row>
    <row r="20">
      <c r="A20" s="310" t="s">
        <v>1196</v>
      </c>
      <c r="B20" s="311">
        <f t="shared" ref="B20:AF20" si="13">SUM(B16:B19)</f>
        <v>636.818772</v>
      </c>
      <c r="C20" s="311">
        <f t="shared" si="13"/>
        <v>318.409386</v>
      </c>
      <c r="D20" s="311">
        <f t="shared" si="13"/>
        <v>955.228158</v>
      </c>
      <c r="E20" s="311">
        <f t="shared" si="13"/>
        <v>318.409386</v>
      </c>
      <c r="F20" s="311">
        <f t="shared" si="13"/>
        <v>0</v>
      </c>
      <c r="G20" s="311">
        <f t="shared" si="13"/>
        <v>0</v>
      </c>
      <c r="H20" s="311">
        <f t="shared" si="13"/>
        <v>955.228158</v>
      </c>
      <c r="I20" s="311">
        <f t="shared" si="13"/>
        <v>955.228158</v>
      </c>
      <c r="J20" s="311">
        <f t="shared" si="13"/>
        <v>636.818772</v>
      </c>
      <c r="K20" s="311">
        <f t="shared" si="13"/>
        <v>318.409386</v>
      </c>
      <c r="L20" s="311">
        <f t="shared" si="13"/>
        <v>318.409386</v>
      </c>
      <c r="M20" s="311">
        <f t="shared" si="13"/>
        <v>318.409386</v>
      </c>
      <c r="N20" s="311">
        <f t="shared" si="13"/>
        <v>0</v>
      </c>
      <c r="O20" s="311">
        <f t="shared" si="13"/>
        <v>0</v>
      </c>
      <c r="P20" s="311">
        <f t="shared" si="13"/>
        <v>0</v>
      </c>
      <c r="Q20" s="311">
        <f t="shared" si="13"/>
        <v>318.409386</v>
      </c>
      <c r="R20" s="311">
        <f t="shared" si="13"/>
        <v>0</v>
      </c>
      <c r="S20" s="311">
        <f t="shared" si="13"/>
        <v>0</v>
      </c>
      <c r="T20" s="311">
        <f t="shared" si="13"/>
        <v>636.818772</v>
      </c>
      <c r="U20" s="311">
        <f t="shared" si="13"/>
        <v>0</v>
      </c>
      <c r="V20" s="311">
        <f t="shared" si="13"/>
        <v>0</v>
      </c>
      <c r="W20" s="311">
        <f t="shared" si="13"/>
        <v>0</v>
      </c>
      <c r="X20" s="311">
        <f t="shared" si="13"/>
        <v>318.409386</v>
      </c>
      <c r="Y20" s="311">
        <f t="shared" si="13"/>
        <v>0</v>
      </c>
      <c r="Z20" s="311">
        <f t="shared" si="13"/>
        <v>0</v>
      </c>
      <c r="AA20" s="311">
        <f t="shared" si="13"/>
        <v>0</v>
      </c>
      <c r="AB20" s="311">
        <f t="shared" si="13"/>
        <v>955.228158</v>
      </c>
      <c r="AC20" s="311">
        <f t="shared" si="13"/>
        <v>318.409386</v>
      </c>
      <c r="AD20" s="311">
        <f t="shared" si="13"/>
        <v>0</v>
      </c>
      <c r="AE20" s="311" t="str">
        <f t="shared" si="13"/>
        <v>#REF!</v>
      </c>
      <c r="AF20" s="311" t="str">
        <f t="shared" si="13"/>
        <v>#REF!</v>
      </c>
      <c r="AG20" s="817" t="str">
        <f t="shared" si="12"/>
        <v>#REF!</v>
      </c>
    </row>
    <row r="21">
      <c r="A21" s="98"/>
      <c r="B21" s="83"/>
      <c r="C21" s="83"/>
      <c r="D21" s="83"/>
      <c r="E21" s="83"/>
      <c r="F21" s="83"/>
      <c r="G21" s="83"/>
      <c r="H21" s="83"/>
      <c r="I21" s="83"/>
      <c r="J21" s="83"/>
      <c r="K21" s="83"/>
      <c r="L21" s="83"/>
      <c r="M21" s="83"/>
      <c r="N21" s="83"/>
      <c r="O21" s="83"/>
      <c r="P21" s="83"/>
      <c r="Q21" s="83"/>
      <c r="R21" s="83"/>
      <c r="S21" s="83"/>
      <c r="T21" s="83"/>
      <c r="U21" s="83"/>
      <c r="V21" s="83"/>
      <c r="W21" s="83"/>
      <c r="X21" s="83"/>
      <c r="Y21" s="83"/>
      <c r="Z21" s="83"/>
      <c r="AA21" s="83"/>
      <c r="AB21" s="83"/>
      <c r="AC21" s="83"/>
      <c r="AD21" s="83"/>
      <c r="AE21" s="83"/>
      <c r="AF21" s="83"/>
      <c r="AG21" s="814"/>
    </row>
    <row r="22">
      <c r="A22" s="138" t="s">
        <v>642</v>
      </c>
      <c r="B22" s="155"/>
      <c r="C22" s="83"/>
      <c r="D22" s="83"/>
      <c r="E22" s="83"/>
      <c r="F22" s="83"/>
      <c r="G22" s="83"/>
      <c r="H22" s="83"/>
      <c r="I22" s="83"/>
      <c r="J22" s="83"/>
      <c r="K22" s="83"/>
      <c r="L22" s="83"/>
      <c r="M22" s="83"/>
      <c r="N22" s="83"/>
      <c r="O22" s="83"/>
      <c r="P22" s="83"/>
      <c r="Q22" s="83"/>
      <c r="R22" s="83"/>
      <c r="S22" s="83"/>
      <c r="T22" s="83"/>
      <c r="U22" s="83"/>
      <c r="V22" s="83"/>
      <c r="W22" s="83"/>
      <c r="X22" s="83"/>
      <c r="Y22" s="83"/>
      <c r="Z22" s="83"/>
      <c r="AA22" s="83"/>
      <c r="AB22" s="83"/>
      <c r="AC22" s="83"/>
      <c r="AD22" s="83"/>
      <c r="AE22" s="83"/>
      <c r="AF22" s="83"/>
      <c r="AG22" s="810"/>
    </row>
    <row r="23">
      <c r="A23" s="153" t="s">
        <v>1197</v>
      </c>
      <c r="B23" s="155">
        <f t="shared" ref="B23:AF23" si="14">B75-B40</f>
        <v>0</v>
      </c>
      <c r="C23" s="155">
        <f t="shared" si="14"/>
        <v>0</v>
      </c>
      <c r="D23" s="155">
        <f t="shared" si="14"/>
        <v>0</v>
      </c>
      <c r="E23" s="155">
        <f t="shared" si="14"/>
        <v>0</v>
      </c>
      <c r="F23" s="155">
        <f t="shared" si="14"/>
        <v>0</v>
      </c>
      <c r="G23" s="155">
        <f t="shared" si="14"/>
        <v>0</v>
      </c>
      <c r="H23" s="155">
        <f t="shared" si="14"/>
        <v>1</v>
      </c>
      <c r="I23" s="141">
        <f t="shared" si="14"/>
        <v>1</v>
      </c>
      <c r="J23" s="141">
        <f t="shared" si="14"/>
        <v>0</v>
      </c>
      <c r="K23" s="141">
        <f t="shared" si="14"/>
        <v>1</v>
      </c>
      <c r="L23" s="141">
        <f t="shared" si="14"/>
        <v>0</v>
      </c>
      <c r="M23" s="141">
        <f t="shared" si="14"/>
        <v>2</v>
      </c>
      <c r="N23" s="141">
        <f t="shared" si="14"/>
        <v>3</v>
      </c>
      <c r="O23" s="140">
        <f t="shared" si="14"/>
        <v>0</v>
      </c>
      <c r="P23" s="140">
        <f t="shared" si="14"/>
        <v>0</v>
      </c>
      <c r="Q23" s="140">
        <f t="shared" si="14"/>
        <v>0</v>
      </c>
      <c r="R23" s="141">
        <f t="shared" si="14"/>
        <v>0</v>
      </c>
      <c r="S23" s="141">
        <f t="shared" si="14"/>
        <v>0</v>
      </c>
      <c r="T23" s="141">
        <f t="shared" si="14"/>
        <v>0</v>
      </c>
      <c r="U23" s="141">
        <f t="shared" si="14"/>
        <v>0</v>
      </c>
      <c r="V23" s="141">
        <f t="shared" si="14"/>
        <v>0</v>
      </c>
      <c r="W23" s="141">
        <f t="shared" si="14"/>
        <v>0</v>
      </c>
      <c r="X23" s="141">
        <f t="shared" si="14"/>
        <v>0</v>
      </c>
      <c r="Y23" s="141">
        <f t="shared" si="14"/>
        <v>0</v>
      </c>
      <c r="Z23" s="140">
        <f t="shared" si="14"/>
        <v>0</v>
      </c>
      <c r="AA23" s="141">
        <f t="shared" si="14"/>
        <v>0</v>
      </c>
      <c r="AB23" s="141">
        <f t="shared" si="14"/>
        <v>0</v>
      </c>
      <c r="AC23" s="140">
        <f t="shared" si="14"/>
        <v>0</v>
      </c>
      <c r="AD23" s="140">
        <f t="shared" si="14"/>
        <v>0</v>
      </c>
      <c r="AE23" s="140">
        <f t="shared" si="14"/>
        <v>0</v>
      </c>
      <c r="AF23" s="140">
        <f t="shared" si="14"/>
        <v>0</v>
      </c>
      <c r="AG23" s="810">
        <f t="shared" ref="AG23:AG27" si="16">sum(B23:AF23)</f>
        <v>8</v>
      </c>
    </row>
    <row r="24">
      <c r="A24" s="153" t="s">
        <v>1198</v>
      </c>
      <c r="B24" s="155">
        <f t="shared" ref="B24:AF24" si="15">B76-B41</f>
        <v>0</v>
      </c>
      <c r="C24" s="155">
        <f t="shared" si="15"/>
        <v>0</v>
      </c>
      <c r="D24" s="155">
        <f t="shared" si="15"/>
        <v>0</v>
      </c>
      <c r="E24" s="155">
        <f t="shared" si="15"/>
        <v>0</v>
      </c>
      <c r="F24" s="155">
        <f t="shared" si="15"/>
        <v>0</v>
      </c>
      <c r="G24" s="155">
        <f t="shared" si="15"/>
        <v>0</v>
      </c>
      <c r="H24" s="155">
        <f t="shared" si="15"/>
        <v>1</v>
      </c>
      <c r="I24" s="141">
        <f t="shared" si="15"/>
        <v>1</v>
      </c>
      <c r="J24" s="141">
        <f t="shared" si="15"/>
        <v>1</v>
      </c>
      <c r="K24" s="141">
        <f t="shared" si="15"/>
        <v>0</v>
      </c>
      <c r="L24" s="141">
        <f t="shared" si="15"/>
        <v>0</v>
      </c>
      <c r="M24" s="141">
        <f t="shared" si="15"/>
        <v>1</v>
      </c>
      <c r="N24" s="141">
        <f t="shared" si="15"/>
        <v>0</v>
      </c>
      <c r="O24" s="140">
        <f t="shared" si="15"/>
        <v>0</v>
      </c>
      <c r="P24" s="140">
        <f t="shared" si="15"/>
        <v>0</v>
      </c>
      <c r="Q24" s="140">
        <f t="shared" si="15"/>
        <v>0</v>
      </c>
      <c r="R24" s="141">
        <f t="shared" si="15"/>
        <v>0</v>
      </c>
      <c r="S24" s="141">
        <f t="shared" si="15"/>
        <v>0</v>
      </c>
      <c r="T24" s="141">
        <f t="shared" si="15"/>
        <v>0</v>
      </c>
      <c r="U24" s="141">
        <f t="shared" si="15"/>
        <v>0</v>
      </c>
      <c r="V24" s="141">
        <f t="shared" si="15"/>
        <v>0</v>
      </c>
      <c r="W24" s="141">
        <f t="shared" si="15"/>
        <v>0</v>
      </c>
      <c r="X24" s="141">
        <f t="shared" si="15"/>
        <v>0</v>
      </c>
      <c r="Y24" s="141">
        <f t="shared" si="15"/>
        <v>0</v>
      </c>
      <c r="Z24" s="140">
        <f t="shared" si="15"/>
        <v>0</v>
      </c>
      <c r="AA24" s="141">
        <f t="shared" si="15"/>
        <v>0</v>
      </c>
      <c r="AB24" s="141">
        <f t="shared" si="15"/>
        <v>0</v>
      </c>
      <c r="AC24" s="140">
        <f t="shared" si="15"/>
        <v>0</v>
      </c>
      <c r="AD24" s="140">
        <f t="shared" si="15"/>
        <v>0</v>
      </c>
      <c r="AE24" s="140">
        <f t="shared" si="15"/>
        <v>0</v>
      </c>
      <c r="AF24" s="140">
        <f t="shared" si="15"/>
        <v>0</v>
      </c>
      <c r="AG24" s="810">
        <f t="shared" si="16"/>
        <v>4</v>
      </c>
    </row>
    <row r="25">
      <c r="A25" s="153" t="s">
        <v>1199</v>
      </c>
      <c r="B25" s="155">
        <f t="shared" ref="B25:AF25" si="17">B77-B42</f>
        <v>3</v>
      </c>
      <c r="C25" s="155">
        <f t="shared" si="17"/>
        <v>0</v>
      </c>
      <c r="D25" s="155">
        <f t="shared" si="17"/>
        <v>2</v>
      </c>
      <c r="E25" s="155">
        <f t="shared" si="17"/>
        <v>1</v>
      </c>
      <c r="F25" s="155">
        <f t="shared" si="17"/>
        <v>1</v>
      </c>
      <c r="G25" s="155">
        <f t="shared" si="17"/>
        <v>0</v>
      </c>
      <c r="H25" s="155">
        <f t="shared" si="17"/>
        <v>0</v>
      </c>
      <c r="I25" s="141">
        <f t="shared" si="17"/>
        <v>2</v>
      </c>
      <c r="J25" s="141">
        <f t="shared" si="17"/>
        <v>2</v>
      </c>
      <c r="K25" s="141">
        <f t="shared" si="17"/>
        <v>2</v>
      </c>
      <c r="L25" s="141">
        <f t="shared" si="17"/>
        <v>4</v>
      </c>
      <c r="M25" s="141">
        <f t="shared" si="17"/>
        <v>64</v>
      </c>
      <c r="N25" s="141">
        <f t="shared" si="17"/>
        <v>14</v>
      </c>
      <c r="O25" s="140">
        <f t="shared" si="17"/>
        <v>0</v>
      </c>
      <c r="P25" s="140">
        <f t="shared" si="17"/>
        <v>0</v>
      </c>
      <c r="Q25" s="140">
        <f t="shared" si="17"/>
        <v>0</v>
      </c>
      <c r="R25" s="141">
        <f t="shared" si="17"/>
        <v>1</v>
      </c>
      <c r="S25" s="141">
        <f t="shared" si="17"/>
        <v>2</v>
      </c>
      <c r="T25" s="141">
        <f t="shared" si="17"/>
        <v>0</v>
      </c>
      <c r="U25" s="141">
        <f t="shared" si="17"/>
        <v>0</v>
      </c>
      <c r="V25" s="141">
        <f t="shared" si="17"/>
        <v>0</v>
      </c>
      <c r="W25" s="141">
        <f t="shared" si="17"/>
        <v>0</v>
      </c>
      <c r="X25" s="141">
        <f t="shared" si="17"/>
        <v>0</v>
      </c>
      <c r="Y25" s="141">
        <f t="shared" si="17"/>
        <v>0</v>
      </c>
      <c r="Z25" s="141">
        <f t="shared" si="17"/>
        <v>0</v>
      </c>
      <c r="AA25" s="141">
        <f t="shared" si="17"/>
        <v>0</v>
      </c>
      <c r="AB25" s="141">
        <f t="shared" si="17"/>
        <v>0</v>
      </c>
      <c r="AC25" s="141">
        <f t="shared" si="17"/>
        <v>0</v>
      </c>
      <c r="AD25" s="141">
        <f t="shared" si="17"/>
        <v>0</v>
      </c>
      <c r="AE25" s="141">
        <f t="shared" si="17"/>
        <v>0</v>
      </c>
      <c r="AF25" s="141">
        <f t="shared" si="17"/>
        <v>0</v>
      </c>
      <c r="AG25" s="810">
        <f t="shared" si="16"/>
        <v>98</v>
      </c>
    </row>
    <row r="26">
      <c r="A26" s="153" t="s">
        <v>1200</v>
      </c>
      <c r="B26" s="155">
        <f t="shared" ref="B26:AF26" si="18">B78-B43</f>
        <v>3</v>
      </c>
      <c r="C26" s="155">
        <f t="shared" si="18"/>
        <v>1</v>
      </c>
      <c r="D26" s="155">
        <f t="shared" si="18"/>
        <v>0</v>
      </c>
      <c r="E26" s="155">
        <f t="shared" si="18"/>
        <v>0</v>
      </c>
      <c r="F26" s="155">
        <f t="shared" si="18"/>
        <v>0</v>
      </c>
      <c r="G26" s="155">
        <f t="shared" si="18"/>
        <v>0</v>
      </c>
      <c r="H26" s="155">
        <f t="shared" si="18"/>
        <v>0</v>
      </c>
      <c r="I26" s="141">
        <f t="shared" si="18"/>
        <v>6</v>
      </c>
      <c r="J26" s="141">
        <f t="shared" si="18"/>
        <v>0</v>
      </c>
      <c r="K26" s="141">
        <f t="shared" si="18"/>
        <v>0</v>
      </c>
      <c r="L26" s="141">
        <f t="shared" si="18"/>
        <v>0</v>
      </c>
      <c r="M26" s="141">
        <f t="shared" si="18"/>
        <v>20</v>
      </c>
      <c r="N26" s="141">
        <f t="shared" si="18"/>
        <v>9</v>
      </c>
      <c r="O26" s="140">
        <f t="shared" si="18"/>
        <v>0</v>
      </c>
      <c r="P26" s="140">
        <f t="shared" si="18"/>
        <v>0</v>
      </c>
      <c r="Q26" s="140">
        <f t="shared" si="18"/>
        <v>0</v>
      </c>
      <c r="R26" s="141">
        <f t="shared" si="18"/>
        <v>1</v>
      </c>
      <c r="S26" s="141">
        <f t="shared" si="18"/>
        <v>0</v>
      </c>
      <c r="T26" s="141">
        <f t="shared" si="18"/>
        <v>0</v>
      </c>
      <c r="U26" s="141">
        <f t="shared" si="18"/>
        <v>0</v>
      </c>
      <c r="V26" s="141">
        <f t="shared" si="18"/>
        <v>0</v>
      </c>
      <c r="W26" s="141">
        <f t="shared" si="18"/>
        <v>0</v>
      </c>
      <c r="X26" s="141">
        <f t="shared" si="18"/>
        <v>0</v>
      </c>
      <c r="Y26" s="141">
        <f t="shared" si="18"/>
        <v>0</v>
      </c>
      <c r="Z26" s="141">
        <f t="shared" si="18"/>
        <v>0</v>
      </c>
      <c r="AA26" s="141">
        <f t="shared" si="18"/>
        <v>0</v>
      </c>
      <c r="AB26" s="141">
        <f t="shared" si="18"/>
        <v>0</v>
      </c>
      <c r="AC26" s="141">
        <f t="shared" si="18"/>
        <v>0</v>
      </c>
      <c r="AD26" s="141">
        <f t="shared" si="18"/>
        <v>0</v>
      </c>
      <c r="AE26" s="141">
        <f t="shared" si="18"/>
        <v>0</v>
      </c>
      <c r="AF26" s="141">
        <f t="shared" si="18"/>
        <v>0</v>
      </c>
      <c r="AG26" s="810">
        <f t="shared" si="16"/>
        <v>40</v>
      </c>
    </row>
    <row r="27">
      <c r="A27" s="818" t="s">
        <v>515</v>
      </c>
      <c r="B27" s="315">
        <f t="shared" ref="B27:AF27" si="19">SUM(B23:B26)</f>
        <v>6</v>
      </c>
      <c r="C27" s="315">
        <f t="shared" si="19"/>
        <v>1</v>
      </c>
      <c r="D27" s="315">
        <f t="shared" si="19"/>
        <v>2</v>
      </c>
      <c r="E27" s="315">
        <f t="shared" si="19"/>
        <v>1</v>
      </c>
      <c r="F27" s="315">
        <f t="shared" si="19"/>
        <v>1</v>
      </c>
      <c r="G27" s="315">
        <f t="shared" si="19"/>
        <v>0</v>
      </c>
      <c r="H27" s="315">
        <f t="shared" si="19"/>
        <v>2</v>
      </c>
      <c r="I27" s="315">
        <f t="shared" si="19"/>
        <v>10</v>
      </c>
      <c r="J27" s="315">
        <f t="shared" si="19"/>
        <v>3</v>
      </c>
      <c r="K27" s="315">
        <f t="shared" si="19"/>
        <v>3</v>
      </c>
      <c r="L27" s="315">
        <f t="shared" si="19"/>
        <v>4</v>
      </c>
      <c r="M27" s="315">
        <f t="shared" si="19"/>
        <v>87</v>
      </c>
      <c r="N27" s="315">
        <f t="shared" si="19"/>
        <v>26</v>
      </c>
      <c r="O27" s="315">
        <f t="shared" si="19"/>
        <v>0</v>
      </c>
      <c r="P27" s="315">
        <f t="shared" si="19"/>
        <v>0</v>
      </c>
      <c r="Q27" s="315">
        <f t="shared" si="19"/>
        <v>0</v>
      </c>
      <c r="R27" s="315">
        <f t="shared" si="19"/>
        <v>2</v>
      </c>
      <c r="S27" s="315">
        <f t="shared" si="19"/>
        <v>2</v>
      </c>
      <c r="T27" s="315">
        <f t="shared" si="19"/>
        <v>0</v>
      </c>
      <c r="U27" s="315">
        <f t="shared" si="19"/>
        <v>0</v>
      </c>
      <c r="V27" s="315">
        <f t="shared" si="19"/>
        <v>0</v>
      </c>
      <c r="W27" s="315">
        <f t="shared" si="19"/>
        <v>0</v>
      </c>
      <c r="X27" s="315">
        <f t="shared" si="19"/>
        <v>0</v>
      </c>
      <c r="Y27" s="315">
        <f t="shared" si="19"/>
        <v>0</v>
      </c>
      <c r="Z27" s="315">
        <f t="shared" si="19"/>
        <v>0</v>
      </c>
      <c r="AA27" s="315">
        <f t="shared" si="19"/>
        <v>0</v>
      </c>
      <c r="AB27" s="315">
        <f t="shared" si="19"/>
        <v>0</v>
      </c>
      <c r="AC27" s="315">
        <f t="shared" si="19"/>
        <v>0</v>
      </c>
      <c r="AD27" s="315">
        <f t="shared" si="19"/>
        <v>0</v>
      </c>
      <c r="AE27" s="315">
        <f t="shared" si="19"/>
        <v>0</v>
      </c>
      <c r="AF27" s="315">
        <f t="shared" si="19"/>
        <v>0</v>
      </c>
      <c r="AG27" s="810">
        <f t="shared" si="16"/>
        <v>150</v>
      </c>
    </row>
    <row r="28">
      <c r="A28" s="98"/>
      <c r="B28" s="162"/>
      <c r="C28" s="162"/>
      <c r="D28" s="162"/>
      <c r="E28" s="162"/>
      <c r="F28" s="162"/>
      <c r="G28" s="162"/>
      <c r="H28" s="162"/>
      <c r="I28" s="162"/>
      <c r="J28" s="83"/>
      <c r="K28" s="83"/>
      <c r="L28" s="83"/>
      <c r="M28" s="83"/>
      <c r="N28" s="83"/>
      <c r="O28" s="83"/>
      <c r="P28" s="83"/>
      <c r="Q28" s="83"/>
      <c r="R28" s="83"/>
      <c r="S28" s="83"/>
      <c r="T28" s="83"/>
      <c r="U28" s="83"/>
      <c r="V28" s="83"/>
      <c r="W28" s="83"/>
      <c r="X28" s="83"/>
      <c r="Y28" s="83"/>
      <c r="Z28" s="83"/>
      <c r="AA28" s="83"/>
      <c r="AB28" s="83"/>
      <c r="AC28" s="83"/>
      <c r="AD28" s="83"/>
      <c r="AE28" s="83"/>
      <c r="AF28" s="83"/>
      <c r="AG28" s="819"/>
    </row>
    <row r="29">
      <c r="A29" s="153" t="s">
        <v>131</v>
      </c>
      <c r="B29" s="96"/>
      <c r="C29" s="96"/>
      <c r="D29" s="96"/>
      <c r="E29" s="96"/>
      <c r="F29" s="96"/>
      <c r="G29" s="96"/>
      <c r="H29" s="96"/>
      <c r="I29" s="96"/>
      <c r="J29" s="96"/>
      <c r="K29" s="96"/>
      <c r="L29" s="96"/>
      <c r="M29" s="96"/>
      <c r="N29" s="96"/>
      <c r="O29" s="96"/>
      <c r="P29" s="96"/>
      <c r="Q29" s="96"/>
      <c r="R29" s="96"/>
      <c r="S29" s="96"/>
      <c r="T29" s="96"/>
      <c r="U29" s="96"/>
      <c r="V29" s="96"/>
      <c r="W29" s="96"/>
      <c r="X29" s="96"/>
      <c r="Y29" s="96"/>
      <c r="Z29" s="96"/>
      <c r="AA29" s="96"/>
      <c r="AB29" s="96"/>
      <c r="AC29" s="96"/>
      <c r="AD29" s="96"/>
      <c r="AE29" s="96"/>
      <c r="AF29" s="96"/>
      <c r="AG29" s="810">
        <f t="shared" ref="AG29:AG37" si="20">sum(B29:AF29)</f>
        <v>0</v>
      </c>
    </row>
    <row r="30">
      <c r="A30" s="153" t="s">
        <v>132</v>
      </c>
      <c r="B30" s="96"/>
      <c r="C30" s="96"/>
      <c r="D30" s="96"/>
      <c r="E30" s="96"/>
      <c r="F30" s="96"/>
      <c r="G30" s="96"/>
      <c r="H30" s="96"/>
      <c r="I30" s="96"/>
      <c r="J30" s="96"/>
      <c r="K30" s="96"/>
      <c r="L30" s="96"/>
      <c r="M30" s="96"/>
      <c r="N30" s="96"/>
      <c r="O30" s="96"/>
      <c r="P30" s="96"/>
      <c r="Q30" s="96"/>
      <c r="R30" s="96"/>
      <c r="S30" s="96"/>
      <c r="T30" s="96"/>
      <c r="U30" s="96"/>
      <c r="V30" s="96"/>
      <c r="W30" s="96"/>
      <c r="X30" s="96"/>
      <c r="Y30" s="96"/>
      <c r="Z30" s="96"/>
      <c r="AA30" s="96"/>
      <c r="AB30" s="96"/>
      <c r="AC30" s="96"/>
      <c r="AD30" s="96"/>
      <c r="AE30" s="96"/>
      <c r="AF30" s="96"/>
      <c r="AG30" s="810">
        <f t="shared" si="20"/>
        <v>0</v>
      </c>
    </row>
    <row r="31">
      <c r="A31" s="153" t="s">
        <v>1201</v>
      </c>
      <c r="B31" s="96"/>
      <c r="C31" s="96"/>
      <c r="D31" s="96"/>
      <c r="E31" s="96"/>
      <c r="F31" s="96"/>
      <c r="G31" s="96"/>
      <c r="H31" s="96"/>
      <c r="I31" s="96"/>
      <c r="J31" s="96"/>
      <c r="K31" s="96"/>
      <c r="L31" s="96"/>
      <c r="M31" s="96"/>
      <c r="N31" s="96"/>
      <c r="O31" s="96"/>
      <c r="P31" s="96"/>
      <c r="Q31" s="96"/>
      <c r="R31" s="96"/>
      <c r="S31" s="96"/>
      <c r="T31" s="96"/>
      <c r="U31" s="96"/>
      <c r="V31" s="96"/>
      <c r="W31" s="96"/>
      <c r="X31" s="96"/>
      <c r="Y31" s="96"/>
      <c r="Z31" s="96"/>
      <c r="AA31" s="96"/>
      <c r="AB31" s="96"/>
      <c r="AC31" s="96"/>
      <c r="AD31" s="96"/>
      <c r="AE31" s="96"/>
      <c r="AF31" s="96"/>
      <c r="AG31" s="810">
        <f t="shared" si="20"/>
        <v>0</v>
      </c>
    </row>
    <row r="32">
      <c r="A32" s="153" t="s">
        <v>1202</v>
      </c>
      <c r="B32" s="96"/>
      <c r="C32" s="96"/>
      <c r="D32" s="96"/>
      <c r="E32" s="96"/>
      <c r="F32" s="96"/>
      <c r="G32" s="96"/>
      <c r="H32" s="96"/>
      <c r="I32" s="96"/>
      <c r="J32" s="96"/>
      <c r="K32" s="96"/>
      <c r="L32" s="96"/>
      <c r="M32" s="96"/>
      <c r="N32" s="96"/>
      <c r="O32" s="96"/>
      <c r="P32" s="96"/>
      <c r="Q32" s="96"/>
      <c r="R32" s="96"/>
      <c r="S32" s="96"/>
      <c r="T32" s="96"/>
      <c r="U32" s="96"/>
      <c r="V32" s="96"/>
      <c r="W32" s="96"/>
      <c r="X32" s="96"/>
      <c r="Y32" s="96"/>
      <c r="Z32" s="96"/>
      <c r="AA32" s="96"/>
      <c r="AB32" s="96"/>
      <c r="AC32" s="96"/>
      <c r="AD32" s="96"/>
      <c r="AE32" s="96"/>
      <c r="AF32" s="96"/>
      <c r="AG32" s="810">
        <f t="shared" si="20"/>
        <v>0</v>
      </c>
    </row>
    <row r="33">
      <c r="A33" s="153" t="s">
        <v>1203</v>
      </c>
      <c r="B33" s="96"/>
      <c r="C33" s="96"/>
      <c r="D33" s="96"/>
      <c r="E33" s="96"/>
      <c r="F33" s="96"/>
      <c r="G33" s="96"/>
      <c r="H33" s="96"/>
      <c r="I33" s="96"/>
      <c r="J33" s="96"/>
      <c r="K33" s="96"/>
      <c r="L33" s="96"/>
      <c r="M33" s="96"/>
      <c r="N33" s="96"/>
      <c r="O33" s="96"/>
      <c r="P33" s="96"/>
      <c r="Q33" s="96"/>
      <c r="R33" s="96"/>
      <c r="S33" s="96"/>
      <c r="T33" s="96"/>
      <c r="U33" s="96"/>
      <c r="V33" s="96"/>
      <c r="W33" s="96"/>
      <c r="X33" s="96"/>
      <c r="Y33" s="96"/>
      <c r="Z33" s="96"/>
      <c r="AA33" s="96"/>
      <c r="AB33" s="96"/>
      <c r="AC33" s="96"/>
      <c r="AD33" s="96"/>
      <c r="AE33" s="96"/>
      <c r="AF33" s="96"/>
      <c r="AG33" s="810">
        <f t="shared" si="20"/>
        <v>0</v>
      </c>
    </row>
    <row r="34">
      <c r="A34" s="153" t="s">
        <v>1204</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6"/>
      <c r="AD34" s="96"/>
      <c r="AE34" s="96"/>
      <c r="AF34" s="96"/>
      <c r="AG34" s="810">
        <f t="shared" si="20"/>
        <v>0</v>
      </c>
    </row>
    <row r="35">
      <c r="A35" s="153" t="s">
        <v>1205</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6"/>
      <c r="AD35" s="96"/>
      <c r="AE35" s="96"/>
      <c r="AF35" s="96"/>
      <c r="AG35" s="810">
        <f t="shared" si="20"/>
        <v>0</v>
      </c>
    </row>
    <row r="36">
      <c r="A36" s="153" t="s">
        <v>1206</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6"/>
      <c r="AD36" s="96"/>
      <c r="AE36" s="96"/>
      <c r="AF36" s="96"/>
      <c r="AG36" s="810">
        <f t="shared" si="20"/>
        <v>0</v>
      </c>
    </row>
    <row r="37">
      <c r="A37" s="818" t="s">
        <v>115</v>
      </c>
      <c r="B37" s="315">
        <f t="shared" ref="B37:AF37" si="21">SUM(B29:B36)</f>
        <v>0</v>
      </c>
      <c r="C37" s="315">
        <f t="shared" si="21"/>
        <v>0</v>
      </c>
      <c r="D37" s="315">
        <f t="shared" si="21"/>
        <v>0</v>
      </c>
      <c r="E37" s="315">
        <f t="shared" si="21"/>
        <v>0</v>
      </c>
      <c r="F37" s="315">
        <f t="shared" si="21"/>
        <v>0</v>
      </c>
      <c r="G37" s="315">
        <f t="shared" si="21"/>
        <v>0</v>
      </c>
      <c r="H37" s="315">
        <f t="shared" si="21"/>
        <v>0</v>
      </c>
      <c r="I37" s="315">
        <f t="shared" si="21"/>
        <v>0</v>
      </c>
      <c r="J37" s="315">
        <f t="shared" si="21"/>
        <v>0</v>
      </c>
      <c r="K37" s="315">
        <f t="shared" si="21"/>
        <v>0</v>
      </c>
      <c r="L37" s="315">
        <f t="shared" si="21"/>
        <v>0</v>
      </c>
      <c r="M37" s="315">
        <f t="shared" si="21"/>
        <v>0</v>
      </c>
      <c r="N37" s="315">
        <f t="shared" si="21"/>
        <v>0</v>
      </c>
      <c r="O37" s="315">
        <f t="shared" si="21"/>
        <v>0</v>
      </c>
      <c r="P37" s="315">
        <f t="shared" si="21"/>
        <v>0</v>
      </c>
      <c r="Q37" s="315">
        <f t="shared" si="21"/>
        <v>0</v>
      </c>
      <c r="R37" s="315">
        <f t="shared" si="21"/>
        <v>0</v>
      </c>
      <c r="S37" s="315">
        <f t="shared" si="21"/>
        <v>0</v>
      </c>
      <c r="T37" s="315">
        <f t="shared" si="21"/>
        <v>0</v>
      </c>
      <c r="U37" s="315">
        <f t="shared" si="21"/>
        <v>0</v>
      </c>
      <c r="V37" s="315">
        <f t="shared" si="21"/>
        <v>0</v>
      </c>
      <c r="W37" s="315">
        <f t="shared" si="21"/>
        <v>0</v>
      </c>
      <c r="X37" s="315">
        <f t="shared" si="21"/>
        <v>0</v>
      </c>
      <c r="Y37" s="315">
        <f t="shared" si="21"/>
        <v>0</v>
      </c>
      <c r="Z37" s="315">
        <f t="shared" si="21"/>
        <v>0</v>
      </c>
      <c r="AA37" s="315">
        <f t="shared" si="21"/>
        <v>0</v>
      </c>
      <c r="AB37" s="315">
        <f t="shared" si="21"/>
        <v>0</v>
      </c>
      <c r="AC37" s="315">
        <f t="shared" si="21"/>
        <v>0</v>
      </c>
      <c r="AD37" s="315">
        <f t="shared" si="21"/>
        <v>0</v>
      </c>
      <c r="AE37" s="315">
        <f t="shared" si="21"/>
        <v>0</v>
      </c>
      <c r="AF37" s="315">
        <f t="shared" si="21"/>
        <v>0</v>
      </c>
      <c r="AG37" s="810">
        <f t="shared" si="20"/>
        <v>0</v>
      </c>
    </row>
    <row r="38">
      <c r="A38" s="229"/>
      <c r="B38" s="155"/>
      <c r="C38" s="83"/>
      <c r="D38" s="83"/>
      <c r="E38" s="83"/>
      <c r="F38" s="83"/>
      <c r="G38" s="83"/>
      <c r="H38" s="83"/>
      <c r="I38" s="83"/>
      <c r="J38" s="83"/>
      <c r="K38" s="83"/>
      <c r="L38" s="83"/>
      <c r="M38" s="83"/>
      <c r="N38" s="83"/>
      <c r="O38" s="83"/>
      <c r="P38" s="83"/>
      <c r="Q38" s="83"/>
      <c r="R38" s="83"/>
      <c r="S38" s="83"/>
      <c r="T38" s="83"/>
      <c r="U38" s="83"/>
      <c r="V38" s="83"/>
      <c r="W38" s="83"/>
      <c r="X38" s="83"/>
      <c r="Y38" s="83"/>
      <c r="Z38" s="83"/>
      <c r="AA38" s="83"/>
      <c r="AB38" s="83"/>
      <c r="AC38" s="83"/>
      <c r="AD38" s="83"/>
      <c r="AE38" s="83"/>
      <c r="AF38" s="83"/>
      <c r="AG38" s="810"/>
    </row>
    <row r="39">
      <c r="A39" s="138" t="s">
        <v>696</v>
      </c>
      <c r="B39" s="155"/>
      <c r="C39" s="83"/>
      <c r="D39" s="83"/>
      <c r="E39" s="83"/>
      <c r="F39" s="83"/>
      <c r="G39" s="83"/>
      <c r="H39" s="83"/>
      <c r="I39" s="83"/>
      <c r="J39" s="83"/>
      <c r="K39" s="83"/>
      <c r="L39" s="83"/>
      <c r="M39" s="83"/>
      <c r="N39" s="83"/>
      <c r="O39" s="83"/>
      <c r="P39" s="83"/>
      <c r="Q39" s="83"/>
      <c r="R39" s="83"/>
      <c r="S39" s="83"/>
      <c r="T39" s="83"/>
      <c r="U39" s="83"/>
      <c r="V39" s="83"/>
      <c r="W39" s="83"/>
      <c r="X39" s="83"/>
      <c r="Y39" s="83"/>
      <c r="Z39" s="83"/>
      <c r="AA39" s="83"/>
      <c r="AB39" s="83"/>
      <c r="AC39" s="83"/>
      <c r="AD39" s="83"/>
      <c r="AE39" s="83"/>
      <c r="AF39" s="83"/>
      <c r="AG39" s="810"/>
    </row>
    <row r="40">
      <c r="A40" s="153" t="s">
        <v>1207</v>
      </c>
      <c r="B40" s="96"/>
      <c r="C40" s="96"/>
      <c r="D40" s="96"/>
      <c r="E40" s="96"/>
      <c r="F40" s="96"/>
      <c r="G40" s="96"/>
      <c r="H40" s="96"/>
      <c r="I40" s="89"/>
      <c r="J40" s="89"/>
      <c r="K40" s="141">
        <v>1.0</v>
      </c>
      <c r="L40" s="89"/>
      <c r="M40" s="141">
        <v>1.0</v>
      </c>
      <c r="N40" s="89"/>
      <c r="O40" s="792"/>
      <c r="P40" s="792"/>
      <c r="Q40" s="792"/>
      <c r="R40" s="89"/>
      <c r="S40" s="92"/>
      <c r="T40" s="92"/>
      <c r="U40" s="92"/>
      <c r="V40" s="92"/>
      <c r="W40" s="92"/>
      <c r="X40" s="92"/>
      <c r="Y40" s="92"/>
      <c r="Z40" s="793"/>
      <c r="AA40" s="92"/>
      <c r="AB40" s="92"/>
      <c r="AC40" s="793"/>
      <c r="AD40" s="793"/>
      <c r="AE40" s="793"/>
      <c r="AF40" s="793"/>
      <c r="AG40" s="810">
        <f t="shared" ref="AG40:AG44" si="22">sum(B40:AF40)</f>
        <v>2</v>
      </c>
    </row>
    <row r="41">
      <c r="A41" s="153" t="s">
        <v>1208</v>
      </c>
      <c r="B41" s="96"/>
      <c r="C41" s="96"/>
      <c r="D41" s="96"/>
      <c r="E41" s="96"/>
      <c r="F41" s="96"/>
      <c r="G41" s="96"/>
      <c r="H41" s="96"/>
      <c r="I41" s="89"/>
      <c r="J41" s="89"/>
      <c r="K41" s="141">
        <v>0.0</v>
      </c>
      <c r="L41" s="141">
        <v>1.0</v>
      </c>
      <c r="M41" s="141">
        <v>1.0</v>
      </c>
      <c r="N41" s="141">
        <v>2.0</v>
      </c>
      <c r="O41" s="792"/>
      <c r="P41" s="792"/>
      <c r="Q41" s="792"/>
      <c r="R41" s="89"/>
      <c r="S41" s="92"/>
      <c r="T41" s="92"/>
      <c r="U41" s="92"/>
      <c r="V41" s="92"/>
      <c r="W41" s="92"/>
      <c r="X41" s="92"/>
      <c r="Y41" s="92"/>
      <c r="Z41" s="793"/>
      <c r="AA41" s="92"/>
      <c r="AB41" s="92"/>
      <c r="AC41" s="793"/>
      <c r="AD41" s="793"/>
      <c r="AE41" s="793"/>
      <c r="AF41" s="793"/>
      <c r="AG41" s="810">
        <f t="shared" si="22"/>
        <v>4</v>
      </c>
    </row>
    <row r="42">
      <c r="A42" s="153" t="s">
        <v>1209</v>
      </c>
      <c r="B42" s="96"/>
      <c r="C42" s="96"/>
      <c r="D42" s="96"/>
      <c r="E42" s="96"/>
      <c r="F42" s="96"/>
      <c r="G42" s="96"/>
      <c r="H42" s="155">
        <v>3.0</v>
      </c>
      <c r="I42" s="141">
        <v>8.0</v>
      </c>
      <c r="J42" s="89"/>
      <c r="K42" s="89"/>
      <c r="L42" s="89"/>
      <c r="M42" s="141">
        <v>2.0</v>
      </c>
      <c r="N42" s="141">
        <v>1.0</v>
      </c>
      <c r="O42" s="792"/>
      <c r="P42" s="792"/>
      <c r="Q42" s="792"/>
      <c r="R42" s="141">
        <v>1.0</v>
      </c>
      <c r="S42" s="92"/>
      <c r="T42" s="92"/>
      <c r="U42" s="92"/>
      <c r="V42" s="92"/>
      <c r="W42" s="92"/>
      <c r="X42" s="92"/>
      <c r="Y42" s="92"/>
      <c r="Z42" s="794"/>
      <c r="AA42" s="92"/>
      <c r="AB42" s="92"/>
      <c r="AC42" s="92"/>
      <c r="AD42" s="92"/>
      <c r="AE42" s="92"/>
      <c r="AF42" s="92"/>
      <c r="AG42" s="810">
        <f t="shared" si="22"/>
        <v>15</v>
      </c>
    </row>
    <row r="43">
      <c r="A43" s="153" t="s">
        <v>1210</v>
      </c>
      <c r="B43" s="96"/>
      <c r="C43" s="96"/>
      <c r="D43" s="96"/>
      <c r="E43" s="96"/>
      <c r="F43" s="96"/>
      <c r="G43" s="96"/>
      <c r="H43" s="96"/>
      <c r="I43" s="141">
        <v>1.0</v>
      </c>
      <c r="J43" s="89"/>
      <c r="K43" s="89"/>
      <c r="L43" s="89"/>
      <c r="M43" s="141">
        <v>1.0</v>
      </c>
      <c r="N43" s="89"/>
      <c r="O43" s="792"/>
      <c r="P43" s="792"/>
      <c r="Q43" s="792"/>
      <c r="R43" s="89"/>
      <c r="S43" s="92"/>
      <c r="T43" s="92"/>
      <c r="U43" s="92"/>
      <c r="V43" s="92"/>
      <c r="W43" s="92"/>
      <c r="X43" s="92"/>
      <c r="Y43" s="92"/>
      <c r="Z43" s="794"/>
      <c r="AA43" s="92"/>
      <c r="AB43" s="92"/>
      <c r="AC43" s="92"/>
      <c r="AD43" s="92"/>
      <c r="AE43" s="92"/>
      <c r="AF43" s="92"/>
      <c r="AG43" s="810">
        <f t="shared" si="22"/>
        <v>2</v>
      </c>
    </row>
    <row r="44">
      <c r="A44" s="818" t="s">
        <v>515</v>
      </c>
      <c r="B44" s="315">
        <f t="shared" ref="B44:AF44" si="23">SUM(B40:B43)</f>
        <v>0</v>
      </c>
      <c r="C44" s="315">
        <f t="shared" si="23"/>
        <v>0</v>
      </c>
      <c r="D44" s="315">
        <f t="shared" si="23"/>
        <v>0</v>
      </c>
      <c r="E44" s="315">
        <f t="shared" si="23"/>
        <v>0</v>
      </c>
      <c r="F44" s="315">
        <f t="shared" si="23"/>
        <v>0</v>
      </c>
      <c r="G44" s="315">
        <f t="shared" si="23"/>
        <v>0</v>
      </c>
      <c r="H44" s="315">
        <f t="shared" si="23"/>
        <v>3</v>
      </c>
      <c r="I44" s="315">
        <f t="shared" si="23"/>
        <v>9</v>
      </c>
      <c r="J44" s="315">
        <f t="shared" si="23"/>
        <v>0</v>
      </c>
      <c r="K44" s="315">
        <f t="shared" si="23"/>
        <v>1</v>
      </c>
      <c r="L44" s="315">
        <f t="shared" si="23"/>
        <v>1</v>
      </c>
      <c r="M44" s="315">
        <f t="shared" si="23"/>
        <v>5</v>
      </c>
      <c r="N44" s="315">
        <f t="shared" si="23"/>
        <v>3</v>
      </c>
      <c r="O44" s="315">
        <f t="shared" si="23"/>
        <v>0</v>
      </c>
      <c r="P44" s="315">
        <f t="shared" si="23"/>
        <v>0</v>
      </c>
      <c r="Q44" s="315">
        <f t="shared" si="23"/>
        <v>0</v>
      </c>
      <c r="R44" s="315">
        <f t="shared" si="23"/>
        <v>1</v>
      </c>
      <c r="S44" s="315">
        <f t="shared" si="23"/>
        <v>0</v>
      </c>
      <c r="T44" s="315">
        <f t="shared" si="23"/>
        <v>0</v>
      </c>
      <c r="U44" s="315">
        <f t="shared" si="23"/>
        <v>0</v>
      </c>
      <c r="V44" s="315">
        <f t="shared" si="23"/>
        <v>0</v>
      </c>
      <c r="W44" s="315">
        <f t="shared" si="23"/>
        <v>0</v>
      </c>
      <c r="X44" s="315">
        <f t="shared" si="23"/>
        <v>0</v>
      </c>
      <c r="Y44" s="315">
        <f t="shared" si="23"/>
        <v>0</v>
      </c>
      <c r="Z44" s="315">
        <f t="shared" si="23"/>
        <v>0</v>
      </c>
      <c r="AA44" s="315">
        <f t="shared" si="23"/>
        <v>0</v>
      </c>
      <c r="AB44" s="315">
        <f t="shared" si="23"/>
        <v>0</v>
      </c>
      <c r="AC44" s="315">
        <f t="shared" si="23"/>
        <v>0</v>
      </c>
      <c r="AD44" s="315">
        <f t="shared" si="23"/>
        <v>0</v>
      </c>
      <c r="AE44" s="315">
        <f t="shared" si="23"/>
        <v>0</v>
      </c>
      <c r="AF44" s="315">
        <f t="shared" si="23"/>
        <v>0</v>
      </c>
      <c r="AG44" s="810">
        <f t="shared" si="22"/>
        <v>23</v>
      </c>
    </row>
    <row r="45">
      <c r="A45" s="98"/>
      <c r="B45" s="162"/>
      <c r="C45" s="162"/>
      <c r="D45" s="162"/>
      <c r="E45" s="162"/>
      <c r="F45" s="162"/>
      <c r="G45" s="162"/>
      <c r="H45" s="162"/>
      <c r="I45" s="162"/>
      <c r="J45" s="83"/>
      <c r="K45" s="83"/>
      <c r="L45" s="83"/>
      <c r="M45" s="83"/>
      <c r="N45" s="83"/>
      <c r="O45" s="83"/>
      <c r="P45" s="83"/>
      <c r="Q45" s="83"/>
      <c r="R45" s="83"/>
      <c r="S45" s="83"/>
      <c r="T45" s="83"/>
      <c r="U45" s="83"/>
      <c r="V45" s="83"/>
      <c r="W45" s="83"/>
      <c r="X45" s="83"/>
      <c r="Y45" s="83"/>
      <c r="Z45" s="83"/>
      <c r="AA45" s="83"/>
      <c r="AB45" s="83"/>
      <c r="AC45" s="83"/>
      <c r="AD45" s="83"/>
      <c r="AE45" s="83"/>
      <c r="AF45" s="83"/>
      <c r="AG45" s="819"/>
    </row>
    <row r="46">
      <c r="A46" s="153" t="s">
        <v>131</v>
      </c>
      <c r="B46" s="96"/>
      <c r="C46" s="96"/>
      <c r="D46" s="96"/>
      <c r="E46" s="96"/>
      <c r="F46" s="96"/>
      <c r="G46" s="96"/>
      <c r="H46" s="96"/>
      <c r="I46" s="96"/>
      <c r="J46" s="96"/>
      <c r="K46" s="96"/>
      <c r="L46" s="96"/>
      <c r="M46" s="89"/>
      <c r="N46" s="89"/>
      <c r="O46" s="89"/>
      <c r="P46" s="89"/>
      <c r="Q46" s="89"/>
      <c r="R46" s="89"/>
      <c r="S46" s="92"/>
      <c r="T46" s="92"/>
      <c r="U46" s="92"/>
      <c r="V46" s="92"/>
      <c r="W46" s="92"/>
      <c r="X46" s="92"/>
      <c r="Y46" s="92"/>
      <c r="Z46" s="795"/>
      <c r="AA46" s="92"/>
      <c r="AB46" s="92"/>
      <c r="AC46" s="795"/>
      <c r="AD46" s="795"/>
      <c r="AE46" s="795"/>
      <c r="AF46" s="795"/>
      <c r="AG46" s="810">
        <f t="shared" ref="AG46:AG54" si="24">sum(B46:AF46)</f>
        <v>0</v>
      </c>
    </row>
    <row r="47">
      <c r="A47" s="153" t="s">
        <v>132</v>
      </c>
      <c r="B47" s="96"/>
      <c r="C47" s="96"/>
      <c r="D47" s="96"/>
      <c r="E47" s="96"/>
      <c r="F47" s="96"/>
      <c r="G47" s="96"/>
      <c r="H47" s="96"/>
      <c r="I47" s="96"/>
      <c r="J47" s="96"/>
      <c r="K47" s="96"/>
      <c r="L47" s="96"/>
      <c r="M47" s="89"/>
      <c r="N47" s="89"/>
      <c r="O47" s="89"/>
      <c r="P47" s="89"/>
      <c r="Q47" s="89"/>
      <c r="R47" s="89"/>
      <c r="S47" s="92"/>
      <c r="T47" s="92"/>
      <c r="U47" s="92"/>
      <c r="V47" s="92"/>
      <c r="W47" s="92"/>
      <c r="X47" s="92"/>
      <c r="Y47" s="92"/>
      <c r="Z47" s="793"/>
      <c r="AA47" s="796"/>
      <c r="AB47" s="92"/>
      <c r="AC47" s="796"/>
      <c r="AD47" s="796"/>
      <c r="AE47" s="796"/>
      <c r="AF47" s="796"/>
      <c r="AG47" s="810">
        <f t="shared" si="24"/>
        <v>0</v>
      </c>
    </row>
    <row r="48">
      <c r="A48" s="153" t="s">
        <v>1211</v>
      </c>
      <c r="B48" s="96"/>
      <c r="C48" s="96"/>
      <c r="D48" s="96"/>
      <c r="E48" s="96"/>
      <c r="F48" s="96"/>
      <c r="G48" s="96"/>
      <c r="H48" s="96"/>
      <c r="I48" s="96"/>
      <c r="J48" s="96"/>
      <c r="K48" s="96"/>
      <c r="L48" s="96"/>
      <c r="M48" s="96"/>
      <c r="N48" s="96"/>
      <c r="O48" s="96"/>
      <c r="P48" s="96"/>
      <c r="Q48" s="96"/>
      <c r="R48" s="96"/>
      <c r="S48" s="96"/>
      <c r="T48" s="96"/>
      <c r="U48" s="96"/>
      <c r="V48" s="96"/>
      <c r="W48" s="96"/>
      <c r="X48" s="96"/>
      <c r="Y48" s="96"/>
      <c r="Z48" s="797"/>
      <c r="AA48" s="96"/>
      <c r="AB48" s="96"/>
      <c r="AC48" s="797"/>
      <c r="AD48" s="797"/>
      <c r="AE48" s="797"/>
      <c r="AF48" s="797"/>
      <c r="AG48" s="810">
        <f t="shared" si="24"/>
        <v>0</v>
      </c>
    </row>
    <row r="49">
      <c r="A49" s="153" t="s">
        <v>1212</v>
      </c>
      <c r="B49" s="192"/>
      <c r="C49" s="192"/>
      <c r="D49" s="192"/>
      <c r="E49" s="192"/>
      <c r="F49" s="192"/>
      <c r="G49" s="96"/>
      <c r="H49" s="96"/>
      <c r="I49" s="96"/>
      <c r="J49" s="96"/>
      <c r="K49" s="96"/>
      <c r="L49" s="96"/>
      <c r="M49" s="89"/>
      <c r="N49" s="89"/>
      <c r="O49" s="792"/>
      <c r="P49" s="792"/>
      <c r="Q49" s="792"/>
      <c r="R49" s="792"/>
      <c r="S49" s="92"/>
      <c r="T49" s="92"/>
      <c r="U49" s="92"/>
      <c r="V49" s="96"/>
      <c r="W49" s="96"/>
      <c r="X49" s="96"/>
      <c r="Y49" s="96"/>
      <c r="Z49" s="797"/>
      <c r="AA49" s="96"/>
      <c r="AB49" s="96"/>
      <c r="AC49" s="797"/>
      <c r="AD49" s="797"/>
      <c r="AE49" s="797"/>
      <c r="AF49" s="797"/>
      <c r="AG49" s="810">
        <f t="shared" si="24"/>
        <v>0</v>
      </c>
    </row>
    <row r="50">
      <c r="A50" s="153" t="s">
        <v>1213</v>
      </c>
      <c r="B50" s="96"/>
      <c r="C50" s="96"/>
      <c r="D50" s="96"/>
      <c r="E50" s="96"/>
      <c r="F50" s="96"/>
      <c r="G50" s="96"/>
      <c r="H50" s="96"/>
      <c r="I50" s="96"/>
      <c r="J50" s="96"/>
      <c r="K50" s="96"/>
      <c r="L50" s="96"/>
      <c r="M50" s="96"/>
      <c r="N50" s="96"/>
      <c r="O50" s="96"/>
      <c r="P50" s="96"/>
      <c r="Q50" s="96"/>
      <c r="R50" s="96"/>
      <c r="S50" s="96"/>
      <c r="T50" s="96"/>
      <c r="U50" s="96"/>
      <c r="V50" s="96"/>
      <c r="W50" s="96"/>
      <c r="X50" s="96"/>
      <c r="Y50" s="96"/>
      <c r="Z50" s="96"/>
      <c r="AA50" s="92"/>
      <c r="AB50" s="96"/>
      <c r="AC50" s="797"/>
      <c r="AD50" s="797"/>
      <c r="AE50" s="797"/>
      <c r="AF50" s="797"/>
      <c r="AG50" s="810">
        <f t="shared" si="24"/>
        <v>0</v>
      </c>
    </row>
    <row r="51">
      <c r="A51" s="153" t="s">
        <v>1214</v>
      </c>
      <c r="B51" s="192"/>
      <c r="C51" s="192"/>
      <c r="D51" s="192"/>
      <c r="E51" s="192"/>
      <c r="F51" s="192"/>
      <c r="G51" s="96"/>
      <c r="H51" s="96"/>
      <c r="I51" s="96"/>
      <c r="J51" s="96"/>
      <c r="K51" s="96"/>
      <c r="L51" s="96"/>
      <c r="M51" s="89"/>
      <c r="N51" s="89"/>
      <c r="O51" s="792"/>
      <c r="P51" s="792"/>
      <c r="Q51" s="792"/>
      <c r="R51" s="792"/>
      <c r="S51" s="92"/>
      <c r="T51" s="92"/>
      <c r="U51" s="92"/>
      <c r="V51" s="96"/>
      <c r="W51" s="96"/>
      <c r="X51" s="96"/>
      <c r="Y51" s="96"/>
      <c r="Z51" s="96"/>
      <c r="AA51" s="92"/>
      <c r="AB51" s="96"/>
      <c r="AC51" s="797"/>
      <c r="AD51" s="797"/>
      <c r="AE51" s="797"/>
      <c r="AF51" s="797"/>
      <c r="AG51" s="810">
        <f t="shared" si="24"/>
        <v>0</v>
      </c>
    </row>
    <row r="52">
      <c r="A52" s="153" t="s">
        <v>1215</v>
      </c>
      <c r="B52" s="96"/>
      <c r="C52" s="96"/>
      <c r="D52" s="96"/>
      <c r="E52" s="96"/>
      <c r="F52" s="96"/>
      <c r="G52" s="96"/>
      <c r="H52" s="96"/>
      <c r="I52" s="96"/>
      <c r="J52" s="96"/>
      <c r="K52" s="96"/>
      <c r="L52" s="96"/>
      <c r="M52" s="96"/>
      <c r="N52" s="96"/>
      <c r="O52" s="96"/>
      <c r="P52" s="96"/>
      <c r="Q52" s="96"/>
      <c r="R52" s="96"/>
      <c r="S52" s="96"/>
      <c r="T52" s="96"/>
      <c r="U52" s="96"/>
      <c r="V52" s="96"/>
      <c r="W52" s="96"/>
      <c r="X52" s="96"/>
      <c r="Y52" s="96"/>
      <c r="Z52" s="96"/>
      <c r="AA52" s="92"/>
      <c r="AB52" s="96"/>
      <c r="AC52" s="797"/>
      <c r="AD52" s="797"/>
      <c r="AE52" s="797"/>
      <c r="AF52" s="797"/>
      <c r="AG52" s="810">
        <f t="shared" si="24"/>
        <v>0</v>
      </c>
    </row>
    <row r="53">
      <c r="A53" s="153" t="s">
        <v>1216</v>
      </c>
      <c r="B53" s="96"/>
      <c r="C53" s="96"/>
      <c r="D53" s="96"/>
      <c r="E53" s="96"/>
      <c r="F53" s="96"/>
      <c r="G53" s="96"/>
      <c r="H53" s="96"/>
      <c r="I53" s="96"/>
      <c r="J53" s="96"/>
      <c r="K53" s="96"/>
      <c r="L53" s="96"/>
      <c r="M53" s="96"/>
      <c r="N53" s="96"/>
      <c r="O53" s="96"/>
      <c r="P53" s="96"/>
      <c r="Q53" s="96"/>
      <c r="R53" s="96"/>
      <c r="S53" s="92"/>
      <c r="T53" s="92"/>
      <c r="U53" s="92"/>
      <c r="V53" s="96"/>
      <c r="W53" s="96"/>
      <c r="X53" s="96"/>
      <c r="Y53" s="96"/>
      <c r="Z53" s="96"/>
      <c r="AA53" s="92"/>
      <c r="AB53" s="96"/>
      <c r="AC53" s="797"/>
      <c r="AD53" s="797"/>
      <c r="AE53" s="797"/>
      <c r="AF53" s="797"/>
      <c r="AG53" s="810">
        <f t="shared" si="24"/>
        <v>0</v>
      </c>
    </row>
    <row r="54">
      <c r="A54" s="818" t="s">
        <v>115</v>
      </c>
      <c r="B54" s="315">
        <f t="shared" ref="B54:AF54" si="25">SUM(B46:B53)</f>
        <v>0</v>
      </c>
      <c r="C54" s="315">
        <f t="shared" si="25"/>
        <v>0</v>
      </c>
      <c r="D54" s="315">
        <f t="shared" si="25"/>
        <v>0</v>
      </c>
      <c r="E54" s="315">
        <f t="shared" si="25"/>
        <v>0</v>
      </c>
      <c r="F54" s="315">
        <f t="shared" si="25"/>
        <v>0</v>
      </c>
      <c r="G54" s="315">
        <f t="shared" si="25"/>
        <v>0</v>
      </c>
      <c r="H54" s="315">
        <f t="shared" si="25"/>
        <v>0</v>
      </c>
      <c r="I54" s="315">
        <f t="shared" si="25"/>
        <v>0</v>
      </c>
      <c r="J54" s="315">
        <f t="shared" si="25"/>
        <v>0</v>
      </c>
      <c r="K54" s="315">
        <f t="shared" si="25"/>
        <v>0</v>
      </c>
      <c r="L54" s="315">
        <f t="shared" si="25"/>
        <v>0</v>
      </c>
      <c r="M54" s="315">
        <f t="shared" si="25"/>
        <v>0</v>
      </c>
      <c r="N54" s="315">
        <f t="shared" si="25"/>
        <v>0</v>
      </c>
      <c r="O54" s="315">
        <f t="shared" si="25"/>
        <v>0</v>
      </c>
      <c r="P54" s="315">
        <f t="shared" si="25"/>
        <v>0</v>
      </c>
      <c r="Q54" s="315">
        <f t="shared" si="25"/>
        <v>0</v>
      </c>
      <c r="R54" s="315">
        <f t="shared" si="25"/>
        <v>0</v>
      </c>
      <c r="S54" s="315">
        <f t="shared" si="25"/>
        <v>0</v>
      </c>
      <c r="T54" s="315">
        <f t="shared" si="25"/>
        <v>0</v>
      </c>
      <c r="U54" s="315">
        <f t="shared" si="25"/>
        <v>0</v>
      </c>
      <c r="V54" s="315">
        <f t="shared" si="25"/>
        <v>0</v>
      </c>
      <c r="W54" s="315">
        <f t="shared" si="25"/>
        <v>0</v>
      </c>
      <c r="X54" s="315">
        <f t="shared" si="25"/>
        <v>0</v>
      </c>
      <c r="Y54" s="315">
        <f t="shared" si="25"/>
        <v>0</v>
      </c>
      <c r="Z54" s="315">
        <f t="shared" si="25"/>
        <v>0</v>
      </c>
      <c r="AA54" s="315">
        <f t="shared" si="25"/>
        <v>0</v>
      </c>
      <c r="AB54" s="315">
        <f t="shared" si="25"/>
        <v>0</v>
      </c>
      <c r="AC54" s="315">
        <f t="shared" si="25"/>
        <v>0</v>
      </c>
      <c r="AD54" s="315">
        <f t="shared" si="25"/>
        <v>0</v>
      </c>
      <c r="AE54" s="315">
        <f t="shared" si="25"/>
        <v>0</v>
      </c>
      <c r="AF54" s="315">
        <f t="shared" si="25"/>
        <v>0</v>
      </c>
      <c r="AG54" s="810">
        <f t="shared" si="24"/>
        <v>0</v>
      </c>
    </row>
    <row r="55">
      <c r="A55" s="229"/>
      <c r="B55" s="155"/>
      <c r="C55" s="83"/>
      <c r="D55" s="83"/>
      <c r="E55" s="83"/>
      <c r="F55" s="83"/>
      <c r="G55" s="83"/>
      <c r="H55" s="83"/>
      <c r="I55" s="83"/>
      <c r="J55" s="83"/>
      <c r="K55" s="83"/>
      <c r="L55" s="83"/>
      <c r="M55" s="83"/>
      <c r="N55" s="83"/>
      <c r="O55" s="83"/>
      <c r="P55" s="83"/>
      <c r="Q55" s="83"/>
      <c r="R55" s="83"/>
      <c r="S55" s="83"/>
      <c r="T55" s="83"/>
      <c r="U55" s="83"/>
      <c r="V55" s="83"/>
      <c r="W55" s="83"/>
      <c r="X55" s="83"/>
      <c r="Y55" s="83"/>
      <c r="Z55" s="83"/>
      <c r="AA55" s="83"/>
      <c r="AB55" s="83"/>
      <c r="AC55" s="83"/>
      <c r="AD55" s="83"/>
      <c r="AE55" s="83"/>
      <c r="AF55" s="83"/>
      <c r="AG55" s="810"/>
    </row>
    <row r="56">
      <c r="A56" s="138" t="s">
        <v>1217</v>
      </c>
      <c r="B56" s="155"/>
      <c r="C56" s="83"/>
      <c r="D56" s="83"/>
      <c r="E56" s="83"/>
      <c r="F56" s="83"/>
      <c r="G56" s="83"/>
      <c r="H56" s="83"/>
      <c r="I56" s="83"/>
      <c r="J56" s="83"/>
      <c r="K56" s="83"/>
      <c r="L56" s="83"/>
      <c r="M56" s="83"/>
      <c r="N56" s="83"/>
      <c r="O56" s="83"/>
      <c r="P56" s="83"/>
      <c r="Q56" s="83"/>
      <c r="R56" s="83"/>
      <c r="S56" s="83"/>
      <c r="T56" s="83"/>
      <c r="U56" s="83"/>
      <c r="V56" s="83"/>
      <c r="W56" s="83"/>
      <c r="X56" s="83"/>
      <c r="Y56" s="83"/>
      <c r="Z56" s="83"/>
      <c r="AA56" s="83"/>
      <c r="AB56" s="83"/>
      <c r="AC56" s="83"/>
      <c r="AD56" s="83"/>
      <c r="AE56" s="83"/>
      <c r="AF56" s="83"/>
      <c r="AG56" s="810"/>
    </row>
    <row r="57">
      <c r="A57" s="153" t="s">
        <v>1218</v>
      </c>
      <c r="B57" s="192"/>
      <c r="C57" s="96"/>
      <c r="D57" s="96"/>
      <c r="E57" s="96"/>
      <c r="F57" s="192"/>
      <c r="G57" s="96"/>
      <c r="H57" s="96"/>
      <c r="I57" s="89"/>
      <c r="J57" s="89"/>
      <c r="K57" s="89"/>
      <c r="L57" s="89"/>
      <c r="M57" s="89"/>
      <c r="N57" s="89"/>
      <c r="O57" s="792"/>
      <c r="P57" s="89"/>
      <c r="Q57" s="89"/>
      <c r="R57" s="89"/>
      <c r="S57" s="92"/>
      <c r="T57" s="92"/>
      <c r="U57" s="92"/>
      <c r="V57" s="92"/>
      <c r="W57" s="92"/>
      <c r="X57" s="92"/>
      <c r="Y57" s="92"/>
      <c r="Z57" s="793"/>
      <c r="AA57" s="92"/>
      <c r="AB57" s="92"/>
      <c r="AC57" s="793"/>
      <c r="AD57" s="793"/>
      <c r="AE57" s="793"/>
      <c r="AF57" s="793"/>
      <c r="AG57" s="820">
        <f t="shared" ref="AG57:AG61" si="26">sum(B57:AF57)</f>
        <v>0</v>
      </c>
    </row>
    <row r="58">
      <c r="A58" s="153" t="s">
        <v>1219</v>
      </c>
      <c r="B58" s="192"/>
      <c r="C58" s="96"/>
      <c r="D58" s="96"/>
      <c r="E58" s="96"/>
      <c r="F58" s="192"/>
      <c r="G58" s="96"/>
      <c r="H58" s="96"/>
      <c r="I58" s="89"/>
      <c r="J58" s="89"/>
      <c r="K58" s="89"/>
      <c r="L58" s="89"/>
      <c r="M58" s="89"/>
      <c r="N58" s="89"/>
      <c r="O58" s="792"/>
      <c r="P58" s="89"/>
      <c r="Q58" s="89"/>
      <c r="R58" s="89"/>
      <c r="S58" s="92"/>
      <c r="T58" s="92"/>
      <c r="U58" s="92"/>
      <c r="V58" s="92"/>
      <c r="W58" s="92"/>
      <c r="X58" s="92"/>
      <c r="Y58" s="92"/>
      <c r="Z58" s="793"/>
      <c r="AA58" s="92"/>
      <c r="AB58" s="92"/>
      <c r="AC58" s="793"/>
      <c r="AD58" s="793"/>
      <c r="AE58" s="793"/>
      <c r="AF58" s="793"/>
      <c r="AG58" s="820">
        <f t="shared" si="26"/>
        <v>0</v>
      </c>
    </row>
    <row r="59">
      <c r="A59" s="153" t="s">
        <v>1220</v>
      </c>
      <c r="B59" s="155">
        <f>Summary!B67</f>
        <v>121</v>
      </c>
      <c r="C59" s="155">
        <f>Summary!C67</f>
        <v>18</v>
      </c>
      <c r="D59" s="155">
        <f>Summary!D67</f>
        <v>24</v>
      </c>
      <c r="E59" s="155">
        <f>Summary!E67</f>
        <v>36</v>
      </c>
      <c r="F59" s="155">
        <f>Summary!F67</f>
        <v>0</v>
      </c>
      <c r="G59" s="155">
        <f>Summary!G67</f>
        <v>7</v>
      </c>
      <c r="H59" s="155">
        <f>Summary!H67</f>
        <v>11</v>
      </c>
      <c r="I59" s="155">
        <f>Summary!I67</f>
        <v>4</v>
      </c>
      <c r="J59" s="155">
        <f>Summary!J67</f>
        <v>19</v>
      </c>
      <c r="K59" s="155">
        <f>Summary!K67</f>
        <v>19</v>
      </c>
      <c r="L59" s="155">
        <f>Summary!L67</f>
        <v>24</v>
      </c>
      <c r="M59" s="155">
        <f>Summary!M67</f>
        <v>0</v>
      </c>
      <c r="N59" s="155">
        <f>Summary!N67</f>
        <v>12</v>
      </c>
      <c r="O59" s="155">
        <f>Summary!O67</f>
        <v>2</v>
      </c>
      <c r="P59" s="155">
        <f>Summary!P67</f>
        <v>5</v>
      </c>
      <c r="Q59" s="155">
        <f>Summary!Q67</f>
        <v>3</v>
      </c>
      <c r="R59" s="155">
        <f>Summary!R67</f>
        <v>5</v>
      </c>
      <c r="S59" s="155">
        <f>Summary!S67</f>
        <v>4</v>
      </c>
      <c r="T59" s="155">
        <f>Summary!T67</f>
        <v>0</v>
      </c>
      <c r="U59" s="155">
        <f>Summary!U67</f>
        <v>0</v>
      </c>
      <c r="V59" s="155">
        <f>Summary!V67</f>
        <v>1</v>
      </c>
      <c r="W59" s="155">
        <f>Summary!W67</f>
        <v>3</v>
      </c>
      <c r="X59" s="155">
        <v>0.0</v>
      </c>
      <c r="Y59" s="155">
        <f>Summary!Y67</f>
        <v>5</v>
      </c>
      <c r="Z59" s="155">
        <f>Summary!Z67</f>
        <v>7</v>
      </c>
      <c r="AA59" s="155">
        <f>Summary!AA67</f>
        <v>0</v>
      </c>
      <c r="AB59" s="155">
        <f>Summary!AB67</f>
        <v>1</v>
      </c>
      <c r="AC59" s="155">
        <f>Summary!AC67</f>
        <v>3</v>
      </c>
      <c r="AD59" s="155">
        <f>Summary!AD67</f>
        <v>11</v>
      </c>
      <c r="AE59" s="155" t="str">
        <f t="shared" ref="AE59:AF59" si="27">#REF!</f>
        <v>#REF!</v>
      </c>
      <c r="AF59" s="155" t="str">
        <f t="shared" si="27"/>
        <v>#REF!</v>
      </c>
      <c r="AG59" s="810" t="str">
        <f t="shared" si="26"/>
        <v>#REF!</v>
      </c>
    </row>
    <row r="60">
      <c r="A60" s="153" t="s">
        <v>1221</v>
      </c>
      <c r="B60" s="192"/>
      <c r="C60" s="96"/>
      <c r="D60" s="96"/>
      <c r="E60" s="96"/>
      <c r="F60" s="96"/>
      <c r="G60" s="96"/>
      <c r="H60" s="96"/>
      <c r="I60" s="89"/>
      <c r="J60" s="89"/>
      <c r="K60" s="89"/>
      <c r="L60" s="89"/>
      <c r="M60" s="89"/>
      <c r="N60" s="89"/>
      <c r="O60" s="792"/>
      <c r="P60" s="89"/>
      <c r="Q60" s="89"/>
      <c r="R60" s="89"/>
      <c r="S60" s="92"/>
      <c r="T60" s="92"/>
      <c r="U60" s="92"/>
      <c r="V60" s="92"/>
      <c r="W60" s="92"/>
      <c r="X60" s="92"/>
      <c r="Y60" s="92"/>
      <c r="Z60" s="794"/>
      <c r="AA60" s="92"/>
      <c r="AB60" s="92"/>
      <c r="AC60" s="92"/>
      <c r="AD60" s="92"/>
      <c r="AE60" s="92"/>
      <c r="AF60" s="92"/>
      <c r="AG60" s="820">
        <f t="shared" si="26"/>
        <v>0</v>
      </c>
    </row>
    <row r="61">
      <c r="A61" s="818" t="s">
        <v>515</v>
      </c>
      <c r="B61" s="315">
        <f t="shared" ref="B61:AF61" si="28">SUM(B57:B60)</f>
        <v>121</v>
      </c>
      <c r="C61" s="315">
        <f t="shared" si="28"/>
        <v>18</v>
      </c>
      <c r="D61" s="315">
        <f t="shared" si="28"/>
        <v>24</v>
      </c>
      <c r="E61" s="315">
        <f t="shared" si="28"/>
        <v>36</v>
      </c>
      <c r="F61" s="315">
        <f t="shared" si="28"/>
        <v>0</v>
      </c>
      <c r="G61" s="315">
        <f t="shared" si="28"/>
        <v>7</v>
      </c>
      <c r="H61" s="315">
        <f t="shared" si="28"/>
        <v>11</v>
      </c>
      <c r="I61" s="315">
        <f t="shared" si="28"/>
        <v>4</v>
      </c>
      <c r="J61" s="315">
        <f t="shared" si="28"/>
        <v>19</v>
      </c>
      <c r="K61" s="315">
        <f t="shared" si="28"/>
        <v>19</v>
      </c>
      <c r="L61" s="315">
        <f t="shared" si="28"/>
        <v>24</v>
      </c>
      <c r="M61" s="315">
        <f t="shared" si="28"/>
        <v>0</v>
      </c>
      <c r="N61" s="315">
        <f t="shared" si="28"/>
        <v>12</v>
      </c>
      <c r="O61" s="315">
        <f t="shared" si="28"/>
        <v>2</v>
      </c>
      <c r="P61" s="315">
        <f t="shared" si="28"/>
        <v>5</v>
      </c>
      <c r="Q61" s="315">
        <f t="shared" si="28"/>
        <v>3</v>
      </c>
      <c r="R61" s="315">
        <f t="shared" si="28"/>
        <v>5</v>
      </c>
      <c r="S61" s="315">
        <f t="shared" si="28"/>
        <v>4</v>
      </c>
      <c r="T61" s="315">
        <f t="shared" si="28"/>
        <v>0</v>
      </c>
      <c r="U61" s="315">
        <f t="shared" si="28"/>
        <v>0</v>
      </c>
      <c r="V61" s="315">
        <f t="shared" si="28"/>
        <v>1</v>
      </c>
      <c r="W61" s="315">
        <f t="shared" si="28"/>
        <v>3</v>
      </c>
      <c r="X61" s="315">
        <f t="shared" si="28"/>
        <v>0</v>
      </c>
      <c r="Y61" s="315">
        <f t="shared" si="28"/>
        <v>5</v>
      </c>
      <c r="Z61" s="315">
        <f t="shared" si="28"/>
        <v>7</v>
      </c>
      <c r="AA61" s="315">
        <f t="shared" si="28"/>
        <v>0</v>
      </c>
      <c r="AB61" s="315">
        <f t="shared" si="28"/>
        <v>1</v>
      </c>
      <c r="AC61" s="315">
        <f t="shared" si="28"/>
        <v>3</v>
      </c>
      <c r="AD61" s="315">
        <f t="shared" si="28"/>
        <v>11</v>
      </c>
      <c r="AE61" s="315" t="str">
        <f t="shared" si="28"/>
        <v>#REF!</v>
      </c>
      <c r="AF61" s="315" t="str">
        <f t="shared" si="28"/>
        <v>#REF!</v>
      </c>
      <c r="AG61" s="810" t="str">
        <f t="shared" si="26"/>
        <v>#REF!</v>
      </c>
    </row>
    <row r="62">
      <c r="A62" s="98"/>
      <c r="B62" s="162"/>
      <c r="C62" s="162"/>
      <c r="D62" s="162"/>
      <c r="E62" s="162"/>
      <c r="F62" s="162"/>
      <c r="G62" s="162"/>
      <c r="H62" s="162"/>
      <c r="I62" s="162"/>
      <c r="J62" s="83"/>
      <c r="K62" s="83"/>
      <c r="L62" s="83"/>
      <c r="M62" s="83"/>
      <c r="N62" s="83"/>
      <c r="O62" s="83"/>
      <c r="P62" s="83"/>
      <c r="Q62" s="83"/>
      <c r="R62" s="83"/>
      <c r="S62" s="83"/>
      <c r="T62" s="83"/>
      <c r="U62" s="83"/>
      <c r="V62" s="83"/>
      <c r="W62" s="83"/>
      <c r="X62" s="83"/>
      <c r="Y62" s="83"/>
      <c r="Z62" s="83"/>
      <c r="AA62" s="83"/>
      <c r="AB62" s="83"/>
      <c r="AC62" s="83"/>
      <c r="AD62" s="83"/>
      <c r="AE62" s="83"/>
      <c r="AF62" s="83"/>
      <c r="AG62" s="819"/>
    </row>
    <row r="63">
      <c r="A63" s="153" t="s">
        <v>131</v>
      </c>
      <c r="B63" s="96"/>
      <c r="C63" s="96"/>
      <c r="D63" s="96"/>
      <c r="E63" s="96"/>
      <c r="F63" s="96"/>
      <c r="G63" s="96"/>
      <c r="H63" s="96"/>
      <c r="I63" s="89"/>
      <c r="J63" s="89"/>
      <c r="K63" s="89"/>
      <c r="L63" s="89"/>
      <c r="M63" s="89"/>
      <c r="N63" s="89"/>
      <c r="O63" s="89"/>
      <c r="P63" s="89"/>
      <c r="Q63" s="89"/>
      <c r="R63" s="89"/>
      <c r="S63" s="92"/>
      <c r="T63" s="92"/>
      <c r="U63" s="92"/>
      <c r="V63" s="92"/>
      <c r="W63" s="92"/>
      <c r="X63" s="92"/>
      <c r="Y63" s="92"/>
      <c r="Z63" s="795"/>
      <c r="AA63" s="92"/>
      <c r="AB63" s="92"/>
      <c r="AC63" s="795"/>
      <c r="AD63" s="795"/>
      <c r="AE63" s="795"/>
      <c r="AF63" s="795"/>
      <c r="AG63" s="820">
        <f t="shared" ref="AG63:AG71" si="29">sum(B63:AF63)</f>
        <v>0</v>
      </c>
    </row>
    <row r="64">
      <c r="A64" s="153" t="s">
        <v>132</v>
      </c>
      <c r="B64" s="96"/>
      <c r="C64" s="96"/>
      <c r="D64" s="96"/>
      <c r="E64" s="96"/>
      <c r="F64" s="96"/>
      <c r="G64" s="96"/>
      <c r="H64" s="96"/>
      <c r="I64" s="89"/>
      <c r="J64" s="89"/>
      <c r="K64" s="89"/>
      <c r="L64" s="89"/>
      <c r="M64" s="89"/>
      <c r="N64" s="96"/>
      <c r="O64" s="89"/>
      <c r="P64" s="96"/>
      <c r="Q64" s="89"/>
      <c r="R64" s="89"/>
      <c r="S64" s="92"/>
      <c r="T64" s="92"/>
      <c r="U64" s="92"/>
      <c r="V64" s="92"/>
      <c r="W64" s="92"/>
      <c r="X64" s="92"/>
      <c r="Y64" s="92"/>
      <c r="Z64" s="793"/>
      <c r="AA64" s="796"/>
      <c r="AB64" s="92"/>
      <c r="AC64" s="796"/>
      <c r="AD64" s="796"/>
      <c r="AE64" s="796"/>
      <c r="AF64" s="796"/>
      <c r="AG64" s="820">
        <f t="shared" si="29"/>
        <v>0</v>
      </c>
    </row>
    <row r="65">
      <c r="A65" s="153" t="s">
        <v>1222</v>
      </c>
      <c r="B65" s="96"/>
      <c r="C65" s="96"/>
      <c r="D65" s="96"/>
      <c r="E65" s="96"/>
      <c r="F65" s="96"/>
      <c r="G65" s="96"/>
      <c r="H65" s="96"/>
      <c r="I65" s="96"/>
      <c r="J65" s="96"/>
      <c r="K65" s="96"/>
      <c r="L65" s="96"/>
      <c r="M65" s="96"/>
      <c r="N65" s="96"/>
      <c r="O65" s="96"/>
      <c r="P65" s="96"/>
      <c r="Q65" s="96"/>
      <c r="R65" s="96"/>
      <c r="S65" s="96"/>
      <c r="T65" s="96"/>
      <c r="U65" s="96"/>
      <c r="V65" s="96"/>
      <c r="W65" s="96"/>
      <c r="X65" s="96"/>
      <c r="Y65" s="96"/>
      <c r="Z65" s="797"/>
      <c r="AA65" s="96"/>
      <c r="AB65" s="96"/>
      <c r="AC65" s="797"/>
      <c r="AD65" s="797"/>
      <c r="AE65" s="797"/>
      <c r="AF65" s="797"/>
      <c r="AG65" s="820">
        <f t="shared" si="29"/>
        <v>0</v>
      </c>
    </row>
    <row r="66">
      <c r="A66" s="153" t="s">
        <v>1223</v>
      </c>
      <c r="B66" s="192"/>
      <c r="C66" s="96"/>
      <c r="D66" s="96"/>
      <c r="E66" s="96"/>
      <c r="F66" s="96"/>
      <c r="G66" s="96"/>
      <c r="H66" s="96"/>
      <c r="I66" s="89"/>
      <c r="J66" s="89"/>
      <c r="K66" s="89"/>
      <c r="L66" s="89"/>
      <c r="M66" s="89"/>
      <c r="N66" s="89"/>
      <c r="O66" s="792"/>
      <c r="P66" s="89"/>
      <c r="Q66" s="89"/>
      <c r="R66" s="89"/>
      <c r="S66" s="92"/>
      <c r="T66" s="92"/>
      <c r="U66" s="96"/>
      <c r="V66" s="96"/>
      <c r="W66" s="96"/>
      <c r="X66" s="96"/>
      <c r="Y66" s="96"/>
      <c r="Z66" s="797"/>
      <c r="AA66" s="96"/>
      <c r="AB66" s="96"/>
      <c r="AC66" s="797"/>
      <c r="AD66" s="797"/>
      <c r="AE66" s="797"/>
      <c r="AF66" s="797"/>
      <c r="AG66" s="820">
        <f t="shared" si="29"/>
        <v>0</v>
      </c>
    </row>
    <row r="67">
      <c r="A67" s="153" t="s">
        <v>1224</v>
      </c>
      <c r="B67" s="96"/>
      <c r="C67" s="96"/>
      <c r="D67" s="96"/>
      <c r="E67" s="96"/>
      <c r="F67" s="96"/>
      <c r="G67" s="96"/>
      <c r="H67" s="96"/>
      <c r="I67" s="96"/>
      <c r="J67" s="96"/>
      <c r="K67" s="96"/>
      <c r="L67" s="96"/>
      <c r="M67" s="96"/>
      <c r="N67" s="96"/>
      <c r="O67" s="96"/>
      <c r="P67" s="96"/>
      <c r="Q67" s="96"/>
      <c r="R67" s="96"/>
      <c r="S67" s="96"/>
      <c r="T67" s="96"/>
      <c r="U67" s="96"/>
      <c r="V67" s="96"/>
      <c r="W67" s="96"/>
      <c r="X67" s="96"/>
      <c r="Y67" s="96"/>
      <c r="Z67" s="96"/>
      <c r="AA67" s="92"/>
      <c r="AB67" s="96"/>
      <c r="AC67" s="797"/>
      <c r="AD67" s="797"/>
      <c r="AE67" s="797"/>
      <c r="AF67" s="797"/>
      <c r="AG67" s="820">
        <f t="shared" si="29"/>
        <v>0</v>
      </c>
    </row>
    <row r="68">
      <c r="A68" s="153" t="s">
        <v>1225</v>
      </c>
      <c r="B68" s="192"/>
      <c r="C68" s="96"/>
      <c r="D68" s="96"/>
      <c r="E68" s="96"/>
      <c r="F68" s="96"/>
      <c r="G68" s="96"/>
      <c r="H68" s="96"/>
      <c r="I68" s="89"/>
      <c r="J68" s="89"/>
      <c r="K68" s="89"/>
      <c r="L68" s="89"/>
      <c r="M68" s="89"/>
      <c r="N68" s="89"/>
      <c r="O68" s="792"/>
      <c r="P68" s="89"/>
      <c r="Q68" s="89"/>
      <c r="R68" s="89"/>
      <c r="S68" s="92"/>
      <c r="T68" s="92"/>
      <c r="U68" s="96"/>
      <c r="V68" s="96"/>
      <c r="W68" s="96"/>
      <c r="X68" s="96"/>
      <c r="Y68" s="96"/>
      <c r="Z68" s="96"/>
      <c r="AA68" s="92"/>
      <c r="AB68" s="96"/>
      <c r="AC68" s="797"/>
      <c r="AD68" s="797"/>
      <c r="AE68" s="797"/>
      <c r="AF68" s="797"/>
      <c r="AG68" s="820">
        <f t="shared" si="29"/>
        <v>0</v>
      </c>
    </row>
    <row r="69">
      <c r="A69" s="153" t="s">
        <v>1226</v>
      </c>
      <c r="B69" s="96"/>
      <c r="C69" s="96"/>
      <c r="D69" s="96"/>
      <c r="E69" s="96"/>
      <c r="F69" s="96"/>
      <c r="G69" s="96"/>
      <c r="H69" s="96"/>
      <c r="I69" s="96"/>
      <c r="J69" s="96"/>
      <c r="K69" s="96"/>
      <c r="L69" s="96"/>
      <c r="M69" s="96"/>
      <c r="N69" s="96"/>
      <c r="O69" s="96"/>
      <c r="P69" s="96"/>
      <c r="Q69" s="96"/>
      <c r="R69" s="96"/>
      <c r="S69" s="96"/>
      <c r="T69" s="96"/>
      <c r="U69" s="96"/>
      <c r="V69" s="96"/>
      <c r="W69" s="96"/>
      <c r="X69" s="96"/>
      <c r="Y69" s="96"/>
      <c r="Z69" s="96"/>
      <c r="AA69" s="92"/>
      <c r="AB69" s="96"/>
      <c r="AC69" s="797"/>
      <c r="AD69" s="797"/>
      <c r="AE69" s="797"/>
      <c r="AF69" s="797"/>
      <c r="AG69" s="820">
        <f t="shared" si="29"/>
        <v>0</v>
      </c>
    </row>
    <row r="70">
      <c r="A70" s="153" t="s">
        <v>1227</v>
      </c>
      <c r="B70" s="96"/>
      <c r="C70" s="96"/>
      <c r="D70" s="96"/>
      <c r="E70" s="96"/>
      <c r="F70" s="96"/>
      <c r="G70" s="96"/>
      <c r="H70" s="96"/>
      <c r="I70" s="96"/>
      <c r="J70" s="96"/>
      <c r="K70" s="96"/>
      <c r="L70" s="96"/>
      <c r="M70" s="96"/>
      <c r="N70" s="96"/>
      <c r="O70" s="96"/>
      <c r="P70" s="96"/>
      <c r="Q70" s="96"/>
      <c r="R70" s="96"/>
      <c r="S70" s="92"/>
      <c r="T70" s="92"/>
      <c r="U70" s="96"/>
      <c r="V70" s="96"/>
      <c r="W70" s="96"/>
      <c r="X70" s="96"/>
      <c r="Y70" s="96"/>
      <c r="Z70" s="96"/>
      <c r="AA70" s="92"/>
      <c r="AB70" s="96"/>
      <c r="AC70" s="797"/>
      <c r="AD70" s="797"/>
      <c r="AE70" s="797"/>
      <c r="AF70" s="797"/>
      <c r="AG70" s="820">
        <f t="shared" si="29"/>
        <v>0</v>
      </c>
    </row>
    <row r="71">
      <c r="A71" s="818" t="s">
        <v>115</v>
      </c>
      <c r="B71" s="315">
        <f t="shared" ref="B71:AF71" si="30">SUM(B63:B70)</f>
        <v>0</v>
      </c>
      <c r="C71" s="315">
        <f t="shared" si="30"/>
        <v>0</v>
      </c>
      <c r="D71" s="315">
        <f t="shared" si="30"/>
        <v>0</v>
      </c>
      <c r="E71" s="315">
        <f t="shared" si="30"/>
        <v>0</v>
      </c>
      <c r="F71" s="315">
        <f t="shared" si="30"/>
        <v>0</v>
      </c>
      <c r="G71" s="315">
        <f t="shared" si="30"/>
        <v>0</v>
      </c>
      <c r="H71" s="315">
        <f t="shared" si="30"/>
        <v>0</v>
      </c>
      <c r="I71" s="315">
        <f t="shared" si="30"/>
        <v>0</v>
      </c>
      <c r="J71" s="315">
        <f t="shared" si="30"/>
        <v>0</v>
      </c>
      <c r="K71" s="315">
        <f t="shared" si="30"/>
        <v>0</v>
      </c>
      <c r="L71" s="315">
        <f t="shared" si="30"/>
        <v>0</v>
      </c>
      <c r="M71" s="315">
        <f t="shared" si="30"/>
        <v>0</v>
      </c>
      <c r="N71" s="315">
        <f t="shared" si="30"/>
        <v>0</v>
      </c>
      <c r="O71" s="315">
        <f t="shared" si="30"/>
        <v>0</v>
      </c>
      <c r="P71" s="315">
        <f t="shared" si="30"/>
        <v>0</v>
      </c>
      <c r="Q71" s="315">
        <f t="shared" si="30"/>
        <v>0</v>
      </c>
      <c r="R71" s="315">
        <f t="shared" si="30"/>
        <v>0</v>
      </c>
      <c r="S71" s="315">
        <f t="shared" si="30"/>
        <v>0</v>
      </c>
      <c r="T71" s="315">
        <f t="shared" si="30"/>
        <v>0</v>
      </c>
      <c r="U71" s="315">
        <f t="shared" si="30"/>
        <v>0</v>
      </c>
      <c r="V71" s="315">
        <f t="shared" si="30"/>
        <v>0</v>
      </c>
      <c r="W71" s="315">
        <f t="shared" si="30"/>
        <v>0</v>
      </c>
      <c r="X71" s="315">
        <f t="shared" si="30"/>
        <v>0</v>
      </c>
      <c r="Y71" s="315">
        <f t="shared" si="30"/>
        <v>0</v>
      </c>
      <c r="Z71" s="315">
        <f t="shared" si="30"/>
        <v>0</v>
      </c>
      <c r="AA71" s="315">
        <f t="shared" si="30"/>
        <v>0</v>
      </c>
      <c r="AB71" s="315">
        <f t="shared" si="30"/>
        <v>0</v>
      </c>
      <c r="AC71" s="315">
        <f t="shared" si="30"/>
        <v>0</v>
      </c>
      <c r="AD71" s="315">
        <f t="shared" si="30"/>
        <v>0</v>
      </c>
      <c r="AE71" s="315">
        <f t="shared" si="30"/>
        <v>0</v>
      </c>
      <c r="AF71" s="315">
        <f t="shared" si="30"/>
        <v>0</v>
      </c>
      <c r="AG71" s="810">
        <f t="shared" si="29"/>
        <v>0</v>
      </c>
    </row>
    <row r="72">
      <c r="A72" s="229"/>
      <c r="B72" s="155"/>
      <c r="C72" s="83"/>
      <c r="D72" s="83"/>
      <c r="E72" s="83"/>
      <c r="F72" s="83"/>
      <c r="G72" s="83"/>
      <c r="H72" s="83"/>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810"/>
    </row>
    <row r="73">
      <c r="A73" s="229"/>
      <c r="B73" s="155"/>
      <c r="C73" s="83"/>
      <c r="D73" s="83"/>
      <c r="E73" s="83"/>
      <c r="F73" s="83"/>
      <c r="G73" s="83"/>
      <c r="H73" s="83"/>
      <c r="I73" s="83"/>
      <c r="J73" s="83"/>
      <c r="K73" s="83"/>
      <c r="L73" s="83"/>
      <c r="M73" s="83"/>
      <c r="N73" s="83"/>
      <c r="O73" s="83"/>
      <c r="P73" s="83"/>
      <c r="Q73" s="83"/>
      <c r="R73" s="83"/>
      <c r="S73" s="83"/>
      <c r="T73" s="83"/>
      <c r="U73" s="83"/>
      <c r="V73" s="83"/>
      <c r="W73" s="83"/>
      <c r="X73" s="83"/>
      <c r="Y73" s="83"/>
      <c r="Z73" s="83"/>
      <c r="AA73" s="83"/>
      <c r="AB73" s="83"/>
      <c r="AC73" s="83"/>
      <c r="AD73" s="83"/>
      <c r="AE73" s="83"/>
      <c r="AF73" s="83"/>
      <c r="AG73" s="810"/>
    </row>
    <row r="74">
      <c r="A74" s="138" t="s">
        <v>1228</v>
      </c>
      <c r="B74" s="155"/>
      <c r="C74" s="83"/>
      <c r="D74" s="83"/>
      <c r="E74" s="83"/>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10"/>
    </row>
    <row r="75" outlineLevel="1">
      <c r="A75" s="397" t="s">
        <v>1229</v>
      </c>
      <c r="B75" s="154">
        <v>0.0</v>
      </c>
      <c r="C75" s="155">
        <v>0.0</v>
      </c>
      <c r="D75" s="155">
        <v>0.0</v>
      </c>
      <c r="E75" s="155">
        <v>0.0</v>
      </c>
      <c r="F75" s="154">
        <v>0.0</v>
      </c>
      <c r="G75" s="155">
        <v>0.0</v>
      </c>
      <c r="H75" s="155">
        <v>1.0</v>
      </c>
      <c r="I75" s="141">
        <v>1.0</v>
      </c>
      <c r="J75" s="141">
        <v>0.0</v>
      </c>
      <c r="K75" s="141">
        <v>2.0</v>
      </c>
      <c r="L75" s="141">
        <v>0.0</v>
      </c>
      <c r="M75" s="141">
        <v>3.0</v>
      </c>
      <c r="N75" s="141">
        <v>3.0</v>
      </c>
      <c r="O75" s="140">
        <v>0.0</v>
      </c>
      <c r="P75" s="141">
        <v>0.0</v>
      </c>
      <c r="Q75" s="141">
        <v>0.0</v>
      </c>
      <c r="R75" s="141">
        <v>0.0</v>
      </c>
      <c r="S75" s="84">
        <v>0.0</v>
      </c>
      <c r="T75" s="84">
        <v>0.0</v>
      </c>
      <c r="U75" s="84">
        <v>0.0</v>
      </c>
      <c r="V75" s="84">
        <v>0.0</v>
      </c>
      <c r="W75" s="84">
        <v>0.0</v>
      </c>
      <c r="X75" s="84">
        <v>0.0</v>
      </c>
      <c r="Y75" s="84">
        <v>0.0</v>
      </c>
      <c r="Z75" s="821">
        <v>0.0</v>
      </c>
      <c r="AA75" s="822">
        <v>0.0</v>
      </c>
      <c r="AB75" s="822">
        <v>0.0</v>
      </c>
      <c r="AC75" s="156"/>
      <c r="AD75" s="156"/>
      <c r="AE75" s="156"/>
      <c r="AF75" s="156"/>
      <c r="AG75" s="810">
        <f t="shared" ref="AG75:AG79" si="31">sum(B75:AF75)</f>
        <v>10</v>
      </c>
    </row>
    <row r="76" outlineLevel="1">
      <c r="A76" s="397" t="s">
        <v>1230</v>
      </c>
      <c r="B76" s="154">
        <v>0.0</v>
      </c>
      <c r="C76" s="155">
        <v>0.0</v>
      </c>
      <c r="D76" s="155">
        <v>0.0</v>
      </c>
      <c r="E76" s="155">
        <v>0.0</v>
      </c>
      <c r="F76" s="154">
        <v>0.0</v>
      </c>
      <c r="G76" s="155">
        <v>0.0</v>
      </c>
      <c r="H76" s="155">
        <v>1.0</v>
      </c>
      <c r="I76" s="141">
        <v>1.0</v>
      </c>
      <c r="J76" s="141">
        <v>1.0</v>
      </c>
      <c r="K76" s="141">
        <v>0.0</v>
      </c>
      <c r="L76" s="141">
        <v>1.0</v>
      </c>
      <c r="M76" s="141">
        <v>2.0</v>
      </c>
      <c r="N76" s="141">
        <v>2.0</v>
      </c>
      <c r="O76" s="140">
        <v>0.0</v>
      </c>
      <c r="P76" s="141">
        <v>0.0</v>
      </c>
      <c r="Q76" s="141">
        <v>0.0</v>
      </c>
      <c r="R76" s="141">
        <v>0.0</v>
      </c>
      <c r="S76" s="84">
        <v>0.0</v>
      </c>
      <c r="T76" s="84">
        <v>0.0</v>
      </c>
      <c r="U76" s="84">
        <v>0.0</v>
      </c>
      <c r="V76" s="84">
        <v>0.0</v>
      </c>
      <c r="W76" s="84">
        <v>0.0</v>
      </c>
      <c r="X76" s="84">
        <v>0.0</v>
      </c>
      <c r="Y76" s="84">
        <v>0.0</v>
      </c>
      <c r="Z76" s="821">
        <v>0.0</v>
      </c>
      <c r="AA76" s="822">
        <v>0.0</v>
      </c>
      <c r="AB76" s="822">
        <v>0.0</v>
      </c>
      <c r="AC76" s="156"/>
      <c r="AD76" s="156"/>
      <c r="AE76" s="156"/>
      <c r="AF76" s="156"/>
      <c r="AG76" s="810">
        <f t="shared" si="31"/>
        <v>8</v>
      </c>
    </row>
    <row r="77" outlineLevel="1">
      <c r="A77" s="397" t="s">
        <v>1231</v>
      </c>
      <c r="B77" s="155">
        <v>3.0</v>
      </c>
      <c r="C77" s="155">
        <v>0.0</v>
      </c>
      <c r="D77" s="155">
        <v>2.0</v>
      </c>
      <c r="E77" s="155">
        <v>1.0</v>
      </c>
      <c r="F77" s="155">
        <v>1.0</v>
      </c>
      <c r="G77" s="155">
        <v>0.0</v>
      </c>
      <c r="H77" s="155">
        <v>3.0</v>
      </c>
      <c r="I77" s="141">
        <v>10.0</v>
      </c>
      <c r="J77" s="141">
        <v>2.0</v>
      </c>
      <c r="K77" s="141">
        <v>2.0</v>
      </c>
      <c r="L77" s="141">
        <v>4.0</v>
      </c>
      <c r="M77" s="141">
        <v>66.0</v>
      </c>
      <c r="N77" s="141">
        <v>15.0</v>
      </c>
      <c r="O77" s="140">
        <v>0.0</v>
      </c>
      <c r="P77" s="141">
        <v>0.0</v>
      </c>
      <c r="Q77" s="141">
        <v>0.0</v>
      </c>
      <c r="R77" s="141">
        <v>2.0</v>
      </c>
      <c r="S77" s="84">
        <v>2.0</v>
      </c>
      <c r="T77" s="84">
        <v>0.0</v>
      </c>
      <c r="U77" s="84">
        <v>0.0</v>
      </c>
      <c r="V77" s="84">
        <v>0.0</v>
      </c>
      <c r="W77" s="84">
        <v>0.0</v>
      </c>
      <c r="X77" s="84">
        <v>0.0</v>
      </c>
      <c r="Y77" s="84">
        <v>0.0</v>
      </c>
      <c r="Z77" s="822">
        <v>0.0</v>
      </c>
      <c r="AA77" s="822">
        <v>0.0</v>
      </c>
      <c r="AB77" s="822">
        <v>0.0</v>
      </c>
      <c r="AC77" s="84"/>
      <c r="AD77" s="84"/>
      <c r="AE77" s="84"/>
      <c r="AF77" s="84"/>
      <c r="AG77" s="810">
        <f t="shared" si="31"/>
        <v>113</v>
      </c>
    </row>
    <row r="78" outlineLevel="1">
      <c r="A78" s="397" t="s">
        <v>1232</v>
      </c>
      <c r="B78" s="154">
        <v>3.0</v>
      </c>
      <c r="C78" s="155">
        <v>1.0</v>
      </c>
      <c r="D78" s="155">
        <v>0.0</v>
      </c>
      <c r="E78" s="155">
        <v>0.0</v>
      </c>
      <c r="F78" s="155">
        <v>0.0</v>
      </c>
      <c r="G78" s="155">
        <v>0.0</v>
      </c>
      <c r="H78" s="155">
        <v>0.0</v>
      </c>
      <c r="I78" s="141">
        <v>7.0</v>
      </c>
      <c r="J78" s="141">
        <v>0.0</v>
      </c>
      <c r="K78" s="141">
        <v>0.0</v>
      </c>
      <c r="L78" s="141">
        <v>0.0</v>
      </c>
      <c r="M78" s="141">
        <v>21.0</v>
      </c>
      <c r="N78" s="141">
        <v>9.0</v>
      </c>
      <c r="O78" s="140">
        <v>0.0</v>
      </c>
      <c r="P78" s="141">
        <v>0.0</v>
      </c>
      <c r="Q78" s="141">
        <v>0.0</v>
      </c>
      <c r="R78" s="141">
        <v>1.0</v>
      </c>
      <c r="S78" s="84">
        <v>0.0</v>
      </c>
      <c r="T78" s="84">
        <v>0.0</v>
      </c>
      <c r="U78" s="84">
        <v>0.0</v>
      </c>
      <c r="V78" s="84">
        <v>0.0</v>
      </c>
      <c r="W78" s="84">
        <v>0.0</v>
      </c>
      <c r="X78" s="84">
        <v>0.0</v>
      </c>
      <c r="Y78" s="84">
        <v>0.0</v>
      </c>
      <c r="Z78" s="822">
        <v>0.0</v>
      </c>
      <c r="AA78" s="822">
        <v>0.0</v>
      </c>
      <c r="AB78" s="822">
        <v>0.0</v>
      </c>
      <c r="AC78" s="84"/>
      <c r="AD78" s="84"/>
      <c r="AE78" s="84"/>
      <c r="AF78" s="84"/>
      <c r="AG78" s="810">
        <f t="shared" si="31"/>
        <v>42</v>
      </c>
    </row>
    <row r="79" outlineLevel="1">
      <c r="A79" s="443" t="s">
        <v>515</v>
      </c>
      <c r="B79" s="444">
        <f t="shared" ref="B79:AF79" si="32">SUM(B75:B78)</f>
        <v>6</v>
      </c>
      <c r="C79" s="444">
        <f t="shared" si="32"/>
        <v>1</v>
      </c>
      <c r="D79" s="444">
        <f t="shared" si="32"/>
        <v>2</v>
      </c>
      <c r="E79" s="444">
        <f t="shared" si="32"/>
        <v>1</v>
      </c>
      <c r="F79" s="444">
        <f t="shared" si="32"/>
        <v>1</v>
      </c>
      <c r="G79" s="444">
        <f t="shared" si="32"/>
        <v>0</v>
      </c>
      <c r="H79" s="444">
        <f t="shared" si="32"/>
        <v>5</v>
      </c>
      <c r="I79" s="444">
        <f t="shared" si="32"/>
        <v>19</v>
      </c>
      <c r="J79" s="444">
        <f t="shared" si="32"/>
        <v>3</v>
      </c>
      <c r="K79" s="444">
        <f t="shared" si="32"/>
        <v>4</v>
      </c>
      <c r="L79" s="444">
        <f t="shared" si="32"/>
        <v>5</v>
      </c>
      <c r="M79" s="444">
        <f t="shared" si="32"/>
        <v>92</v>
      </c>
      <c r="N79" s="444">
        <f t="shared" si="32"/>
        <v>29</v>
      </c>
      <c r="O79" s="444">
        <f t="shared" si="32"/>
        <v>0</v>
      </c>
      <c r="P79" s="444">
        <f t="shared" si="32"/>
        <v>0</v>
      </c>
      <c r="Q79" s="444">
        <f t="shared" si="32"/>
        <v>0</v>
      </c>
      <c r="R79" s="444">
        <f t="shared" si="32"/>
        <v>3</v>
      </c>
      <c r="S79" s="444">
        <f t="shared" si="32"/>
        <v>2</v>
      </c>
      <c r="T79" s="444">
        <f t="shared" si="32"/>
        <v>0</v>
      </c>
      <c r="U79" s="444">
        <f t="shared" si="32"/>
        <v>0</v>
      </c>
      <c r="V79" s="444">
        <f t="shared" si="32"/>
        <v>0</v>
      </c>
      <c r="W79" s="444">
        <f t="shared" si="32"/>
        <v>0</v>
      </c>
      <c r="X79" s="444">
        <f t="shared" si="32"/>
        <v>0</v>
      </c>
      <c r="Y79" s="444">
        <f t="shared" si="32"/>
        <v>0</v>
      </c>
      <c r="Z79" s="444">
        <f t="shared" si="32"/>
        <v>0</v>
      </c>
      <c r="AA79" s="444">
        <f t="shared" si="32"/>
        <v>0</v>
      </c>
      <c r="AB79" s="444">
        <f t="shared" si="32"/>
        <v>0</v>
      </c>
      <c r="AC79" s="444">
        <f t="shared" si="32"/>
        <v>0</v>
      </c>
      <c r="AD79" s="444">
        <f t="shared" si="32"/>
        <v>0</v>
      </c>
      <c r="AE79" s="444">
        <f t="shared" si="32"/>
        <v>0</v>
      </c>
      <c r="AF79" s="444">
        <f t="shared" si="32"/>
        <v>0</v>
      </c>
      <c r="AG79" s="823">
        <f t="shared" si="31"/>
        <v>173</v>
      </c>
    </row>
    <row r="80" outlineLevel="1">
      <c r="A80" s="98"/>
      <c r="B80" s="162"/>
      <c r="C80" s="162"/>
      <c r="D80" s="162"/>
      <c r="E80" s="162"/>
      <c r="F80" s="162"/>
      <c r="G80" s="162"/>
      <c r="H80" s="162"/>
      <c r="I80" s="162"/>
      <c r="J80" s="83"/>
      <c r="K80" s="83"/>
      <c r="L80" s="83"/>
      <c r="M80" s="83"/>
      <c r="N80" s="83"/>
      <c r="O80" s="83"/>
      <c r="P80" s="83"/>
      <c r="Q80" s="83"/>
      <c r="R80" s="83"/>
      <c r="S80" s="83"/>
      <c r="T80" s="83"/>
      <c r="U80" s="83"/>
      <c r="V80" s="83"/>
      <c r="W80" s="83"/>
      <c r="X80" s="83"/>
      <c r="Y80" s="83"/>
      <c r="Z80" s="83"/>
      <c r="AA80" s="83"/>
      <c r="AB80" s="83"/>
      <c r="AC80" s="83"/>
      <c r="AD80" s="83"/>
      <c r="AE80" s="83"/>
      <c r="AF80" s="83"/>
      <c r="AG80" s="819"/>
    </row>
    <row r="81" outlineLevel="1">
      <c r="A81" s="397" t="s">
        <v>131</v>
      </c>
      <c r="B81" s="155">
        <v>0.0</v>
      </c>
      <c r="C81" s="155">
        <v>0.0</v>
      </c>
      <c r="D81" s="155">
        <v>0.0</v>
      </c>
      <c r="E81" s="155">
        <v>0.0</v>
      </c>
      <c r="F81" s="155">
        <v>0.0</v>
      </c>
      <c r="G81" s="155">
        <v>0.0</v>
      </c>
      <c r="H81" s="155">
        <v>0.0</v>
      </c>
      <c r="I81" s="155">
        <v>0.0</v>
      </c>
      <c r="J81" s="155">
        <v>0.0</v>
      </c>
      <c r="K81" s="155">
        <v>0.0</v>
      </c>
      <c r="L81" s="155">
        <v>0.0</v>
      </c>
      <c r="M81" s="155">
        <v>0.0</v>
      </c>
      <c r="N81" s="155">
        <v>0.0</v>
      </c>
      <c r="O81" s="141">
        <v>0.0</v>
      </c>
      <c r="P81" s="141">
        <v>0.0</v>
      </c>
      <c r="Q81" s="141">
        <v>0.0</v>
      </c>
      <c r="R81" s="141">
        <v>0.0</v>
      </c>
      <c r="S81" s="141">
        <v>0.0</v>
      </c>
      <c r="T81" s="141">
        <v>0.0</v>
      </c>
      <c r="U81" s="141">
        <v>0.0</v>
      </c>
      <c r="V81" s="84">
        <v>0.0</v>
      </c>
      <c r="W81" s="84">
        <v>0.0</v>
      </c>
      <c r="X81" s="84">
        <v>0.0</v>
      </c>
      <c r="Y81" s="84">
        <v>0.0</v>
      </c>
      <c r="Z81" s="84">
        <v>0.0</v>
      </c>
      <c r="AA81" s="84">
        <v>0.0</v>
      </c>
      <c r="AB81" s="84">
        <v>0.0</v>
      </c>
      <c r="AC81" s="164"/>
      <c r="AD81" s="164"/>
      <c r="AE81" s="164"/>
      <c r="AF81" s="164"/>
      <c r="AG81" s="810">
        <f t="shared" ref="AG81:AG89" si="33">sum(B81:AF81)</f>
        <v>0</v>
      </c>
    </row>
    <row r="82" outlineLevel="1">
      <c r="A82" s="397" t="s">
        <v>132</v>
      </c>
      <c r="B82" s="155">
        <v>0.0</v>
      </c>
      <c r="C82" s="155">
        <v>0.0</v>
      </c>
      <c r="D82" s="155">
        <v>0.0</v>
      </c>
      <c r="E82" s="155">
        <v>0.0</v>
      </c>
      <c r="F82" s="155">
        <v>0.0</v>
      </c>
      <c r="G82" s="155">
        <v>0.0</v>
      </c>
      <c r="H82" s="155">
        <v>0.0</v>
      </c>
      <c r="I82" s="155">
        <v>0.0</v>
      </c>
      <c r="J82" s="155">
        <v>0.0</v>
      </c>
      <c r="K82" s="155">
        <v>0.0</v>
      </c>
      <c r="L82" s="155">
        <v>0.0</v>
      </c>
      <c r="M82" s="155">
        <v>0.0</v>
      </c>
      <c r="N82" s="155">
        <v>0.0</v>
      </c>
      <c r="O82" s="141">
        <v>0.0</v>
      </c>
      <c r="P82" s="141">
        <v>0.0</v>
      </c>
      <c r="Q82" s="141">
        <v>0.0</v>
      </c>
      <c r="R82" s="141">
        <v>0.0</v>
      </c>
      <c r="S82" s="141">
        <v>0.0</v>
      </c>
      <c r="T82" s="141">
        <v>0.0</v>
      </c>
      <c r="U82" s="141">
        <v>0.0</v>
      </c>
      <c r="V82" s="84">
        <v>0.0</v>
      </c>
      <c r="W82" s="84">
        <v>0.0</v>
      </c>
      <c r="X82" s="84">
        <v>0.0</v>
      </c>
      <c r="Y82" s="84">
        <v>0.0</v>
      </c>
      <c r="Z82" s="84">
        <v>0.0</v>
      </c>
      <c r="AA82" s="84">
        <v>0.0</v>
      </c>
      <c r="AB82" s="84">
        <v>0.0</v>
      </c>
      <c r="AC82" s="161"/>
      <c r="AD82" s="161"/>
      <c r="AE82" s="161"/>
      <c r="AF82" s="161"/>
      <c r="AG82" s="810">
        <f t="shared" si="33"/>
        <v>0</v>
      </c>
    </row>
    <row r="83" outlineLevel="1">
      <c r="A83" s="397" t="s">
        <v>1233</v>
      </c>
      <c r="B83" s="155">
        <v>0.0</v>
      </c>
      <c r="C83" s="155">
        <v>0.0</v>
      </c>
      <c r="D83" s="155">
        <v>0.0</v>
      </c>
      <c r="E83" s="155">
        <v>0.0</v>
      </c>
      <c r="F83" s="155">
        <v>0.0</v>
      </c>
      <c r="G83" s="155">
        <v>0.0</v>
      </c>
      <c r="H83" s="155">
        <v>0.0</v>
      </c>
      <c r="I83" s="155">
        <v>0.0</v>
      </c>
      <c r="J83" s="155">
        <v>0.0</v>
      </c>
      <c r="K83" s="155">
        <v>0.0</v>
      </c>
      <c r="L83" s="155">
        <v>0.0</v>
      </c>
      <c r="M83" s="155">
        <v>0.0</v>
      </c>
      <c r="N83" s="155">
        <v>0.0</v>
      </c>
      <c r="O83" s="155">
        <v>0.0</v>
      </c>
      <c r="P83" s="155">
        <v>0.0</v>
      </c>
      <c r="Q83" s="155">
        <v>0.0</v>
      </c>
      <c r="R83" s="155">
        <v>0.0</v>
      </c>
      <c r="S83" s="155">
        <v>0.0</v>
      </c>
      <c r="T83" s="155">
        <v>0.0</v>
      </c>
      <c r="U83" s="155">
        <v>0.0</v>
      </c>
      <c r="V83" s="155">
        <v>0.0</v>
      </c>
      <c r="W83" s="155">
        <v>0.0</v>
      </c>
      <c r="X83" s="155">
        <v>0.0</v>
      </c>
      <c r="Y83" s="155">
        <v>0.0</v>
      </c>
      <c r="Z83" s="155">
        <v>0.0</v>
      </c>
      <c r="AA83" s="155">
        <v>0.0</v>
      </c>
      <c r="AB83" s="155">
        <v>0.0</v>
      </c>
      <c r="AC83" s="165"/>
      <c r="AD83" s="165"/>
      <c r="AE83" s="165"/>
      <c r="AF83" s="165"/>
      <c r="AG83" s="810">
        <f t="shared" si="33"/>
        <v>0</v>
      </c>
    </row>
    <row r="84" outlineLevel="1">
      <c r="A84" s="397" t="s">
        <v>1234</v>
      </c>
      <c r="B84" s="154">
        <v>0.0</v>
      </c>
      <c r="C84" s="154">
        <v>0.0</v>
      </c>
      <c r="D84" s="154">
        <v>0.0</v>
      </c>
      <c r="E84" s="154">
        <v>0.0</v>
      </c>
      <c r="F84" s="154">
        <v>0.0</v>
      </c>
      <c r="G84" s="155">
        <v>0.0</v>
      </c>
      <c r="H84" s="155">
        <v>0.0</v>
      </c>
      <c r="I84" s="155">
        <v>0.0</v>
      </c>
      <c r="J84" s="155">
        <v>0.0</v>
      </c>
      <c r="K84" s="155">
        <v>0.0</v>
      </c>
      <c r="L84" s="155">
        <v>0.0</v>
      </c>
      <c r="M84" s="155">
        <v>0.0</v>
      </c>
      <c r="N84" s="155">
        <v>0.0</v>
      </c>
      <c r="O84" s="140">
        <v>0.0</v>
      </c>
      <c r="P84" s="140">
        <v>0.0</v>
      </c>
      <c r="Q84" s="140">
        <v>0.0</v>
      </c>
      <c r="R84" s="140">
        <v>0.0</v>
      </c>
      <c r="S84" s="140">
        <v>0.0</v>
      </c>
      <c r="T84" s="140">
        <v>0.0</v>
      </c>
      <c r="U84" s="140">
        <v>0.0</v>
      </c>
      <c r="V84" s="155">
        <v>0.0</v>
      </c>
      <c r="W84" s="155">
        <v>0.0</v>
      </c>
      <c r="X84" s="155">
        <v>0.0</v>
      </c>
      <c r="Y84" s="155">
        <v>0.0</v>
      </c>
      <c r="Z84" s="155">
        <v>0.0</v>
      </c>
      <c r="AA84" s="155">
        <v>0.0</v>
      </c>
      <c r="AB84" s="155">
        <v>0.0</v>
      </c>
      <c r="AC84" s="165"/>
      <c r="AD84" s="165"/>
      <c r="AE84" s="165"/>
      <c r="AF84" s="165"/>
      <c r="AG84" s="810">
        <f t="shared" si="33"/>
        <v>0</v>
      </c>
    </row>
    <row r="85" outlineLevel="1">
      <c r="A85" s="397" t="s">
        <v>1235</v>
      </c>
      <c r="B85" s="155">
        <v>0.0</v>
      </c>
      <c r="C85" s="155">
        <v>0.0</v>
      </c>
      <c r="D85" s="155">
        <v>0.0</v>
      </c>
      <c r="E85" s="155">
        <v>0.0</v>
      </c>
      <c r="F85" s="155">
        <v>0.0</v>
      </c>
      <c r="G85" s="155">
        <v>0.0</v>
      </c>
      <c r="H85" s="155">
        <v>0.0</v>
      </c>
      <c r="I85" s="155">
        <v>0.0</v>
      </c>
      <c r="J85" s="155">
        <v>0.0</v>
      </c>
      <c r="K85" s="155">
        <v>0.0</v>
      </c>
      <c r="L85" s="155">
        <v>0.0</v>
      </c>
      <c r="M85" s="155">
        <v>0.0</v>
      </c>
      <c r="N85" s="155">
        <v>0.0</v>
      </c>
      <c r="O85" s="155">
        <v>0.0</v>
      </c>
      <c r="P85" s="155">
        <v>0.0</v>
      </c>
      <c r="Q85" s="155">
        <v>0.0</v>
      </c>
      <c r="R85" s="155">
        <v>0.0</v>
      </c>
      <c r="S85" s="155">
        <v>0.0</v>
      </c>
      <c r="T85" s="155">
        <v>0.0</v>
      </c>
      <c r="U85" s="155">
        <v>0.0</v>
      </c>
      <c r="V85" s="155">
        <v>0.0</v>
      </c>
      <c r="W85" s="155">
        <v>0.0</v>
      </c>
      <c r="X85" s="155">
        <v>0.0</v>
      </c>
      <c r="Y85" s="155">
        <v>0.0</v>
      </c>
      <c r="Z85" s="155">
        <v>0.0</v>
      </c>
      <c r="AA85" s="155">
        <v>0.0</v>
      </c>
      <c r="AB85" s="155">
        <v>0.0</v>
      </c>
      <c r="AC85" s="165"/>
      <c r="AD85" s="165"/>
      <c r="AE85" s="165"/>
      <c r="AF85" s="165"/>
      <c r="AG85" s="810">
        <f t="shared" si="33"/>
        <v>0</v>
      </c>
    </row>
    <row r="86" outlineLevel="1">
      <c r="A86" s="397" t="s">
        <v>1236</v>
      </c>
      <c r="B86" s="154">
        <v>0.0</v>
      </c>
      <c r="C86" s="154">
        <v>0.0</v>
      </c>
      <c r="D86" s="154">
        <v>0.0</v>
      </c>
      <c r="E86" s="154">
        <v>0.0</v>
      </c>
      <c r="F86" s="154">
        <v>0.0</v>
      </c>
      <c r="G86" s="155">
        <v>0.0</v>
      </c>
      <c r="H86" s="155">
        <v>0.0</v>
      </c>
      <c r="I86" s="155">
        <v>0.0</v>
      </c>
      <c r="J86" s="155">
        <v>0.0</v>
      </c>
      <c r="K86" s="155">
        <v>0.0</v>
      </c>
      <c r="L86" s="155">
        <v>0.0</v>
      </c>
      <c r="M86" s="155">
        <v>0.0</v>
      </c>
      <c r="N86" s="155">
        <v>0.0</v>
      </c>
      <c r="O86" s="140">
        <v>0.0</v>
      </c>
      <c r="P86" s="140">
        <v>0.0</v>
      </c>
      <c r="Q86" s="140">
        <v>0.0</v>
      </c>
      <c r="R86" s="140">
        <v>0.0</v>
      </c>
      <c r="S86" s="140">
        <v>0.0</v>
      </c>
      <c r="T86" s="140">
        <v>0.0</v>
      </c>
      <c r="U86" s="140">
        <v>0.0</v>
      </c>
      <c r="V86" s="155">
        <v>0.0</v>
      </c>
      <c r="W86" s="155">
        <v>0.0</v>
      </c>
      <c r="X86" s="155">
        <v>0.0</v>
      </c>
      <c r="Y86" s="155">
        <v>0.0</v>
      </c>
      <c r="Z86" s="155">
        <v>0.0</v>
      </c>
      <c r="AA86" s="155">
        <v>0.0</v>
      </c>
      <c r="AB86" s="155">
        <v>0.0</v>
      </c>
      <c r="AC86" s="165"/>
      <c r="AD86" s="165"/>
      <c r="AE86" s="165"/>
      <c r="AF86" s="165"/>
      <c r="AG86" s="810">
        <f t="shared" si="33"/>
        <v>0</v>
      </c>
    </row>
    <row r="87" outlineLevel="1">
      <c r="A87" s="397" t="s">
        <v>1237</v>
      </c>
      <c r="B87" s="155">
        <v>0.0</v>
      </c>
      <c r="C87" s="155">
        <v>0.0</v>
      </c>
      <c r="D87" s="155">
        <v>0.0</v>
      </c>
      <c r="E87" s="155">
        <v>0.0</v>
      </c>
      <c r="F87" s="155">
        <v>0.0</v>
      </c>
      <c r="G87" s="155">
        <v>0.0</v>
      </c>
      <c r="H87" s="155">
        <v>0.0</v>
      </c>
      <c r="I87" s="155">
        <v>0.0</v>
      </c>
      <c r="J87" s="155">
        <v>0.0</v>
      </c>
      <c r="K87" s="155">
        <v>0.0</v>
      </c>
      <c r="L87" s="155">
        <v>0.0</v>
      </c>
      <c r="M87" s="155">
        <v>0.0</v>
      </c>
      <c r="N87" s="155">
        <v>0.0</v>
      </c>
      <c r="O87" s="155">
        <v>0.0</v>
      </c>
      <c r="P87" s="155">
        <v>0.0</v>
      </c>
      <c r="Q87" s="155">
        <v>0.0</v>
      </c>
      <c r="R87" s="155">
        <v>0.0</v>
      </c>
      <c r="S87" s="155">
        <v>0.0</v>
      </c>
      <c r="T87" s="155">
        <v>0.0</v>
      </c>
      <c r="U87" s="155">
        <v>0.0</v>
      </c>
      <c r="V87" s="155">
        <v>0.0</v>
      </c>
      <c r="W87" s="155">
        <v>0.0</v>
      </c>
      <c r="X87" s="155">
        <v>0.0</v>
      </c>
      <c r="Y87" s="155">
        <v>0.0</v>
      </c>
      <c r="Z87" s="155">
        <v>0.0</v>
      </c>
      <c r="AA87" s="155">
        <v>0.0</v>
      </c>
      <c r="AB87" s="155">
        <v>0.0</v>
      </c>
      <c r="AC87" s="165"/>
      <c r="AD87" s="165"/>
      <c r="AE87" s="165"/>
      <c r="AF87" s="165"/>
      <c r="AG87" s="810">
        <f t="shared" si="33"/>
        <v>0</v>
      </c>
    </row>
    <row r="88" outlineLevel="1">
      <c r="A88" s="397" t="s">
        <v>1238</v>
      </c>
      <c r="B88" s="155">
        <v>0.0</v>
      </c>
      <c r="C88" s="155">
        <v>0.0</v>
      </c>
      <c r="D88" s="155">
        <v>0.0</v>
      </c>
      <c r="E88" s="155">
        <v>0.0</v>
      </c>
      <c r="F88" s="155">
        <v>0.0</v>
      </c>
      <c r="G88" s="155">
        <v>0.0</v>
      </c>
      <c r="H88" s="155">
        <v>0.0</v>
      </c>
      <c r="I88" s="155">
        <v>0.0</v>
      </c>
      <c r="J88" s="155">
        <v>0.0</v>
      </c>
      <c r="K88" s="155">
        <v>0.0</v>
      </c>
      <c r="L88" s="155">
        <v>0.0</v>
      </c>
      <c r="M88" s="155">
        <v>0.0</v>
      </c>
      <c r="N88" s="155">
        <v>0.0</v>
      </c>
      <c r="O88" s="155">
        <v>0.0</v>
      </c>
      <c r="P88" s="155">
        <v>0.0</v>
      </c>
      <c r="Q88" s="155">
        <v>0.0</v>
      </c>
      <c r="R88" s="155">
        <v>0.0</v>
      </c>
      <c r="S88" s="155">
        <v>0.0</v>
      </c>
      <c r="T88" s="155">
        <v>0.0</v>
      </c>
      <c r="U88" s="155">
        <v>0.0</v>
      </c>
      <c r="V88" s="155">
        <v>0.0</v>
      </c>
      <c r="W88" s="155">
        <v>0.0</v>
      </c>
      <c r="X88" s="155">
        <v>0.0</v>
      </c>
      <c r="Y88" s="155">
        <v>0.0</v>
      </c>
      <c r="Z88" s="155">
        <v>0.0</v>
      </c>
      <c r="AA88" s="155">
        <v>0.0</v>
      </c>
      <c r="AB88" s="155">
        <v>0.0</v>
      </c>
      <c r="AC88" s="165"/>
      <c r="AD88" s="165"/>
      <c r="AE88" s="165"/>
      <c r="AF88" s="165"/>
      <c r="AG88" s="810">
        <f t="shared" si="33"/>
        <v>0</v>
      </c>
    </row>
    <row r="89" outlineLevel="1">
      <c r="A89" s="443" t="s">
        <v>115</v>
      </c>
      <c r="B89" s="444">
        <f t="shared" ref="B89:AF89" si="34">SUM(B81:B88)</f>
        <v>0</v>
      </c>
      <c r="C89" s="444">
        <f t="shared" si="34"/>
        <v>0</v>
      </c>
      <c r="D89" s="444">
        <f t="shared" si="34"/>
        <v>0</v>
      </c>
      <c r="E89" s="444">
        <f t="shared" si="34"/>
        <v>0</v>
      </c>
      <c r="F89" s="444">
        <f t="shared" si="34"/>
        <v>0</v>
      </c>
      <c r="G89" s="444">
        <f t="shared" si="34"/>
        <v>0</v>
      </c>
      <c r="H89" s="444">
        <f t="shared" si="34"/>
        <v>0</v>
      </c>
      <c r="I89" s="444">
        <f t="shared" si="34"/>
        <v>0</v>
      </c>
      <c r="J89" s="444">
        <f t="shared" si="34"/>
        <v>0</v>
      </c>
      <c r="K89" s="444">
        <f t="shared" si="34"/>
        <v>0</v>
      </c>
      <c r="L89" s="444">
        <f t="shared" si="34"/>
        <v>0</v>
      </c>
      <c r="M89" s="444">
        <f t="shared" si="34"/>
        <v>0</v>
      </c>
      <c r="N89" s="444">
        <f t="shared" si="34"/>
        <v>0</v>
      </c>
      <c r="O89" s="444">
        <f t="shared" si="34"/>
        <v>0</v>
      </c>
      <c r="P89" s="444">
        <f t="shared" si="34"/>
        <v>0</v>
      </c>
      <c r="Q89" s="444">
        <f t="shared" si="34"/>
        <v>0</v>
      </c>
      <c r="R89" s="444">
        <f t="shared" si="34"/>
        <v>0</v>
      </c>
      <c r="S89" s="444">
        <f t="shared" si="34"/>
        <v>0</v>
      </c>
      <c r="T89" s="444">
        <f t="shared" si="34"/>
        <v>0</v>
      </c>
      <c r="U89" s="444">
        <f t="shared" si="34"/>
        <v>0</v>
      </c>
      <c r="V89" s="444">
        <f t="shared" si="34"/>
        <v>0</v>
      </c>
      <c r="W89" s="444">
        <f t="shared" si="34"/>
        <v>0</v>
      </c>
      <c r="X89" s="444">
        <f t="shared" si="34"/>
        <v>0</v>
      </c>
      <c r="Y89" s="444">
        <f t="shared" si="34"/>
        <v>0</v>
      </c>
      <c r="Z89" s="444">
        <f t="shared" si="34"/>
        <v>0</v>
      </c>
      <c r="AA89" s="444">
        <f t="shared" si="34"/>
        <v>0</v>
      </c>
      <c r="AB89" s="444">
        <f t="shared" si="34"/>
        <v>0</v>
      </c>
      <c r="AC89" s="444">
        <f t="shared" si="34"/>
        <v>0</v>
      </c>
      <c r="AD89" s="444">
        <f t="shared" si="34"/>
        <v>0</v>
      </c>
      <c r="AE89" s="444">
        <f t="shared" si="34"/>
        <v>0</v>
      </c>
      <c r="AF89" s="444">
        <f t="shared" si="34"/>
        <v>0</v>
      </c>
      <c r="AG89" s="823">
        <f t="shared" si="33"/>
        <v>0</v>
      </c>
    </row>
    <row r="90">
      <c r="A90" s="229"/>
      <c r="B90" s="155"/>
      <c r="C90" s="83"/>
      <c r="D90" s="83"/>
      <c r="E90" s="83"/>
      <c r="F90" s="83"/>
      <c r="G90" s="83"/>
      <c r="H90" s="83"/>
      <c r="I90" s="83"/>
      <c r="J90" s="83"/>
      <c r="K90" s="83"/>
      <c r="L90" s="83"/>
      <c r="M90" s="83"/>
      <c r="N90" s="83"/>
      <c r="O90" s="83"/>
      <c r="P90" s="83"/>
      <c r="Q90" s="83"/>
      <c r="R90" s="83"/>
      <c r="S90" s="83"/>
      <c r="T90" s="83"/>
      <c r="U90" s="83"/>
      <c r="V90" s="83"/>
      <c r="W90" s="83"/>
      <c r="X90" s="83"/>
      <c r="Y90" s="83"/>
      <c r="Z90" s="83"/>
      <c r="AA90" s="83"/>
      <c r="AB90" s="83"/>
      <c r="AC90" s="83"/>
      <c r="AD90" s="83"/>
      <c r="AE90" s="83"/>
      <c r="AF90" s="83"/>
      <c r="AG90" s="810"/>
    </row>
    <row r="91">
      <c r="A91" s="229"/>
      <c r="B91" s="155"/>
      <c r="C91" s="83"/>
      <c r="D91" s="83"/>
      <c r="E91" s="83"/>
      <c r="F91" s="83"/>
      <c r="G91" s="83"/>
      <c r="H91" s="83"/>
      <c r="I91" s="83"/>
      <c r="J91" s="83"/>
      <c r="K91" s="83"/>
      <c r="L91" s="83"/>
      <c r="M91" s="83"/>
      <c r="N91" s="83"/>
      <c r="O91" s="83"/>
      <c r="P91" s="83"/>
      <c r="Q91" s="83"/>
      <c r="R91" s="83"/>
      <c r="S91" s="83"/>
      <c r="T91" s="83"/>
      <c r="U91" s="83"/>
      <c r="V91" s="83"/>
      <c r="W91" s="83"/>
      <c r="X91" s="83"/>
      <c r="Y91" s="83"/>
      <c r="Z91" s="83"/>
      <c r="AA91" s="83"/>
      <c r="AB91" s="83"/>
      <c r="AC91" s="83"/>
      <c r="AD91" s="83"/>
      <c r="AE91" s="83"/>
      <c r="AF91" s="83"/>
      <c r="AG91" s="810"/>
    </row>
    <row r="92">
      <c r="A92" s="138" t="s">
        <v>1239</v>
      </c>
      <c r="B92" s="155"/>
      <c r="C92" s="83"/>
      <c r="D92" s="83"/>
      <c r="E92" s="83"/>
      <c r="F92" s="83"/>
      <c r="G92" s="83"/>
      <c r="H92" s="83"/>
      <c r="I92" s="83"/>
      <c r="J92" s="83"/>
      <c r="K92" s="83"/>
      <c r="L92" s="83"/>
      <c r="M92" s="83"/>
      <c r="N92" s="83"/>
      <c r="O92" s="83"/>
      <c r="P92" s="83"/>
      <c r="Q92" s="83"/>
      <c r="R92" s="83"/>
      <c r="S92" s="83"/>
      <c r="T92" s="83"/>
      <c r="U92" s="83"/>
      <c r="V92" s="83"/>
      <c r="W92" s="83"/>
      <c r="X92" s="83"/>
      <c r="Y92" s="83"/>
      <c r="Z92" s="83"/>
      <c r="AA92" s="83"/>
      <c r="AB92" s="83"/>
      <c r="AC92" s="83"/>
      <c r="AD92" s="83"/>
      <c r="AE92" s="83"/>
      <c r="AF92" s="83"/>
      <c r="AG92" s="810"/>
    </row>
    <row r="93">
      <c r="A93" s="153" t="s">
        <v>1240</v>
      </c>
      <c r="B93" s="824">
        <f t="shared" ref="B93:AF93" si="35">(B23+B40)-B110-B138</f>
        <v>0</v>
      </c>
      <c r="C93" s="824">
        <f t="shared" si="35"/>
        <v>0</v>
      </c>
      <c r="D93" s="824">
        <f t="shared" si="35"/>
        <v>0</v>
      </c>
      <c r="E93" s="824">
        <f t="shared" si="35"/>
        <v>0</v>
      </c>
      <c r="F93" s="824">
        <f t="shared" si="35"/>
        <v>0</v>
      </c>
      <c r="G93" s="824">
        <f t="shared" si="35"/>
        <v>-1</v>
      </c>
      <c r="H93" s="824">
        <f t="shared" si="35"/>
        <v>1</v>
      </c>
      <c r="I93" s="824">
        <f t="shared" si="35"/>
        <v>1</v>
      </c>
      <c r="J93" s="824">
        <f t="shared" si="35"/>
        <v>0</v>
      </c>
      <c r="K93" s="824">
        <f t="shared" si="35"/>
        <v>2</v>
      </c>
      <c r="L93" s="824">
        <f t="shared" si="35"/>
        <v>0</v>
      </c>
      <c r="M93" s="824">
        <f t="shared" si="35"/>
        <v>3</v>
      </c>
      <c r="N93" s="824">
        <f t="shared" si="35"/>
        <v>3</v>
      </c>
      <c r="O93" s="825">
        <f t="shared" si="35"/>
        <v>0</v>
      </c>
      <c r="P93" s="825">
        <f t="shared" si="35"/>
        <v>0</v>
      </c>
      <c r="Q93" s="825">
        <f t="shared" si="35"/>
        <v>0</v>
      </c>
      <c r="R93" s="824">
        <f t="shared" si="35"/>
        <v>0</v>
      </c>
      <c r="S93" s="824">
        <f t="shared" si="35"/>
        <v>0</v>
      </c>
      <c r="T93" s="824">
        <f t="shared" si="35"/>
        <v>-1</v>
      </c>
      <c r="U93" s="824">
        <f t="shared" si="35"/>
        <v>0</v>
      </c>
      <c r="V93" s="824">
        <f t="shared" si="35"/>
        <v>0</v>
      </c>
      <c r="W93" s="824">
        <f t="shared" si="35"/>
        <v>0</v>
      </c>
      <c r="X93" s="824">
        <f t="shared" si="35"/>
        <v>0</v>
      </c>
      <c r="Y93" s="824">
        <f t="shared" si="35"/>
        <v>0</v>
      </c>
      <c r="Z93" s="825">
        <f t="shared" si="35"/>
        <v>0</v>
      </c>
      <c r="AA93" s="824">
        <f t="shared" si="35"/>
        <v>0</v>
      </c>
      <c r="AB93" s="824">
        <f t="shared" si="35"/>
        <v>0</v>
      </c>
      <c r="AC93" s="825">
        <f t="shared" si="35"/>
        <v>0</v>
      </c>
      <c r="AD93" s="825">
        <f t="shared" si="35"/>
        <v>0</v>
      </c>
      <c r="AE93" s="825">
        <f t="shared" si="35"/>
        <v>0</v>
      </c>
      <c r="AF93" s="825">
        <f t="shared" si="35"/>
        <v>0</v>
      </c>
      <c r="AG93" s="810">
        <f t="shared" ref="AG93:AG97" si="37">sum(B93:AF93)</f>
        <v>8</v>
      </c>
    </row>
    <row r="94">
      <c r="A94" s="153" t="s">
        <v>1241</v>
      </c>
      <c r="B94" s="824">
        <f t="shared" ref="B94:AF94" si="36">(B24+B41)-B111-B139</f>
        <v>0</v>
      </c>
      <c r="C94" s="824">
        <f t="shared" si="36"/>
        <v>0</v>
      </c>
      <c r="D94" s="824">
        <f t="shared" si="36"/>
        <v>0</v>
      </c>
      <c r="E94" s="824">
        <f t="shared" si="36"/>
        <v>0</v>
      </c>
      <c r="F94" s="824">
        <f t="shared" si="36"/>
        <v>0</v>
      </c>
      <c r="G94" s="824">
        <f t="shared" si="36"/>
        <v>-1</v>
      </c>
      <c r="H94" s="824">
        <f t="shared" si="36"/>
        <v>1</v>
      </c>
      <c r="I94" s="824">
        <f t="shared" si="36"/>
        <v>1</v>
      </c>
      <c r="J94" s="824">
        <f t="shared" si="36"/>
        <v>1</v>
      </c>
      <c r="K94" s="824">
        <f t="shared" si="36"/>
        <v>0</v>
      </c>
      <c r="L94" s="824">
        <f t="shared" si="36"/>
        <v>1</v>
      </c>
      <c r="M94" s="824">
        <f t="shared" si="36"/>
        <v>2</v>
      </c>
      <c r="N94" s="824">
        <f t="shared" si="36"/>
        <v>2</v>
      </c>
      <c r="O94" s="825">
        <f t="shared" si="36"/>
        <v>0</v>
      </c>
      <c r="P94" s="825">
        <f t="shared" si="36"/>
        <v>0</v>
      </c>
      <c r="Q94" s="825">
        <f t="shared" si="36"/>
        <v>0</v>
      </c>
      <c r="R94" s="824">
        <f t="shared" si="36"/>
        <v>0</v>
      </c>
      <c r="S94" s="824">
        <f t="shared" si="36"/>
        <v>0</v>
      </c>
      <c r="T94" s="824">
        <f t="shared" si="36"/>
        <v>0</v>
      </c>
      <c r="U94" s="824">
        <f t="shared" si="36"/>
        <v>0</v>
      </c>
      <c r="V94" s="824">
        <f t="shared" si="36"/>
        <v>0</v>
      </c>
      <c r="W94" s="824">
        <f t="shared" si="36"/>
        <v>0</v>
      </c>
      <c r="X94" s="824">
        <f t="shared" si="36"/>
        <v>0</v>
      </c>
      <c r="Y94" s="824">
        <f t="shared" si="36"/>
        <v>0</v>
      </c>
      <c r="Z94" s="825">
        <f t="shared" si="36"/>
        <v>0</v>
      </c>
      <c r="AA94" s="824">
        <f t="shared" si="36"/>
        <v>0</v>
      </c>
      <c r="AB94" s="824">
        <f t="shared" si="36"/>
        <v>0</v>
      </c>
      <c r="AC94" s="825">
        <f t="shared" si="36"/>
        <v>0</v>
      </c>
      <c r="AD94" s="825">
        <f t="shared" si="36"/>
        <v>0</v>
      </c>
      <c r="AE94" s="825">
        <f t="shared" si="36"/>
        <v>0</v>
      </c>
      <c r="AF94" s="825">
        <f t="shared" si="36"/>
        <v>0</v>
      </c>
      <c r="AG94" s="810">
        <f t="shared" si="37"/>
        <v>7</v>
      </c>
    </row>
    <row r="95">
      <c r="A95" s="153" t="s">
        <v>1242</v>
      </c>
      <c r="B95" s="824">
        <f t="shared" ref="B95:AF95" si="38">(B25+B42)-B112-B140</f>
        <v>3</v>
      </c>
      <c r="C95" s="824">
        <f t="shared" si="38"/>
        <v>0</v>
      </c>
      <c r="D95" s="824">
        <f t="shared" si="38"/>
        <v>2</v>
      </c>
      <c r="E95" s="824">
        <f t="shared" si="38"/>
        <v>1</v>
      </c>
      <c r="F95" s="824">
        <f t="shared" si="38"/>
        <v>1</v>
      </c>
      <c r="G95" s="824">
        <f t="shared" si="38"/>
        <v>-1</v>
      </c>
      <c r="H95" s="824">
        <f t="shared" si="38"/>
        <v>3</v>
      </c>
      <c r="I95" s="824">
        <f t="shared" si="38"/>
        <v>10</v>
      </c>
      <c r="J95" s="824">
        <f t="shared" si="38"/>
        <v>2</v>
      </c>
      <c r="K95" s="824">
        <f t="shared" si="38"/>
        <v>2</v>
      </c>
      <c r="L95" s="824">
        <f t="shared" si="38"/>
        <v>4</v>
      </c>
      <c r="M95" s="824">
        <f t="shared" si="38"/>
        <v>66</v>
      </c>
      <c r="N95" s="824">
        <f t="shared" si="38"/>
        <v>15</v>
      </c>
      <c r="O95" s="825">
        <f t="shared" si="38"/>
        <v>0</v>
      </c>
      <c r="P95" s="825">
        <f t="shared" si="38"/>
        <v>0</v>
      </c>
      <c r="Q95" s="825">
        <f t="shared" si="38"/>
        <v>0</v>
      </c>
      <c r="R95" s="824">
        <f t="shared" si="38"/>
        <v>2</v>
      </c>
      <c r="S95" s="824">
        <f t="shared" si="38"/>
        <v>2</v>
      </c>
      <c r="T95" s="824">
        <f t="shared" si="38"/>
        <v>0</v>
      </c>
      <c r="U95" s="824">
        <f t="shared" si="38"/>
        <v>0</v>
      </c>
      <c r="V95" s="824">
        <f t="shared" si="38"/>
        <v>-1</v>
      </c>
      <c r="W95" s="824">
        <f t="shared" si="38"/>
        <v>0</v>
      </c>
      <c r="X95" s="824">
        <f t="shared" si="38"/>
        <v>0</v>
      </c>
      <c r="Y95" s="824">
        <f t="shared" si="38"/>
        <v>-1</v>
      </c>
      <c r="Z95" s="824">
        <f t="shared" si="38"/>
        <v>0</v>
      </c>
      <c r="AA95" s="824">
        <f t="shared" si="38"/>
        <v>0</v>
      </c>
      <c r="AB95" s="824">
        <f t="shared" si="38"/>
        <v>0</v>
      </c>
      <c r="AC95" s="824">
        <f t="shared" si="38"/>
        <v>0</v>
      </c>
      <c r="AD95" s="824">
        <f t="shared" si="38"/>
        <v>0</v>
      </c>
      <c r="AE95" s="824">
        <f t="shared" si="38"/>
        <v>0</v>
      </c>
      <c r="AF95" s="824">
        <f t="shared" si="38"/>
        <v>0</v>
      </c>
      <c r="AG95" s="810">
        <f t="shared" si="37"/>
        <v>110</v>
      </c>
    </row>
    <row r="96">
      <c r="A96" s="153" t="s">
        <v>1243</v>
      </c>
      <c r="B96" s="824">
        <f t="shared" ref="B96:AF96" si="39">(B26+B43)-B113-B141</f>
        <v>3</v>
      </c>
      <c r="C96" s="824">
        <f t="shared" si="39"/>
        <v>1</v>
      </c>
      <c r="D96" s="824">
        <f t="shared" si="39"/>
        <v>0</v>
      </c>
      <c r="E96" s="824">
        <f t="shared" si="39"/>
        <v>0</v>
      </c>
      <c r="F96" s="824">
        <f t="shared" si="39"/>
        <v>0</v>
      </c>
      <c r="G96" s="824">
        <f t="shared" si="39"/>
        <v>0</v>
      </c>
      <c r="H96" s="824">
        <f t="shared" si="39"/>
        <v>0</v>
      </c>
      <c r="I96" s="824">
        <f t="shared" si="39"/>
        <v>7</v>
      </c>
      <c r="J96" s="824">
        <f t="shared" si="39"/>
        <v>0</v>
      </c>
      <c r="K96" s="824">
        <f t="shared" si="39"/>
        <v>0</v>
      </c>
      <c r="L96" s="824">
        <f t="shared" si="39"/>
        <v>0</v>
      </c>
      <c r="M96" s="824">
        <f t="shared" si="39"/>
        <v>21</v>
      </c>
      <c r="N96" s="824">
        <f t="shared" si="39"/>
        <v>9</v>
      </c>
      <c r="O96" s="825">
        <f t="shared" si="39"/>
        <v>0</v>
      </c>
      <c r="P96" s="825">
        <f t="shared" si="39"/>
        <v>0</v>
      </c>
      <c r="Q96" s="825">
        <f t="shared" si="39"/>
        <v>0</v>
      </c>
      <c r="R96" s="824">
        <f t="shared" si="39"/>
        <v>1</v>
      </c>
      <c r="S96" s="824">
        <f t="shared" si="39"/>
        <v>0</v>
      </c>
      <c r="T96" s="824">
        <f t="shared" si="39"/>
        <v>0</v>
      </c>
      <c r="U96" s="824">
        <f t="shared" si="39"/>
        <v>0</v>
      </c>
      <c r="V96" s="824">
        <f t="shared" si="39"/>
        <v>0</v>
      </c>
      <c r="W96" s="824">
        <f t="shared" si="39"/>
        <v>0</v>
      </c>
      <c r="X96" s="824">
        <f t="shared" si="39"/>
        <v>0</v>
      </c>
      <c r="Y96" s="824">
        <f t="shared" si="39"/>
        <v>0</v>
      </c>
      <c r="Z96" s="824">
        <f t="shared" si="39"/>
        <v>0</v>
      </c>
      <c r="AA96" s="824">
        <f t="shared" si="39"/>
        <v>0</v>
      </c>
      <c r="AB96" s="824">
        <f t="shared" si="39"/>
        <v>0</v>
      </c>
      <c r="AC96" s="824">
        <f t="shared" si="39"/>
        <v>0</v>
      </c>
      <c r="AD96" s="824">
        <f t="shared" si="39"/>
        <v>0</v>
      </c>
      <c r="AE96" s="824">
        <f t="shared" si="39"/>
        <v>0</v>
      </c>
      <c r="AF96" s="824">
        <f t="shared" si="39"/>
        <v>0</v>
      </c>
      <c r="AG96" s="810">
        <f t="shared" si="37"/>
        <v>42</v>
      </c>
    </row>
    <row r="97">
      <c r="A97" s="818" t="s">
        <v>515</v>
      </c>
      <c r="B97" s="315">
        <f t="shared" ref="B97:AF97" si="40">SUM(B93:B96)</f>
        <v>6</v>
      </c>
      <c r="C97" s="315">
        <f t="shared" si="40"/>
        <v>1</v>
      </c>
      <c r="D97" s="315">
        <f t="shared" si="40"/>
        <v>2</v>
      </c>
      <c r="E97" s="315">
        <f t="shared" si="40"/>
        <v>1</v>
      </c>
      <c r="F97" s="315">
        <f t="shared" si="40"/>
        <v>1</v>
      </c>
      <c r="G97" s="315">
        <f t="shared" si="40"/>
        <v>-3</v>
      </c>
      <c r="H97" s="315">
        <f t="shared" si="40"/>
        <v>5</v>
      </c>
      <c r="I97" s="315">
        <f t="shared" si="40"/>
        <v>19</v>
      </c>
      <c r="J97" s="315">
        <f t="shared" si="40"/>
        <v>3</v>
      </c>
      <c r="K97" s="315">
        <f t="shared" si="40"/>
        <v>4</v>
      </c>
      <c r="L97" s="315">
        <f t="shared" si="40"/>
        <v>5</v>
      </c>
      <c r="M97" s="315">
        <f t="shared" si="40"/>
        <v>92</v>
      </c>
      <c r="N97" s="315">
        <f t="shared" si="40"/>
        <v>29</v>
      </c>
      <c r="O97" s="315">
        <f t="shared" si="40"/>
        <v>0</v>
      </c>
      <c r="P97" s="315">
        <f t="shared" si="40"/>
        <v>0</v>
      </c>
      <c r="Q97" s="315">
        <f t="shared" si="40"/>
        <v>0</v>
      </c>
      <c r="R97" s="315">
        <f t="shared" si="40"/>
        <v>3</v>
      </c>
      <c r="S97" s="315">
        <f t="shared" si="40"/>
        <v>2</v>
      </c>
      <c r="T97" s="315">
        <f t="shared" si="40"/>
        <v>-1</v>
      </c>
      <c r="U97" s="315">
        <f t="shared" si="40"/>
        <v>0</v>
      </c>
      <c r="V97" s="315">
        <f t="shared" si="40"/>
        <v>-1</v>
      </c>
      <c r="W97" s="315">
        <f t="shared" si="40"/>
        <v>0</v>
      </c>
      <c r="X97" s="315">
        <f t="shared" si="40"/>
        <v>0</v>
      </c>
      <c r="Y97" s="315">
        <f t="shared" si="40"/>
        <v>-1</v>
      </c>
      <c r="Z97" s="315">
        <f t="shared" si="40"/>
        <v>0</v>
      </c>
      <c r="AA97" s="315">
        <f t="shared" si="40"/>
        <v>0</v>
      </c>
      <c r="AB97" s="315">
        <f t="shared" si="40"/>
        <v>0</v>
      </c>
      <c r="AC97" s="315">
        <f t="shared" si="40"/>
        <v>0</v>
      </c>
      <c r="AD97" s="315">
        <f t="shared" si="40"/>
        <v>0</v>
      </c>
      <c r="AE97" s="315">
        <f t="shared" si="40"/>
        <v>0</v>
      </c>
      <c r="AF97" s="315">
        <f t="shared" si="40"/>
        <v>0</v>
      </c>
      <c r="AG97" s="810">
        <f t="shared" si="37"/>
        <v>167</v>
      </c>
    </row>
    <row r="98">
      <c r="A98" s="98"/>
      <c r="B98" s="162"/>
      <c r="C98" s="162"/>
      <c r="D98" s="162"/>
      <c r="E98" s="162"/>
      <c r="F98" s="162"/>
      <c r="G98" s="162"/>
      <c r="H98" s="162"/>
      <c r="I98" s="162"/>
      <c r="J98" s="83"/>
      <c r="K98" s="83"/>
      <c r="L98" s="83"/>
      <c r="M98" s="83"/>
      <c r="N98" s="83"/>
      <c r="O98" s="83"/>
      <c r="P98" s="83"/>
      <c r="Q98" s="83"/>
      <c r="R98" s="83"/>
      <c r="S98" s="83"/>
      <c r="T98" s="83"/>
      <c r="U98" s="83"/>
      <c r="V98" s="83"/>
      <c r="W98" s="83"/>
      <c r="X98" s="83"/>
      <c r="Y98" s="83"/>
      <c r="Z98" s="83"/>
      <c r="AA98" s="83"/>
      <c r="AB98" s="83"/>
      <c r="AC98" s="83"/>
      <c r="AD98" s="83"/>
      <c r="AE98" s="83"/>
      <c r="AF98" s="83"/>
      <c r="AG98" s="810"/>
    </row>
    <row r="99">
      <c r="A99" s="153" t="s">
        <v>131</v>
      </c>
      <c r="B99" s="172">
        <f t="shared" ref="B99:AF99" si="41">(B29+B46)-B117-B145</f>
        <v>0</v>
      </c>
      <c r="C99" s="172">
        <f t="shared" si="41"/>
        <v>0</v>
      </c>
      <c r="D99" s="172">
        <f t="shared" si="41"/>
        <v>0</v>
      </c>
      <c r="E99" s="172">
        <f t="shared" si="41"/>
        <v>0</v>
      </c>
      <c r="F99" s="172">
        <f t="shared" si="41"/>
        <v>0</v>
      </c>
      <c r="G99" s="172">
        <f t="shared" si="41"/>
        <v>0</v>
      </c>
      <c r="H99" s="172">
        <f t="shared" si="41"/>
        <v>0</v>
      </c>
      <c r="I99" s="172">
        <f t="shared" si="41"/>
        <v>0</v>
      </c>
      <c r="J99" s="172">
        <f t="shared" si="41"/>
        <v>0</v>
      </c>
      <c r="K99" s="172">
        <f t="shared" si="41"/>
        <v>0</v>
      </c>
      <c r="L99" s="172">
        <f t="shared" si="41"/>
        <v>0</v>
      </c>
      <c r="M99" s="172">
        <f t="shared" si="41"/>
        <v>0</v>
      </c>
      <c r="N99" s="172">
        <f t="shared" si="41"/>
        <v>0</v>
      </c>
      <c r="O99" s="172">
        <f t="shared" si="41"/>
        <v>0</v>
      </c>
      <c r="P99" s="172">
        <f t="shared" si="41"/>
        <v>0</v>
      </c>
      <c r="Q99" s="172">
        <f t="shared" si="41"/>
        <v>0</v>
      </c>
      <c r="R99" s="172">
        <f t="shared" si="41"/>
        <v>0</v>
      </c>
      <c r="S99" s="172">
        <f t="shared" si="41"/>
        <v>0</v>
      </c>
      <c r="T99" s="172">
        <f t="shared" si="41"/>
        <v>-1</v>
      </c>
      <c r="U99" s="172">
        <f t="shared" si="41"/>
        <v>0</v>
      </c>
      <c r="V99" s="172">
        <f t="shared" si="41"/>
        <v>0</v>
      </c>
      <c r="W99" s="172">
        <f t="shared" si="41"/>
        <v>0</v>
      </c>
      <c r="X99" s="172">
        <f t="shared" si="41"/>
        <v>0</v>
      </c>
      <c r="Y99" s="172">
        <f t="shared" si="41"/>
        <v>0</v>
      </c>
      <c r="Z99" s="172">
        <f t="shared" si="41"/>
        <v>0</v>
      </c>
      <c r="AA99" s="172">
        <f t="shared" si="41"/>
        <v>0</v>
      </c>
      <c r="AB99" s="172">
        <f t="shared" si="41"/>
        <v>0</v>
      </c>
      <c r="AC99" s="172">
        <f t="shared" si="41"/>
        <v>0</v>
      </c>
      <c r="AD99" s="172">
        <f t="shared" si="41"/>
        <v>0</v>
      </c>
      <c r="AE99" s="172">
        <f t="shared" si="41"/>
        <v>0</v>
      </c>
      <c r="AF99" s="172">
        <f t="shared" si="41"/>
        <v>0</v>
      </c>
      <c r="AG99" s="810">
        <f t="shared" ref="AG99:AG107" si="43">sum(B99:AF99)</f>
        <v>-1</v>
      </c>
    </row>
    <row r="100">
      <c r="A100" s="153" t="s">
        <v>132</v>
      </c>
      <c r="B100" s="172">
        <f t="shared" ref="B100:AF100" si="42">(B30+B47)-B118-B146</f>
        <v>0</v>
      </c>
      <c r="C100" s="172">
        <f t="shared" si="42"/>
        <v>0</v>
      </c>
      <c r="D100" s="172">
        <f t="shared" si="42"/>
        <v>0</v>
      </c>
      <c r="E100" s="172">
        <f t="shared" si="42"/>
        <v>0</v>
      </c>
      <c r="F100" s="172">
        <f t="shared" si="42"/>
        <v>0</v>
      </c>
      <c r="G100" s="172">
        <f t="shared" si="42"/>
        <v>0</v>
      </c>
      <c r="H100" s="172">
        <f t="shared" si="42"/>
        <v>0</v>
      </c>
      <c r="I100" s="172">
        <f t="shared" si="42"/>
        <v>0</v>
      </c>
      <c r="J100" s="172">
        <f t="shared" si="42"/>
        <v>0</v>
      </c>
      <c r="K100" s="172">
        <f t="shared" si="42"/>
        <v>0</v>
      </c>
      <c r="L100" s="172">
        <f t="shared" si="42"/>
        <v>0</v>
      </c>
      <c r="M100" s="172">
        <f t="shared" si="42"/>
        <v>0</v>
      </c>
      <c r="N100" s="172">
        <f t="shared" si="42"/>
        <v>0</v>
      </c>
      <c r="O100" s="172">
        <f t="shared" si="42"/>
        <v>0</v>
      </c>
      <c r="P100" s="172">
        <f t="shared" si="42"/>
        <v>0</v>
      </c>
      <c r="Q100" s="172">
        <f t="shared" si="42"/>
        <v>0</v>
      </c>
      <c r="R100" s="172">
        <f t="shared" si="42"/>
        <v>0</v>
      </c>
      <c r="S100" s="172">
        <f t="shared" si="42"/>
        <v>0</v>
      </c>
      <c r="T100" s="172">
        <f t="shared" si="42"/>
        <v>-1</v>
      </c>
      <c r="U100" s="172">
        <f t="shared" si="42"/>
        <v>0</v>
      </c>
      <c r="V100" s="172">
        <f t="shared" si="42"/>
        <v>-1</v>
      </c>
      <c r="W100" s="172">
        <f t="shared" si="42"/>
        <v>0</v>
      </c>
      <c r="X100" s="172">
        <f t="shared" si="42"/>
        <v>0</v>
      </c>
      <c r="Y100" s="172">
        <f t="shared" si="42"/>
        <v>0</v>
      </c>
      <c r="Z100" s="172">
        <f t="shared" si="42"/>
        <v>0</v>
      </c>
      <c r="AA100" s="172">
        <f t="shared" si="42"/>
        <v>0</v>
      </c>
      <c r="AB100" s="172">
        <f t="shared" si="42"/>
        <v>0</v>
      </c>
      <c r="AC100" s="172">
        <f t="shared" si="42"/>
        <v>0</v>
      </c>
      <c r="AD100" s="172">
        <f t="shared" si="42"/>
        <v>0</v>
      </c>
      <c r="AE100" s="172">
        <f t="shared" si="42"/>
        <v>0</v>
      </c>
      <c r="AF100" s="172">
        <f t="shared" si="42"/>
        <v>0</v>
      </c>
      <c r="AG100" s="810">
        <f t="shared" si="43"/>
        <v>-2</v>
      </c>
    </row>
    <row r="101">
      <c r="A101" s="153" t="s">
        <v>1244</v>
      </c>
      <c r="B101" s="172">
        <f t="shared" ref="B101:AF101" si="44">(B31+B48)-B119-B147</f>
        <v>0</v>
      </c>
      <c r="C101" s="172">
        <f t="shared" si="44"/>
        <v>0</v>
      </c>
      <c r="D101" s="172">
        <f t="shared" si="44"/>
        <v>0</v>
      </c>
      <c r="E101" s="172">
        <f t="shared" si="44"/>
        <v>0</v>
      </c>
      <c r="F101" s="172">
        <f t="shared" si="44"/>
        <v>0</v>
      </c>
      <c r="G101" s="172">
        <f t="shared" si="44"/>
        <v>0</v>
      </c>
      <c r="H101" s="172">
        <f t="shared" si="44"/>
        <v>0</v>
      </c>
      <c r="I101" s="172">
        <f t="shared" si="44"/>
        <v>0</v>
      </c>
      <c r="J101" s="172">
        <f t="shared" si="44"/>
        <v>0</v>
      </c>
      <c r="K101" s="172">
        <f t="shared" si="44"/>
        <v>0</v>
      </c>
      <c r="L101" s="172">
        <f t="shared" si="44"/>
        <v>0</v>
      </c>
      <c r="M101" s="172">
        <f t="shared" si="44"/>
        <v>0</v>
      </c>
      <c r="N101" s="172">
        <f t="shared" si="44"/>
        <v>0</v>
      </c>
      <c r="O101" s="172">
        <f t="shared" si="44"/>
        <v>0</v>
      </c>
      <c r="P101" s="172">
        <f t="shared" si="44"/>
        <v>0</v>
      </c>
      <c r="Q101" s="172">
        <f t="shared" si="44"/>
        <v>0</v>
      </c>
      <c r="R101" s="172">
        <f t="shared" si="44"/>
        <v>0</v>
      </c>
      <c r="S101" s="172">
        <f t="shared" si="44"/>
        <v>0</v>
      </c>
      <c r="T101" s="172">
        <f t="shared" si="44"/>
        <v>0</v>
      </c>
      <c r="U101" s="172">
        <f t="shared" si="44"/>
        <v>0</v>
      </c>
      <c r="V101" s="172">
        <f t="shared" si="44"/>
        <v>0</v>
      </c>
      <c r="W101" s="172">
        <f t="shared" si="44"/>
        <v>0</v>
      </c>
      <c r="X101" s="172">
        <f t="shared" si="44"/>
        <v>0</v>
      </c>
      <c r="Y101" s="172">
        <f t="shared" si="44"/>
        <v>-1</v>
      </c>
      <c r="Z101" s="172">
        <f t="shared" si="44"/>
        <v>0</v>
      </c>
      <c r="AA101" s="172">
        <f t="shared" si="44"/>
        <v>0</v>
      </c>
      <c r="AB101" s="172">
        <f t="shared" si="44"/>
        <v>0</v>
      </c>
      <c r="AC101" s="172">
        <f t="shared" si="44"/>
        <v>0</v>
      </c>
      <c r="AD101" s="172">
        <f t="shared" si="44"/>
        <v>0</v>
      </c>
      <c r="AE101" s="172">
        <f t="shared" si="44"/>
        <v>0</v>
      </c>
      <c r="AF101" s="172">
        <f t="shared" si="44"/>
        <v>0</v>
      </c>
      <c r="AG101" s="810">
        <f t="shared" si="43"/>
        <v>-1</v>
      </c>
    </row>
    <row r="102">
      <c r="A102" s="153" t="s">
        <v>1245</v>
      </c>
      <c r="B102" s="172">
        <f t="shared" ref="B102:AF102" si="45">(B32-B49)-B120-B148</f>
        <v>0</v>
      </c>
      <c r="C102" s="172">
        <f t="shared" si="45"/>
        <v>0</v>
      </c>
      <c r="D102" s="172">
        <f t="shared" si="45"/>
        <v>0</v>
      </c>
      <c r="E102" s="172">
        <f t="shared" si="45"/>
        <v>0</v>
      </c>
      <c r="F102" s="172">
        <f t="shared" si="45"/>
        <v>0</v>
      </c>
      <c r="G102" s="172">
        <f t="shared" si="45"/>
        <v>0</v>
      </c>
      <c r="H102" s="172">
        <f t="shared" si="45"/>
        <v>0</v>
      </c>
      <c r="I102" s="172">
        <f t="shared" si="45"/>
        <v>0</v>
      </c>
      <c r="J102" s="172">
        <f t="shared" si="45"/>
        <v>0</v>
      </c>
      <c r="K102" s="172">
        <f t="shared" si="45"/>
        <v>0</v>
      </c>
      <c r="L102" s="172">
        <f t="shared" si="45"/>
        <v>0</v>
      </c>
      <c r="M102" s="172">
        <f t="shared" si="45"/>
        <v>0</v>
      </c>
      <c r="N102" s="172">
        <f t="shared" si="45"/>
        <v>0</v>
      </c>
      <c r="O102" s="172">
        <f t="shared" si="45"/>
        <v>0</v>
      </c>
      <c r="P102" s="172">
        <f t="shared" si="45"/>
        <v>0</v>
      </c>
      <c r="Q102" s="172">
        <f t="shared" si="45"/>
        <v>0</v>
      </c>
      <c r="R102" s="172">
        <f t="shared" si="45"/>
        <v>0</v>
      </c>
      <c r="S102" s="172">
        <f t="shared" si="45"/>
        <v>0</v>
      </c>
      <c r="T102" s="172">
        <f t="shared" si="45"/>
        <v>0</v>
      </c>
      <c r="U102" s="172">
        <f t="shared" si="45"/>
        <v>0</v>
      </c>
      <c r="V102" s="172">
        <f t="shared" si="45"/>
        <v>0</v>
      </c>
      <c r="W102" s="172">
        <f t="shared" si="45"/>
        <v>0</v>
      </c>
      <c r="X102" s="172">
        <f t="shared" si="45"/>
        <v>0</v>
      </c>
      <c r="Y102" s="172">
        <f t="shared" si="45"/>
        <v>0</v>
      </c>
      <c r="Z102" s="172">
        <f t="shared" si="45"/>
        <v>0</v>
      </c>
      <c r="AA102" s="172">
        <f t="shared" si="45"/>
        <v>0</v>
      </c>
      <c r="AB102" s="172">
        <f t="shared" si="45"/>
        <v>0</v>
      </c>
      <c r="AC102" s="172">
        <f t="shared" si="45"/>
        <v>0</v>
      </c>
      <c r="AD102" s="172">
        <f t="shared" si="45"/>
        <v>0</v>
      </c>
      <c r="AE102" s="172">
        <f t="shared" si="45"/>
        <v>0</v>
      </c>
      <c r="AF102" s="172">
        <f t="shared" si="45"/>
        <v>0</v>
      </c>
      <c r="AG102" s="810">
        <f t="shared" si="43"/>
        <v>0</v>
      </c>
    </row>
    <row r="103">
      <c r="A103" s="153" t="s">
        <v>1246</v>
      </c>
      <c r="B103" s="172">
        <f t="shared" ref="B103:AF103" si="46">(B33-B50)-B121-B149</f>
        <v>0</v>
      </c>
      <c r="C103" s="172">
        <f t="shared" si="46"/>
        <v>0</v>
      </c>
      <c r="D103" s="172">
        <f t="shared" si="46"/>
        <v>0</v>
      </c>
      <c r="E103" s="172">
        <f t="shared" si="46"/>
        <v>0</v>
      </c>
      <c r="F103" s="172">
        <f t="shared" si="46"/>
        <v>0</v>
      </c>
      <c r="G103" s="172">
        <f t="shared" si="46"/>
        <v>-1</v>
      </c>
      <c r="H103" s="172">
        <f t="shared" si="46"/>
        <v>0</v>
      </c>
      <c r="I103" s="172">
        <f t="shared" si="46"/>
        <v>0</v>
      </c>
      <c r="J103" s="172">
        <f t="shared" si="46"/>
        <v>0</v>
      </c>
      <c r="K103" s="172">
        <f t="shared" si="46"/>
        <v>0</v>
      </c>
      <c r="L103" s="172">
        <f t="shared" si="46"/>
        <v>0</v>
      </c>
      <c r="M103" s="172">
        <f t="shared" si="46"/>
        <v>0</v>
      </c>
      <c r="N103" s="172">
        <f t="shared" si="46"/>
        <v>-1</v>
      </c>
      <c r="O103" s="172">
        <f t="shared" si="46"/>
        <v>0</v>
      </c>
      <c r="P103" s="172">
        <f t="shared" si="46"/>
        <v>0</v>
      </c>
      <c r="Q103" s="172">
        <f t="shared" si="46"/>
        <v>0</v>
      </c>
      <c r="R103" s="172">
        <f t="shared" si="46"/>
        <v>0</v>
      </c>
      <c r="S103" s="172">
        <f t="shared" si="46"/>
        <v>0</v>
      </c>
      <c r="T103" s="172">
        <f t="shared" si="46"/>
        <v>-1</v>
      </c>
      <c r="U103" s="172">
        <f t="shared" si="46"/>
        <v>0</v>
      </c>
      <c r="V103" s="172">
        <f t="shared" si="46"/>
        <v>0</v>
      </c>
      <c r="W103" s="172">
        <f t="shared" si="46"/>
        <v>0</v>
      </c>
      <c r="X103" s="172">
        <f t="shared" si="46"/>
        <v>0</v>
      </c>
      <c r="Y103" s="172">
        <f t="shared" si="46"/>
        <v>0</v>
      </c>
      <c r="Z103" s="172">
        <f t="shared" si="46"/>
        <v>0</v>
      </c>
      <c r="AA103" s="172">
        <f t="shared" si="46"/>
        <v>0</v>
      </c>
      <c r="AB103" s="172">
        <f t="shared" si="46"/>
        <v>0</v>
      </c>
      <c r="AC103" s="172">
        <f t="shared" si="46"/>
        <v>0</v>
      </c>
      <c r="AD103" s="172">
        <f t="shared" si="46"/>
        <v>0</v>
      </c>
      <c r="AE103" s="172">
        <f t="shared" si="46"/>
        <v>0</v>
      </c>
      <c r="AF103" s="172">
        <f t="shared" si="46"/>
        <v>0</v>
      </c>
      <c r="AG103" s="810">
        <f t="shared" si="43"/>
        <v>-3</v>
      </c>
    </row>
    <row r="104">
      <c r="A104" s="153" t="s">
        <v>1247</v>
      </c>
      <c r="B104" s="172">
        <f t="shared" ref="B104:AF104" si="47">(B34-B51)-B122-B150</f>
        <v>0</v>
      </c>
      <c r="C104" s="172">
        <f t="shared" si="47"/>
        <v>0</v>
      </c>
      <c r="D104" s="172">
        <f t="shared" si="47"/>
        <v>0</v>
      </c>
      <c r="E104" s="172">
        <f t="shared" si="47"/>
        <v>0</v>
      </c>
      <c r="F104" s="172">
        <f t="shared" si="47"/>
        <v>0</v>
      </c>
      <c r="G104" s="172">
        <f t="shared" si="47"/>
        <v>0</v>
      </c>
      <c r="H104" s="172">
        <f t="shared" si="47"/>
        <v>0</v>
      </c>
      <c r="I104" s="172">
        <f t="shared" si="47"/>
        <v>0</v>
      </c>
      <c r="J104" s="172">
        <f t="shared" si="47"/>
        <v>0</v>
      </c>
      <c r="K104" s="172">
        <f t="shared" si="47"/>
        <v>0</v>
      </c>
      <c r="L104" s="172">
        <f t="shared" si="47"/>
        <v>0</v>
      </c>
      <c r="M104" s="172">
        <f t="shared" si="47"/>
        <v>0</v>
      </c>
      <c r="N104" s="172">
        <f t="shared" si="47"/>
        <v>0</v>
      </c>
      <c r="O104" s="172">
        <f t="shared" si="47"/>
        <v>0</v>
      </c>
      <c r="P104" s="172">
        <f t="shared" si="47"/>
        <v>0</v>
      </c>
      <c r="Q104" s="172">
        <f t="shared" si="47"/>
        <v>0</v>
      </c>
      <c r="R104" s="172">
        <f t="shared" si="47"/>
        <v>0</v>
      </c>
      <c r="S104" s="172">
        <f t="shared" si="47"/>
        <v>0</v>
      </c>
      <c r="T104" s="172">
        <f t="shared" si="47"/>
        <v>0</v>
      </c>
      <c r="U104" s="172">
        <f t="shared" si="47"/>
        <v>0</v>
      </c>
      <c r="V104" s="172">
        <f t="shared" si="47"/>
        <v>0</v>
      </c>
      <c r="W104" s="172">
        <f t="shared" si="47"/>
        <v>0</v>
      </c>
      <c r="X104" s="172">
        <f t="shared" si="47"/>
        <v>0</v>
      </c>
      <c r="Y104" s="172">
        <f t="shared" si="47"/>
        <v>0</v>
      </c>
      <c r="Z104" s="172">
        <f t="shared" si="47"/>
        <v>0</v>
      </c>
      <c r="AA104" s="172">
        <f t="shared" si="47"/>
        <v>0</v>
      </c>
      <c r="AB104" s="172">
        <f t="shared" si="47"/>
        <v>0</v>
      </c>
      <c r="AC104" s="172">
        <f t="shared" si="47"/>
        <v>0</v>
      </c>
      <c r="AD104" s="172">
        <f t="shared" si="47"/>
        <v>0</v>
      </c>
      <c r="AE104" s="172">
        <f t="shared" si="47"/>
        <v>0</v>
      </c>
      <c r="AF104" s="172">
        <f t="shared" si="47"/>
        <v>0</v>
      </c>
      <c r="AG104" s="810">
        <f t="shared" si="43"/>
        <v>0</v>
      </c>
    </row>
    <row r="105">
      <c r="A105" s="153" t="s">
        <v>1248</v>
      </c>
      <c r="B105" s="172">
        <f t="shared" ref="B105:AF105" si="48">(B35-B52)-B123-B151</f>
        <v>0</v>
      </c>
      <c r="C105" s="172">
        <f t="shared" si="48"/>
        <v>0</v>
      </c>
      <c r="D105" s="172">
        <f t="shared" si="48"/>
        <v>0</v>
      </c>
      <c r="E105" s="172">
        <f t="shared" si="48"/>
        <v>0</v>
      </c>
      <c r="F105" s="172">
        <f t="shared" si="48"/>
        <v>0</v>
      </c>
      <c r="G105" s="172">
        <f t="shared" si="48"/>
        <v>0</v>
      </c>
      <c r="H105" s="172">
        <f t="shared" si="48"/>
        <v>0</v>
      </c>
      <c r="I105" s="172">
        <f t="shared" si="48"/>
        <v>0</v>
      </c>
      <c r="J105" s="172">
        <f t="shared" si="48"/>
        <v>0</v>
      </c>
      <c r="K105" s="172">
        <f t="shared" si="48"/>
        <v>0</v>
      </c>
      <c r="L105" s="172">
        <f t="shared" si="48"/>
        <v>0</v>
      </c>
      <c r="M105" s="172">
        <f t="shared" si="48"/>
        <v>0</v>
      </c>
      <c r="N105" s="172">
        <f t="shared" si="48"/>
        <v>0</v>
      </c>
      <c r="O105" s="172">
        <f t="shared" si="48"/>
        <v>0</v>
      </c>
      <c r="P105" s="172">
        <f t="shared" si="48"/>
        <v>0</v>
      </c>
      <c r="Q105" s="172">
        <f t="shared" si="48"/>
        <v>0</v>
      </c>
      <c r="R105" s="172">
        <f t="shared" si="48"/>
        <v>0</v>
      </c>
      <c r="S105" s="172">
        <f t="shared" si="48"/>
        <v>0</v>
      </c>
      <c r="T105" s="172">
        <f t="shared" si="48"/>
        <v>0</v>
      </c>
      <c r="U105" s="172">
        <f t="shared" si="48"/>
        <v>0</v>
      </c>
      <c r="V105" s="172">
        <f t="shared" si="48"/>
        <v>0</v>
      </c>
      <c r="W105" s="172">
        <f t="shared" si="48"/>
        <v>0</v>
      </c>
      <c r="X105" s="172">
        <f t="shared" si="48"/>
        <v>0</v>
      </c>
      <c r="Y105" s="172">
        <f t="shared" si="48"/>
        <v>0</v>
      </c>
      <c r="Z105" s="172">
        <f t="shared" si="48"/>
        <v>0</v>
      </c>
      <c r="AA105" s="172">
        <f t="shared" si="48"/>
        <v>0</v>
      </c>
      <c r="AB105" s="172">
        <f t="shared" si="48"/>
        <v>0</v>
      </c>
      <c r="AC105" s="172">
        <f t="shared" si="48"/>
        <v>0</v>
      </c>
      <c r="AD105" s="172">
        <f t="shared" si="48"/>
        <v>0</v>
      </c>
      <c r="AE105" s="172">
        <f t="shared" si="48"/>
        <v>0</v>
      </c>
      <c r="AF105" s="172">
        <f t="shared" si="48"/>
        <v>0</v>
      </c>
      <c r="AG105" s="810">
        <f t="shared" si="43"/>
        <v>0</v>
      </c>
    </row>
    <row r="106">
      <c r="A106" s="153" t="s">
        <v>1249</v>
      </c>
      <c r="B106" s="172">
        <f t="shared" ref="B106:AF106" si="49">(B36-B53)-B124-B152</f>
        <v>0</v>
      </c>
      <c r="C106" s="172">
        <f t="shared" si="49"/>
        <v>0</v>
      </c>
      <c r="D106" s="172">
        <f t="shared" si="49"/>
        <v>0</v>
      </c>
      <c r="E106" s="172">
        <f t="shared" si="49"/>
        <v>0</v>
      </c>
      <c r="F106" s="172">
        <f t="shared" si="49"/>
        <v>0</v>
      </c>
      <c r="G106" s="172">
        <f t="shared" si="49"/>
        <v>0</v>
      </c>
      <c r="H106" s="172">
        <f t="shared" si="49"/>
        <v>0</v>
      </c>
      <c r="I106" s="172">
        <f t="shared" si="49"/>
        <v>0</v>
      </c>
      <c r="J106" s="172">
        <f t="shared" si="49"/>
        <v>0</v>
      </c>
      <c r="K106" s="172">
        <f t="shared" si="49"/>
        <v>0</v>
      </c>
      <c r="L106" s="172">
        <f t="shared" si="49"/>
        <v>0</v>
      </c>
      <c r="M106" s="172">
        <f t="shared" si="49"/>
        <v>0</v>
      </c>
      <c r="N106" s="172">
        <f t="shared" si="49"/>
        <v>0</v>
      </c>
      <c r="O106" s="172">
        <f t="shared" si="49"/>
        <v>0</v>
      </c>
      <c r="P106" s="172">
        <f t="shared" si="49"/>
        <v>0</v>
      </c>
      <c r="Q106" s="172">
        <f t="shared" si="49"/>
        <v>0</v>
      </c>
      <c r="R106" s="172">
        <f t="shared" si="49"/>
        <v>0</v>
      </c>
      <c r="S106" s="172">
        <f t="shared" si="49"/>
        <v>0</v>
      </c>
      <c r="T106" s="172">
        <f t="shared" si="49"/>
        <v>0</v>
      </c>
      <c r="U106" s="172">
        <f t="shared" si="49"/>
        <v>0</v>
      </c>
      <c r="V106" s="172">
        <f t="shared" si="49"/>
        <v>0</v>
      </c>
      <c r="W106" s="172">
        <f t="shared" si="49"/>
        <v>0</v>
      </c>
      <c r="X106" s="172">
        <f t="shared" si="49"/>
        <v>0</v>
      </c>
      <c r="Y106" s="172">
        <f t="shared" si="49"/>
        <v>0</v>
      </c>
      <c r="Z106" s="172">
        <f t="shared" si="49"/>
        <v>0</v>
      </c>
      <c r="AA106" s="172">
        <f t="shared" si="49"/>
        <v>0</v>
      </c>
      <c r="AB106" s="172">
        <f t="shared" si="49"/>
        <v>0</v>
      </c>
      <c r="AC106" s="172">
        <f t="shared" si="49"/>
        <v>0</v>
      </c>
      <c r="AD106" s="172">
        <f t="shared" si="49"/>
        <v>0</v>
      </c>
      <c r="AE106" s="172">
        <f t="shared" si="49"/>
        <v>0</v>
      </c>
      <c r="AF106" s="172">
        <f t="shared" si="49"/>
        <v>0</v>
      </c>
      <c r="AG106" s="810">
        <f t="shared" si="43"/>
        <v>0</v>
      </c>
    </row>
    <row r="107">
      <c r="A107" s="818" t="s">
        <v>115</v>
      </c>
      <c r="B107" s="315">
        <f t="shared" ref="B107:AF107" si="50">SUM(B99:B106)</f>
        <v>0</v>
      </c>
      <c r="C107" s="315">
        <f t="shared" si="50"/>
        <v>0</v>
      </c>
      <c r="D107" s="315">
        <f t="shared" si="50"/>
        <v>0</v>
      </c>
      <c r="E107" s="315">
        <f t="shared" si="50"/>
        <v>0</v>
      </c>
      <c r="F107" s="315">
        <f t="shared" si="50"/>
        <v>0</v>
      </c>
      <c r="G107" s="315">
        <f t="shared" si="50"/>
        <v>-1</v>
      </c>
      <c r="H107" s="315">
        <f t="shared" si="50"/>
        <v>0</v>
      </c>
      <c r="I107" s="315">
        <f t="shared" si="50"/>
        <v>0</v>
      </c>
      <c r="J107" s="315">
        <f t="shared" si="50"/>
        <v>0</v>
      </c>
      <c r="K107" s="315">
        <f t="shared" si="50"/>
        <v>0</v>
      </c>
      <c r="L107" s="315">
        <f t="shared" si="50"/>
        <v>0</v>
      </c>
      <c r="M107" s="315">
        <f t="shared" si="50"/>
        <v>0</v>
      </c>
      <c r="N107" s="315">
        <f t="shared" si="50"/>
        <v>-1</v>
      </c>
      <c r="O107" s="315">
        <f t="shared" si="50"/>
        <v>0</v>
      </c>
      <c r="P107" s="315">
        <f t="shared" si="50"/>
        <v>0</v>
      </c>
      <c r="Q107" s="315">
        <f t="shared" si="50"/>
        <v>0</v>
      </c>
      <c r="R107" s="315">
        <f t="shared" si="50"/>
        <v>0</v>
      </c>
      <c r="S107" s="315">
        <f t="shared" si="50"/>
        <v>0</v>
      </c>
      <c r="T107" s="315">
        <f t="shared" si="50"/>
        <v>-3</v>
      </c>
      <c r="U107" s="315">
        <f t="shared" si="50"/>
        <v>0</v>
      </c>
      <c r="V107" s="315">
        <f t="shared" si="50"/>
        <v>-1</v>
      </c>
      <c r="W107" s="315">
        <f t="shared" si="50"/>
        <v>0</v>
      </c>
      <c r="X107" s="315">
        <f t="shared" si="50"/>
        <v>0</v>
      </c>
      <c r="Y107" s="315">
        <f t="shared" si="50"/>
        <v>-1</v>
      </c>
      <c r="Z107" s="315">
        <f t="shared" si="50"/>
        <v>0</v>
      </c>
      <c r="AA107" s="315">
        <f t="shared" si="50"/>
        <v>0</v>
      </c>
      <c r="AB107" s="315">
        <f t="shared" si="50"/>
        <v>0</v>
      </c>
      <c r="AC107" s="315">
        <f t="shared" si="50"/>
        <v>0</v>
      </c>
      <c r="AD107" s="315">
        <f t="shared" si="50"/>
        <v>0</v>
      </c>
      <c r="AE107" s="315">
        <f t="shared" si="50"/>
        <v>0</v>
      </c>
      <c r="AF107" s="315">
        <f t="shared" si="50"/>
        <v>0</v>
      </c>
      <c r="AG107" s="810">
        <f t="shared" si="43"/>
        <v>-7</v>
      </c>
    </row>
    <row r="109">
      <c r="A109" s="138" t="s">
        <v>1250</v>
      </c>
      <c r="B109" s="127"/>
      <c r="C109" s="127"/>
      <c r="D109" s="127"/>
      <c r="E109" s="127"/>
      <c r="F109" s="127"/>
      <c r="G109" s="127"/>
      <c r="H109" s="127"/>
      <c r="I109" s="83"/>
      <c r="J109" s="83"/>
      <c r="K109" s="83"/>
      <c r="L109" s="83"/>
      <c r="M109" s="83"/>
      <c r="N109" s="83"/>
      <c r="O109" s="83"/>
      <c r="P109" s="83"/>
      <c r="Q109" s="83"/>
      <c r="R109" s="83"/>
      <c r="S109" s="83"/>
      <c r="T109" s="83"/>
      <c r="U109" s="83"/>
      <c r="V109" s="83"/>
      <c r="W109" s="83"/>
      <c r="X109" s="83"/>
      <c r="Y109" s="83"/>
      <c r="Z109" s="83"/>
      <c r="AA109" s="83"/>
      <c r="AB109" s="83"/>
      <c r="AC109" s="83"/>
      <c r="AD109" s="83"/>
      <c r="AE109" s="83"/>
      <c r="AF109" s="83"/>
      <c r="AG109" s="826"/>
    </row>
    <row r="110">
      <c r="A110" s="215" t="s">
        <v>1251</v>
      </c>
      <c r="B110" s="160">
        <v>0.0</v>
      </c>
      <c r="C110" s="160">
        <v>0.0</v>
      </c>
      <c r="D110" s="160">
        <v>0.0</v>
      </c>
      <c r="E110" s="160">
        <v>0.0</v>
      </c>
      <c r="F110" s="160">
        <v>0.0</v>
      </c>
      <c r="G110" s="160">
        <v>0.0</v>
      </c>
      <c r="H110" s="160">
        <v>0.0</v>
      </c>
      <c r="I110" s="160">
        <v>0.0</v>
      </c>
      <c r="J110" s="160">
        <v>0.0</v>
      </c>
      <c r="K110" s="160">
        <v>0.0</v>
      </c>
      <c r="L110" s="160">
        <v>0.0</v>
      </c>
      <c r="M110" s="160">
        <v>0.0</v>
      </c>
      <c r="N110" s="160">
        <v>0.0</v>
      </c>
      <c r="O110" s="160">
        <v>0.0</v>
      </c>
      <c r="P110" s="160">
        <v>0.0</v>
      </c>
      <c r="Q110" s="160">
        <v>0.0</v>
      </c>
      <c r="R110" s="160">
        <v>0.0</v>
      </c>
      <c r="S110" s="160">
        <v>0.0</v>
      </c>
      <c r="T110" s="160">
        <v>0.0</v>
      </c>
      <c r="U110" s="160">
        <v>0.0</v>
      </c>
      <c r="V110" s="160">
        <v>0.0</v>
      </c>
      <c r="W110" s="160">
        <v>0.0</v>
      </c>
      <c r="X110" s="160">
        <v>0.0</v>
      </c>
      <c r="Y110" s="160">
        <v>0.0</v>
      </c>
      <c r="Z110" s="160">
        <v>0.0</v>
      </c>
      <c r="AA110" s="160">
        <v>0.0</v>
      </c>
      <c r="AB110" s="160">
        <v>0.0</v>
      </c>
      <c r="AC110" s="160"/>
      <c r="AD110" s="160"/>
      <c r="AE110" s="160"/>
      <c r="AF110" s="160"/>
      <c r="AG110" s="810">
        <f t="shared" ref="AG110:AG115" si="51">SUM(B110:AF110)</f>
        <v>0</v>
      </c>
    </row>
    <row r="111">
      <c r="A111" s="215" t="s">
        <v>1252</v>
      </c>
      <c r="B111" s="160">
        <v>0.0</v>
      </c>
      <c r="C111" s="160">
        <v>0.0</v>
      </c>
      <c r="D111" s="160">
        <v>0.0</v>
      </c>
      <c r="E111" s="160">
        <v>0.0</v>
      </c>
      <c r="F111" s="160">
        <v>0.0</v>
      </c>
      <c r="G111" s="160">
        <v>0.0</v>
      </c>
      <c r="H111" s="160">
        <v>0.0</v>
      </c>
      <c r="I111" s="160">
        <v>0.0</v>
      </c>
      <c r="J111" s="160">
        <v>0.0</v>
      </c>
      <c r="K111" s="160">
        <v>0.0</v>
      </c>
      <c r="L111" s="160">
        <v>0.0</v>
      </c>
      <c r="M111" s="160">
        <v>0.0</v>
      </c>
      <c r="N111" s="160">
        <v>0.0</v>
      </c>
      <c r="O111" s="160">
        <v>0.0</v>
      </c>
      <c r="P111" s="160">
        <v>0.0</v>
      </c>
      <c r="Q111" s="160">
        <v>0.0</v>
      </c>
      <c r="R111" s="160">
        <v>0.0</v>
      </c>
      <c r="S111" s="160">
        <v>0.0</v>
      </c>
      <c r="T111" s="160">
        <v>0.0</v>
      </c>
      <c r="U111" s="160">
        <v>0.0</v>
      </c>
      <c r="V111" s="160">
        <v>0.0</v>
      </c>
      <c r="W111" s="160">
        <v>0.0</v>
      </c>
      <c r="X111" s="160">
        <v>0.0</v>
      </c>
      <c r="Y111" s="160">
        <v>0.0</v>
      </c>
      <c r="Z111" s="160">
        <v>0.0</v>
      </c>
      <c r="AA111" s="160">
        <v>0.0</v>
      </c>
      <c r="AB111" s="160">
        <v>0.0</v>
      </c>
      <c r="AC111" s="160"/>
      <c r="AD111" s="160"/>
      <c r="AE111" s="160"/>
      <c r="AF111" s="160"/>
      <c r="AG111" s="810">
        <f t="shared" si="51"/>
        <v>0</v>
      </c>
    </row>
    <row r="112">
      <c r="A112" s="215" t="s">
        <v>1253</v>
      </c>
      <c r="B112" s="154">
        <v>0.0</v>
      </c>
      <c r="C112" s="154">
        <v>0.0</v>
      </c>
      <c r="D112" s="154">
        <v>0.0</v>
      </c>
      <c r="E112" s="154">
        <v>0.0</v>
      </c>
      <c r="F112" s="154">
        <v>0.0</v>
      </c>
      <c r="G112" s="160">
        <v>1.0</v>
      </c>
      <c r="H112" s="160">
        <v>0.0</v>
      </c>
      <c r="I112" s="160">
        <v>0.0</v>
      </c>
      <c r="J112" s="160">
        <v>0.0</v>
      </c>
      <c r="K112" s="160">
        <v>0.0</v>
      </c>
      <c r="L112" s="160">
        <v>0.0</v>
      </c>
      <c r="M112" s="160">
        <v>0.0</v>
      </c>
      <c r="N112" s="160">
        <v>0.0</v>
      </c>
      <c r="O112" s="160">
        <v>0.0</v>
      </c>
      <c r="P112" s="160">
        <v>0.0</v>
      </c>
      <c r="Q112" s="160">
        <v>0.0</v>
      </c>
      <c r="R112" s="160">
        <v>0.0</v>
      </c>
      <c r="S112" s="160">
        <v>0.0</v>
      </c>
      <c r="T112" s="160">
        <v>0.0</v>
      </c>
      <c r="U112" s="160">
        <v>0.0</v>
      </c>
      <c r="V112" s="160">
        <v>0.0</v>
      </c>
      <c r="W112" s="160">
        <v>0.0</v>
      </c>
      <c r="X112" s="160">
        <v>0.0</v>
      </c>
      <c r="Y112" s="160">
        <v>0.0</v>
      </c>
      <c r="Z112" s="160">
        <v>0.0</v>
      </c>
      <c r="AA112" s="160">
        <v>0.0</v>
      </c>
      <c r="AB112" s="160">
        <v>0.0</v>
      </c>
      <c r="AC112" s="160"/>
      <c r="AD112" s="160"/>
      <c r="AE112" s="160"/>
      <c r="AF112" s="160"/>
      <c r="AG112" s="810">
        <f t="shared" si="51"/>
        <v>1</v>
      </c>
    </row>
    <row r="113">
      <c r="A113" s="215" t="s">
        <v>1254</v>
      </c>
      <c r="B113" s="154">
        <v>0.0</v>
      </c>
      <c r="C113" s="154">
        <v>0.0</v>
      </c>
      <c r="D113" s="154">
        <v>0.0</v>
      </c>
      <c r="E113" s="154">
        <v>0.0</v>
      </c>
      <c r="F113" s="154">
        <v>0.0</v>
      </c>
      <c r="G113" s="160">
        <v>0.0</v>
      </c>
      <c r="H113" s="160">
        <v>0.0</v>
      </c>
      <c r="I113" s="160">
        <v>0.0</v>
      </c>
      <c r="J113" s="160">
        <v>0.0</v>
      </c>
      <c r="K113" s="160">
        <v>0.0</v>
      </c>
      <c r="L113" s="160">
        <v>0.0</v>
      </c>
      <c r="M113" s="160">
        <v>0.0</v>
      </c>
      <c r="N113" s="160">
        <v>0.0</v>
      </c>
      <c r="O113" s="160">
        <v>0.0</v>
      </c>
      <c r="P113" s="160">
        <v>0.0</v>
      </c>
      <c r="Q113" s="160">
        <v>0.0</v>
      </c>
      <c r="R113" s="160">
        <v>0.0</v>
      </c>
      <c r="S113" s="160">
        <v>0.0</v>
      </c>
      <c r="T113" s="160">
        <v>0.0</v>
      </c>
      <c r="U113" s="160">
        <v>0.0</v>
      </c>
      <c r="V113" s="160">
        <v>0.0</v>
      </c>
      <c r="W113" s="160">
        <v>0.0</v>
      </c>
      <c r="X113" s="160">
        <v>0.0</v>
      </c>
      <c r="Y113" s="160">
        <v>0.0</v>
      </c>
      <c r="Z113" s="160">
        <v>0.0</v>
      </c>
      <c r="AA113" s="160">
        <v>0.0</v>
      </c>
      <c r="AB113" s="160">
        <v>0.0</v>
      </c>
      <c r="AC113" s="160"/>
      <c r="AD113" s="160"/>
      <c r="AE113" s="160"/>
      <c r="AF113" s="160"/>
      <c r="AG113" s="810">
        <f t="shared" si="51"/>
        <v>0</v>
      </c>
    </row>
    <row r="114">
      <c r="A114" s="827" t="s">
        <v>515</v>
      </c>
      <c r="B114" s="345">
        <f t="shared" ref="B114:AF114" si="52">SUM(B110:B111)</f>
        <v>0</v>
      </c>
      <c r="C114" s="345">
        <f t="shared" si="52"/>
        <v>0</v>
      </c>
      <c r="D114" s="345">
        <f t="shared" si="52"/>
        <v>0</v>
      </c>
      <c r="E114" s="345">
        <f t="shared" si="52"/>
        <v>0</v>
      </c>
      <c r="F114" s="345">
        <f t="shared" si="52"/>
        <v>0</v>
      </c>
      <c r="G114" s="345">
        <f t="shared" si="52"/>
        <v>0</v>
      </c>
      <c r="H114" s="345">
        <f t="shared" si="52"/>
        <v>0</v>
      </c>
      <c r="I114" s="345">
        <f t="shared" si="52"/>
        <v>0</v>
      </c>
      <c r="J114" s="345">
        <f t="shared" si="52"/>
        <v>0</v>
      </c>
      <c r="K114" s="345">
        <f t="shared" si="52"/>
        <v>0</v>
      </c>
      <c r="L114" s="345">
        <f t="shared" si="52"/>
        <v>0</v>
      </c>
      <c r="M114" s="345">
        <f t="shared" si="52"/>
        <v>0</v>
      </c>
      <c r="N114" s="345">
        <f t="shared" si="52"/>
        <v>0</v>
      </c>
      <c r="O114" s="345">
        <f t="shared" si="52"/>
        <v>0</v>
      </c>
      <c r="P114" s="345">
        <f t="shared" si="52"/>
        <v>0</v>
      </c>
      <c r="Q114" s="345">
        <f t="shared" si="52"/>
        <v>0</v>
      </c>
      <c r="R114" s="345">
        <f t="shared" si="52"/>
        <v>0</v>
      </c>
      <c r="S114" s="345">
        <f t="shared" si="52"/>
        <v>0</v>
      </c>
      <c r="T114" s="345">
        <f t="shared" si="52"/>
        <v>0</v>
      </c>
      <c r="U114" s="345">
        <f t="shared" si="52"/>
        <v>0</v>
      </c>
      <c r="V114" s="345">
        <f t="shared" si="52"/>
        <v>0</v>
      </c>
      <c r="W114" s="345">
        <f t="shared" si="52"/>
        <v>0</v>
      </c>
      <c r="X114" s="345">
        <f t="shared" si="52"/>
        <v>0</v>
      </c>
      <c r="Y114" s="345">
        <f t="shared" si="52"/>
        <v>0</v>
      </c>
      <c r="Z114" s="345">
        <f t="shared" si="52"/>
        <v>0</v>
      </c>
      <c r="AA114" s="345">
        <f t="shared" si="52"/>
        <v>0</v>
      </c>
      <c r="AB114" s="345">
        <f t="shared" si="52"/>
        <v>0</v>
      </c>
      <c r="AC114" s="345">
        <f t="shared" si="52"/>
        <v>0</v>
      </c>
      <c r="AD114" s="345">
        <f t="shared" si="52"/>
        <v>0</v>
      </c>
      <c r="AE114" s="345">
        <f t="shared" si="52"/>
        <v>0</v>
      </c>
      <c r="AF114" s="345">
        <f t="shared" si="52"/>
        <v>0</v>
      </c>
      <c r="AG114" s="810">
        <f t="shared" si="51"/>
        <v>0</v>
      </c>
    </row>
    <row r="115">
      <c r="A115" s="827" t="s">
        <v>516</v>
      </c>
      <c r="B115" s="345">
        <f t="shared" ref="B115:AF115" si="53">SUM(B112:B113)</f>
        <v>0</v>
      </c>
      <c r="C115" s="345">
        <f t="shared" si="53"/>
        <v>0</v>
      </c>
      <c r="D115" s="345">
        <f t="shared" si="53"/>
        <v>0</v>
      </c>
      <c r="E115" s="345">
        <f t="shared" si="53"/>
        <v>0</v>
      </c>
      <c r="F115" s="345">
        <f t="shared" si="53"/>
        <v>0</v>
      </c>
      <c r="G115" s="345">
        <f t="shared" si="53"/>
        <v>1</v>
      </c>
      <c r="H115" s="345">
        <f t="shared" si="53"/>
        <v>0</v>
      </c>
      <c r="I115" s="345">
        <f t="shared" si="53"/>
        <v>0</v>
      </c>
      <c r="J115" s="345">
        <f t="shared" si="53"/>
        <v>0</v>
      </c>
      <c r="K115" s="345">
        <f t="shared" si="53"/>
        <v>0</v>
      </c>
      <c r="L115" s="345">
        <f t="shared" si="53"/>
        <v>0</v>
      </c>
      <c r="M115" s="345">
        <f t="shared" si="53"/>
        <v>0</v>
      </c>
      <c r="N115" s="345">
        <f t="shared" si="53"/>
        <v>0</v>
      </c>
      <c r="O115" s="345">
        <f t="shared" si="53"/>
        <v>0</v>
      </c>
      <c r="P115" s="345">
        <f t="shared" si="53"/>
        <v>0</v>
      </c>
      <c r="Q115" s="345">
        <f t="shared" si="53"/>
        <v>0</v>
      </c>
      <c r="R115" s="345">
        <f t="shared" si="53"/>
        <v>0</v>
      </c>
      <c r="S115" s="345">
        <f t="shared" si="53"/>
        <v>0</v>
      </c>
      <c r="T115" s="345">
        <f t="shared" si="53"/>
        <v>0</v>
      </c>
      <c r="U115" s="345">
        <f t="shared" si="53"/>
        <v>0</v>
      </c>
      <c r="V115" s="345">
        <f t="shared" si="53"/>
        <v>0</v>
      </c>
      <c r="W115" s="345">
        <f t="shared" si="53"/>
        <v>0</v>
      </c>
      <c r="X115" s="345">
        <f t="shared" si="53"/>
        <v>0</v>
      </c>
      <c r="Y115" s="345">
        <f t="shared" si="53"/>
        <v>0</v>
      </c>
      <c r="Z115" s="345">
        <f t="shared" si="53"/>
        <v>0</v>
      </c>
      <c r="AA115" s="345">
        <f t="shared" si="53"/>
        <v>0</v>
      </c>
      <c r="AB115" s="345">
        <f t="shared" si="53"/>
        <v>0</v>
      </c>
      <c r="AC115" s="345">
        <f t="shared" si="53"/>
        <v>0</v>
      </c>
      <c r="AD115" s="345">
        <f t="shared" si="53"/>
        <v>0</v>
      </c>
      <c r="AE115" s="345">
        <f t="shared" si="53"/>
        <v>0</v>
      </c>
      <c r="AF115" s="345">
        <f t="shared" si="53"/>
        <v>0</v>
      </c>
      <c r="AG115" s="810">
        <f t="shared" si="51"/>
        <v>1</v>
      </c>
    </row>
    <row r="116">
      <c r="A116" s="98"/>
      <c r="B116" s="127"/>
      <c r="C116" s="127"/>
      <c r="D116" s="127"/>
      <c r="E116" s="127"/>
      <c r="F116" s="127"/>
      <c r="G116" s="127"/>
      <c r="H116" s="127"/>
      <c r="I116" s="83"/>
      <c r="J116" s="83"/>
      <c r="K116" s="83"/>
      <c r="L116" s="83"/>
      <c r="M116" s="83"/>
      <c r="N116" s="83"/>
      <c r="O116" s="83"/>
      <c r="P116" s="83"/>
      <c r="Q116" s="83"/>
      <c r="R116" s="83"/>
      <c r="S116" s="83"/>
      <c r="T116" s="83"/>
      <c r="U116" s="83"/>
      <c r="V116" s="83"/>
      <c r="W116" s="83"/>
      <c r="X116" s="83"/>
      <c r="Y116" s="83"/>
      <c r="Z116" s="83"/>
      <c r="AA116" s="83"/>
      <c r="AB116" s="83"/>
      <c r="AC116" s="83"/>
      <c r="AD116" s="83"/>
      <c r="AE116" s="83"/>
      <c r="AF116" s="83"/>
      <c r="AG116" s="810"/>
    </row>
    <row r="117">
      <c r="A117" s="215" t="s">
        <v>1255</v>
      </c>
      <c r="B117" s="160">
        <v>0.0</v>
      </c>
      <c r="C117" s="160">
        <v>0.0</v>
      </c>
      <c r="D117" s="160">
        <v>0.0</v>
      </c>
      <c r="E117" s="160">
        <v>0.0</v>
      </c>
      <c r="F117" s="160">
        <v>0.0</v>
      </c>
      <c r="G117" s="160">
        <v>0.0</v>
      </c>
      <c r="H117" s="160">
        <v>0.0</v>
      </c>
      <c r="I117" s="160">
        <v>0.0</v>
      </c>
      <c r="J117" s="160">
        <v>0.0</v>
      </c>
      <c r="K117" s="160">
        <v>0.0</v>
      </c>
      <c r="L117" s="160">
        <v>0.0</v>
      </c>
      <c r="M117" s="160">
        <v>0.0</v>
      </c>
      <c r="N117" s="160">
        <v>0.0</v>
      </c>
      <c r="O117" s="160">
        <v>0.0</v>
      </c>
      <c r="P117" s="160">
        <v>0.0</v>
      </c>
      <c r="Q117" s="160">
        <v>0.0</v>
      </c>
      <c r="R117" s="160">
        <v>0.0</v>
      </c>
      <c r="S117" s="160">
        <v>0.0</v>
      </c>
      <c r="T117" s="160">
        <v>0.0</v>
      </c>
      <c r="U117" s="160">
        <v>0.0</v>
      </c>
      <c r="V117" s="160">
        <v>0.0</v>
      </c>
      <c r="W117" s="160">
        <v>0.0</v>
      </c>
      <c r="X117" s="160">
        <v>0.0</v>
      </c>
      <c r="Y117" s="160">
        <v>0.0</v>
      </c>
      <c r="Z117" s="160">
        <v>0.0</v>
      </c>
      <c r="AA117" s="160">
        <v>0.0</v>
      </c>
      <c r="AB117" s="160">
        <v>0.0</v>
      </c>
      <c r="AC117" s="160"/>
      <c r="AD117" s="160"/>
      <c r="AE117" s="160"/>
      <c r="AF117" s="160"/>
      <c r="AG117" s="810">
        <f t="shared" ref="AG117:AG125" si="54">SUM(B117:AF117)</f>
        <v>0</v>
      </c>
    </row>
    <row r="118">
      <c r="A118" s="215" t="s">
        <v>1256</v>
      </c>
      <c r="B118" s="160">
        <v>0.0</v>
      </c>
      <c r="C118" s="160">
        <v>0.0</v>
      </c>
      <c r="D118" s="160">
        <v>0.0</v>
      </c>
      <c r="E118" s="160">
        <v>0.0</v>
      </c>
      <c r="F118" s="160">
        <v>0.0</v>
      </c>
      <c r="G118" s="160">
        <v>0.0</v>
      </c>
      <c r="H118" s="160">
        <v>0.0</v>
      </c>
      <c r="I118" s="160">
        <v>0.0</v>
      </c>
      <c r="J118" s="160">
        <v>0.0</v>
      </c>
      <c r="K118" s="160">
        <v>0.0</v>
      </c>
      <c r="L118" s="160">
        <v>0.0</v>
      </c>
      <c r="M118" s="160">
        <v>0.0</v>
      </c>
      <c r="N118" s="160">
        <v>0.0</v>
      </c>
      <c r="O118" s="160">
        <v>0.0</v>
      </c>
      <c r="P118" s="160">
        <v>0.0</v>
      </c>
      <c r="Q118" s="160">
        <v>0.0</v>
      </c>
      <c r="R118" s="160">
        <v>0.0</v>
      </c>
      <c r="S118" s="160">
        <v>0.0</v>
      </c>
      <c r="T118" s="160">
        <v>0.0</v>
      </c>
      <c r="U118" s="160">
        <v>0.0</v>
      </c>
      <c r="V118" s="160">
        <v>0.0</v>
      </c>
      <c r="W118" s="160">
        <v>0.0</v>
      </c>
      <c r="X118" s="160">
        <v>0.0</v>
      </c>
      <c r="Y118" s="160">
        <v>0.0</v>
      </c>
      <c r="Z118" s="160">
        <v>0.0</v>
      </c>
      <c r="AA118" s="160">
        <v>0.0</v>
      </c>
      <c r="AB118" s="160">
        <v>0.0</v>
      </c>
      <c r="AC118" s="160"/>
      <c r="AD118" s="160"/>
      <c r="AE118" s="160"/>
      <c r="AF118" s="160"/>
      <c r="AG118" s="810">
        <f t="shared" si="54"/>
        <v>0</v>
      </c>
    </row>
    <row r="119">
      <c r="A119" s="215" t="s">
        <v>1257</v>
      </c>
      <c r="B119" s="160">
        <v>0.0</v>
      </c>
      <c r="C119" s="160">
        <v>0.0</v>
      </c>
      <c r="D119" s="160">
        <v>0.0</v>
      </c>
      <c r="E119" s="160">
        <v>0.0</v>
      </c>
      <c r="F119" s="160">
        <v>0.0</v>
      </c>
      <c r="G119" s="160">
        <v>0.0</v>
      </c>
      <c r="H119" s="160">
        <v>0.0</v>
      </c>
      <c r="I119" s="160">
        <v>0.0</v>
      </c>
      <c r="J119" s="160">
        <v>0.0</v>
      </c>
      <c r="K119" s="160">
        <v>0.0</v>
      </c>
      <c r="L119" s="160">
        <v>0.0</v>
      </c>
      <c r="M119" s="160">
        <v>0.0</v>
      </c>
      <c r="N119" s="160">
        <v>0.0</v>
      </c>
      <c r="O119" s="160">
        <v>0.0</v>
      </c>
      <c r="P119" s="160">
        <v>0.0</v>
      </c>
      <c r="Q119" s="160">
        <v>0.0</v>
      </c>
      <c r="R119" s="160">
        <v>0.0</v>
      </c>
      <c r="S119" s="160">
        <v>0.0</v>
      </c>
      <c r="T119" s="160">
        <v>0.0</v>
      </c>
      <c r="U119" s="160">
        <v>0.0</v>
      </c>
      <c r="V119" s="160">
        <v>0.0</v>
      </c>
      <c r="W119" s="160">
        <v>0.0</v>
      </c>
      <c r="X119" s="160">
        <v>0.0</v>
      </c>
      <c r="Y119" s="160">
        <v>0.0</v>
      </c>
      <c r="Z119" s="160">
        <v>0.0</v>
      </c>
      <c r="AA119" s="160">
        <v>0.0</v>
      </c>
      <c r="AB119" s="160">
        <v>0.0</v>
      </c>
      <c r="AC119" s="160"/>
      <c r="AD119" s="160"/>
      <c r="AE119" s="160"/>
      <c r="AF119" s="160"/>
      <c r="AG119" s="810">
        <f t="shared" si="54"/>
        <v>0</v>
      </c>
    </row>
    <row r="120">
      <c r="A120" s="215" t="s">
        <v>1258</v>
      </c>
      <c r="B120" s="160">
        <v>0.0</v>
      </c>
      <c r="C120" s="160">
        <v>0.0</v>
      </c>
      <c r="D120" s="160">
        <v>0.0</v>
      </c>
      <c r="E120" s="160">
        <v>0.0</v>
      </c>
      <c r="F120" s="160">
        <v>0.0</v>
      </c>
      <c r="G120" s="160">
        <v>0.0</v>
      </c>
      <c r="H120" s="160">
        <v>0.0</v>
      </c>
      <c r="I120" s="160">
        <v>0.0</v>
      </c>
      <c r="J120" s="160">
        <v>0.0</v>
      </c>
      <c r="K120" s="160">
        <v>0.0</v>
      </c>
      <c r="L120" s="160">
        <v>0.0</v>
      </c>
      <c r="M120" s="160">
        <v>0.0</v>
      </c>
      <c r="N120" s="160">
        <v>0.0</v>
      </c>
      <c r="O120" s="160">
        <v>0.0</v>
      </c>
      <c r="P120" s="160">
        <v>0.0</v>
      </c>
      <c r="Q120" s="160">
        <v>0.0</v>
      </c>
      <c r="R120" s="160">
        <v>0.0</v>
      </c>
      <c r="S120" s="160">
        <v>0.0</v>
      </c>
      <c r="T120" s="160">
        <v>0.0</v>
      </c>
      <c r="U120" s="160">
        <v>0.0</v>
      </c>
      <c r="V120" s="160">
        <v>0.0</v>
      </c>
      <c r="W120" s="160">
        <v>0.0</v>
      </c>
      <c r="X120" s="160">
        <v>0.0</v>
      </c>
      <c r="Y120" s="160">
        <v>0.0</v>
      </c>
      <c r="Z120" s="160">
        <v>0.0</v>
      </c>
      <c r="AA120" s="160">
        <v>0.0</v>
      </c>
      <c r="AB120" s="160">
        <v>0.0</v>
      </c>
      <c r="AC120" s="160"/>
      <c r="AD120" s="160"/>
      <c r="AE120" s="160"/>
      <c r="AF120" s="160"/>
      <c r="AG120" s="810">
        <f t="shared" si="54"/>
        <v>0</v>
      </c>
    </row>
    <row r="121">
      <c r="A121" s="215" t="s">
        <v>1259</v>
      </c>
      <c r="B121" s="160">
        <v>0.0</v>
      </c>
      <c r="C121" s="160">
        <v>0.0</v>
      </c>
      <c r="D121" s="160">
        <v>0.0</v>
      </c>
      <c r="E121" s="160">
        <v>0.0</v>
      </c>
      <c r="F121" s="160">
        <v>0.0</v>
      </c>
      <c r="G121" s="160">
        <v>0.0</v>
      </c>
      <c r="H121" s="160">
        <v>0.0</v>
      </c>
      <c r="I121" s="160">
        <v>0.0</v>
      </c>
      <c r="J121" s="160">
        <v>0.0</v>
      </c>
      <c r="K121" s="160">
        <v>0.0</v>
      </c>
      <c r="L121" s="160">
        <v>0.0</v>
      </c>
      <c r="M121" s="160">
        <v>0.0</v>
      </c>
      <c r="N121" s="160">
        <v>0.0</v>
      </c>
      <c r="O121" s="160">
        <v>0.0</v>
      </c>
      <c r="P121" s="160">
        <v>0.0</v>
      </c>
      <c r="Q121" s="160">
        <v>0.0</v>
      </c>
      <c r="R121" s="160">
        <v>0.0</v>
      </c>
      <c r="S121" s="160">
        <v>0.0</v>
      </c>
      <c r="T121" s="160">
        <v>0.0</v>
      </c>
      <c r="U121" s="160">
        <v>0.0</v>
      </c>
      <c r="V121" s="160">
        <v>0.0</v>
      </c>
      <c r="W121" s="160">
        <v>0.0</v>
      </c>
      <c r="X121" s="160">
        <v>0.0</v>
      </c>
      <c r="Y121" s="160">
        <v>0.0</v>
      </c>
      <c r="Z121" s="160">
        <v>0.0</v>
      </c>
      <c r="AA121" s="160">
        <v>0.0</v>
      </c>
      <c r="AB121" s="160">
        <v>0.0</v>
      </c>
      <c r="AC121" s="160"/>
      <c r="AD121" s="160"/>
      <c r="AE121" s="160"/>
      <c r="AF121" s="160"/>
      <c r="AG121" s="810">
        <f t="shared" si="54"/>
        <v>0</v>
      </c>
    </row>
    <row r="122">
      <c r="A122" s="215" t="s">
        <v>1260</v>
      </c>
      <c r="B122" s="160">
        <v>0.0</v>
      </c>
      <c r="C122" s="160">
        <v>0.0</v>
      </c>
      <c r="D122" s="160">
        <v>0.0</v>
      </c>
      <c r="E122" s="160">
        <v>0.0</v>
      </c>
      <c r="F122" s="160">
        <v>0.0</v>
      </c>
      <c r="G122" s="160">
        <v>0.0</v>
      </c>
      <c r="H122" s="160">
        <v>0.0</v>
      </c>
      <c r="I122" s="160">
        <v>0.0</v>
      </c>
      <c r="J122" s="160">
        <v>0.0</v>
      </c>
      <c r="K122" s="160">
        <v>0.0</v>
      </c>
      <c r="L122" s="160">
        <v>0.0</v>
      </c>
      <c r="M122" s="160">
        <v>0.0</v>
      </c>
      <c r="N122" s="160">
        <v>0.0</v>
      </c>
      <c r="O122" s="160">
        <v>0.0</v>
      </c>
      <c r="P122" s="160">
        <v>0.0</v>
      </c>
      <c r="Q122" s="160">
        <v>0.0</v>
      </c>
      <c r="R122" s="160">
        <v>0.0</v>
      </c>
      <c r="S122" s="160">
        <v>0.0</v>
      </c>
      <c r="T122" s="160">
        <v>0.0</v>
      </c>
      <c r="U122" s="160">
        <v>0.0</v>
      </c>
      <c r="V122" s="160">
        <v>0.0</v>
      </c>
      <c r="W122" s="160">
        <v>0.0</v>
      </c>
      <c r="X122" s="160">
        <v>0.0</v>
      </c>
      <c r="Y122" s="160">
        <v>0.0</v>
      </c>
      <c r="Z122" s="160">
        <v>0.0</v>
      </c>
      <c r="AA122" s="160">
        <v>0.0</v>
      </c>
      <c r="AB122" s="160">
        <v>0.0</v>
      </c>
      <c r="AC122" s="160"/>
      <c r="AD122" s="160"/>
      <c r="AE122" s="160"/>
      <c r="AF122" s="160"/>
      <c r="AG122" s="810">
        <f t="shared" si="54"/>
        <v>0</v>
      </c>
    </row>
    <row r="123">
      <c r="A123" s="215" t="s">
        <v>1261</v>
      </c>
      <c r="B123" s="160">
        <v>0.0</v>
      </c>
      <c r="C123" s="160">
        <v>0.0</v>
      </c>
      <c r="D123" s="160">
        <v>0.0</v>
      </c>
      <c r="E123" s="160">
        <v>0.0</v>
      </c>
      <c r="F123" s="160">
        <v>0.0</v>
      </c>
      <c r="G123" s="160">
        <v>0.0</v>
      </c>
      <c r="H123" s="160">
        <v>0.0</v>
      </c>
      <c r="I123" s="160">
        <v>0.0</v>
      </c>
      <c r="J123" s="160">
        <v>0.0</v>
      </c>
      <c r="K123" s="160">
        <v>0.0</v>
      </c>
      <c r="L123" s="160">
        <v>0.0</v>
      </c>
      <c r="M123" s="160">
        <v>0.0</v>
      </c>
      <c r="N123" s="160">
        <v>0.0</v>
      </c>
      <c r="O123" s="160">
        <v>0.0</v>
      </c>
      <c r="P123" s="160">
        <v>0.0</v>
      </c>
      <c r="Q123" s="160">
        <v>0.0</v>
      </c>
      <c r="R123" s="160">
        <v>0.0</v>
      </c>
      <c r="S123" s="160">
        <v>0.0</v>
      </c>
      <c r="T123" s="160">
        <v>0.0</v>
      </c>
      <c r="U123" s="160">
        <v>0.0</v>
      </c>
      <c r="V123" s="160">
        <v>0.0</v>
      </c>
      <c r="W123" s="160">
        <v>0.0</v>
      </c>
      <c r="X123" s="160">
        <v>0.0</v>
      </c>
      <c r="Y123" s="160">
        <v>0.0</v>
      </c>
      <c r="Z123" s="160">
        <v>0.0</v>
      </c>
      <c r="AA123" s="160">
        <v>0.0</v>
      </c>
      <c r="AB123" s="160">
        <v>0.0</v>
      </c>
      <c r="AC123" s="160"/>
      <c r="AD123" s="160"/>
      <c r="AE123" s="160"/>
      <c r="AF123" s="160"/>
      <c r="AG123" s="810">
        <f t="shared" si="54"/>
        <v>0</v>
      </c>
    </row>
    <row r="124">
      <c r="A124" s="215" t="s">
        <v>1262</v>
      </c>
      <c r="B124" s="160">
        <v>0.0</v>
      </c>
      <c r="C124" s="160">
        <v>0.0</v>
      </c>
      <c r="D124" s="160">
        <v>0.0</v>
      </c>
      <c r="E124" s="160">
        <v>0.0</v>
      </c>
      <c r="F124" s="160">
        <v>0.0</v>
      </c>
      <c r="G124" s="160">
        <v>0.0</v>
      </c>
      <c r="H124" s="160">
        <v>0.0</v>
      </c>
      <c r="I124" s="160">
        <v>0.0</v>
      </c>
      <c r="J124" s="160">
        <v>0.0</v>
      </c>
      <c r="K124" s="160">
        <v>0.0</v>
      </c>
      <c r="L124" s="160">
        <v>0.0</v>
      </c>
      <c r="M124" s="160">
        <v>0.0</v>
      </c>
      <c r="N124" s="160">
        <v>0.0</v>
      </c>
      <c r="O124" s="160">
        <v>0.0</v>
      </c>
      <c r="P124" s="160">
        <v>0.0</v>
      </c>
      <c r="Q124" s="160">
        <v>0.0</v>
      </c>
      <c r="R124" s="160">
        <v>0.0</v>
      </c>
      <c r="S124" s="160">
        <v>0.0</v>
      </c>
      <c r="T124" s="160">
        <v>0.0</v>
      </c>
      <c r="U124" s="160">
        <v>0.0</v>
      </c>
      <c r="V124" s="160">
        <v>0.0</v>
      </c>
      <c r="W124" s="160">
        <v>0.0</v>
      </c>
      <c r="X124" s="160">
        <v>0.0</v>
      </c>
      <c r="Y124" s="160">
        <v>0.0</v>
      </c>
      <c r="Z124" s="160">
        <v>0.0</v>
      </c>
      <c r="AA124" s="160">
        <v>0.0</v>
      </c>
      <c r="AB124" s="160">
        <v>0.0</v>
      </c>
      <c r="AC124" s="160"/>
      <c r="AD124" s="160"/>
      <c r="AE124" s="160"/>
      <c r="AF124" s="160"/>
      <c r="AG124" s="810">
        <f t="shared" si="54"/>
        <v>0</v>
      </c>
    </row>
    <row r="125">
      <c r="A125" s="828" t="s">
        <v>668</v>
      </c>
      <c r="B125" s="345">
        <f t="shared" ref="B125:AF125" si="55">SUM(B117:B124)</f>
        <v>0</v>
      </c>
      <c r="C125" s="345">
        <f t="shared" si="55"/>
        <v>0</v>
      </c>
      <c r="D125" s="345">
        <f t="shared" si="55"/>
        <v>0</v>
      </c>
      <c r="E125" s="345">
        <f t="shared" si="55"/>
        <v>0</v>
      </c>
      <c r="F125" s="345">
        <f t="shared" si="55"/>
        <v>0</v>
      </c>
      <c r="G125" s="345">
        <f t="shared" si="55"/>
        <v>0</v>
      </c>
      <c r="H125" s="345">
        <f t="shared" si="55"/>
        <v>0</v>
      </c>
      <c r="I125" s="345">
        <f t="shared" si="55"/>
        <v>0</v>
      </c>
      <c r="J125" s="345">
        <f t="shared" si="55"/>
        <v>0</v>
      </c>
      <c r="K125" s="345">
        <f t="shared" si="55"/>
        <v>0</v>
      </c>
      <c r="L125" s="345">
        <f t="shared" si="55"/>
        <v>0</v>
      </c>
      <c r="M125" s="345">
        <f t="shared" si="55"/>
        <v>0</v>
      </c>
      <c r="N125" s="345">
        <f t="shared" si="55"/>
        <v>0</v>
      </c>
      <c r="O125" s="345">
        <f t="shared" si="55"/>
        <v>0</v>
      </c>
      <c r="P125" s="345">
        <f t="shared" si="55"/>
        <v>0</v>
      </c>
      <c r="Q125" s="345">
        <f t="shared" si="55"/>
        <v>0</v>
      </c>
      <c r="R125" s="345">
        <f t="shared" si="55"/>
        <v>0</v>
      </c>
      <c r="S125" s="345">
        <f t="shared" si="55"/>
        <v>0</v>
      </c>
      <c r="T125" s="345">
        <f t="shared" si="55"/>
        <v>0</v>
      </c>
      <c r="U125" s="345">
        <f t="shared" si="55"/>
        <v>0</v>
      </c>
      <c r="V125" s="345">
        <f t="shared" si="55"/>
        <v>0</v>
      </c>
      <c r="W125" s="345">
        <f t="shared" si="55"/>
        <v>0</v>
      </c>
      <c r="X125" s="345">
        <f t="shared" si="55"/>
        <v>0</v>
      </c>
      <c r="Y125" s="345">
        <f t="shared" si="55"/>
        <v>0</v>
      </c>
      <c r="Z125" s="345">
        <f t="shared" si="55"/>
        <v>0</v>
      </c>
      <c r="AA125" s="345">
        <f t="shared" si="55"/>
        <v>0</v>
      </c>
      <c r="AB125" s="345">
        <f t="shared" si="55"/>
        <v>0</v>
      </c>
      <c r="AC125" s="345">
        <f t="shared" si="55"/>
        <v>0</v>
      </c>
      <c r="AD125" s="345">
        <f t="shared" si="55"/>
        <v>0</v>
      </c>
      <c r="AE125" s="345">
        <f t="shared" si="55"/>
        <v>0</v>
      </c>
      <c r="AF125" s="345">
        <f t="shared" si="55"/>
        <v>0</v>
      </c>
      <c r="AG125" s="810">
        <f t="shared" si="54"/>
        <v>0</v>
      </c>
    </row>
    <row r="126">
      <c r="A126" s="98"/>
      <c r="B126" s="127"/>
      <c r="C126" s="127"/>
      <c r="D126" s="127"/>
      <c r="E126" s="127"/>
      <c r="F126" s="127"/>
      <c r="G126" s="127"/>
      <c r="H126" s="127"/>
      <c r="I126" s="83"/>
      <c r="J126" s="83"/>
      <c r="K126" s="83"/>
      <c r="L126" s="83"/>
      <c r="M126" s="83"/>
      <c r="N126" s="83"/>
      <c r="O126" s="83"/>
      <c r="P126" s="83"/>
      <c r="Q126" s="83"/>
      <c r="R126" s="83"/>
      <c r="S126" s="83"/>
      <c r="T126" s="83"/>
      <c r="U126" s="83"/>
      <c r="V126" s="83"/>
      <c r="W126" s="83"/>
      <c r="X126" s="83"/>
      <c r="Y126" s="83"/>
      <c r="Z126" s="83"/>
      <c r="AA126" s="83"/>
      <c r="AB126" s="83"/>
      <c r="AC126" s="83"/>
      <c r="AD126" s="83"/>
      <c r="AE126" s="83"/>
      <c r="AF126" s="83"/>
      <c r="AG126" s="810"/>
    </row>
    <row r="127">
      <c r="A127" s="215" t="s">
        <v>1263</v>
      </c>
      <c r="B127" s="160">
        <v>0.0</v>
      </c>
      <c r="C127" s="160">
        <v>0.0</v>
      </c>
      <c r="D127" s="160">
        <v>0.0</v>
      </c>
      <c r="E127" s="160">
        <v>0.0</v>
      </c>
      <c r="F127" s="160">
        <v>0.0</v>
      </c>
      <c r="G127" s="160">
        <v>0.0</v>
      </c>
      <c r="H127" s="160">
        <v>0.0</v>
      </c>
      <c r="I127" s="160">
        <v>0.0</v>
      </c>
      <c r="J127" s="160">
        <v>0.0</v>
      </c>
      <c r="K127" s="160">
        <v>0.0</v>
      </c>
      <c r="L127" s="160">
        <v>0.0</v>
      </c>
      <c r="M127" s="160">
        <v>0.0</v>
      </c>
      <c r="N127" s="160">
        <v>0.0</v>
      </c>
      <c r="O127" s="160">
        <v>0.0</v>
      </c>
      <c r="P127" s="160">
        <v>0.0</v>
      </c>
      <c r="Q127" s="160">
        <v>0.0</v>
      </c>
      <c r="R127" s="160">
        <v>0.0</v>
      </c>
      <c r="S127" s="160">
        <v>0.0</v>
      </c>
      <c r="T127" s="160">
        <v>0.0</v>
      </c>
      <c r="U127" s="160">
        <v>0.0</v>
      </c>
      <c r="V127" s="160">
        <v>0.0</v>
      </c>
      <c r="W127" s="160">
        <v>0.0</v>
      </c>
      <c r="X127" s="160">
        <v>0.0</v>
      </c>
      <c r="Y127" s="160">
        <v>0.0</v>
      </c>
      <c r="Z127" s="160">
        <v>0.0</v>
      </c>
      <c r="AA127" s="160">
        <v>0.0</v>
      </c>
      <c r="AB127" s="160">
        <v>0.0</v>
      </c>
      <c r="AC127" s="160"/>
      <c r="AD127" s="160"/>
      <c r="AE127" s="160"/>
      <c r="AF127" s="160"/>
      <c r="AG127" s="810">
        <f t="shared" ref="AG127:AG135" si="56">SUM(B127:AF127)</f>
        <v>0</v>
      </c>
    </row>
    <row r="128">
      <c r="A128" s="215" t="s">
        <v>1264</v>
      </c>
      <c r="B128" s="160">
        <v>0.0</v>
      </c>
      <c r="C128" s="160">
        <v>0.0</v>
      </c>
      <c r="D128" s="160">
        <v>0.0</v>
      </c>
      <c r="E128" s="160">
        <v>0.0</v>
      </c>
      <c r="F128" s="160">
        <v>0.0</v>
      </c>
      <c r="G128" s="160">
        <v>0.0</v>
      </c>
      <c r="H128" s="160">
        <v>0.0</v>
      </c>
      <c r="I128" s="160">
        <v>0.0</v>
      </c>
      <c r="J128" s="160">
        <v>0.0</v>
      </c>
      <c r="K128" s="160">
        <v>0.0</v>
      </c>
      <c r="L128" s="160">
        <v>0.0</v>
      </c>
      <c r="M128" s="160">
        <v>0.0</v>
      </c>
      <c r="N128" s="160">
        <v>0.0</v>
      </c>
      <c r="O128" s="160">
        <v>0.0</v>
      </c>
      <c r="P128" s="160">
        <v>0.0</v>
      </c>
      <c r="Q128" s="160">
        <v>0.0</v>
      </c>
      <c r="R128" s="160">
        <v>0.0</v>
      </c>
      <c r="S128" s="160">
        <v>0.0</v>
      </c>
      <c r="T128" s="160">
        <v>0.0</v>
      </c>
      <c r="U128" s="160">
        <v>0.0</v>
      </c>
      <c r="V128" s="160">
        <v>0.0</v>
      </c>
      <c r="W128" s="160">
        <v>0.0</v>
      </c>
      <c r="X128" s="160">
        <v>0.0</v>
      </c>
      <c r="Y128" s="160">
        <v>0.0</v>
      </c>
      <c r="Z128" s="160">
        <v>0.0</v>
      </c>
      <c r="AA128" s="160">
        <v>0.0</v>
      </c>
      <c r="AB128" s="160">
        <v>0.0</v>
      </c>
      <c r="AC128" s="160"/>
      <c r="AD128" s="160"/>
      <c r="AE128" s="160"/>
      <c r="AF128" s="160"/>
      <c r="AG128" s="810">
        <f t="shared" si="56"/>
        <v>0</v>
      </c>
    </row>
    <row r="129">
      <c r="A129" s="215" t="s">
        <v>1265</v>
      </c>
      <c r="B129" s="160">
        <v>0.0</v>
      </c>
      <c r="C129" s="160">
        <v>0.0</v>
      </c>
      <c r="D129" s="160">
        <v>0.0</v>
      </c>
      <c r="E129" s="160">
        <v>0.0</v>
      </c>
      <c r="F129" s="160">
        <v>0.0</v>
      </c>
      <c r="G129" s="160">
        <v>0.0</v>
      </c>
      <c r="H129" s="160">
        <v>0.0</v>
      </c>
      <c r="I129" s="160">
        <v>0.0</v>
      </c>
      <c r="J129" s="160">
        <v>0.0</v>
      </c>
      <c r="K129" s="160">
        <v>0.0</v>
      </c>
      <c r="L129" s="160">
        <v>0.0</v>
      </c>
      <c r="M129" s="160">
        <v>0.0</v>
      </c>
      <c r="N129" s="160">
        <v>0.0</v>
      </c>
      <c r="O129" s="160">
        <v>0.0</v>
      </c>
      <c r="P129" s="160">
        <v>0.0</v>
      </c>
      <c r="Q129" s="160">
        <v>0.0</v>
      </c>
      <c r="R129" s="160">
        <v>0.0</v>
      </c>
      <c r="S129" s="160">
        <v>0.0</v>
      </c>
      <c r="T129" s="160">
        <v>0.0</v>
      </c>
      <c r="U129" s="160">
        <v>0.0</v>
      </c>
      <c r="V129" s="160">
        <v>0.0</v>
      </c>
      <c r="W129" s="160">
        <v>0.0</v>
      </c>
      <c r="X129" s="160">
        <v>0.0</v>
      </c>
      <c r="Y129" s="160">
        <v>0.0</v>
      </c>
      <c r="Z129" s="160">
        <v>0.0</v>
      </c>
      <c r="AA129" s="160">
        <v>0.0</v>
      </c>
      <c r="AB129" s="160">
        <v>0.0</v>
      </c>
      <c r="AC129" s="160"/>
      <c r="AD129" s="160"/>
      <c r="AE129" s="160"/>
      <c r="AF129" s="160"/>
      <c r="AG129" s="810">
        <f t="shared" si="56"/>
        <v>0</v>
      </c>
    </row>
    <row r="130">
      <c r="A130" s="215" t="s">
        <v>1266</v>
      </c>
      <c r="B130" s="160">
        <v>0.0</v>
      </c>
      <c r="C130" s="160">
        <v>0.0</v>
      </c>
      <c r="D130" s="160">
        <v>0.0</v>
      </c>
      <c r="E130" s="160">
        <v>0.0</v>
      </c>
      <c r="F130" s="160">
        <v>0.0</v>
      </c>
      <c r="G130" s="160">
        <v>0.0</v>
      </c>
      <c r="H130" s="160">
        <v>0.0</v>
      </c>
      <c r="I130" s="160">
        <v>0.0</v>
      </c>
      <c r="J130" s="160">
        <v>0.0</v>
      </c>
      <c r="K130" s="160">
        <v>0.0</v>
      </c>
      <c r="L130" s="160">
        <v>0.0</v>
      </c>
      <c r="M130" s="160">
        <v>0.0</v>
      </c>
      <c r="N130" s="160">
        <v>0.0</v>
      </c>
      <c r="O130" s="160">
        <v>0.0</v>
      </c>
      <c r="P130" s="160">
        <v>0.0</v>
      </c>
      <c r="Q130" s="160">
        <v>0.0</v>
      </c>
      <c r="R130" s="160">
        <v>0.0</v>
      </c>
      <c r="S130" s="160">
        <v>0.0</v>
      </c>
      <c r="T130" s="160">
        <v>0.0</v>
      </c>
      <c r="U130" s="160">
        <v>0.0</v>
      </c>
      <c r="V130" s="160">
        <v>0.0</v>
      </c>
      <c r="W130" s="160">
        <v>0.0</v>
      </c>
      <c r="X130" s="160">
        <v>0.0</v>
      </c>
      <c r="Y130" s="160">
        <v>0.0</v>
      </c>
      <c r="Z130" s="160">
        <v>0.0</v>
      </c>
      <c r="AA130" s="160">
        <v>0.0</v>
      </c>
      <c r="AB130" s="160">
        <v>0.0</v>
      </c>
      <c r="AC130" s="160"/>
      <c r="AD130" s="160"/>
      <c r="AE130" s="160"/>
      <c r="AF130" s="160"/>
      <c r="AG130" s="810">
        <f t="shared" si="56"/>
        <v>0</v>
      </c>
    </row>
    <row r="131">
      <c r="A131" s="215" t="s">
        <v>1267</v>
      </c>
      <c r="B131" s="160">
        <v>0.0</v>
      </c>
      <c r="C131" s="160">
        <v>0.0</v>
      </c>
      <c r="D131" s="160">
        <v>0.0</v>
      </c>
      <c r="E131" s="160">
        <v>0.0</v>
      </c>
      <c r="F131" s="160">
        <v>0.0</v>
      </c>
      <c r="G131" s="160">
        <v>0.0</v>
      </c>
      <c r="H131" s="160">
        <v>0.0</v>
      </c>
      <c r="I131" s="160">
        <v>0.0</v>
      </c>
      <c r="J131" s="160">
        <v>0.0</v>
      </c>
      <c r="K131" s="160">
        <v>0.0</v>
      </c>
      <c r="L131" s="160">
        <v>0.0</v>
      </c>
      <c r="M131" s="160">
        <v>0.0</v>
      </c>
      <c r="N131" s="160">
        <v>0.0</v>
      </c>
      <c r="O131" s="160">
        <v>0.0</v>
      </c>
      <c r="P131" s="160">
        <v>0.0</v>
      </c>
      <c r="Q131" s="160">
        <v>0.0</v>
      </c>
      <c r="R131" s="160">
        <v>0.0</v>
      </c>
      <c r="S131" s="160">
        <v>0.0</v>
      </c>
      <c r="T131" s="160">
        <v>0.0</v>
      </c>
      <c r="U131" s="160">
        <v>0.0</v>
      </c>
      <c r="V131" s="160">
        <v>0.0</v>
      </c>
      <c r="W131" s="160">
        <v>0.0</v>
      </c>
      <c r="X131" s="160">
        <v>0.0</v>
      </c>
      <c r="Y131" s="160">
        <v>0.0</v>
      </c>
      <c r="Z131" s="160">
        <v>0.0</v>
      </c>
      <c r="AA131" s="160">
        <v>0.0</v>
      </c>
      <c r="AB131" s="160">
        <v>0.0</v>
      </c>
      <c r="AC131" s="160"/>
      <c r="AD131" s="160"/>
      <c r="AE131" s="160"/>
      <c r="AF131" s="160"/>
      <c r="AG131" s="810">
        <f t="shared" si="56"/>
        <v>0</v>
      </c>
    </row>
    <row r="132">
      <c r="A132" s="215" t="s">
        <v>1268</v>
      </c>
      <c r="B132" s="160">
        <v>0.0</v>
      </c>
      <c r="C132" s="160">
        <v>0.0</v>
      </c>
      <c r="D132" s="160">
        <v>0.0</v>
      </c>
      <c r="E132" s="160">
        <v>0.0</v>
      </c>
      <c r="F132" s="160">
        <v>0.0</v>
      </c>
      <c r="G132" s="160">
        <v>0.0</v>
      </c>
      <c r="H132" s="160">
        <v>0.0</v>
      </c>
      <c r="I132" s="160">
        <v>0.0</v>
      </c>
      <c r="J132" s="160">
        <v>0.0</v>
      </c>
      <c r="K132" s="160">
        <v>0.0</v>
      </c>
      <c r="L132" s="160">
        <v>0.0</v>
      </c>
      <c r="M132" s="160">
        <v>0.0</v>
      </c>
      <c r="N132" s="160">
        <v>0.0</v>
      </c>
      <c r="O132" s="160">
        <v>0.0</v>
      </c>
      <c r="P132" s="160">
        <v>0.0</v>
      </c>
      <c r="Q132" s="160">
        <v>0.0</v>
      </c>
      <c r="R132" s="160">
        <v>0.0</v>
      </c>
      <c r="S132" s="160">
        <v>0.0</v>
      </c>
      <c r="T132" s="160">
        <v>0.0</v>
      </c>
      <c r="U132" s="160">
        <v>0.0</v>
      </c>
      <c r="V132" s="160">
        <v>0.0</v>
      </c>
      <c r="W132" s="160">
        <v>0.0</v>
      </c>
      <c r="X132" s="160">
        <v>0.0</v>
      </c>
      <c r="Y132" s="160">
        <v>0.0</v>
      </c>
      <c r="Z132" s="160">
        <v>0.0</v>
      </c>
      <c r="AA132" s="160">
        <v>0.0</v>
      </c>
      <c r="AB132" s="160">
        <v>0.0</v>
      </c>
      <c r="AC132" s="160"/>
      <c r="AD132" s="160"/>
      <c r="AE132" s="160"/>
      <c r="AF132" s="160"/>
      <c r="AG132" s="810">
        <f t="shared" si="56"/>
        <v>0</v>
      </c>
    </row>
    <row r="133">
      <c r="A133" s="215" t="s">
        <v>1269</v>
      </c>
      <c r="B133" s="160">
        <v>0.0</v>
      </c>
      <c r="C133" s="160">
        <v>0.0</v>
      </c>
      <c r="D133" s="160">
        <v>0.0</v>
      </c>
      <c r="E133" s="160">
        <v>0.0</v>
      </c>
      <c r="F133" s="160">
        <v>0.0</v>
      </c>
      <c r="G133" s="160">
        <v>0.0</v>
      </c>
      <c r="H133" s="160">
        <v>0.0</v>
      </c>
      <c r="I133" s="160">
        <v>0.0</v>
      </c>
      <c r="J133" s="160">
        <v>0.0</v>
      </c>
      <c r="K133" s="160">
        <v>0.0</v>
      </c>
      <c r="L133" s="160">
        <v>0.0</v>
      </c>
      <c r="M133" s="160">
        <v>0.0</v>
      </c>
      <c r="N133" s="160">
        <v>0.0</v>
      </c>
      <c r="O133" s="160">
        <v>0.0</v>
      </c>
      <c r="P133" s="160">
        <v>0.0</v>
      </c>
      <c r="Q133" s="160">
        <v>0.0</v>
      </c>
      <c r="R133" s="160">
        <v>0.0</v>
      </c>
      <c r="S133" s="160">
        <v>0.0</v>
      </c>
      <c r="T133" s="160">
        <v>0.0</v>
      </c>
      <c r="U133" s="160">
        <v>0.0</v>
      </c>
      <c r="V133" s="160">
        <v>0.0</v>
      </c>
      <c r="W133" s="160">
        <v>0.0</v>
      </c>
      <c r="X133" s="160">
        <v>0.0</v>
      </c>
      <c r="Y133" s="160">
        <v>0.0</v>
      </c>
      <c r="Z133" s="160">
        <v>0.0</v>
      </c>
      <c r="AA133" s="160">
        <v>0.0</v>
      </c>
      <c r="AB133" s="160">
        <v>0.0</v>
      </c>
      <c r="AC133" s="160"/>
      <c r="AD133" s="160"/>
      <c r="AE133" s="160"/>
      <c r="AF133" s="160"/>
      <c r="AG133" s="810">
        <f t="shared" si="56"/>
        <v>0</v>
      </c>
    </row>
    <row r="134">
      <c r="A134" s="215" t="s">
        <v>1270</v>
      </c>
      <c r="B134" s="160">
        <v>0.0</v>
      </c>
      <c r="C134" s="160">
        <v>0.0</v>
      </c>
      <c r="D134" s="160">
        <v>0.0</v>
      </c>
      <c r="E134" s="160">
        <v>0.0</v>
      </c>
      <c r="F134" s="160">
        <v>0.0</v>
      </c>
      <c r="G134" s="160">
        <v>0.0</v>
      </c>
      <c r="H134" s="160">
        <v>0.0</v>
      </c>
      <c r="I134" s="160">
        <v>0.0</v>
      </c>
      <c r="J134" s="160">
        <v>0.0</v>
      </c>
      <c r="K134" s="160">
        <v>0.0</v>
      </c>
      <c r="L134" s="160">
        <v>0.0</v>
      </c>
      <c r="M134" s="160">
        <v>0.0</v>
      </c>
      <c r="N134" s="160">
        <v>0.0</v>
      </c>
      <c r="O134" s="160">
        <v>0.0</v>
      </c>
      <c r="P134" s="160">
        <v>0.0</v>
      </c>
      <c r="Q134" s="160">
        <v>0.0</v>
      </c>
      <c r="R134" s="160">
        <v>0.0</v>
      </c>
      <c r="S134" s="160">
        <v>0.0</v>
      </c>
      <c r="T134" s="160">
        <v>0.0</v>
      </c>
      <c r="U134" s="160">
        <v>0.0</v>
      </c>
      <c r="V134" s="160">
        <v>0.0</v>
      </c>
      <c r="W134" s="160">
        <v>0.0</v>
      </c>
      <c r="X134" s="160">
        <v>0.0</v>
      </c>
      <c r="Y134" s="160">
        <v>0.0</v>
      </c>
      <c r="Z134" s="160">
        <v>0.0</v>
      </c>
      <c r="AA134" s="160">
        <v>0.0</v>
      </c>
      <c r="AB134" s="160">
        <v>0.0</v>
      </c>
      <c r="AC134" s="160"/>
      <c r="AD134" s="160"/>
      <c r="AE134" s="160"/>
      <c r="AF134" s="160"/>
      <c r="AG134" s="810">
        <f t="shared" si="56"/>
        <v>0</v>
      </c>
    </row>
    <row r="135">
      <c r="A135" s="828" t="s">
        <v>1271</v>
      </c>
      <c r="B135" s="345">
        <f t="shared" ref="B135:AF135" si="57">SUM(B127:B134)</f>
        <v>0</v>
      </c>
      <c r="C135" s="345">
        <f t="shared" si="57"/>
        <v>0</v>
      </c>
      <c r="D135" s="345">
        <f t="shared" si="57"/>
        <v>0</v>
      </c>
      <c r="E135" s="345">
        <f t="shared" si="57"/>
        <v>0</v>
      </c>
      <c r="F135" s="345">
        <f t="shared" si="57"/>
        <v>0</v>
      </c>
      <c r="G135" s="345">
        <f t="shared" si="57"/>
        <v>0</v>
      </c>
      <c r="H135" s="345">
        <f t="shared" si="57"/>
        <v>0</v>
      </c>
      <c r="I135" s="345">
        <f t="shared" si="57"/>
        <v>0</v>
      </c>
      <c r="J135" s="345">
        <f t="shared" si="57"/>
        <v>0</v>
      </c>
      <c r="K135" s="345">
        <f t="shared" si="57"/>
        <v>0</v>
      </c>
      <c r="L135" s="345">
        <f t="shared" si="57"/>
        <v>0</v>
      </c>
      <c r="M135" s="345">
        <f t="shared" si="57"/>
        <v>0</v>
      </c>
      <c r="N135" s="345">
        <f t="shared" si="57"/>
        <v>0</v>
      </c>
      <c r="O135" s="345">
        <f t="shared" si="57"/>
        <v>0</v>
      </c>
      <c r="P135" s="345">
        <f t="shared" si="57"/>
        <v>0</v>
      </c>
      <c r="Q135" s="345">
        <f t="shared" si="57"/>
        <v>0</v>
      </c>
      <c r="R135" s="345">
        <f t="shared" si="57"/>
        <v>0</v>
      </c>
      <c r="S135" s="345">
        <f t="shared" si="57"/>
        <v>0</v>
      </c>
      <c r="T135" s="345">
        <f t="shared" si="57"/>
        <v>0</v>
      </c>
      <c r="U135" s="345">
        <f t="shared" si="57"/>
        <v>0</v>
      </c>
      <c r="V135" s="345">
        <f t="shared" si="57"/>
        <v>0</v>
      </c>
      <c r="W135" s="345">
        <f t="shared" si="57"/>
        <v>0</v>
      </c>
      <c r="X135" s="345">
        <f t="shared" si="57"/>
        <v>0</v>
      </c>
      <c r="Y135" s="345">
        <f t="shared" si="57"/>
        <v>0</v>
      </c>
      <c r="Z135" s="345">
        <f t="shared" si="57"/>
        <v>0</v>
      </c>
      <c r="AA135" s="345">
        <f t="shared" si="57"/>
        <v>0</v>
      </c>
      <c r="AB135" s="345">
        <f t="shared" si="57"/>
        <v>0</v>
      </c>
      <c r="AC135" s="345">
        <f t="shared" si="57"/>
        <v>0</v>
      </c>
      <c r="AD135" s="345">
        <f t="shared" si="57"/>
        <v>0</v>
      </c>
      <c r="AE135" s="345">
        <f t="shared" si="57"/>
        <v>0</v>
      </c>
      <c r="AF135" s="345">
        <f t="shared" si="57"/>
        <v>0</v>
      </c>
      <c r="AG135" s="810">
        <f t="shared" si="56"/>
        <v>0</v>
      </c>
    </row>
    <row r="136">
      <c r="A136" s="98"/>
      <c r="B136" s="127"/>
      <c r="C136" s="127"/>
      <c r="D136" s="127"/>
      <c r="E136" s="127"/>
      <c r="F136" s="127"/>
      <c r="G136" s="127"/>
      <c r="H136" s="127"/>
      <c r="I136" s="83"/>
      <c r="J136" s="83"/>
      <c r="K136" s="83"/>
      <c r="L136" s="83"/>
      <c r="M136" s="83"/>
      <c r="N136" s="83"/>
      <c r="O136" s="83"/>
      <c r="P136" s="83"/>
      <c r="Q136" s="83"/>
      <c r="R136" s="83"/>
      <c r="S136" s="83"/>
      <c r="T136" s="83"/>
      <c r="U136" s="83"/>
      <c r="V136" s="83"/>
      <c r="W136" s="83"/>
      <c r="X136" s="83"/>
      <c r="Y136" s="83"/>
      <c r="Z136" s="83"/>
      <c r="AA136" s="83"/>
      <c r="AB136" s="83"/>
      <c r="AC136" s="83"/>
      <c r="AD136" s="83"/>
      <c r="AE136" s="83"/>
      <c r="AF136" s="83"/>
      <c r="AG136" s="810"/>
    </row>
    <row r="137">
      <c r="A137" s="138" t="s">
        <v>1272</v>
      </c>
      <c r="T137" s="177"/>
      <c r="U137" s="177"/>
      <c r="V137" s="177"/>
      <c r="W137" s="177"/>
      <c r="X137" s="177"/>
      <c r="Y137" s="177"/>
      <c r="Z137" s="177"/>
      <c r="AA137" s="177"/>
      <c r="AB137" s="177"/>
      <c r="AC137" s="177"/>
      <c r="AD137" s="177"/>
      <c r="AE137" s="177"/>
      <c r="AF137" s="177"/>
      <c r="AG137" s="826"/>
    </row>
    <row r="138">
      <c r="A138" s="215" t="s">
        <v>1273</v>
      </c>
      <c r="B138" s="160">
        <v>0.0</v>
      </c>
      <c r="C138" s="160">
        <v>0.0</v>
      </c>
      <c r="D138" s="160">
        <v>0.0</v>
      </c>
      <c r="E138" s="160">
        <v>0.0</v>
      </c>
      <c r="F138" s="160">
        <v>0.0</v>
      </c>
      <c r="G138" s="160">
        <v>1.0</v>
      </c>
      <c r="H138" s="160">
        <v>0.0</v>
      </c>
      <c r="I138" s="160">
        <v>0.0</v>
      </c>
      <c r="J138" s="160">
        <v>0.0</v>
      </c>
      <c r="K138" s="160">
        <v>0.0</v>
      </c>
      <c r="L138" s="160">
        <v>0.0</v>
      </c>
      <c r="M138" s="160">
        <v>0.0</v>
      </c>
      <c r="N138" s="160">
        <v>0.0</v>
      </c>
      <c r="O138" s="160">
        <v>0.0</v>
      </c>
      <c r="P138" s="160">
        <v>0.0</v>
      </c>
      <c r="Q138" s="160">
        <v>0.0</v>
      </c>
      <c r="R138" s="160">
        <v>0.0</v>
      </c>
      <c r="S138" s="160">
        <v>0.0</v>
      </c>
      <c r="T138" s="160">
        <v>1.0</v>
      </c>
      <c r="U138" s="160">
        <v>0.0</v>
      </c>
      <c r="V138" s="160">
        <v>0.0</v>
      </c>
      <c r="W138" s="160">
        <v>0.0</v>
      </c>
      <c r="X138" s="160">
        <v>0.0</v>
      </c>
      <c r="Y138" s="160">
        <v>0.0</v>
      </c>
      <c r="Z138" s="160">
        <v>0.0</v>
      </c>
      <c r="AA138" s="160">
        <v>0.0</v>
      </c>
      <c r="AB138" s="160">
        <v>0.0</v>
      </c>
      <c r="AC138" s="160"/>
      <c r="AD138" s="160"/>
      <c r="AE138" s="160"/>
      <c r="AF138" s="160"/>
      <c r="AG138" s="810">
        <f t="shared" ref="AG138:AG143" si="58">SUM(B138:AF138)</f>
        <v>2</v>
      </c>
    </row>
    <row r="139">
      <c r="A139" s="215" t="s">
        <v>1274</v>
      </c>
      <c r="B139" s="160">
        <v>0.0</v>
      </c>
      <c r="C139" s="160">
        <v>0.0</v>
      </c>
      <c r="D139" s="160">
        <v>0.0</v>
      </c>
      <c r="E139" s="160">
        <v>0.0</v>
      </c>
      <c r="F139" s="160">
        <v>0.0</v>
      </c>
      <c r="G139" s="160">
        <v>1.0</v>
      </c>
      <c r="H139" s="160">
        <v>0.0</v>
      </c>
      <c r="I139" s="160">
        <v>0.0</v>
      </c>
      <c r="J139" s="160">
        <v>0.0</v>
      </c>
      <c r="K139" s="160">
        <v>0.0</v>
      </c>
      <c r="L139" s="160">
        <v>0.0</v>
      </c>
      <c r="M139" s="160">
        <v>0.0</v>
      </c>
      <c r="N139" s="160">
        <v>0.0</v>
      </c>
      <c r="O139" s="160">
        <v>0.0</v>
      </c>
      <c r="P139" s="160">
        <v>0.0</v>
      </c>
      <c r="Q139" s="160">
        <v>0.0</v>
      </c>
      <c r="R139" s="160">
        <v>0.0</v>
      </c>
      <c r="S139" s="160">
        <v>0.0</v>
      </c>
      <c r="T139" s="160">
        <v>0.0</v>
      </c>
      <c r="U139" s="160">
        <v>0.0</v>
      </c>
      <c r="V139" s="160">
        <v>0.0</v>
      </c>
      <c r="W139" s="160">
        <v>0.0</v>
      </c>
      <c r="X139" s="160">
        <v>0.0</v>
      </c>
      <c r="Y139" s="160">
        <v>0.0</v>
      </c>
      <c r="Z139" s="160">
        <v>0.0</v>
      </c>
      <c r="AA139" s="160">
        <v>0.0</v>
      </c>
      <c r="AB139" s="160">
        <v>0.0</v>
      </c>
      <c r="AC139" s="160"/>
      <c r="AD139" s="160"/>
      <c r="AE139" s="160"/>
      <c r="AF139" s="160"/>
      <c r="AG139" s="810">
        <f t="shared" si="58"/>
        <v>1</v>
      </c>
    </row>
    <row r="140">
      <c r="A140" s="215" t="s">
        <v>1275</v>
      </c>
      <c r="B140" s="160">
        <v>0.0</v>
      </c>
      <c r="C140" s="160">
        <v>0.0</v>
      </c>
      <c r="D140" s="160">
        <v>0.0</v>
      </c>
      <c r="E140" s="160">
        <v>0.0</v>
      </c>
      <c r="F140" s="160">
        <v>0.0</v>
      </c>
      <c r="G140" s="160">
        <v>0.0</v>
      </c>
      <c r="H140" s="160">
        <v>0.0</v>
      </c>
      <c r="I140" s="160">
        <v>0.0</v>
      </c>
      <c r="J140" s="160">
        <v>0.0</v>
      </c>
      <c r="K140" s="160">
        <v>0.0</v>
      </c>
      <c r="L140" s="160">
        <v>0.0</v>
      </c>
      <c r="M140" s="160">
        <v>0.0</v>
      </c>
      <c r="N140" s="160">
        <v>0.0</v>
      </c>
      <c r="O140" s="160">
        <v>0.0</v>
      </c>
      <c r="P140" s="160">
        <v>0.0</v>
      </c>
      <c r="Q140" s="160">
        <v>0.0</v>
      </c>
      <c r="R140" s="160">
        <v>0.0</v>
      </c>
      <c r="S140" s="160">
        <v>0.0</v>
      </c>
      <c r="T140" s="160">
        <v>0.0</v>
      </c>
      <c r="U140" s="160">
        <v>0.0</v>
      </c>
      <c r="V140" s="160">
        <v>1.0</v>
      </c>
      <c r="W140" s="160">
        <v>0.0</v>
      </c>
      <c r="X140" s="160">
        <v>0.0</v>
      </c>
      <c r="Y140" s="160">
        <v>1.0</v>
      </c>
      <c r="Z140" s="160">
        <v>0.0</v>
      </c>
      <c r="AA140" s="160">
        <v>0.0</v>
      </c>
      <c r="AB140" s="160">
        <v>0.0</v>
      </c>
      <c r="AC140" s="160"/>
      <c r="AD140" s="160"/>
      <c r="AE140" s="160"/>
      <c r="AF140" s="160"/>
      <c r="AG140" s="810">
        <f t="shared" si="58"/>
        <v>2</v>
      </c>
    </row>
    <row r="141">
      <c r="A141" s="215" t="s">
        <v>1276</v>
      </c>
      <c r="B141" s="160">
        <v>0.0</v>
      </c>
      <c r="C141" s="160">
        <v>0.0</v>
      </c>
      <c r="D141" s="160">
        <v>0.0</v>
      </c>
      <c r="E141" s="160">
        <v>0.0</v>
      </c>
      <c r="F141" s="160">
        <v>0.0</v>
      </c>
      <c r="G141" s="160">
        <v>0.0</v>
      </c>
      <c r="H141" s="160">
        <v>0.0</v>
      </c>
      <c r="I141" s="160">
        <v>0.0</v>
      </c>
      <c r="J141" s="160">
        <v>0.0</v>
      </c>
      <c r="K141" s="160">
        <v>0.0</v>
      </c>
      <c r="L141" s="160">
        <v>0.0</v>
      </c>
      <c r="M141" s="160">
        <v>0.0</v>
      </c>
      <c r="N141" s="160">
        <v>0.0</v>
      </c>
      <c r="O141" s="160">
        <v>0.0</v>
      </c>
      <c r="P141" s="160">
        <v>0.0</v>
      </c>
      <c r="Q141" s="160">
        <v>0.0</v>
      </c>
      <c r="R141" s="160">
        <v>0.0</v>
      </c>
      <c r="S141" s="160">
        <v>0.0</v>
      </c>
      <c r="T141" s="160">
        <v>0.0</v>
      </c>
      <c r="U141" s="160">
        <v>0.0</v>
      </c>
      <c r="V141" s="160">
        <v>0.0</v>
      </c>
      <c r="W141" s="160">
        <v>0.0</v>
      </c>
      <c r="X141" s="160">
        <v>0.0</v>
      </c>
      <c r="Y141" s="160">
        <v>0.0</v>
      </c>
      <c r="Z141" s="160">
        <v>0.0</v>
      </c>
      <c r="AA141" s="160">
        <v>0.0</v>
      </c>
      <c r="AB141" s="160">
        <v>0.0</v>
      </c>
      <c r="AC141" s="160"/>
      <c r="AD141" s="160"/>
      <c r="AE141" s="160"/>
      <c r="AF141" s="160"/>
      <c r="AG141" s="810">
        <f t="shared" si="58"/>
        <v>0</v>
      </c>
    </row>
    <row r="142">
      <c r="A142" s="827" t="s">
        <v>515</v>
      </c>
      <c r="B142" s="345">
        <f t="shared" ref="B142:AF142" si="59">SUM(B138:B139)</f>
        <v>0</v>
      </c>
      <c r="C142" s="345">
        <f t="shared" si="59"/>
        <v>0</v>
      </c>
      <c r="D142" s="345">
        <f t="shared" si="59"/>
        <v>0</v>
      </c>
      <c r="E142" s="345">
        <f t="shared" si="59"/>
        <v>0</v>
      </c>
      <c r="F142" s="345">
        <f t="shared" si="59"/>
        <v>0</v>
      </c>
      <c r="G142" s="345">
        <f t="shared" si="59"/>
        <v>2</v>
      </c>
      <c r="H142" s="345">
        <f t="shared" si="59"/>
        <v>0</v>
      </c>
      <c r="I142" s="345">
        <f t="shared" si="59"/>
        <v>0</v>
      </c>
      <c r="J142" s="345">
        <f t="shared" si="59"/>
        <v>0</v>
      </c>
      <c r="K142" s="345">
        <f t="shared" si="59"/>
        <v>0</v>
      </c>
      <c r="L142" s="345">
        <f t="shared" si="59"/>
        <v>0</v>
      </c>
      <c r="M142" s="345">
        <f t="shared" si="59"/>
        <v>0</v>
      </c>
      <c r="N142" s="345">
        <f t="shared" si="59"/>
        <v>0</v>
      </c>
      <c r="O142" s="345">
        <f t="shared" si="59"/>
        <v>0</v>
      </c>
      <c r="P142" s="345">
        <f t="shared" si="59"/>
        <v>0</v>
      </c>
      <c r="Q142" s="345">
        <f t="shared" si="59"/>
        <v>0</v>
      </c>
      <c r="R142" s="345">
        <f t="shared" si="59"/>
        <v>0</v>
      </c>
      <c r="S142" s="345">
        <f t="shared" si="59"/>
        <v>0</v>
      </c>
      <c r="T142" s="345">
        <f t="shared" si="59"/>
        <v>1</v>
      </c>
      <c r="U142" s="345">
        <f t="shared" si="59"/>
        <v>0</v>
      </c>
      <c r="V142" s="345">
        <f t="shared" si="59"/>
        <v>0</v>
      </c>
      <c r="W142" s="345">
        <f t="shared" si="59"/>
        <v>0</v>
      </c>
      <c r="X142" s="345">
        <f t="shared" si="59"/>
        <v>0</v>
      </c>
      <c r="Y142" s="345">
        <f t="shared" si="59"/>
        <v>0</v>
      </c>
      <c r="Z142" s="345">
        <f t="shared" si="59"/>
        <v>0</v>
      </c>
      <c r="AA142" s="345">
        <f t="shared" si="59"/>
        <v>0</v>
      </c>
      <c r="AB142" s="345">
        <f t="shared" si="59"/>
        <v>0</v>
      </c>
      <c r="AC142" s="345">
        <f t="shared" si="59"/>
        <v>0</v>
      </c>
      <c r="AD142" s="345">
        <f t="shared" si="59"/>
        <v>0</v>
      </c>
      <c r="AE142" s="345">
        <f t="shared" si="59"/>
        <v>0</v>
      </c>
      <c r="AF142" s="345">
        <f t="shared" si="59"/>
        <v>0</v>
      </c>
      <c r="AG142" s="810">
        <f t="shared" si="58"/>
        <v>3</v>
      </c>
    </row>
    <row r="143">
      <c r="A143" s="827" t="s">
        <v>516</v>
      </c>
      <c r="B143" s="345">
        <f t="shared" ref="B143:AF143" si="60">SUM(B140:B141)</f>
        <v>0</v>
      </c>
      <c r="C143" s="345">
        <f t="shared" si="60"/>
        <v>0</v>
      </c>
      <c r="D143" s="345">
        <f t="shared" si="60"/>
        <v>0</v>
      </c>
      <c r="E143" s="345">
        <f t="shared" si="60"/>
        <v>0</v>
      </c>
      <c r="F143" s="345">
        <f t="shared" si="60"/>
        <v>0</v>
      </c>
      <c r="G143" s="345">
        <f t="shared" si="60"/>
        <v>0</v>
      </c>
      <c r="H143" s="345">
        <f t="shared" si="60"/>
        <v>0</v>
      </c>
      <c r="I143" s="345">
        <f t="shared" si="60"/>
        <v>0</v>
      </c>
      <c r="J143" s="345">
        <f t="shared" si="60"/>
        <v>0</v>
      </c>
      <c r="K143" s="345">
        <f t="shared" si="60"/>
        <v>0</v>
      </c>
      <c r="L143" s="345">
        <f t="shared" si="60"/>
        <v>0</v>
      </c>
      <c r="M143" s="345">
        <f t="shared" si="60"/>
        <v>0</v>
      </c>
      <c r="N143" s="345">
        <f t="shared" si="60"/>
        <v>0</v>
      </c>
      <c r="O143" s="345">
        <f t="shared" si="60"/>
        <v>0</v>
      </c>
      <c r="P143" s="345">
        <f t="shared" si="60"/>
        <v>0</v>
      </c>
      <c r="Q143" s="345">
        <f t="shared" si="60"/>
        <v>0</v>
      </c>
      <c r="R143" s="345">
        <f t="shared" si="60"/>
        <v>0</v>
      </c>
      <c r="S143" s="345">
        <f t="shared" si="60"/>
        <v>0</v>
      </c>
      <c r="T143" s="345">
        <f t="shared" si="60"/>
        <v>0</v>
      </c>
      <c r="U143" s="345">
        <f t="shared" si="60"/>
        <v>0</v>
      </c>
      <c r="V143" s="345">
        <f t="shared" si="60"/>
        <v>1</v>
      </c>
      <c r="W143" s="345">
        <f t="shared" si="60"/>
        <v>0</v>
      </c>
      <c r="X143" s="345">
        <f t="shared" si="60"/>
        <v>0</v>
      </c>
      <c r="Y143" s="345">
        <f t="shared" si="60"/>
        <v>1</v>
      </c>
      <c r="Z143" s="345">
        <f t="shared" si="60"/>
        <v>0</v>
      </c>
      <c r="AA143" s="345">
        <f t="shared" si="60"/>
        <v>0</v>
      </c>
      <c r="AB143" s="345">
        <f t="shared" si="60"/>
        <v>0</v>
      </c>
      <c r="AC143" s="345">
        <f t="shared" si="60"/>
        <v>0</v>
      </c>
      <c r="AD143" s="345">
        <f t="shared" si="60"/>
        <v>0</v>
      </c>
      <c r="AE143" s="345">
        <f t="shared" si="60"/>
        <v>0</v>
      </c>
      <c r="AF143" s="345">
        <f t="shared" si="60"/>
        <v>0</v>
      </c>
      <c r="AG143" s="810">
        <f t="shared" si="58"/>
        <v>2</v>
      </c>
    </row>
    <row r="144">
      <c r="A144" s="98"/>
      <c r="B144" s="177"/>
      <c r="C144" s="177"/>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c r="AA144" s="177"/>
      <c r="AB144" s="177"/>
      <c r="AC144" s="177"/>
      <c r="AD144" s="177"/>
      <c r="AE144" s="177"/>
      <c r="AF144" s="177"/>
      <c r="AG144" s="826"/>
    </row>
    <row r="145">
      <c r="A145" s="215" t="s">
        <v>1255</v>
      </c>
      <c r="B145" s="160">
        <v>0.0</v>
      </c>
      <c r="C145" s="160">
        <v>0.0</v>
      </c>
      <c r="D145" s="160">
        <v>0.0</v>
      </c>
      <c r="E145" s="160">
        <v>0.0</v>
      </c>
      <c r="F145" s="160">
        <v>0.0</v>
      </c>
      <c r="G145" s="160">
        <v>0.0</v>
      </c>
      <c r="H145" s="160">
        <v>0.0</v>
      </c>
      <c r="I145" s="160">
        <v>0.0</v>
      </c>
      <c r="J145" s="160">
        <v>0.0</v>
      </c>
      <c r="K145" s="160">
        <v>0.0</v>
      </c>
      <c r="L145" s="160">
        <v>0.0</v>
      </c>
      <c r="M145" s="160">
        <v>0.0</v>
      </c>
      <c r="N145" s="160">
        <v>0.0</v>
      </c>
      <c r="O145" s="160">
        <v>0.0</v>
      </c>
      <c r="P145" s="160">
        <v>0.0</v>
      </c>
      <c r="Q145" s="160">
        <v>0.0</v>
      </c>
      <c r="R145" s="160">
        <v>0.0</v>
      </c>
      <c r="S145" s="160">
        <v>0.0</v>
      </c>
      <c r="T145" s="160">
        <v>1.0</v>
      </c>
      <c r="U145" s="160">
        <v>0.0</v>
      </c>
      <c r="V145" s="160">
        <v>0.0</v>
      </c>
      <c r="W145" s="160">
        <v>0.0</v>
      </c>
      <c r="X145" s="160">
        <v>0.0</v>
      </c>
      <c r="Y145" s="160">
        <v>0.0</v>
      </c>
      <c r="Z145" s="160">
        <v>0.0</v>
      </c>
      <c r="AA145" s="160">
        <v>0.0</v>
      </c>
      <c r="AB145" s="160">
        <v>0.0</v>
      </c>
      <c r="AC145" s="160"/>
      <c r="AD145" s="160"/>
      <c r="AE145" s="160"/>
      <c r="AF145" s="160"/>
      <c r="AG145" s="810">
        <f t="shared" ref="AG145:AG153" si="61">SUM(B145:AF145)</f>
        <v>1</v>
      </c>
    </row>
    <row r="146">
      <c r="A146" s="215" t="s">
        <v>1256</v>
      </c>
      <c r="B146" s="160">
        <v>0.0</v>
      </c>
      <c r="C146" s="160">
        <v>0.0</v>
      </c>
      <c r="D146" s="160">
        <v>0.0</v>
      </c>
      <c r="E146" s="160">
        <v>0.0</v>
      </c>
      <c r="F146" s="160">
        <v>0.0</v>
      </c>
      <c r="G146" s="160">
        <v>0.0</v>
      </c>
      <c r="H146" s="160">
        <v>0.0</v>
      </c>
      <c r="I146" s="160">
        <v>0.0</v>
      </c>
      <c r="J146" s="160">
        <v>0.0</v>
      </c>
      <c r="K146" s="160">
        <v>0.0</v>
      </c>
      <c r="L146" s="160">
        <v>0.0</v>
      </c>
      <c r="M146" s="160">
        <v>0.0</v>
      </c>
      <c r="N146" s="160">
        <v>0.0</v>
      </c>
      <c r="O146" s="160">
        <v>0.0</v>
      </c>
      <c r="P146" s="160">
        <v>0.0</v>
      </c>
      <c r="Q146" s="160">
        <v>0.0</v>
      </c>
      <c r="R146" s="160">
        <v>0.0</v>
      </c>
      <c r="S146" s="160">
        <v>0.0</v>
      </c>
      <c r="T146" s="160">
        <v>1.0</v>
      </c>
      <c r="U146" s="160">
        <v>0.0</v>
      </c>
      <c r="V146" s="160">
        <v>1.0</v>
      </c>
      <c r="W146" s="160">
        <v>0.0</v>
      </c>
      <c r="X146" s="160">
        <v>0.0</v>
      </c>
      <c r="Y146" s="160">
        <v>0.0</v>
      </c>
      <c r="Z146" s="160">
        <v>0.0</v>
      </c>
      <c r="AA146" s="160">
        <v>0.0</v>
      </c>
      <c r="AB146" s="160">
        <v>0.0</v>
      </c>
      <c r="AC146" s="160"/>
      <c r="AD146" s="160"/>
      <c r="AE146" s="160"/>
      <c r="AF146" s="160"/>
      <c r="AG146" s="810">
        <f t="shared" si="61"/>
        <v>2</v>
      </c>
    </row>
    <row r="147">
      <c r="A147" s="215" t="s">
        <v>1277</v>
      </c>
      <c r="B147" s="160">
        <v>0.0</v>
      </c>
      <c r="C147" s="160">
        <v>0.0</v>
      </c>
      <c r="D147" s="160">
        <v>0.0</v>
      </c>
      <c r="E147" s="160">
        <v>0.0</v>
      </c>
      <c r="F147" s="160">
        <v>0.0</v>
      </c>
      <c r="G147" s="160">
        <v>0.0</v>
      </c>
      <c r="H147" s="160">
        <v>0.0</v>
      </c>
      <c r="I147" s="160">
        <v>0.0</v>
      </c>
      <c r="J147" s="160">
        <v>0.0</v>
      </c>
      <c r="K147" s="160">
        <v>0.0</v>
      </c>
      <c r="L147" s="160">
        <v>0.0</v>
      </c>
      <c r="M147" s="160">
        <v>0.0</v>
      </c>
      <c r="N147" s="160">
        <v>0.0</v>
      </c>
      <c r="O147" s="160">
        <v>0.0</v>
      </c>
      <c r="P147" s="160">
        <v>0.0</v>
      </c>
      <c r="Q147" s="160">
        <v>0.0</v>
      </c>
      <c r="R147" s="160">
        <v>0.0</v>
      </c>
      <c r="S147" s="160">
        <v>0.0</v>
      </c>
      <c r="T147" s="160">
        <v>0.0</v>
      </c>
      <c r="U147" s="160">
        <v>0.0</v>
      </c>
      <c r="V147" s="160">
        <v>0.0</v>
      </c>
      <c r="W147" s="160">
        <v>0.0</v>
      </c>
      <c r="X147" s="160">
        <v>0.0</v>
      </c>
      <c r="Y147" s="160">
        <v>1.0</v>
      </c>
      <c r="Z147" s="160">
        <v>0.0</v>
      </c>
      <c r="AA147" s="160">
        <v>0.0</v>
      </c>
      <c r="AB147" s="160">
        <v>0.0</v>
      </c>
      <c r="AC147" s="160"/>
      <c r="AD147" s="160"/>
      <c r="AE147" s="160"/>
      <c r="AF147" s="160"/>
      <c r="AG147" s="810">
        <f t="shared" si="61"/>
        <v>1</v>
      </c>
    </row>
    <row r="148">
      <c r="A148" s="215" t="s">
        <v>1278</v>
      </c>
      <c r="B148" s="160">
        <v>0.0</v>
      </c>
      <c r="C148" s="160">
        <v>0.0</v>
      </c>
      <c r="D148" s="160">
        <v>0.0</v>
      </c>
      <c r="E148" s="160">
        <v>0.0</v>
      </c>
      <c r="F148" s="160">
        <v>0.0</v>
      </c>
      <c r="G148" s="160">
        <v>0.0</v>
      </c>
      <c r="H148" s="160">
        <v>0.0</v>
      </c>
      <c r="I148" s="160">
        <v>0.0</v>
      </c>
      <c r="J148" s="160">
        <v>0.0</v>
      </c>
      <c r="K148" s="160">
        <v>0.0</v>
      </c>
      <c r="L148" s="160">
        <v>0.0</v>
      </c>
      <c r="M148" s="160">
        <v>0.0</v>
      </c>
      <c r="N148" s="160">
        <v>0.0</v>
      </c>
      <c r="O148" s="160">
        <v>0.0</v>
      </c>
      <c r="P148" s="160">
        <v>0.0</v>
      </c>
      <c r="Q148" s="160">
        <v>0.0</v>
      </c>
      <c r="R148" s="160">
        <v>0.0</v>
      </c>
      <c r="S148" s="160">
        <v>0.0</v>
      </c>
      <c r="T148" s="160">
        <v>0.0</v>
      </c>
      <c r="U148" s="160">
        <v>0.0</v>
      </c>
      <c r="V148" s="160">
        <v>0.0</v>
      </c>
      <c r="W148" s="160">
        <v>0.0</v>
      </c>
      <c r="X148" s="160">
        <v>0.0</v>
      </c>
      <c r="Y148" s="160">
        <v>0.0</v>
      </c>
      <c r="Z148" s="160">
        <v>0.0</v>
      </c>
      <c r="AA148" s="160">
        <v>0.0</v>
      </c>
      <c r="AB148" s="160">
        <v>0.0</v>
      </c>
      <c r="AC148" s="160"/>
      <c r="AD148" s="160"/>
      <c r="AE148" s="160"/>
      <c r="AF148" s="160"/>
      <c r="AG148" s="810">
        <f t="shared" si="61"/>
        <v>0</v>
      </c>
    </row>
    <row r="149">
      <c r="A149" s="215" t="s">
        <v>1279</v>
      </c>
      <c r="B149" s="160">
        <v>0.0</v>
      </c>
      <c r="C149" s="160">
        <v>0.0</v>
      </c>
      <c r="D149" s="160">
        <v>0.0</v>
      </c>
      <c r="E149" s="160">
        <v>0.0</v>
      </c>
      <c r="F149" s="160">
        <v>0.0</v>
      </c>
      <c r="G149" s="160">
        <v>1.0</v>
      </c>
      <c r="H149" s="160">
        <v>0.0</v>
      </c>
      <c r="I149" s="160">
        <v>0.0</v>
      </c>
      <c r="J149" s="160">
        <v>0.0</v>
      </c>
      <c r="K149" s="160">
        <v>0.0</v>
      </c>
      <c r="L149" s="160">
        <v>0.0</v>
      </c>
      <c r="M149" s="160">
        <v>0.0</v>
      </c>
      <c r="N149" s="160">
        <v>1.0</v>
      </c>
      <c r="O149" s="160">
        <v>0.0</v>
      </c>
      <c r="P149" s="160">
        <v>0.0</v>
      </c>
      <c r="Q149" s="160">
        <v>0.0</v>
      </c>
      <c r="R149" s="160">
        <v>0.0</v>
      </c>
      <c r="S149" s="160">
        <v>0.0</v>
      </c>
      <c r="T149" s="160">
        <v>1.0</v>
      </c>
      <c r="U149" s="160">
        <v>0.0</v>
      </c>
      <c r="V149" s="160">
        <v>0.0</v>
      </c>
      <c r="W149" s="160">
        <v>0.0</v>
      </c>
      <c r="X149" s="160">
        <v>0.0</v>
      </c>
      <c r="Y149" s="160">
        <v>0.0</v>
      </c>
      <c r="Z149" s="160">
        <v>0.0</v>
      </c>
      <c r="AA149" s="160">
        <v>0.0</v>
      </c>
      <c r="AB149" s="160">
        <v>0.0</v>
      </c>
      <c r="AC149" s="160"/>
      <c r="AD149" s="160"/>
      <c r="AE149" s="160"/>
      <c r="AF149" s="160"/>
      <c r="AG149" s="810">
        <f t="shared" si="61"/>
        <v>3</v>
      </c>
    </row>
    <row r="150">
      <c r="A150" s="215" t="s">
        <v>1280</v>
      </c>
      <c r="B150" s="160">
        <v>0.0</v>
      </c>
      <c r="C150" s="160">
        <v>0.0</v>
      </c>
      <c r="D150" s="160">
        <v>0.0</v>
      </c>
      <c r="E150" s="160">
        <v>0.0</v>
      </c>
      <c r="F150" s="160">
        <v>0.0</v>
      </c>
      <c r="G150" s="160">
        <v>0.0</v>
      </c>
      <c r="H150" s="160">
        <v>0.0</v>
      </c>
      <c r="I150" s="160">
        <v>0.0</v>
      </c>
      <c r="J150" s="160">
        <v>0.0</v>
      </c>
      <c r="K150" s="160">
        <v>0.0</v>
      </c>
      <c r="L150" s="160">
        <v>0.0</v>
      </c>
      <c r="M150" s="160">
        <v>0.0</v>
      </c>
      <c r="N150" s="160">
        <v>0.0</v>
      </c>
      <c r="O150" s="160">
        <v>0.0</v>
      </c>
      <c r="P150" s="160">
        <v>0.0</v>
      </c>
      <c r="Q150" s="160">
        <v>0.0</v>
      </c>
      <c r="R150" s="160">
        <v>0.0</v>
      </c>
      <c r="S150" s="160">
        <v>0.0</v>
      </c>
      <c r="T150" s="160">
        <v>0.0</v>
      </c>
      <c r="U150" s="160">
        <v>0.0</v>
      </c>
      <c r="V150" s="160">
        <v>0.0</v>
      </c>
      <c r="W150" s="160">
        <v>0.0</v>
      </c>
      <c r="X150" s="160">
        <v>0.0</v>
      </c>
      <c r="Y150" s="160">
        <v>0.0</v>
      </c>
      <c r="Z150" s="160">
        <v>0.0</v>
      </c>
      <c r="AA150" s="160">
        <v>0.0</v>
      </c>
      <c r="AB150" s="160">
        <v>0.0</v>
      </c>
      <c r="AC150" s="160"/>
      <c r="AD150" s="160"/>
      <c r="AE150" s="160"/>
      <c r="AF150" s="160"/>
      <c r="AG150" s="810">
        <f t="shared" si="61"/>
        <v>0</v>
      </c>
    </row>
    <row r="151">
      <c r="A151" s="215" t="s">
        <v>1281</v>
      </c>
      <c r="B151" s="160">
        <v>0.0</v>
      </c>
      <c r="C151" s="160">
        <v>0.0</v>
      </c>
      <c r="D151" s="160">
        <v>0.0</v>
      </c>
      <c r="E151" s="160">
        <v>0.0</v>
      </c>
      <c r="F151" s="160">
        <v>0.0</v>
      </c>
      <c r="G151" s="160">
        <v>0.0</v>
      </c>
      <c r="H151" s="160">
        <v>0.0</v>
      </c>
      <c r="I151" s="160">
        <v>0.0</v>
      </c>
      <c r="J151" s="160">
        <v>0.0</v>
      </c>
      <c r="K151" s="160">
        <v>0.0</v>
      </c>
      <c r="L151" s="160">
        <v>0.0</v>
      </c>
      <c r="M151" s="160">
        <v>0.0</v>
      </c>
      <c r="N151" s="160">
        <v>0.0</v>
      </c>
      <c r="O151" s="160">
        <v>0.0</v>
      </c>
      <c r="P151" s="160">
        <v>0.0</v>
      </c>
      <c r="Q151" s="160">
        <v>0.0</v>
      </c>
      <c r="R151" s="160">
        <v>0.0</v>
      </c>
      <c r="S151" s="160">
        <v>0.0</v>
      </c>
      <c r="T151" s="160">
        <v>0.0</v>
      </c>
      <c r="U151" s="160">
        <v>0.0</v>
      </c>
      <c r="V151" s="160">
        <v>0.0</v>
      </c>
      <c r="W151" s="160">
        <v>0.0</v>
      </c>
      <c r="X151" s="160">
        <v>0.0</v>
      </c>
      <c r="Y151" s="160">
        <v>0.0</v>
      </c>
      <c r="Z151" s="160">
        <v>0.0</v>
      </c>
      <c r="AA151" s="160">
        <v>0.0</v>
      </c>
      <c r="AB151" s="160">
        <v>0.0</v>
      </c>
      <c r="AC151" s="160"/>
      <c r="AD151" s="160"/>
      <c r="AE151" s="160"/>
      <c r="AF151" s="160"/>
      <c r="AG151" s="810">
        <f t="shared" si="61"/>
        <v>0</v>
      </c>
    </row>
    <row r="152">
      <c r="A152" s="215" t="s">
        <v>1282</v>
      </c>
      <c r="B152" s="160">
        <v>0.0</v>
      </c>
      <c r="C152" s="160">
        <v>0.0</v>
      </c>
      <c r="D152" s="160">
        <v>0.0</v>
      </c>
      <c r="E152" s="160">
        <v>0.0</v>
      </c>
      <c r="F152" s="160">
        <v>0.0</v>
      </c>
      <c r="G152" s="160">
        <v>0.0</v>
      </c>
      <c r="H152" s="160">
        <v>0.0</v>
      </c>
      <c r="I152" s="160">
        <v>0.0</v>
      </c>
      <c r="J152" s="160">
        <v>0.0</v>
      </c>
      <c r="K152" s="160">
        <v>0.0</v>
      </c>
      <c r="L152" s="160">
        <v>0.0</v>
      </c>
      <c r="M152" s="160">
        <v>0.0</v>
      </c>
      <c r="N152" s="160">
        <v>0.0</v>
      </c>
      <c r="O152" s="160">
        <v>0.0</v>
      </c>
      <c r="P152" s="160">
        <v>0.0</v>
      </c>
      <c r="Q152" s="160">
        <v>0.0</v>
      </c>
      <c r="R152" s="160">
        <v>0.0</v>
      </c>
      <c r="S152" s="160">
        <v>0.0</v>
      </c>
      <c r="T152" s="160">
        <v>0.0</v>
      </c>
      <c r="U152" s="160">
        <v>0.0</v>
      </c>
      <c r="V152" s="160">
        <v>0.0</v>
      </c>
      <c r="W152" s="160">
        <v>0.0</v>
      </c>
      <c r="X152" s="160">
        <v>0.0</v>
      </c>
      <c r="Y152" s="160">
        <v>0.0</v>
      </c>
      <c r="Z152" s="160">
        <v>0.0</v>
      </c>
      <c r="AA152" s="160">
        <v>0.0</v>
      </c>
      <c r="AB152" s="160">
        <v>0.0</v>
      </c>
      <c r="AC152" s="160"/>
      <c r="AD152" s="160"/>
      <c r="AE152" s="160"/>
      <c r="AF152" s="160"/>
      <c r="AG152" s="810">
        <f t="shared" si="61"/>
        <v>0</v>
      </c>
    </row>
    <row r="153">
      <c r="A153" s="828" t="s">
        <v>668</v>
      </c>
      <c r="B153" s="345">
        <f t="shared" ref="B153:AF153" si="62">SUM(B145:B152)</f>
        <v>0</v>
      </c>
      <c r="C153" s="345">
        <f t="shared" si="62"/>
        <v>0</v>
      </c>
      <c r="D153" s="345">
        <f t="shared" si="62"/>
        <v>0</v>
      </c>
      <c r="E153" s="345">
        <f t="shared" si="62"/>
        <v>0</v>
      </c>
      <c r="F153" s="345">
        <f t="shared" si="62"/>
        <v>0</v>
      </c>
      <c r="G153" s="345">
        <f t="shared" si="62"/>
        <v>1</v>
      </c>
      <c r="H153" s="345">
        <f t="shared" si="62"/>
        <v>0</v>
      </c>
      <c r="I153" s="345">
        <f t="shared" si="62"/>
        <v>0</v>
      </c>
      <c r="J153" s="345">
        <f t="shared" si="62"/>
        <v>0</v>
      </c>
      <c r="K153" s="345">
        <f t="shared" si="62"/>
        <v>0</v>
      </c>
      <c r="L153" s="345">
        <f t="shared" si="62"/>
        <v>0</v>
      </c>
      <c r="M153" s="345">
        <f t="shared" si="62"/>
        <v>0</v>
      </c>
      <c r="N153" s="345">
        <f t="shared" si="62"/>
        <v>1</v>
      </c>
      <c r="O153" s="345">
        <f t="shared" si="62"/>
        <v>0</v>
      </c>
      <c r="P153" s="345">
        <f t="shared" si="62"/>
        <v>0</v>
      </c>
      <c r="Q153" s="345">
        <f t="shared" si="62"/>
        <v>0</v>
      </c>
      <c r="R153" s="345">
        <f t="shared" si="62"/>
        <v>0</v>
      </c>
      <c r="S153" s="345">
        <f t="shared" si="62"/>
        <v>0</v>
      </c>
      <c r="T153" s="345">
        <f t="shared" si="62"/>
        <v>3</v>
      </c>
      <c r="U153" s="345">
        <f t="shared" si="62"/>
        <v>0</v>
      </c>
      <c r="V153" s="345">
        <f t="shared" si="62"/>
        <v>1</v>
      </c>
      <c r="W153" s="345">
        <f t="shared" si="62"/>
        <v>0</v>
      </c>
      <c r="X153" s="345">
        <f t="shared" si="62"/>
        <v>0</v>
      </c>
      <c r="Y153" s="345">
        <f t="shared" si="62"/>
        <v>1</v>
      </c>
      <c r="Z153" s="345">
        <f t="shared" si="62"/>
        <v>0</v>
      </c>
      <c r="AA153" s="345">
        <f t="shared" si="62"/>
        <v>0</v>
      </c>
      <c r="AB153" s="345">
        <f t="shared" si="62"/>
        <v>0</v>
      </c>
      <c r="AC153" s="345">
        <f t="shared" si="62"/>
        <v>0</v>
      </c>
      <c r="AD153" s="345">
        <f t="shared" si="62"/>
        <v>0</v>
      </c>
      <c r="AE153" s="345">
        <f t="shared" si="62"/>
        <v>0</v>
      </c>
      <c r="AF153" s="345">
        <f t="shared" si="62"/>
        <v>0</v>
      </c>
      <c r="AG153" s="810">
        <f t="shared" si="61"/>
        <v>7</v>
      </c>
    </row>
    <row r="154">
      <c r="A154" s="166"/>
      <c r="B154" s="177"/>
      <c r="C154" s="177"/>
      <c r="D154" s="177"/>
      <c r="E154" s="177"/>
      <c r="F154" s="177"/>
      <c r="G154" s="177"/>
      <c r="H154" s="177"/>
      <c r="I154" s="177"/>
      <c r="J154" s="177"/>
      <c r="K154" s="177"/>
      <c r="L154" s="177"/>
      <c r="M154" s="154"/>
      <c r="N154" s="177"/>
      <c r="O154" s="177"/>
      <c r="P154" s="177"/>
      <c r="Q154" s="177"/>
      <c r="R154" s="177"/>
      <c r="S154" s="177"/>
      <c r="T154" s="177"/>
      <c r="U154" s="177"/>
      <c r="V154" s="177"/>
      <c r="W154" s="177"/>
      <c r="X154" s="177"/>
      <c r="Y154" s="177"/>
      <c r="Z154" s="177"/>
      <c r="AA154" s="177"/>
      <c r="AB154" s="177"/>
      <c r="AC154" s="177"/>
      <c r="AD154" s="177"/>
      <c r="AE154" s="177"/>
      <c r="AF154" s="177"/>
      <c r="AG154" s="810"/>
    </row>
    <row r="155">
      <c r="A155" s="215" t="s">
        <v>1263</v>
      </c>
      <c r="B155" s="160">
        <v>0.0</v>
      </c>
      <c r="C155" s="160">
        <v>0.0</v>
      </c>
      <c r="D155" s="160">
        <v>0.0</v>
      </c>
      <c r="E155" s="160">
        <v>0.0</v>
      </c>
      <c r="F155" s="160">
        <v>0.0</v>
      </c>
      <c r="G155" s="160">
        <v>0.0</v>
      </c>
      <c r="H155" s="160">
        <v>0.0</v>
      </c>
      <c r="I155" s="160">
        <v>0.0</v>
      </c>
      <c r="J155" s="160">
        <v>0.0</v>
      </c>
      <c r="K155" s="160">
        <v>0.0</v>
      </c>
      <c r="L155" s="160">
        <v>0.0</v>
      </c>
      <c r="M155" s="160">
        <v>0.0</v>
      </c>
      <c r="N155" s="160">
        <v>0.0</v>
      </c>
      <c r="O155" s="160">
        <v>0.0</v>
      </c>
      <c r="P155" s="160">
        <v>0.0</v>
      </c>
      <c r="Q155" s="160">
        <v>0.0</v>
      </c>
      <c r="R155" s="160">
        <v>0.0</v>
      </c>
      <c r="S155" s="160">
        <v>0.0</v>
      </c>
      <c r="T155" s="160">
        <v>0.0</v>
      </c>
      <c r="U155" s="160">
        <v>0.0</v>
      </c>
      <c r="V155" s="160">
        <v>0.0</v>
      </c>
      <c r="W155" s="160">
        <v>0.0</v>
      </c>
      <c r="X155" s="160">
        <v>0.0</v>
      </c>
      <c r="Y155" s="160">
        <v>0.0</v>
      </c>
      <c r="Z155" s="160">
        <v>0.0</v>
      </c>
      <c r="AA155" s="160">
        <v>0.0</v>
      </c>
      <c r="AB155" s="160">
        <v>0.0</v>
      </c>
      <c r="AC155" s="160"/>
      <c r="AD155" s="160"/>
      <c r="AE155" s="160"/>
      <c r="AF155" s="160"/>
      <c r="AG155" s="810">
        <f t="shared" ref="AG155:AG163" si="63">SUM(B155:AF155)</f>
        <v>0</v>
      </c>
    </row>
    <row r="156">
      <c r="A156" s="215" t="s">
        <v>1264</v>
      </c>
      <c r="B156" s="160">
        <v>0.0</v>
      </c>
      <c r="C156" s="160">
        <v>0.0</v>
      </c>
      <c r="D156" s="160">
        <v>0.0</v>
      </c>
      <c r="E156" s="160">
        <v>0.0</v>
      </c>
      <c r="F156" s="160">
        <v>0.0</v>
      </c>
      <c r="G156" s="160">
        <v>0.0</v>
      </c>
      <c r="H156" s="160">
        <v>0.0</v>
      </c>
      <c r="I156" s="160">
        <v>0.0</v>
      </c>
      <c r="J156" s="160">
        <v>0.0</v>
      </c>
      <c r="K156" s="160">
        <v>0.0</v>
      </c>
      <c r="L156" s="160">
        <v>0.0</v>
      </c>
      <c r="M156" s="160">
        <v>0.0</v>
      </c>
      <c r="N156" s="160">
        <v>0.0</v>
      </c>
      <c r="O156" s="160">
        <v>0.0</v>
      </c>
      <c r="P156" s="160">
        <v>0.0</v>
      </c>
      <c r="Q156" s="160">
        <v>0.0</v>
      </c>
      <c r="R156" s="160">
        <v>0.0</v>
      </c>
      <c r="S156" s="160">
        <v>0.0</v>
      </c>
      <c r="T156" s="160">
        <v>0.0</v>
      </c>
      <c r="U156" s="160">
        <v>0.0</v>
      </c>
      <c r="V156" s="160">
        <v>0.0</v>
      </c>
      <c r="W156" s="160">
        <v>0.0</v>
      </c>
      <c r="X156" s="160">
        <v>0.0</v>
      </c>
      <c r="Y156" s="160">
        <v>0.0</v>
      </c>
      <c r="Z156" s="160">
        <v>0.0</v>
      </c>
      <c r="AA156" s="160">
        <v>0.0</v>
      </c>
      <c r="AB156" s="160">
        <v>0.0</v>
      </c>
      <c r="AC156" s="160"/>
      <c r="AD156" s="160"/>
      <c r="AE156" s="160"/>
      <c r="AF156" s="160"/>
      <c r="AG156" s="810">
        <f t="shared" si="63"/>
        <v>0</v>
      </c>
    </row>
    <row r="157">
      <c r="A157" s="215" t="s">
        <v>1283</v>
      </c>
      <c r="B157" s="160">
        <v>0.0</v>
      </c>
      <c r="C157" s="160">
        <v>0.0</v>
      </c>
      <c r="D157" s="160">
        <v>0.0</v>
      </c>
      <c r="E157" s="160">
        <v>0.0</v>
      </c>
      <c r="F157" s="160">
        <v>0.0</v>
      </c>
      <c r="G157" s="160">
        <v>0.0</v>
      </c>
      <c r="H157" s="160">
        <v>0.0</v>
      </c>
      <c r="I157" s="160">
        <v>0.0</v>
      </c>
      <c r="J157" s="160">
        <v>0.0</v>
      </c>
      <c r="K157" s="160">
        <v>0.0</v>
      </c>
      <c r="L157" s="160">
        <v>0.0</v>
      </c>
      <c r="M157" s="160">
        <v>0.0</v>
      </c>
      <c r="N157" s="160">
        <v>0.0</v>
      </c>
      <c r="O157" s="160">
        <v>0.0</v>
      </c>
      <c r="P157" s="160">
        <v>0.0</v>
      </c>
      <c r="Q157" s="160">
        <v>0.0</v>
      </c>
      <c r="R157" s="160">
        <v>0.0</v>
      </c>
      <c r="S157" s="160">
        <v>0.0</v>
      </c>
      <c r="T157" s="160">
        <v>0.0</v>
      </c>
      <c r="U157" s="160">
        <v>0.0</v>
      </c>
      <c r="V157" s="160">
        <v>0.0</v>
      </c>
      <c r="W157" s="160">
        <v>0.0</v>
      </c>
      <c r="X157" s="160">
        <v>0.0</v>
      </c>
      <c r="Y157" s="160">
        <v>0.0</v>
      </c>
      <c r="Z157" s="160">
        <v>0.0</v>
      </c>
      <c r="AA157" s="160">
        <v>0.0</v>
      </c>
      <c r="AB157" s="160">
        <v>0.0</v>
      </c>
      <c r="AC157" s="160"/>
      <c r="AD157" s="160"/>
      <c r="AE157" s="160"/>
      <c r="AF157" s="160"/>
      <c r="AG157" s="810">
        <f t="shared" si="63"/>
        <v>0</v>
      </c>
    </row>
    <row r="158">
      <c r="A158" s="215" t="s">
        <v>1284</v>
      </c>
      <c r="B158" s="160">
        <v>0.0</v>
      </c>
      <c r="C158" s="160">
        <v>0.0</v>
      </c>
      <c r="D158" s="160">
        <v>0.0</v>
      </c>
      <c r="E158" s="160">
        <v>0.0</v>
      </c>
      <c r="F158" s="160">
        <v>0.0</v>
      </c>
      <c r="G158" s="160">
        <v>0.0</v>
      </c>
      <c r="H158" s="160">
        <v>0.0</v>
      </c>
      <c r="I158" s="160">
        <v>0.0</v>
      </c>
      <c r="J158" s="160">
        <v>0.0</v>
      </c>
      <c r="K158" s="160">
        <v>0.0</v>
      </c>
      <c r="L158" s="160">
        <v>0.0</v>
      </c>
      <c r="M158" s="160">
        <v>0.0</v>
      </c>
      <c r="N158" s="160">
        <v>0.0</v>
      </c>
      <c r="O158" s="160">
        <v>0.0</v>
      </c>
      <c r="P158" s="160">
        <v>0.0</v>
      </c>
      <c r="Q158" s="160">
        <v>0.0</v>
      </c>
      <c r="R158" s="160">
        <v>0.0</v>
      </c>
      <c r="S158" s="160">
        <v>0.0</v>
      </c>
      <c r="T158" s="160">
        <v>0.0</v>
      </c>
      <c r="U158" s="160">
        <v>0.0</v>
      </c>
      <c r="V158" s="160">
        <v>0.0</v>
      </c>
      <c r="W158" s="160">
        <v>0.0</v>
      </c>
      <c r="X158" s="160">
        <v>0.0</v>
      </c>
      <c r="Y158" s="160">
        <v>0.0</v>
      </c>
      <c r="Z158" s="160">
        <v>0.0</v>
      </c>
      <c r="AA158" s="160">
        <v>0.0</v>
      </c>
      <c r="AB158" s="160">
        <v>0.0</v>
      </c>
      <c r="AC158" s="160"/>
      <c r="AD158" s="160"/>
      <c r="AE158" s="160"/>
      <c r="AF158" s="160"/>
      <c r="AG158" s="810">
        <f t="shared" si="63"/>
        <v>0</v>
      </c>
    </row>
    <row r="159">
      <c r="A159" s="215" t="s">
        <v>1285</v>
      </c>
      <c r="B159" s="160">
        <v>0.0</v>
      </c>
      <c r="C159" s="160">
        <v>0.0</v>
      </c>
      <c r="D159" s="160">
        <v>0.0</v>
      </c>
      <c r="E159" s="160">
        <v>0.0</v>
      </c>
      <c r="F159" s="160">
        <v>0.0</v>
      </c>
      <c r="G159" s="160">
        <v>0.0</v>
      </c>
      <c r="H159" s="160">
        <v>0.0</v>
      </c>
      <c r="I159" s="160">
        <v>0.0</v>
      </c>
      <c r="J159" s="160">
        <v>0.0</v>
      </c>
      <c r="K159" s="160">
        <v>0.0</v>
      </c>
      <c r="L159" s="160">
        <v>0.0</v>
      </c>
      <c r="M159" s="160">
        <v>0.0</v>
      </c>
      <c r="N159" s="160">
        <v>0.0</v>
      </c>
      <c r="O159" s="160">
        <v>1.0</v>
      </c>
      <c r="P159" s="160">
        <v>1.0</v>
      </c>
      <c r="Q159" s="160">
        <v>1.0</v>
      </c>
      <c r="R159" s="160">
        <v>0.0</v>
      </c>
      <c r="S159" s="160">
        <v>0.0</v>
      </c>
      <c r="T159" s="160">
        <v>0.0</v>
      </c>
      <c r="U159" s="160">
        <v>0.0</v>
      </c>
      <c r="V159" s="160">
        <v>0.0</v>
      </c>
      <c r="W159" s="160">
        <v>0.0</v>
      </c>
      <c r="X159" s="160">
        <v>0.0</v>
      </c>
      <c r="Y159" s="160">
        <v>0.0</v>
      </c>
      <c r="Z159" s="160">
        <v>0.0</v>
      </c>
      <c r="AA159" s="160">
        <v>0.0</v>
      </c>
      <c r="AB159" s="160">
        <v>0.0</v>
      </c>
      <c r="AC159" s="160"/>
      <c r="AD159" s="160"/>
      <c r="AE159" s="160"/>
      <c r="AF159" s="160"/>
      <c r="AG159" s="810">
        <f t="shared" si="63"/>
        <v>3</v>
      </c>
    </row>
    <row r="160">
      <c r="A160" s="215" t="s">
        <v>1286</v>
      </c>
      <c r="B160" s="160">
        <v>0.0</v>
      </c>
      <c r="C160" s="160">
        <v>0.0</v>
      </c>
      <c r="D160" s="160">
        <v>0.0</v>
      </c>
      <c r="E160" s="160">
        <v>0.0</v>
      </c>
      <c r="F160" s="160">
        <v>0.0</v>
      </c>
      <c r="G160" s="160">
        <v>0.0</v>
      </c>
      <c r="H160" s="160">
        <v>0.0</v>
      </c>
      <c r="I160" s="160">
        <v>0.0</v>
      </c>
      <c r="J160" s="160">
        <v>0.0</v>
      </c>
      <c r="K160" s="160">
        <v>0.0</v>
      </c>
      <c r="L160" s="160">
        <v>0.0</v>
      </c>
      <c r="M160" s="160">
        <v>0.0</v>
      </c>
      <c r="N160" s="160">
        <v>0.0</v>
      </c>
      <c r="O160" s="160">
        <v>0.0</v>
      </c>
      <c r="P160" s="160">
        <v>0.0</v>
      </c>
      <c r="Q160" s="160">
        <v>0.0</v>
      </c>
      <c r="R160" s="160">
        <v>0.0</v>
      </c>
      <c r="S160" s="160">
        <v>0.0</v>
      </c>
      <c r="T160" s="160">
        <v>0.0</v>
      </c>
      <c r="U160" s="160">
        <v>0.0</v>
      </c>
      <c r="V160" s="160">
        <v>0.0</v>
      </c>
      <c r="W160" s="160">
        <v>0.0</v>
      </c>
      <c r="X160" s="160">
        <v>0.0</v>
      </c>
      <c r="Y160" s="160">
        <v>0.0</v>
      </c>
      <c r="Z160" s="160">
        <v>0.0</v>
      </c>
      <c r="AA160" s="160">
        <v>0.0</v>
      </c>
      <c r="AB160" s="160">
        <v>0.0</v>
      </c>
      <c r="AC160" s="160"/>
      <c r="AD160" s="160"/>
      <c r="AE160" s="160"/>
      <c r="AF160" s="160"/>
      <c r="AG160" s="810">
        <f t="shared" si="63"/>
        <v>0</v>
      </c>
    </row>
    <row r="161">
      <c r="A161" s="215" t="s">
        <v>1287</v>
      </c>
      <c r="B161" s="160">
        <v>0.0</v>
      </c>
      <c r="C161" s="160">
        <v>0.0</v>
      </c>
      <c r="D161" s="160">
        <v>0.0</v>
      </c>
      <c r="E161" s="160">
        <v>0.0</v>
      </c>
      <c r="F161" s="160">
        <v>0.0</v>
      </c>
      <c r="G161" s="160">
        <v>0.0</v>
      </c>
      <c r="H161" s="160">
        <v>0.0</v>
      </c>
      <c r="I161" s="160">
        <v>0.0</v>
      </c>
      <c r="J161" s="160">
        <v>0.0</v>
      </c>
      <c r="K161" s="160">
        <v>0.0</v>
      </c>
      <c r="L161" s="160">
        <v>0.0</v>
      </c>
      <c r="M161" s="160">
        <v>0.0</v>
      </c>
      <c r="N161" s="160">
        <v>0.0</v>
      </c>
      <c r="O161" s="160">
        <v>0.0</v>
      </c>
      <c r="P161" s="160">
        <v>0.0</v>
      </c>
      <c r="Q161" s="160">
        <v>0.0</v>
      </c>
      <c r="R161" s="160">
        <v>0.0</v>
      </c>
      <c r="S161" s="160">
        <v>0.0</v>
      </c>
      <c r="T161" s="160">
        <v>0.0</v>
      </c>
      <c r="U161" s="160">
        <v>0.0</v>
      </c>
      <c r="V161" s="160">
        <v>0.0</v>
      </c>
      <c r="W161" s="160">
        <v>0.0</v>
      </c>
      <c r="X161" s="160">
        <v>0.0</v>
      </c>
      <c r="Y161" s="160">
        <v>0.0</v>
      </c>
      <c r="Z161" s="160">
        <v>0.0</v>
      </c>
      <c r="AA161" s="160">
        <v>0.0</v>
      </c>
      <c r="AB161" s="160">
        <v>0.0</v>
      </c>
      <c r="AC161" s="160"/>
      <c r="AD161" s="160"/>
      <c r="AE161" s="160"/>
      <c r="AF161" s="160"/>
      <c r="AG161" s="810">
        <f t="shared" si="63"/>
        <v>0</v>
      </c>
    </row>
    <row r="162">
      <c r="A162" s="215" t="s">
        <v>1288</v>
      </c>
      <c r="B162" s="160">
        <v>0.0</v>
      </c>
      <c r="C162" s="160">
        <v>0.0</v>
      </c>
      <c r="D162" s="160">
        <v>0.0</v>
      </c>
      <c r="E162" s="160">
        <v>0.0</v>
      </c>
      <c r="F162" s="160">
        <v>0.0</v>
      </c>
      <c r="G162" s="160">
        <v>0.0</v>
      </c>
      <c r="H162" s="160">
        <v>0.0</v>
      </c>
      <c r="I162" s="160">
        <v>0.0</v>
      </c>
      <c r="J162" s="160">
        <v>0.0</v>
      </c>
      <c r="K162" s="160">
        <v>0.0</v>
      </c>
      <c r="L162" s="160">
        <v>0.0</v>
      </c>
      <c r="M162" s="160">
        <v>0.0</v>
      </c>
      <c r="N162" s="160">
        <v>0.0</v>
      </c>
      <c r="O162" s="160">
        <v>0.0</v>
      </c>
      <c r="P162" s="160">
        <v>0.0</v>
      </c>
      <c r="Q162" s="160">
        <v>0.0</v>
      </c>
      <c r="R162" s="160">
        <v>0.0</v>
      </c>
      <c r="S162" s="160">
        <v>0.0</v>
      </c>
      <c r="T162" s="160">
        <v>0.0</v>
      </c>
      <c r="U162" s="160">
        <v>0.0</v>
      </c>
      <c r="V162" s="160">
        <v>0.0</v>
      </c>
      <c r="W162" s="160">
        <v>0.0</v>
      </c>
      <c r="X162" s="160">
        <v>0.0</v>
      </c>
      <c r="Y162" s="160">
        <v>0.0</v>
      </c>
      <c r="Z162" s="160">
        <v>0.0</v>
      </c>
      <c r="AA162" s="160">
        <v>0.0</v>
      </c>
      <c r="AB162" s="160">
        <v>0.0</v>
      </c>
      <c r="AC162" s="160"/>
      <c r="AD162" s="160"/>
      <c r="AE162" s="160"/>
      <c r="AF162" s="160"/>
      <c r="AG162" s="810">
        <f t="shared" si="63"/>
        <v>0</v>
      </c>
    </row>
    <row r="163">
      <c r="A163" s="828" t="s">
        <v>1271</v>
      </c>
      <c r="B163" s="345">
        <f t="shared" ref="B163:AF163" si="64">SUM(B155:B162)</f>
        <v>0</v>
      </c>
      <c r="C163" s="345">
        <f t="shared" si="64"/>
        <v>0</v>
      </c>
      <c r="D163" s="345">
        <f t="shared" si="64"/>
        <v>0</v>
      </c>
      <c r="E163" s="345">
        <f t="shared" si="64"/>
        <v>0</v>
      </c>
      <c r="F163" s="345">
        <f t="shared" si="64"/>
        <v>0</v>
      </c>
      <c r="G163" s="345">
        <f t="shared" si="64"/>
        <v>0</v>
      </c>
      <c r="H163" s="345">
        <f t="shared" si="64"/>
        <v>0</v>
      </c>
      <c r="I163" s="345">
        <f t="shared" si="64"/>
        <v>0</v>
      </c>
      <c r="J163" s="345">
        <f t="shared" si="64"/>
        <v>0</v>
      </c>
      <c r="K163" s="345">
        <f t="shared" si="64"/>
        <v>0</v>
      </c>
      <c r="L163" s="345">
        <f t="shared" si="64"/>
        <v>0</v>
      </c>
      <c r="M163" s="345">
        <f t="shared" si="64"/>
        <v>0</v>
      </c>
      <c r="N163" s="345">
        <f t="shared" si="64"/>
        <v>0</v>
      </c>
      <c r="O163" s="345">
        <f t="shared" si="64"/>
        <v>1</v>
      </c>
      <c r="P163" s="345">
        <f t="shared" si="64"/>
        <v>1</v>
      </c>
      <c r="Q163" s="345">
        <f t="shared" si="64"/>
        <v>1</v>
      </c>
      <c r="R163" s="345">
        <f t="shared" si="64"/>
        <v>0</v>
      </c>
      <c r="S163" s="345">
        <f t="shared" si="64"/>
        <v>0</v>
      </c>
      <c r="T163" s="345">
        <f t="shared" si="64"/>
        <v>0</v>
      </c>
      <c r="U163" s="345">
        <f t="shared" si="64"/>
        <v>0</v>
      </c>
      <c r="V163" s="345">
        <f t="shared" si="64"/>
        <v>0</v>
      </c>
      <c r="W163" s="345">
        <f t="shared" si="64"/>
        <v>0</v>
      </c>
      <c r="X163" s="345">
        <f t="shared" si="64"/>
        <v>0</v>
      </c>
      <c r="Y163" s="345">
        <f t="shared" si="64"/>
        <v>0</v>
      </c>
      <c r="Z163" s="345">
        <f t="shared" si="64"/>
        <v>0</v>
      </c>
      <c r="AA163" s="345">
        <f t="shared" si="64"/>
        <v>0</v>
      </c>
      <c r="AB163" s="345">
        <f t="shared" si="64"/>
        <v>0</v>
      </c>
      <c r="AC163" s="345">
        <f t="shared" si="64"/>
        <v>0</v>
      </c>
      <c r="AD163" s="345">
        <f t="shared" si="64"/>
        <v>0</v>
      </c>
      <c r="AE163" s="345">
        <f t="shared" si="64"/>
        <v>0</v>
      </c>
      <c r="AF163" s="345">
        <f t="shared" si="64"/>
        <v>0</v>
      </c>
      <c r="AG163" s="810">
        <f t="shared" si="63"/>
        <v>3</v>
      </c>
    </row>
    <row r="164">
      <c r="A164" s="166"/>
      <c r="B164" s="177"/>
      <c r="C164" s="177"/>
      <c r="D164" s="177"/>
      <c r="E164" s="177"/>
      <c r="F164" s="177"/>
      <c r="G164" s="177"/>
      <c r="H164" s="177"/>
      <c r="I164" s="177"/>
      <c r="J164" s="177"/>
      <c r="K164" s="177"/>
      <c r="L164" s="177"/>
      <c r="M164" s="154"/>
      <c r="N164" s="177"/>
      <c r="O164" s="177"/>
      <c r="P164" s="177"/>
      <c r="Q164" s="177"/>
      <c r="R164" s="177"/>
      <c r="S164" s="177"/>
      <c r="T164" s="177"/>
      <c r="U164" s="177"/>
      <c r="V164" s="177"/>
      <c r="W164" s="177"/>
      <c r="X164" s="177"/>
      <c r="Y164" s="177"/>
      <c r="Z164" s="177"/>
      <c r="AA164" s="177"/>
      <c r="AB164" s="177"/>
      <c r="AC164" s="177"/>
      <c r="AD164" s="177"/>
      <c r="AE164" s="177"/>
      <c r="AF164" s="177"/>
      <c r="AG164" s="810"/>
    </row>
    <row r="165">
      <c r="A165" s="166"/>
      <c r="B165" s="177"/>
      <c r="C165" s="177"/>
      <c r="D165" s="177"/>
      <c r="E165" s="177"/>
      <c r="F165" s="177"/>
      <c r="G165" s="177"/>
      <c r="H165" s="177"/>
      <c r="I165" s="177"/>
      <c r="J165" s="177"/>
      <c r="K165" s="177"/>
      <c r="L165" s="177"/>
      <c r="M165" s="154"/>
      <c r="N165" s="177"/>
      <c r="O165" s="177"/>
      <c r="P165" s="177"/>
      <c r="Q165" s="177"/>
      <c r="R165" s="177"/>
      <c r="S165" s="177"/>
      <c r="T165" s="177"/>
      <c r="U165" s="177"/>
      <c r="V165" s="177"/>
      <c r="W165" s="177"/>
      <c r="X165" s="177"/>
      <c r="Y165" s="177"/>
      <c r="Z165" s="177"/>
      <c r="AA165" s="177"/>
      <c r="AB165" s="177"/>
      <c r="AC165" s="177"/>
      <c r="AD165" s="177"/>
      <c r="AE165" s="177"/>
      <c r="AF165" s="177"/>
      <c r="AG165" s="810"/>
    </row>
    <row r="166">
      <c r="A166" s="215" t="s">
        <v>1289</v>
      </c>
      <c r="B166" s="160">
        <v>0.0</v>
      </c>
      <c r="C166" s="160">
        <v>0.0</v>
      </c>
      <c r="D166" s="160">
        <v>0.0</v>
      </c>
      <c r="E166" s="160">
        <v>0.0</v>
      </c>
      <c r="F166" s="160">
        <v>0.0</v>
      </c>
      <c r="G166" s="160">
        <v>2.0</v>
      </c>
      <c r="H166" s="160">
        <v>0.0</v>
      </c>
      <c r="I166" s="160">
        <v>0.0</v>
      </c>
      <c r="J166" s="160">
        <v>0.0</v>
      </c>
      <c r="K166" s="160">
        <v>0.0</v>
      </c>
      <c r="L166" s="160">
        <v>0.0</v>
      </c>
      <c r="M166" s="160">
        <v>0.0</v>
      </c>
      <c r="N166" s="160">
        <v>1.0</v>
      </c>
      <c r="O166" s="160">
        <v>0.0</v>
      </c>
      <c r="P166" s="160">
        <v>0.0</v>
      </c>
      <c r="Q166" s="160">
        <v>0.0</v>
      </c>
      <c r="R166" s="160">
        <v>0.0</v>
      </c>
      <c r="S166" s="160">
        <v>0.0</v>
      </c>
      <c r="T166" s="160">
        <v>2.0</v>
      </c>
      <c r="U166" s="160">
        <v>0.0</v>
      </c>
      <c r="V166" s="160">
        <v>1.0</v>
      </c>
      <c r="W166" s="160">
        <v>0.0</v>
      </c>
      <c r="X166" s="160">
        <v>0.0</v>
      </c>
      <c r="Y166" s="160">
        <v>1.0</v>
      </c>
      <c r="Z166" s="160">
        <v>0.0</v>
      </c>
      <c r="AA166" s="160">
        <v>0.0</v>
      </c>
      <c r="AB166" s="160">
        <v>0.0</v>
      </c>
      <c r="AC166" s="160"/>
      <c r="AD166" s="160"/>
      <c r="AE166" s="160"/>
      <c r="AF166" s="160"/>
      <c r="AG166" s="810">
        <f t="shared" ref="AG166:AG167" si="66">SUM(B166:AF166)</f>
        <v>7</v>
      </c>
    </row>
    <row r="167">
      <c r="A167" s="828" t="s">
        <v>602</v>
      </c>
      <c r="B167" s="345">
        <f t="shared" ref="B167:AF167" si="65">SUM(B166)</f>
        <v>0</v>
      </c>
      <c r="C167" s="345">
        <f t="shared" si="65"/>
        <v>0</v>
      </c>
      <c r="D167" s="345">
        <f t="shared" si="65"/>
        <v>0</v>
      </c>
      <c r="E167" s="345">
        <f t="shared" si="65"/>
        <v>0</v>
      </c>
      <c r="F167" s="345">
        <f t="shared" si="65"/>
        <v>0</v>
      </c>
      <c r="G167" s="345">
        <f t="shared" si="65"/>
        <v>2</v>
      </c>
      <c r="H167" s="345">
        <f t="shared" si="65"/>
        <v>0</v>
      </c>
      <c r="I167" s="345">
        <f t="shared" si="65"/>
        <v>0</v>
      </c>
      <c r="J167" s="345">
        <f t="shared" si="65"/>
        <v>0</v>
      </c>
      <c r="K167" s="345">
        <f t="shared" si="65"/>
        <v>0</v>
      </c>
      <c r="L167" s="345">
        <f t="shared" si="65"/>
        <v>0</v>
      </c>
      <c r="M167" s="345">
        <f t="shared" si="65"/>
        <v>0</v>
      </c>
      <c r="N167" s="345">
        <f t="shared" si="65"/>
        <v>1</v>
      </c>
      <c r="O167" s="345">
        <f t="shared" si="65"/>
        <v>0</v>
      </c>
      <c r="P167" s="345">
        <f t="shared" si="65"/>
        <v>0</v>
      </c>
      <c r="Q167" s="345">
        <f t="shared" si="65"/>
        <v>0</v>
      </c>
      <c r="R167" s="345">
        <f t="shared" si="65"/>
        <v>0</v>
      </c>
      <c r="S167" s="345">
        <f t="shared" si="65"/>
        <v>0</v>
      </c>
      <c r="T167" s="345">
        <f t="shared" si="65"/>
        <v>2</v>
      </c>
      <c r="U167" s="345">
        <f t="shared" si="65"/>
        <v>0</v>
      </c>
      <c r="V167" s="345">
        <f t="shared" si="65"/>
        <v>1</v>
      </c>
      <c r="W167" s="345">
        <f t="shared" si="65"/>
        <v>0</v>
      </c>
      <c r="X167" s="345">
        <f t="shared" si="65"/>
        <v>0</v>
      </c>
      <c r="Y167" s="345">
        <f t="shared" si="65"/>
        <v>1</v>
      </c>
      <c r="Z167" s="345">
        <f t="shared" si="65"/>
        <v>0</v>
      </c>
      <c r="AA167" s="345">
        <f t="shared" si="65"/>
        <v>0</v>
      </c>
      <c r="AB167" s="345">
        <f t="shared" si="65"/>
        <v>0</v>
      </c>
      <c r="AC167" s="345">
        <f t="shared" si="65"/>
        <v>0</v>
      </c>
      <c r="AD167" s="345">
        <f t="shared" si="65"/>
        <v>0</v>
      </c>
      <c r="AE167" s="345">
        <f t="shared" si="65"/>
        <v>0</v>
      </c>
      <c r="AF167" s="345">
        <f t="shared" si="65"/>
        <v>0</v>
      </c>
      <c r="AG167" s="810">
        <f t="shared" si="66"/>
        <v>7</v>
      </c>
    </row>
    <row r="168">
      <c r="A168" s="166"/>
      <c r="B168" s="233"/>
      <c r="C168" s="177"/>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c r="AA168" s="177"/>
      <c r="AB168" s="177"/>
      <c r="AC168" s="177"/>
      <c r="AD168" s="177"/>
      <c r="AE168" s="177"/>
      <c r="AF168" s="177"/>
      <c r="AG168" s="826"/>
    </row>
    <row r="169">
      <c r="A169" s="138" t="s">
        <v>1290</v>
      </c>
      <c r="B169" s="127"/>
      <c r="C169" s="127"/>
      <c r="D169" s="127"/>
      <c r="E169" s="127"/>
      <c r="F169" s="127"/>
      <c r="G169" s="197"/>
      <c r="H169" s="127"/>
      <c r="I169" s="83"/>
      <c r="J169" s="83"/>
      <c r="K169" s="83"/>
      <c r="L169" s="83"/>
      <c r="M169" s="83"/>
      <c r="N169" s="83"/>
      <c r="O169" s="83"/>
      <c r="P169" s="83"/>
      <c r="Q169" s="83"/>
      <c r="R169" s="83"/>
      <c r="S169" s="83"/>
      <c r="T169" s="83"/>
      <c r="U169" s="83"/>
      <c r="V169" s="83"/>
      <c r="W169" s="83"/>
      <c r="X169" s="83"/>
      <c r="Y169" s="83"/>
      <c r="Z169" s="83"/>
      <c r="AA169" s="83"/>
      <c r="AB169" s="83"/>
      <c r="AC169" s="83"/>
      <c r="AD169" s="83"/>
      <c r="AE169" s="83"/>
      <c r="AF169" s="83"/>
      <c r="AG169" s="826"/>
    </row>
    <row r="170">
      <c r="A170" s="215" t="s">
        <v>1291</v>
      </c>
      <c r="B170" s="197">
        <v>0.0</v>
      </c>
      <c r="C170" s="197">
        <v>0.0</v>
      </c>
      <c r="D170" s="197">
        <v>0.0</v>
      </c>
      <c r="E170" s="197">
        <v>0.0</v>
      </c>
      <c r="F170" s="197">
        <v>0.0</v>
      </c>
      <c r="G170" s="197">
        <v>299.99</v>
      </c>
      <c r="H170" s="197">
        <v>0.0</v>
      </c>
      <c r="I170" s="197">
        <v>0.0</v>
      </c>
      <c r="J170" s="197">
        <v>0.0</v>
      </c>
      <c r="K170" s="197">
        <v>0.0</v>
      </c>
      <c r="L170" s="197">
        <v>0.0</v>
      </c>
      <c r="M170" s="197">
        <v>0.0</v>
      </c>
      <c r="N170" s="197">
        <v>0.0</v>
      </c>
      <c r="O170" s="197">
        <v>0.0</v>
      </c>
      <c r="P170" s="197">
        <v>0.0</v>
      </c>
      <c r="Q170" s="197">
        <v>0.0</v>
      </c>
      <c r="R170" s="197">
        <v>0.0</v>
      </c>
      <c r="S170" s="197">
        <v>0.0</v>
      </c>
      <c r="T170" s="197">
        <v>0.0</v>
      </c>
      <c r="U170" s="197">
        <v>0.0</v>
      </c>
      <c r="V170" s="197">
        <v>306.34</v>
      </c>
      <c r="W170" s="197">
        <v>0.0</v>
      </c>
      <c r="X170" s="197">
        <v>0.0</v>
      </c>
      <c r="Y170" s="197">
        <v>0.0</v>
      </c>
      <c r="Z170" s="197">
        <v>0.0</v>
      </c>
      <c r="AA170" s="197">
        <v>0.0</v>
      </c>
      <c r="AB170" s="197">
        <v>0.0</v>
      </c>
      <c r="AC170" s="197"/>
      <c r="AD170" s="197"/>
      <c r="AE170" s="197"/>
      <c r="AF170" s="197"/>
      <c r="AG170" s="829">
        <f t="shared" ref="AG170:AG173" si="67">SUM(B170:AF170)</f>
        <v>606.33</v>
      </c>
    </row>
    <row r="171">
      <c r="A171" s="215" t="s">
        <v>1292</v>
      </c>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829">
        <f t="shared" si="67"/>
        <v>0</v>
      </c>
    </row>
    <row r="172">
      <c r="A172" s="215" t="s">
        <v>1293</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829">
        <f t="shared" si="67"/>
        <v>0</v>
      </c>
    </row>
    <row r="173">
      <c r="A173" s="365" t="s">
        <v>668</v>
      </c>
      <c r="B173" s="353">
        <f t="shared" ref="B173:AF173" si="68">SUM(B170:B172)</f>
        <v>0</v>
      </c>
      <c r="C173" s="353">
        <f t="shared" si="68"/>
        <v>0</v>
      </c>
      <c r="D173" s="353">
        <f t="shared" si="68"/>
        <v>0</v>
      </c>
      <c r="E173" s="353">
        <f t="shared" si="68"/>
        <v>0</v>
      </c>
      <c r="F173" s="353">
        <f t="shared" si="68"/>
        <v>0</v>
      </c>
      <c r="G173" s="353">
        <f t="shared" si="68"/>
        <v>299.99</v>
      </c>
      <c r="H173" s="353">
        <f t="shared" si="68"/>
        <v>0</v>
      </c>
      <c r="I173" s="353">
        <f t="shared" si="68"/>
        <v>0</v>
      </c>
      <c r="J173" s="353">
        <f t="shared" si="68"/>
        <v>0</v>
      </c>
      <c r="K173" s="353">
        <f t="shared" si="68"/>
        <v>0</v>
      </c>
      <c r="L173" s="353">
        <f t="shared" si="68"/>
        <v>0</v>
      </c>
      <c r="M173" s="353">
        <f t="shared" si="68"/>
        <v>0</v>
      </c>
      <c r="N173" s="353">
        <f t="shared" si="68"/>
        <v>0</v>
      </c>
      <c r="O173" s="353">
        <f t="shared" si="68"/>
        <v>0</v>
      </c>
      <c r="P173" s="353">
        <f t="shared" si="68"/>
        <v>0</v>
      </c>
      <c r="Q173" s="353">
        <f t="shared" si="68"/>
        <v>0</v>
      </c>
      <c r="R173" s="353">
        <f t="shared" si="68"/>
        <v>0</v>
      </c>
      <c r="S173" s="353">
        <f t="shared" si="68"/>
        <v>0</v>
      </c>
      <c r="T173" s="353">
        <f t="shared" si="68"/>
        <v>0</v>
      </c>
      <c r="U173" s="353">
        <f t="shared" si="68"/>
        <v>0</v>
      </c>
      <c r="V173" s="353">
        <f t="shared" si="68"/>
        <v>306.34</v>
      </c>
      <c r="W173" s="353">
        <f t="shared" si="68"/>
        <v>0</v>
      </c>
      <c r="X173" s="353">
        <f t="shared" si="68"/>
        <v>0</v>
      </c>
      <c r="Y173" s="353">
        <f t="shared" si="68"/>
        <v>0</v>
      </c>
      <c r="Z173" s="353">
        <f t="shared" si="68"/>
        <v>0</v>
      </c>
      <c r="AA173" s="353">
        <f t="shared" si="68"/>
        <v>0</v>
      </c>
      <c r="AB173" s="353">
        <f t="shared" si="68"/>
        <v>0</v>
      </c>
      <c r="AC173" s="353">
        <f t="shared" si="68"/>
        <v>0</v>
      </c>
      <c r="AD173" s="353">
        <f t="shared" si="68"/>
        <v>0</v>
      </c>
      <c r="AE173" s="353">
        <f t="shared" si="68"/>
        <v>0</v>
      </c>
      <c r="AF173" s="353">
        <f t="shared" si="68"/>
        <v>0</v>
      </c>
      <c r="AG173" s="829">
        <f t="shared" si="67"/>
        <v>606.33</v>
      </c>
    </row>
    <row r="174">
      <c r="A174" s="166"/>
      <c r="B174" s="177"/>
      <c r="C174" s="177"/>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c r="AA174" s="177"/>
      <c r="AB174" s="177"/>
      <c r="AC174" s="177"/>
      <c r="AD174" s="177"/>
      <c r="AE174" s="177"/>
      <c r="AF174" s="177"/>
      <c r="AG174" s="829"/>
    </row>
    <row r="175">
      <c r="A175" s="138" t="s">
        <v>1294</v>
      </c>
      <c r="B175" s="177"/>
      <c r="C175" s="177"/>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c r="AA175" s="177"/>
      <c r="AB175" s="177"/>
      <c r="AC175" s="177"/>
      <c r="AD175" s="177"/>
      <c r="AE175" s="177"/>
      <c r="AF175" s="177"/>
      <c r="AG175" s="826"/>
    </row>
    <row r="176">
      <c r="A176" s="215" t="s">
        <v>1291</v>
      </c>
      <c r="B176" s="197">
        <v>0.0</v>
      </c>
      <c r="C176" s="197">
        <v>0.0</v>
      </c>
      <c r="D176" s="197">
        <v>0.0</v>
      </c>
      <c r="E176" s="234">
        <v>0.0</v>
      </c>
      <c r="F176" s="234">
        <v>0.0</v>
      </c>
      <c r="G176" s="234">
        <v>441.1</v>
      </c>
      <c r="H176" s="234">
        <v>0.0</v>
      </c>
      <c r="I176" s="234">
        <v>0.0</v>
      </c>
      <c r="J176" s="234">
        <v>0.0</v>
      </c>
      <c r="K176" s="234">
        <v>0.0</v>
      </c>
      <c r="L176" s="197">
        <v>0.0</v>
      </c>
      <c r="M176" s="234">
        <v>0.0</v>
      </c>
      <c r="N176" s="234">
        <v>56.0</v>
      </c>
      <c r="O176" s="234">
        <v>0.0</v>
      </c>
      <c r="P176" s="234">
        <v>0.0</v>
      </c>
      <c r="Q176" s="234">
        <v>0.0</v>
      </c>
      <c r="R176" s="234">
        <v>0.0</v>
      </c>
      <c r="S176" s="234">
        <v>0.0</v>
      </c>
      <c r="T176" s="234">
        <v>326.0</v>
      </c>
      <c r="U176" s="234">
        <v>0.0</v>
      </c>
      <c r="V176" s="234">
        <v>0.0</v>
      </c>
      <c r="W176" s="234">
        <v>0.0</v>
      </c>
      <c r="X176" s="197">
        <v>0.0</v>
      </c>
      <c r="Y176" s="234">
        <v>338.54</v>
      </c>
      <c r="Z176" s="234">
        <v>0.0</v>
      </c>
      <c r="AA176" s="234">
        <v>0.0</v>
      </c>
      <c r="AB176" s="234">
        <v>0.0</v>
      </c>
      <c r="AC176" s="234"/>
      <c r="AD176" s="197"/>
      <c r="AE176" s="234"/>
      <c r="AF176" s="234"/>
      <c r="AG176" s="829">
        <f t="shared" ref="AG176:AG179" si="69">SUM(B176:AF176)</f>
        <v>1161.64</v>
      </c>
    </row>
    <row r="177">
      <c r="A177" s="215" t="s">
        <v>1292</v>
      </c>
      <c r="B177" s="97"/>
      <c r="C177" s="97"/>
      <c r="D177" s="97"/>
      <c r="E177" s="97"/>
      <c r="F177" s="97"/>
      <c r="G177" s="331"/>
      <c r="H177" s="331"/>
      <c r="I177" s="331"/>
      <c r="J177" s="331"/>
      <c r="K177" s="97"/>
      <c r="L177" s="331"/>
      <c r="M177" s="331"/>
      <c r="N177" s="331"/>
      <c r="O177" s="331"/>
      <c r="P177" s="331"/>
      <c r="Q177" s="331"/>
      <c r="R177" s="331"/>
      <c r="S177" s="331"/>
      <c r="T177" s="331"/>
      <c r="U177" s="331"/>
      <c r="V177" s="331"/>
      <c r="W177" s="331"/>
      <c r="X177" s="331"/>
      <c r="Y177" s="331"/>
      <c r="Z177" s="331"/>
      <c r="AA177" s="331"/>
      <c r="AB177" s="331"/>
      <c r="AC177" s="331"/>
      <c r="AD177" s="331"/>
      <c r="AE177" s="331"/>
      <c r="AF177" s="331"/>
      <c r="AG177" s="829">
        <f t="shared" si="69"/>
        <v>0</v>
      </c>
    </row>
    <row r="178">
      <c r="A178" s="215" t="s">
        <v>1293</v>
      </c>
      <c r="B178" s="97"/>
      <c r="C178" s="97"/>
      <c r="D178" s="97"/>
      <c r="E178" s="97"/>
      <c r="F178" s="97"/>
      <c r="G178" s="331"/>
      <c r="H178" s="331"/>
      <c r="I178" s="331"/>
      <c r="J178" s="331"/>
      <c r="K178" s="97"/>
      <c r="L178" s="331"/>
      <c r="M178" s="331"/>
      <c r="N178" s="331"/>
      <c r="O178" s="331"/>
      <c r="P178" s="331"/>
      <c r="Q178" s="331"/>
      <c r="R178" s="331"/>
      <c r="S178" s="331"/>
      <c r="T178" s="331"/>
      <c r="U178" s="331"/>
      <c r="V178" s="331"/>
      <c r="W178" s="331"/>
      <c r="X178" s="331"/>
      <c r="Y178" s="331"/>
      <c r="Z178" s="331"/>
      <c r="AA178" s="331"/>
      <c r="AB178" s="331"/>
      <c r="AC178" s="331"/>
      <c r="AD178" s="331"/>
      <c r="AE178" s="331"/>
      <c r="AF178" s="331"/>
      <c r="AG178" s="829">
        <f t="shared" si="69"/>
        <v>0</v>
      </c>
    </row>
    <row r="179">
      <c r="A179" s="365" t="s">
        <v>668</v>
      </c>
      <c r="B179" s="358">
        <f t="shared" ref="B179:AF179" si="70">sum(B176:B178)</f>
        <v>0</v>
      </c>
      <c r="C179" s="358">
        <f t="shared" si="70"/>
        <v>0</v>
      </c>
      <c r="D179" s="358">
        <f t="shared" si="70"/>
        <v>0</v>
      </c>
      <c r="E179" s="358">
        <f t="shared" si="70"/>
        <v>0</v>
      </c>
      <c r="F179" s="358">
        <f t="shared" si="70"/>
        <v>0</v>
      </c>
      <c r="G179" s="358">
        <f t="shared" si="70"/>
        <v>441.1</v>
      </c>
      <c r="H179" s="358">
        <f t="shared" si="70"/>
        <v>0</v>
      </c>
      <c r="I179" s="358">
        <f t="shared" si="70"/>
        <v>0</v>
      </c>
      <c r="J179" s="358">
        <f t="shared" si="70"/>
        <v>0</v>
      </c>
      <c r="K179" s="358">
        <f t="shared" si="70"/>
        <v>0</v>
      </c>
      <c r="L179" s="358">
        <f t="shared" si="70"/>
        <v>0</v>
      </c>
      <c r="M179" s="358">
        <f t="shared" si="70"/>
        <v>0</v>
      </c>
      <c r="N179" s="358">
        <f t="shared" si="70"/>
        <v>56</v>
      </c>
      <c r="O179" s="358">
        <f t="shared" si="70"/>
        <v>0</v>
      </c>
      <c r="P179" s="358">
        <f t="shared" si="70"/>
        <v>0</v>
      </c>
      <c r="Q179" s="358">
        <f t="shared" si="70"/>
        <v>0</v>
      </c>
      <c r="R179" s="358">
        <f t="shared" si="70"/>
        <v>0</v>
      </c>
      <c r="S179" s="358">
        <f t="shared" si="70"/>
        <v>0</v>
      </c>
      <c r="T179" s="358">
        <f t="shared" si="70"/>
        <v>326</v>
      </c>
      <c r="U179" s="358">
        <f t="shared" si="70"/>
        <v>0</v>
      </c>
      <c r="V179" s="358">
        <f t="shared" si="70"/>
        <v>0</v>
      </c>
      <c r="W179" s="358">
        <f t="shared" si="70"/>
        <v>0</v>
      </c>
      <c r="X179" s="358">
        <f t="shared" si="70"/>
        <v>0</v>
      </c>
      <c r="Y179" s="358">
        <f t="shared" si="70"/>
        <v>338.54</v>
      </c>
      <c r="Z179" s="358">
        <f t="shared" si="70"/>
        <v>0</v>
      </c>
      <c r="AA179" s="358">
        <f t="shared" si="70"/>
        <v>0</v>
      </c>
      <c r="AB179" s="358">
        <f t="shared" si="70"/>
        <v>0</v>
      </c>
      <c r="AC179" s="358">
        <f t="shared" si="70"/>
        <v>0</v>
      </c>
      <c r="AD179" s="358">
        <f t="shared" si="70"/>
        <v>0</v>
      </c>
      <c r="AE179" s="358">
        <f t="shared" si="70"/>
        <v>0</v>
      </c>
      <c r="AF179" s="358">
        <f t="shared" si="70"/>
        <v>0</v>
      </c>
      <c r="AG179" s="829">
        <f t="shared" si="69"/>
        <v>1161.64</v>
      </c>
    </row>
    <row r="180">
      <c r="A180" s="166"/>
      <c r="B180" s="236"/>
      <c r="C180" s="236"/>
      <c r="D180" s="236"/>
      <c r="E180" s="236"/>
      <c r="F180" s="236"/>
      <c r="G180" s="236"/>
      <c r="H180" s="236"/>
      <c r="I180" s="236"/>
      <c r="J180" s="236"/>
      <c r="K180" s="236"/>
      <c r="L180" s="236"/>
      <c r="M180" s="236"/>
      <c r="N180" s="236"/>
      <c r="O180" s="236"/>
      <c r="P180" s="236"/>
      <c r="Q180" s="236"/>
      <c r="R180" s="236"/>
      <c r="S180" s="236"/>
      <c r="T180" s="236"/>
      <c r="U180" s="236"/>
      <c r="V180" s="236"/>
      <c r="W180" s="236"/>
      <c r="X180" s="236"/>
      <c r="Y180" s="236"/>
      <c r="Z180" s="236"/>
      <c r="AA180" s="236"/>
      <c r="AB180" s="236"/>
      <c r="AC180" s="236"/>
      <c r="AD180" s="236"/>
      <c r="AE180" s="236"/>
      <c r="AF180" s="236"/>
      <c r="AG180" s="826"/>
    </row>
    <row r="181">
      <c r="A181" s="166"/>
      <c r="B181" s="236"/>
      <c r="C181" s="236"/>
      <c r="D181" s="236"/>
      <c r="E181" s="236"/>
      <c r="F181" s="236"/>
      <c r="G181" s="236"/>
      <c r="H181" s="236"/>
      <c r="I181" s="236"/>
      <c r="J181" s="236"/>
      <c r="K181" s="236"/>
      <c r="L181" s="236"/>
      <c r="M181" s="236"/>
      <c r="N181" s="236"/>
      <c r="O181" s="236"/>
      <c r="P181" s="236"/>
      <c r="Q181" s="236"/>
      <c r="R181" s="236"/>
      <c r="S181" s="236"/>
      <c r="T181" s="236"/>
      <c r="U181" s="236"/>
      <c r="V181" s="236"/>
      <c r="W181" s="236"/>
      <c r="X181" s="236"/>
      <c r="Y181" s="236"/>
      <c r="Z181" s="236"/>
      <c r="AA181" s="236"/>
      <c r="AB181" s="236"/>
      <c r="AC181" s="236"/>
      <c r="AD181" s="236"/>
      <c r="AE181" s="236"/>
      <c r="AF181" s="236"/>
      <c r="AG181" s="826"/>
    </row>
    <row r="182">
      <c r="A182" s="121" t="s">
        <v>1295</v>
      </c>
      <c r="B182" s="83"/>
      <c r="C182" s="83"/>
      <c r="D182" s="83"/>
      <c r="E182" s="83"/>
      <c r="F182" s="83"/>
      <c r="G182" s="83"/>
      <c r="H182" s="83"/>
      <c r="I182" s="83"/>
      <c r="J182" s="83"/>
      <c r="K182" s="83"/>
      <c r="L182" s="83"/>
      <c r="M182" s="83"/>
      <c r="N182" s="83"/>
      <c r="O182" s="83"/>
      <c r="P182" s="83"/>
      <c r="Q182" s="83"/>
      <c r="R182" s="83"/>
      <c r="S182" s="83"/>
      <c r="T182" s="83"/>
      <c r="U182" s="83"/>
      <c r="V182" s="83"/>
      <c r="W182" s="83"/>
      <c r="X182" s="83"/>
      <c r="Y182" s="83"/>
      <c r="Z182" s="83"/>
      <c r="AA182" s="83"/>
      <c r="AB182" s="83"/>
      <c r="AC182" s="83"/>
      <c r="AD182" s="83"/>
      <c r="AE182" s="83"/>
      <c r="AF182" s="83"/>
      <c r="AG182" s="826"/>
    </row>
    <row r="183">
      <c r="A183" s="86" t="s">
        <v>390</v>
      </c>
      <c r="B183" s="134">
        <f>Summary!B85</f>
        <v>127.3637544</v>
      </c>
      <c r="C183" s="134">
        <f>Summary!C85</f>
        <v>63.6818772</v>
      </c>
      <c r="D183" s="134">
        <f>Summary!D85</f>
        <v>191.0456316</v>
      </c>
      <c r="E183" s="134">
        <f>Summary!E85</f>
        <v>63.6818772</v>
      </c>
      <c r="F183" s="134">
        <f>Summary!F85</f>
        <v>0</v>
      </c>
      <c r="G183" s="134">
        <f>Summary!G85</f>
        <v>0</v>
      </c>
      <c r="H183" s="134">
        <f>Summary!H85</f>
        <v>191.0456316</v>
      </c>
      <c r="I183" s="134">
        <f>Summary!I85</f>
        <v>191.0456316</v>
      </c>
      <c r="J183" s="134">
        <f>Summary!J85</f>
        <v>127.3637544</v>
      </c>
      <c r="K183" s="134">
        <f>Summary!K85</f>
        <v>63.6818772</v>
      </c>
      <c r="L183" s="134">
        <f>Summary!L85</f>
        <v>63.6818772</v>
      </c>
      <c r="M183" s="134">
        <f>Summary!M85</f>
        <v>63.6818772</v>
      </c>
      <c r="N183" s="134">
        <f>Summary!N85</f>
        <v>0</v>
      </c>
      <c r="O183" s="134">
        <f>Summary!O85</f>
        <v>0</v>
      </c>
      <c r="P183" s="134">
        <f>Summary!P85</f>
        <v>0</v>
      </c>
      <c r="Q183" s="134">
        <f>Summary!Q85</f>
        <v>63.6818772</v>
      </c>
      <c r="R183" s="134">
        <f>Summary!R85</f>
        <v>0</v>
      </c>
      <c r="S183" s="134">
        <f>Summary!S85</f>
        <v>0</v>
      </c>
      <c r="T183" s="134">
        <f>Summary!T85</f>
        <v>127.3637544</v>
      </c>
      <c r="U183" s="134">
        <f>Summary!U85</f>
        <v>0</v>
      </c>
      <c r="V183" s="134">
        <f>Summary!V85</f>
        <v>0</v>
      </c>
      <c r="W183" s="134">
        <f>Summary!W85</f>
        <v>0</v>
      </c>
      <c r="X183" s="134">
        <f>Summary!X85</f>
        <v>63.6818772</v>
      </c>
      <c r="Y183" s="134">
        <f>Summary!Y85</f>
        <v>0</v>
      </c>
      <c r="Z183" s="134">
        <f>Summary!Z85</f>
        <v>0</v>
      </c>
      <c r="AA183" s="134">
        <f>Summary!AA85</f>
        <v>0</v>
      </c>
      <c r="AB183" s="134">
        <f>Summary!AB85</f>
        <v>191.0456316</v>
      </c>
      <c r="AC183" s="134">
        <f>Summary!AC85</f>
        <v>63.6818772</v>
      </c>
      <c r="AD183" s="134">
        <f>Summary!AD85</f>
        <v>0</v>
      </c>
      <c r="AE183" s="134" t="str">
        <f t="shared" ref="AE183:AF183" si="71">#REF!</f>
        <v>#REF!</v>
      </c>
      <c r="AF183" s="134" t="str">
        <f t="shared" si="71"/>
        <v>#REF!</v>
      </c>
      <c r="AG183" s="817" t="str">
        <f t="shared" ref="AG183:AG201" si="72">SUM(B183:AF183)</f>
        <v>#REF!</v>
      </c>
    </row>
    <row r="184">
      <c r="A184" s="367" t="s">
        <v>1296</v>
      </c>
      <c r="B184" s="134">
        <f>(B93+B94)*'Data - P&amp;L'!$C$3</f>
        <v>0</v>
      </c>
      <c r="C184" s="134">
        <f>(C93+C94)*'Data - P&amp;L'!$C$3</f>
        <v>0</v>
      </c>
      <c r="D184" s="134">
        <f>(D93+D94)*'Data - P&amp;L'!$C$3</f>
        <v>0</v>
      </c>
      <c r="E184" s="134">
        <f>(E93+E94)*'Data - P&amp;L'!$C$3</f>
        <v>0</v>
      </c>
      <c r="F184" s="134">
        <f>(F93+F94)*'Data - P&amp;L'!$C$3</f>
        <v>0</v>
      </c>
      <c r="G184" s="134">
        <f>(G93+G94)*'Data - P&amp;L'!$C$3</f>
        <v>-173.8</v>
      </c>
      <c r="H184" s="134">
        <f>(H93+H94)*'Data - P&amp;L'!$C$3</f>
        <v>173.8</v>
      </c>
      <c r="I184" s="134">
        <f>(I93+I94)*'Data - P&amp;L'!$C$3</f>
        <v>173.8</v>
      </c>
      <c r="J184" s="134">
        <f>(J93+J94)*'Data - P&amp;L'!$C$3</f>
        <v>86.9</v>
      </c>
      <c r="K184" s="134">
        <f>(K93+K94)*'Data - P&amp;L'!$C$3</f>
        <v>173.8</v>
      </c>
      <c r="L184" s="134">
        <f>(L93+L94)*'Data - P&amp;L'!$C$3</f>
        <v>86.9</v>
      </c>
      <c r="M184" s="134">
        <f>(M93+M94)*'Data - P&amp;L'!$C$3</f>
        <v>434.5</v>
      </c>
      <c r="N184" s="134">
        <f>(N93+N94)*'Data - P&amp;L'!$C$3</f>
        <v>434.5</v>
      </c>
      <c r="O184" s="134">
        <f>(O93+O94)*'Data - P&amp;L'!$C$3</f>
        <v>0</v>
      </c>
      <c r="P184" s="134">
        <f>(P93+P94)*'Data - P&amp;L'!$C$3</f>
        <v>0</v>
      </c>
      <c r="Q184" s="134">
        <f>(Q93+Q94)*'Data - P&amp;L'!$C$3</f>
        <v>0</v>
      </c>
      <c r="R184" s="134">
        <f>(R93+R94)*'Data - P&amp;L'!$C$3</f>
        <v>0</v>
      </c>
      <c r="S184" s="134">
        <f>(S93+S94)*'Data - P&amp;L'!$C$3</f>
        <v>0</v>
      </c>
      <c r="T184" s="134">
        <f>(T93+T94)*'Data - P&amp;L'!$C$3</f>
        <v>-86.9</v>
      </c>
      <c r="U184" s="134">
        <f>(U93+U94)*'Data - P&amp;L'!$C$3</f>
        <v>0</v>
      </c>
      <c r="V184" s="134">
        <f>(V93+V94)*'Data - P&amp;L'!$C$3</f>
        <v>0</v>
      </c>
      <c r="W184" s="134">
        <f>(W93+W94)*'Data - P&amp;L'!$C$3</f>
        <v>0</v>
      </c>
      <c r="X184" s="134">
        <f>(X93+X94)*'Data - P&amp;L'!$C$3</f>
        <v>0</v>
      </c>
      <c r="Y184" s="134">
        <f>(Y93+Y94)*'Data - P&amp;L'!$C$3</f>
        <v>0</v>
      </c>
      <c r="Z184" s="134">
        <f>(Z93+Z94)*'Data - P&amp;L'!$C$3</f>
        <v>0</v>
      </c>
      <c r="AA184" s="134">
        <f>(AA93+AA94)*'Data - P&amp;L'!$C$3</f>
        <v>0</v>
      </c>
      <c r="AB184" s="134">
        <f>(AB93+AB94)*'Data - P&amp;L'!$C$3</f>
        <v>0</v>
      </c>
      <c r="AC184" s="134">
        <f>(AC93+AC94)*'Data - P&amp;L'!$C$3</f>
        <v>0</v>
      </c>
      <c r="AD184" s="134">
        <f>(AD93+AD94)*'Data - P&amp;L'!$C$3</f>
        <v>0</v>
      </c>
      <c r="AE184" s="134">
        <f>(AE93+AE94)*'Data - P&amp;L'!$C$3</f>
        <v>0</v>
      </c>
      <c r="AF184" s="134">
        <f>(AF93+AF94)*'Data - P&amp;L'!$C$3</f>
        <v>0</v>
      </c>
      <c r="AG184" s="817">
        <f t="shared" si="72"/>
        <v>1303.5</v>
      </c>
    </row>
    <row r="185">
      <c r="A185" s="830" t="s">
        <v>1297</v>
      </c>
      <c r="B185" s="134">
        <f>(B184)*'Data - P&amp;L'!$L$5</f>
        <v>0</v>
      </c>
      <c r="C185" s="134">
        <f>(C184)*'Data - P&amp;L'!$L$5</f>
        <v>0</v>
      </c>
      <c r="D185" s="134">
        <f>(D184)*'Data - P&amp;L'!$L$5</f>
        <v>0</v>
      </c>
      <c r="E185" s="134">
        <f>(E184)*'Data - P&amp;L'!$L$5</f>
        <v>0</v>
      </c>
      <c r="F185" s="134">
        <f>(F184)*'Data - P&amp;L'!$L$5</f>
        <v>0</v>
      </c>
      <c r="G185" s="134">
        <f>(G184)*'Data - P&amp;L'!$L$5</f>
        <v>-13.035</v>
      </c>
      <c r="H185" s="134">
        <f>(H184)*'Data - P&amp;L'!$L$5</f>
        <v>13.035</v>
      </c>
      <c r="I185" s="134">
        <f>(I184)*'Data - P&amp;L'!$L$5</f>
        <v>13.035</v>
      </c>
      <c r="J185" s="134">
        <f>(J184)*'Data - P&amp;L'!$L$5</f>
        <v>6.5175</v>
      </c>
      <c r="K185" s="134">
        <f>(K184)*'Data - P&amp;L'!$L$5</f>
        <v>13.035</v>
      </c>
      <c r="L185" s="134">
        <f>(L184)*'Data - P&amp;L'!$L$5</f>
        <v>6.5175</v>
      </c>
      <c r="M185" s="134">
        <f>(M184)*'Data - P&amp;L'!$L$5</f>
        <v>32.5875</v>
      </c>
      <c r="N185" s="134">
        <f>(N184)*'Data - P&amp;L'!$L$5</f>
        <v>32.5875</v>
      </c>
      <c r="O185" s="134">
        <f>(O184)*'Data - P&amp;L'!$L$5</f>
        <v>0</v>
      </c>
      <c r="P185" s="134">
        <f>(P184)*'Data - P&amp;L'!$L$5</f>
        <v>0</v>
      </c>
      <c r="Q185" s="134">
        <f>(Q184)*'Data - P&amp;L'!$L$5</f>
        <v>0</v>
      </c>
      <c r="R185" s="134">
        <f>(R184)*'Data - P&amp;L'!$L$5</f>
        <v>0</v>
      </c>
      <c r="S185" s="134">
        <f>(S184)*'Data - P&amp;L'!$L$5</f>
        <v>0</v>
      </c>
      <c r="T185" s="134">
        <f>(T184)*'Data - P&amp;L'!$L$5</f>
        <v>-6.5175</v>
      </c>
      <c r="U185" s="134">
        <f>(U184)*'Data - P&amp;L'!$L$5</f>
        <v>0</v>
      </c>
      <c r="V185" s="134">
        <f>(V184)*'Data - P&amp;L'!$L$5</f>
        <v>0</v>
      </c>
      <c r="W185" s="134">
        <f>(W184)*'Data - P&amp;L'!$L$5</f>
        <v>0</v>
      </c>
      <c r="X185" s="134">
        <f>(X184)*'Data - P&amp;L'!$L$5</f>
        <v>0</v>
      </c>
      <c r="Y185" s="134">
        <f>(Y184)*'Data - P&amp;L'!$L$5</f>
        <v>0</v>
      </c>
      <c r="Z185" s="134">
        <f>(Z184)*'Data - P&amp;L'!$L$5</f>
        <v>0</v>
      </c>
      <c r="AA185" s="134">
        <f>(AA184)*'Data - P&amp;L'!$L$5</f>
        <v>0</v>
      </c>
      <c r="AB185" s="134">
        <f>(AB184)*'Data - P&amp;L'!$L$5</f>
        <v>0</v>
      </c>
      <c r="AC185" s="134">
        <f>(AC184)*'Data - P&amp;L'!$L$5</f>
        <v>0</v>
      </c>
      <c r="AD185" s="134">
        <f>(AD184)*'Data - P&amp;L'!$L$5</f>
        <v>0</v>
      </c>
      <c r="AE185" s="134">
        <f>(AE184)*'Data - P&amp;L'!$L$5</f>
        <v>0</v>
      </c>
      <c r="AF185" s="134">
        <f>(AF184)*'Data - P&amp;L'!$L$5</f>
        <v>0</v>
      </c>
      <c r="AG185" s="817">
        <f t="shared" si="72"/>
        <v>97.7625</v>
      </c>
    </row>
    <row r="186">
      <c r="A186" s="367" t="s">
        <v>1298</v>
      </c>
      <c r="B186" s="134">
        <f>(B95+B96)*'Data - P&amp;L'!$C$4</f>
        <v>585.66</v>
      </c>
      <c r="C186" s="134">
        <f>(C95+C96)*'Data - P&amp;L'!$C$4</f>
        <v>97.61</v>
      </c>
      <c r="D186" s="134">
        <f>(D95+D96)*'Data - P&amp;L'!$C$4</f>
        <v>195.22</v>
      </c>
      <c r="E186" s="134">
        <f>(E95+E96)*'Data - P&amp;L'!$C$4</f>
        <v>97.61</v>
      </c>
      <c r="F186" s="134">
        <f>(F95+F96)*'Data - P&amp;L'!$C$4</f>
        <v>97.61</v>
      </c>
      <c r="G186" s="134">
        <f>(G95+G96)*'Data - P&amp;L'!$C$4</f>
        <v>-97.61</v>
      </c>
      <c r="H186" s="134">
        <f>(H95+H96)*'Data - P&amp;L'!$C$4</f>
        <v>292.83</v>
      </c>
      <c r="I186" s="134">
        <f>(I95+I96)*'Data - P&amp;L'!$C$4</f>
        <v>1659.37</v>
      </c>
      <c r="J186" s="134">
        <f>(J95+J96)*'Data - P&amp;L'!$C$4</f>
        <v>195.22</v>
      </c>
      <c r="K186" s="134">
        <f>(K95+K96)*'Data - P&amp;L'!$C$4</f>
        <v>195.22</v>
      </c>
      <c r="L186" s="134">
        <f>(L95+L96)*'Data - P&amp;L'!$C$4</f>
        <v>390.44</v>
      </c>
      <c r="M186" s="134">
        <f>(M95+M96)*'Data - P&amp;L'!$C$4</f>
        <v>8492.07</v>
      </c>
      <c r="N186" s="134">
        <f>(N95+N96)*'Data - P&amp;L'!$C$4</f>
        <v>2342.64</v>
      </c>
      <c r="O186" s="134">
        <f>(O95+O96)*'Data - P&amp;L'!$C$4</f>
        <v>0</v>
      </c>
      <c r="P186" s="134">
        <f>(P95+P96)*'Data - P&amp;L'!$C$4</f>
        <v>0</v>
      </c>
      <c r="Q186" s="134">
        <f>(Q95+Q96)*'Data - P&amp;L'!$C$4</f>
        <v>0</v>
      </c>
      <c r="R186" s="134">
        <f>(R95+R96)*'Data - P&amp;L'!$C$4</f>
        <v>292.83</v>
      </c>
      <c r="S186" s="134">
        <f>(S95+S96)*'Data - P&amp;L'!$C$4</f>
        <v>195.22</v>
      </c>
      <c r="T186" s="134">
        <f>(T95+T96)*'Data - P&amp;L'!$C$4</f>
        <v>0</v>
      </c>
      <c r="U186" s="134">
        <f>(U95+U96)*'Data - P&amp;L'!$C$4</f>
        <v>0</v>
      </c>
      <c r="V186" s="134">
        <f>(V95+V96)*'Data - P&amp;L'!$C$4</f>
        <v>-97.61</v>
      </c>
      <c r="W186" s="134">
        <f>(W95+W96)*'Data - P&amp;L'!$C$4</f>
        <v>0</v>
      </c>
      <c r="X186" s="134">
        <f>(X95+X96)*'Data - P&amp;L'!$C$4</f>
        <v>0</v>
      </c>
      <c r="Y186" s="134">
        <f>(Y95+Y96)*'Data - P&amp;L'!$C$4</f>
        <v>-97.61</v>
      </c>
      <c r="Z186" s="134">
        <f>(Z95+Z96)*'Data - P&amp;L'!$C$4</f>
        <v>0</v>
      </c>
      <c r="AA186" s="134">
        <f>(AA95+AA96)*'Data - P&amp;L'!$C$4</f>
        <v>0</v>
      </c>
      <c r="AB186" s="134">
        <f>(AB95+AB96)*'Data - P&amp;L'!$C$4</f>
        <v>0</v>
      </c>
      <c r="AC186" s="134">
        <f>(AC95+AC96)*'Data - P&amp;L'!$C$4</f>
        <v>0</v>
      </c>
      <c r="AD186" s="134">
        <f>(AD95+AD96)*'Data - P&amp;L'!$C$4</f>
        <v>0</v>
      </c>
      <c r="AE186" s="134">
        <f>(AE95+AE96)*'Data - P&amp;L'!$C$4</f>
        <v>0</v>
      </c>
      <c r="AF186" s="134">
        <f>(AF95+AF96)*'Data - P&amp;L'!$C$4</f>
        <v>0</v>
      </c>
      <c r="AG186" s="817">
        <f t="shared" si="72"/>
        <v>14836.72</v>
      </c>
    </row>
    <row r="187">
      <c r="A187" s="830" t="s">
        <v>1299</v>
      </c>
      <c r="B187" s="134">
        <f>(B186)*'Data - P&amp;L'!$L$5</f>
        <v>43.9245</v>
      </c>
      <c r="C187" s="134">
        <f>(C186)*'Data - P&amp;L'!$L$5</f>
        <v>7.32075</v>
      </c>
      <c r="D187" s="134">
        <f>(D186)*'Data - P&amp;L'!$L$5</f>
        <v>14.6415</v>
      </c>
      <c r="E187" s="134">
        <f>(E186)*'Data - P&amp;L'!$L$5</f>
        <v>7.32075</v>
      </c>
      <c r="F187" s="134">
        <f>(F186)*'Data - P&amp;L'!$L$5</f>
        <v>7.32075</v>
      </c>
      <c r="G187" s="134">
        <f>(G186)*'Data - P&amp;L'!$L$5</f>
        <v>-7.32075</v>
      </c>
      <c r="H187" s="134">
        <f>(H186)*'Data - P&amp;L'!$L$5</f>
        <v>21.96225</v>
      </c>
      <c r="I187" s="134">
        <f>(I186)*'Data - P&amp;L'!$L$5</f>
        <v>124.45275</v>
      </c>
      <c r="J187" s="134">
        <f>(J186)*'Data - P&amp;L'!$L$5</f>
        <v>14.6415</v>
      </c>
      <c r="K187" s="134">
        <f>(K186)*'Data - P&amp;L'!$L$5</f>
        <v>14.6415</v>
      </c>
      <c r="L187" s="134">
        <f>(L186)*'Data - P&amp;L'!$L$5</f>
        <v>29.283</v>
      </c>
      <c r="M187" s="134">
        <f>(M186)*'Data - P&amp;L'!$L$5</f>
        <v>636.90525</v>
      </c>
      <c r="N187" s="134">
        <f>(N186)*'Data - P&amp;L'!$L$5</f>
        <v>175.698</v>
      </c>
      <c r="O187" s="134">
        <f>(O186)*'Data - P&amp;L'!$L$5</f>
        <v>0</v>
      </c>
      <c r="P187" s="134">
        <f>(P186)*'Data - P&amp;L'!$L$5</f>
        <v>0</v>
      </c>
      <c r="Q187" s="134">
        <f>(Q186)*'Data - P&amp;L'!$L$5</f>
        <v>0</v>
      </c>
      <c r="R187" s="134">
        <f>(R186)*'Data - P&amp;L'!$L$5</f>
        <v>21.96225</v>
      </c>
      <c r="S187" s="134">
        <f>(S186)*'Data - P&amp;L'!$L$5</f>
        <v>14.6415</v>
      </c>
      <c r="T187" s="134">
        <f>(T186)*'Data - P&amp;L'!$L$5</f>
        <v>0</v>
      </c>
      <c r="U187" s="134">
        <f>(U186)*'Data - P&amp;L'!$L$5</f>
        <v>0</v>
      </c>
      <c r="V187" s="134">
        <f>(V186)*'Data - P&amp;L'!$L$5</f>
        <v>-7.32075</v>
      </c>
      <c r="W187" s="134">
        <f>(W186)*'Data - P&amp;L'!$L$5</f>
        <v>0</v>
      </c>
      <c r="X187" s="134">
        <f>(X186)*'Data - P&amp;L'!$L$5</f>
        <v>0</v>
      </c>
      <c r="Y187" s="134">
        <f>(Y186)*'Data - P&amp;L'!$L$5</f>
        <v>-7.32075</v>
      </c>
      <c r="Z187" s="134">
        <f>(Z186)*'Data - P&amp;L'!$L$5</f>
        <v>0</v>
      </c>
      <c r="AA187" s="134">
        <f>(AA186)*'Data - P&amp;L'!$L$5</f>
        <v>0</v>
      </c>
      <c r="AB187" s="134">
        <f>(AB186)*'Data - P&amp;L'!$L$5</f>
        <v>0</v>
      </c>
      <c r="AC187" s="134">
        <f>(AC186)*'Data - P&amp;L'!$L$5</f>
        <v>0</v>
      </c>
      <c r="AD187" s="134">
        <f>(AD186)*'Data - P&amp;L'!$L$5</f>
        <v>0</v>
      </c>
      <c r="AE187" s="134">
        <f>(AE186)*'Data - P&amp;L'!$L$5</f>
        <v>0</v>
      </c>
      <c r="AF187" s="134">
        <f>(AF186)*'Data - P&amp;L'!$L$5</f>
        <v>0</v>
      </c>
      <c r="AG187" s="817">
        <f t="shared" si="72"/>
        <v>1112.754</v>
      </c>
    </row>
    <row r="188">
      <c r="A188" s="367" t="s">
        <v>1300</v>
      </c>
      <c r="B188" s="134">
        <f>B99*'Data - P&amp;L'!$C$6</f>
        <v>0</v>
      </c>
      <c r="C188" s="134">
        <f>C99*'Data - P&amp;L'!$C$6</f>
        <v>0</v>
      </c>
      <c r="D188" s="134">
        <f>D99*'Data - P&amp;L'!$C$6</f>
        <v>0</v>
      </c>
      <c r="E188" s="134">
        <f>E99*'Data - P&amp;L'!$C$6</f>
        <v>0</v>
      </c>
      <c r="F188" s="134">
        <f>F99*'Data - P&amp;L'!$C$6</f>
        <v>0</v>
      </c>
      <c r="G188" s="134">
        <f>G99*'Data - P&amp;L'!$C$6</f>
        <v>0</v>
      </c>
      <c r="H188" s="134">
        <f>H99*'Data - P&amp;L'!$C$6</f>
        <v>0</v>
      </c>
      <c r="I188" s="134">
        <f>I99*'Data - P&amp;L'!$C$6</f>
        <v>0</v>
      </c>
      <c r="J188" s="134">
        <f>J99*'Data - P&amp;L'!$C$6</f>
        <v>0</v>
      </c>
      <c r="K188" s="134">
        <f>K99*'Data - P&amp;L'!$C$6</f>
        <v>0</v>
      </c>
      <c r="L188" s="134">
        <f>L99*'Data - P&amp;L'!$C$6</f>
        <v>0</v>
      </c>
      <c r="M188" s="134">
        <f>M99*'Data - P&amp;L'!$C$6</f>
        <v>0</v>
      </c>
      <c r="N188" s="134">
        <f>N99*'Data - P&amp;L'!$C$6</f>
        <v>0</v>
      </c>
      <c r="O188" s="134">
        <f>O99*'Data - P&amp;L'!$C$6</f>
        <v>0</v>
      </c>
      <c r="P188" s="134">
        <f>P99*'Data - P&amp;L'!$C$6</f>
        <v>0</v>
      </c>
      <c r="Q188" s="134">
        <f>Q99*'Data - P&amp;L'!$C$6</f>
        <v>0</v>
      </c>
      <c r="R188" s="134">
        <f>R99*'Data - P&amp;L'!$C$6</f>
        <v>0</v>
      </c>
      <c r="S188" s="134">
        <f>S99*'Data - P&amp;L'!$C$6</f>
        <v>0</v>
      </c>
      <c r="T188" s="134">
        <f>T99*'Data - P&amp;L'!$C$6</f>
        <v>-5.49</v>
      </c>
      <c r="U188" s="134">
        <f>U99*'Data - P&amp;L'!$C$6</f>
        <v>0</v>
      </c>
      <c r="V188" s="134">
        <f>V99*'Data - P&amp;L'!$C$6</f>
        <v>0</v>
      </c>
      <c r="W188" s="134">
        <f>W99*'Data - P&amp;L'!$C$6</f>
        <v>0</v>
      </c>
      <c r="X188" s="134">
        <f>X99*'Data - P&amp;L'!$C$6</f>
        <v>0</v>
      </c>
      <c r="Y188" s="134">
        <f>Y99*'Data - P&amp;L'!$C$6</f>
        <v>0</v>
      </c>
      <c r="Z188" s="134">
        <f>Z99*'Data - P&amp;L'!$C$6</f>
        <v>0</v>
      </c>
      <c r="AA188" s="134">
        <f>AA99*'Data - P&amp;L'!$C$6</f>
        <v>0</v>
      </c>
      <c r="AB188" s="134">
        <f>AB99*'Data - P&amp;L'!$C$6</f>
        <v>0</v>
      </c>
      <c r="AC188" s="134">
        <f>AC99*'Data - P&amp;L'!$C$6</f>
        <v>0</v>
      </c>
      <c r="AD188" s="134">
        <f>AD99*'Data - P&amp;L'!$C$6</f>
        <v>0</v>
      </c>
      <c r="AE188" s="134">
        <f>AE99*'Data - P&amp;L'!$C$6</f>
        <v>0</v>
      </c>
      <c r="AF188" s="134">
        <f>AF99*'Data - P&amp;L'!$C$6</f>
        <v>0</v>
      </c>
      <c r="AG188" s="817">
        <f t="shared" si="72"/>
        <v>-5.49</v>
      </c>
    </row>
    <row r="189">
      <c r="A189" s="830" t="s">
        <v>1301</v>
      </c>
      <c r="B189" s="134">
        <f>B188*'Data - P&amp;L'!$L$5</f>
        <v>0</v>
      </c>
      <c r="C189" s="134">
        <f>C188*'Data - P&amp;L'!$L$5</f>
        <v>0</v>
      </c>
      <c r="D189" s="134">
        <f>D188*'Data - P&amp;L'!$L$5</f>
        <v>0</v>
      </c>
      <c r="E189" s="134">
        <f>E188*'Data - P&amp;L'!$L$5</f>
        <v>0</v>
      </c>
      <c r="F189" s="134">
        <f>F188*'Data - P&amp;L'!$L$5</f>
        <v>0</v>
      </c>
      <c r="G189" s="134">
        <f>G188*'Data - P&amp;L'!$L$5</f>
        <v>0</v>
      </c>
      <c r="H189" s="134">
        <f>H188*'Data - P&amp;L'!$L$5</f>
        <v>0</v>
      </c>
      <c r="I189" s="134">
        <f>I188*'Data - P&amp;L'!$L$5</f>
        <v>0</v>
      </c>
      <c r="J189" s="134">
        <f>J188*'Data - P&amp;L'!$L$5</f>
        <v>0</v>
      </c>
      <c r="K189" s="134">
        <f>K188*'Data - P&amp;L'!$L$5</f>
        <v>0</v>
      </c>
      <c r="L189" s="134">
        <f>L188*'Data - P&amp;L'!$L$5</f>
        <v>0</v>
      </c>
      <c r="M189" s="134">
        <f>M188*'Data - P&amp;L'!$L$5</f>
        <v>0</v>
      </c>
      <c r="N189" s="134">
        <f>N188*'Data - P&amp;L'!$L$5</f>
        <v>0</v>
      </c>
      <c r="O189" s="134">
        <f>O188*'Data - P&amp;L'!$L$5</f>
        <v>0</v>
      </c>
      <c r="P189" s="134">
        <f>P188*'Data - P&amp;L'!$L$5</f>
        <v>0</v>
      </c>
      <c r="Q189" s="134">
        <f>Q188*'Data - P&amp;L'!$L$5</f>
        <v>0</v>
      </c>
      <c r="R189" s="134">
        <f>R188*'Data - P&amp;L'!$L$5</f>
        <v>0</v>
      </c>
      <c r="S189" s="134">
        <f>S188*'Data - P&amp;L'!$L$5</f>
        <v>0</v>
      </c>
      <c r="T189" s="134">
        <f>T188*'Data - P&amp;L'!$L$5</f>
        <v>-0.41175</v>
      </c>
      <c r="U189" s="134">
        <f>U188*'Data - P&amp;L'!$L$5</f>
        <v>0</v>
      </c>
      <c r="V189" s="134">
        <f>V188*'Data - P&amp;L'!$L$5</f>
        <v>0</v>
      </c>
      <c r="W189" s="134">
        <f>W188*'Data - P&amp;L'!$L$5</f>
        <v>0</v>
      </c>
      <c r="X189" s="134">
        <f>X188*'Data - P&amp;L'!$L$5</f>
        <v>0</v>
      </c>
      <c r="Y189" s="134">
        <f>Y188*'Data - P&amp;L'!$L$5</f>
        <v>0</v>
      </c>
      <c r="Z189" s="134">
        <f>Z188*'Data - P&amp;L'!$L$5</f>
        <v>0</v>
      </c>
      <c r="AA189" s="134">
        <f>AA188*'Data - P&amp;L'!$L$5</f>
        <v>0</v>
      </c>
      <c r="AB189" s="134">
        <f>AB188*'Data - P&amp;L'!$L$5</f>
        <v>0</v>
      </c>
      <c r="AC189" s="134">
        <f>AC188*'Data - P&amp;L'!$L$5</f>
        <v>0</v>
      </c>
      <c r="AD189" s="134">
        <f>AD188*'Data - P&amp;L'!$L$5</f>
        <v>0</v>
      </c>
      <c r="AE189" s="134">
        <f>AE188*'Data - P&amp;L'!$L$5</f>
        <v>0</v>
      </c>
      <c r="AF189" s="134">
        <f>AF188*'Data - P&amp;L'!$L$5</f>
        <v>0</v>
      </c>
      <c r="AG189" s="817">
        <f t="shared" si="72"/>
        <v>-0.41175</v>
      </c>
    </row>
    <row r="190">
      <c r="A190" s="830" t="s">
        <v>1302</v>
      </c>
      <c r="B190" s="134">
        <f>B188*'Data - P&amp;L'!$L$4</f>
        <v>0</v>
      </c>
      <c r="C190" s="134">
        <f>C188*'Data - P&amp;L'!$L$4</f>
        <v>0</v>
      </c>
      <c r="D190" s="134">
        <f>D188*'Data - P&amp;L'!$L$4</f>
        <v>0</v>
      </c>
      <c r="E190" s="134">
        <f>E188*'Data - P&amp;L'!$L$4</f>
        <v>0</v>
      </c>
      <c r="F190" s="134">
        <f>F188*'Data - P&amp;L'!$L$4</f>
        <v>0</v>
      </c>
      <c r="G190" s="134">
        <f>G188*'Data - P&amp;L'!$L$4</f>
        <v>0</v>
      </c>
      <c r="H190" s="134">
        <f>H188*'Data - P&amp;L'!$L$4</f>
        <v>0</v>
      </c>
      <c r="I190" s="134">
        <f>I188*'Data - P&amp;L'!$L$4</f>
        <v>0</v>
      </c>
      <c r="J190" s="134">
        <f>J188*'Data - P&amp;L'!$L$4</f>
        <v>0</v>
      </c>
      <c r="K190" s="134">
        <f>K188*'Data - P&amp;L'!$L$4</f>
        <v>0</v>
      </c>
      <c r="L190" s="134">
        <f>L188*'Data - P&amp;L'!$L$4</f>
        <v>0</v>
      </c>
      <c r="M190" s="134">
        <f>M188*'Data - P&amp;L'!$L$4</f>
        <v>0</v>
      </c>
      <c r="N190" s="134">
        <f>N188*'Data - P&amp;L'!$L$4</f>
        <v>0</v>
      </c>
      <c r="O190" s="134">
        <f>O188*'Data - P&amp;L'!$L$4</f>
        <v>0</v>
      </c>
      <c r="P190" s="134">
        <f>P188*'Data - P&amp;L'!$L$4</f>
        <v>0</v>
      </c>
      <c r="Q190" s="134">
        <f>Q188*'Data - P&amp;L'!$L$4</f>
        <v>0</v>
      </c>
      <c r="R190" s="134">
        <f>R188*'Data - P&amp;L'!$L$4</f>
        <v>0</v>
      </c>
      <c r="S190" s="134">
        <f>S188*'Data - P&amp;L'!$L$4</f>
        <v>0</v>
      </c>
      <c r="T190" s="134">
        <f>T188*'Data - P&amp;L'!$L$4</f>
        <v>-0.18666</v>
      </c>
      <c r="U190" s="134">
        <f>U188*'Data - P&amp;L'!$L$4</f>
        <v>0</v>
      </c>
      <c r="V190" s="134">
        <f>V188*'Data - P&amp;L'!$L$4</f>
        <v>0</v>
      </c>
      <c r="W190" s="134">
        <f>W188*'Data - P&amp;L'!$L$4</f>
        <v>0</v>
      </c>
      <c r="X190" s="134">
        <f>X188*'Data - P&amp;L'!$L$4</f>
        <v>0</v>
      </c>
      <c r="Y190" s="134">
        <f>Y188*'Data - P&amp;L'!$L$4</f>
        <v>0</v>
      </c>
      <c r="Z190" s="134">
        <f>Z188*'Data - P&amp;L'!$L$4</f>
        <v>0</v>
      </c>
      <c r="AA190" s="134">
        <f>AA188*'Data - P&amp;L'!$L$4</f>
        <v>0</v>
      </c>
      <c r="AB190" s="134">
        <f>AB188*'Data - P&amp;L'!$L$4</f>
        <v>0</v>
      </c>
      <c r="AC190" s="134">
        <f>AC188*'Data - P&amp;L'!$L$4</f>
        <v>0</v>
      </c>
      <c r="AD190" s="134">
        <f>AD188*'Data - P&amp;L'!$L$4</f>
        <v>0</v>
      </c>
      <c r="AE190" s="134">
        <f>AE188*'Data - P&amp;L'!$L$4</f>
        <v>0</v>
      </c>
      <c r="AF190" s="134">
        <f>AF188*'Data - P&amp;L'!$L$4</f>
        <v>0</v>
      </c>
      <c r="AG190" s="817">
        <f t="shared" si="72"/>
        <v>-0.18666</v>
      </c>
    </row>
    <row r="191">
      <c r="A191" s="367" t="s">
        <v>1303</v>
      </c>
      <c r="B191" s="134">
        <f>B100*'Data - P&amp;L'!$C$8</f>
        <v>0</v>
      </c>
      <c r="C191" s="134">
        <f>C100*'Data - P&amp;L'!$C$8</f>
        <v>0</v>
      </c>
      <c r="D191" s="134">
        <f>D100*'Data - P&amp;L'!$C$8</f>
        <v>0</v>
      </c>
      <c r="E191" s="134">
        <f>E100*'Data - P&amp;L'!$C$8</f>
        <v>0</v>
      </c>
      <c r="F191" s="134">
        <f>F100*'Data - P&amp;L'!$C$8</f>
        <v>0</v>
      </c>
      <c r="G191" s="134">
        <f>G100*'Data - P&amp;L'!$C$8</f>
        <v>0</v>
      </c>
      <c r="H191" s="134">
        <f>H100*'Data - P&amp;L'!$C$8</f>
        <v>0</v>
      </c>
      <c r="I191" s="134">
        <f>I100*'Data - P&amp;L'!$C$8</f>
        <v>0</v>
      </c>
      <c r="J191" s="134">
        <f>J100*'Data - P&amp;L'!$C$8</f>
        <v>0</v>
      </c>
      <c r="K191" s="134">
        <f>K100*'Data - P&amp;L'!$C$8</f>
        <v>0</v>
      </c>
      <c r="L191" s="134">
        <f>L100*'Data - P&amp;L'!$C$8</f>
        <v>0</v>
      </c>
      <c r="M191" s="134">
        <f>M100*'Data - P&amp;L'!$C$8</f>
        <v>0</v>
      </c>
      <c r="N191" s="134">
        <f>N100*'Data - P&amp;L'!$C$8</f>
        <v>0</v>
      </c>
      <c r="O191" s="134">
        <f>O100*'Data - P&amp;L'!$C$8</f>
        <v>0</v>
      </c>
      <c r="P191" s="134">
        <f>P100*'Data - P&amp;L'!$C$8</f>
        <v>0</v>
      </c>
      <c r="Q191" s="134">
        <f>Q100*'Data - P&amp;L'!$C$8</f>
        <v>0</v>
      </c>
      <c r="R191" s="134">
        <f>R100*'Data - P&amp;L'!$C$8</f>
        <v>0</v>
      </c>
      <c r="S191" s="134">
        <f>S100*'Data - P&amp;L'!$C$8</f>
        <v>0</v>
      </c>
      <c r="T191" s="134">
        <f>T100*'Data - P&amp;L'!$C$8</f>
        <v>-1.19</v>
      </c>
      <c r="U191" s="134">
        <f>U100*'Data - P&amp;L'!$C$8</f>
        <v>0</v>
      </c>
      <c r="V191" s="134">
        <f>V100*'Data - P&amp;L'!$C$8</f>
        <v>-1.19</v>
      </c>
      <c r="W191" s="134">
        <f>W100*'Data - P&amp;L'!$C$8</f>
        <v>0</v>
      </c>
      <c r="X191" s="134">
        <f>X100*'Data - P&amp;L'!$C$8</f>
        <v>0</v>
      </c>
      <c r="Y191" s="134">
        <f>Y100*'Data - P&amp;L'!$C$8</f>
        <v>0</v>
      </c>
      <c r="Z191" s="134">
        <f>Z100*'Data - P&amp;L'!$C$8</f>
        <v>0</v>
      </c>
      <c r="AA191" s="134">
        <f>AA100*'Data - P&amp;L'!$C$8</f>
        <v>0</v>
      </c>
      <c r="AB191" s="134">
        <f>AB100*'Data - P&amp;L'!$C$8</f>
        <v>0</v>
      </c>
      <c r="AC191" s="134">
        <f>AC100*'Data - P&amp;L'!$C$8</f>
        <v>0</v>
      </c>
      <c r="AD191" s="134">
        <f>AD100*'Data - P&amp;L'!$C$8</f>
        <v>0</v>
      </c>
      <c r="AE191" s="134">
        <f>AE100*'Data - P&amp;L'!$C$8</f>
        <v>0</v>
      </c>
      <c r="AF191" s="134">
        <f>AF100*'Data - P&amp;L'!$C$8</f>
        <v>0</v>
      </c>
      <c r="AG191" s="817">
        <f t="shared" si="72"/>
        <v>-2.38</v>
      </c>
    </row>
    <row r="192">
      <c r="A192" s="830" t="s">
        <v>1304</v>
      </c>
      <c r="B192" s="134">
        <f>B191*'Data - P&amp;L'!$L$5</f>
        <v>0</v>
      </c>
      <c r="C192" s="134">
        <f>C191*'Data - P&amp;L'!$L$5</f>
        <v>0</v>
      </c>
      <c r="D192" s="134">
        <f>D191*'Data - P&amp;L'!$L$5</f>
        <v>0</v>
      </c>
      <c r="E192" s="134">
        <f>E191*'Data - P&amp;L'!$L$5</f>
        <v>0</v>
      </c>
      <c r="F192" s="134">
        <f>F191*'Data - P&amp;L'!$L$5</f>
        <v>0</v>
      </c>
      <c r="G192" s="134">
        <f>G191*'Data - P&amp;L'!$L$5</f>
        <v>0</v>
      </c>
      <c r="H192" s="134">
        <f>H191*'Data - P&amp;L'!$L$5</f>
        <v>0</v>
      </c>
      <c r="I192" s="134">
        <f>I191*'Data - P&amp;L'!$L$5</f>
        <v>0</v>
      </c>
      <c r="J192" s="134">
        <f>J191*'Data - P&amp;L'!$L$5</f>
        <v>0</v>
      </c>
      <c r="K192" s="134">
        <f>K191*'Data - P&amp;L'!$L$5</f>
        <v>0</v>
      </c>
      <c r="L192" s="134">
        <f>L191*'Data - P&amp;L'!$L$5</f>
        <v>0</v>
      </c>
      <c r="M192" s="134">
        <f>M191*'Data - P&amp;L'!$L$5</f>
        <v>0</v>
      </c>
      <c r="N192" s="134">
        <f>N191*'Data - P&amp;L'!$L$5</f>
        <v>0</v>
      </c>
      <c r="O192" s="134">
        <f>O191*'Data - P&amp;L'!$L$5</f>
        <v>0</v>
      </c>
      <c r="P192" s="134">
        <f>P191*'Data - P&amp;L'!$L$5</f>
        <v>0</v>
      </c>
      <c r="Q192" s="134">
        <f>Q191*'Data - P&amp;L'!$L$5</f>
        <v>0</v>
      </c>
      <c r="R192" s="134">
        <f>R191*'Data - P&amp;L'!$L$5</f>
        <v>0</v>
      </c>
      <c r="S192" s="134">
        <f>S191*'Data - P&amp;L'!$L$5</f>
        <v>0</v>
      </c>
      <c r="T192" s="134">
        <f>T191*'Data - P&amp;L'!$L$5</f>
        <v>-0.08925</v>
      </c>
      <c r="U192" s="134">
        <f>U191*'Data - P&amp;L'!$L$5</f>
        <v>0</v>
      </c>
      <c r="V192" s="134">
        <f>V191*'Data - P&amp;L'!$L$5</f>
        <v>-0.08925</v>
      </c>
      <c r="W192" s="134">
        <f>W191*'Data - P&amp;L'!$L$5</f>
        <v>0</v>
      </c>
      <c r="X192" s="134">
        <f>X191*'Data - P&amp;L'!$L$5</f>
        <v>0</v>
      </c>
      <c r="Y192" s="134">
        <f>Y191*'Data - P&amp;L'!$L$5</f>
        <v>0</v>
      </c>
      <c r="Z192" s="134">
        <f>Z191*'Data - P&amp;L'!$L$5</f>
        <v>0</v>
      </c>
      <c r="AA192" s="134">
        <f>AA191*'Data - P&amp;L'!$L$5</f>
        <v>0</v>
      </c>
      <c r="AB192" s="134">
        <f>AB191*'Data - P&amp;L'!$L$5</f>
        <v>0</v>
      </c>
      <c r="AC192" s="134">
        <f>AC191*'Data - P&amp;L'!$L$5</f>
        <v>0</v>
      </c>
      <c r="AD192" s="134">
        <f>AD191*'Data - P&amp;L'!$L$5</f>
        <v>0</v>
      </c>
      <c r="AE192" s="134">
        <f>AE191*'Data - P&amp;L'!$L$5</f>
        <v>0</v>
      </c>
      <c r="AF192" s="134">
        <f>AF191*'Data - P&amp;L'!$L$5</f>
        <v>0</v>
      </c>
      <c r="AG192" s="817">
        <f t="shared" si="72"/>
        <v>-0.1785</v>
      </c>
    </row>
    <row r="193">
      <c r="A193" s="830" t="s">
        <v>1305</v>
      </c>
      <c r="B193" s="134">
        <f>B191*'Data - P&amp;L'!$L$4</f>
        <v>0</v>
      </c>
      <c r="C193" s="134">
        <f>C191*'Data - P&amp;L'!$L$4</f>
        <v>0</v>
      </c>
      <c r="D193" s="134">
        <f>D191*'Data - P&amp;L'!$L$4</f>
        <v>0</v>
      </c>
      <c r="E193" s="134">
        <f>E191*'Data - P&amp;L'!$L$4</f>
        <v>0</v>
      </c>
      <c r="F193" s="134">
        <f>F191*'Data - P&amp;L'!$L$4</f>
        <v>0</v>
      </c>
      <c r="G193" s="134">
        <f>G191*'Data - P&amp;L'!$L$4</f>
        <v>0</v>
      </c>
      <c r="H193" s="134">
        <f>H191*'Data - P&amp;L'!$L$4</f>
        <v>0</v>
      </c>
      <c r="I193" s="134">
        <f>I191*'Data - P&amp;L'!$L$4</f>
        <v>0</v>
      </c>
      <c r="J193" s="134">
        <f>J191*'Data - P&amp;L'!$L$4</f>
        <v>0</v>
      </c>
      <c r="K193" s="134">
        <f>K191*'Data - P&amp;L'!$L$4</f>
        <v>0</v>
      </c>
      <c r="L193" s="134">
        <f>L191*'Data - P&amp;L'!$L$4</f>
        <v>0</v>
      </c>
      <c r="M193" s="134">
        <f>M191*'Data - P&amp;L'!$L$4</f>
        <v>0</v>
      </c>
      <c r="N193" s="134">
        <f>N191*'Data - P&amp;L'!$L$4</f>
        <v>0</v>
      </c>
      <c r="O193" s="134">
        <f>O191*'Data - P&amp;L'!$L$4</f>
        <v>0</v>
      </c>
      <c r="P193" s="134">
        <f>P191*'Data - P&amp;L'!$L$4</f>
        <v>0</v>
      </c>
      <c r="Q193" s="134">
        <f>Q191*'Data - P&amp;L'!$L$4</f>
        <v>0</v>
      </c>
      <c r="R193" s="134">
        <f>R191*'Data - P&amp;L'!$L$4</f>
        <v>0</v>
      </c>
      <c r="S193" s="134">
        <f>S191*'Data - P&amp;L'!$L$4</f>
        <v>0</v>
      </c>
      <c r="T193" s="134">
        <f>T191*'Data - P&amp;L'!$L$4</f>
        <v>-0.04046</v>
      </c>
      <c r="U193" s="134">
        <f>U191*'Data - P&amp;L'!$L$4</f>
        <v>0</v>
      </c>
      <c r="V193" s="134">
        <f>V191*'Data - P&amp;L'!$L$4</f>
        <v>-0.04046</v>
      </c>
      <c r="W193" s="134">
        <f>W191*'Data - P&amp;L'!$L$4</f>
        <v>0</v>
      </c>
      <c r="X193" s="134">
        <f>X191*'Data - P&amp;L'!$L$4</f>
        <v>0</v>
      </c>
      <c r="Y193" s="134">
        <f>Y191*'Data - P&amp;L'!$L$4</f>
        <v>0</v>
      </c>
      <c r="Z193" s="134">
        <f>Z191*'Data - P&amp;L'!$L$4</f>
        <v>0</v>
      </c>
      <c r="AA193" s="134">
        <f>AA191*'Data - P&amp;L'!$L$4</f>
        <v>0</v>
      </c>
      <c r="AB193" s="134">
        <f>AB191*'Data - P&amp;L'!$L$4</f>
        <v>0</v>
      </c>
      <c r="AC193" s="134">
        <f>AC191*'Data - P&amp;L'!$L$4</f>
        <v>0</v>
      </c>
      <c r="AD193" s="134">
        <f>AD191*'Data - P&amp;L'!$L$4</f>
        <v>0</v>
      </c>
      <c r="AE193" s="134">
        <f>AE191*'Data - P&amp;L'!$L$4</f>
        <v>0</v>
      </c>
      <c r="AF193" s="134">
        <f>AF191*'Data - P&amp;L'!$L$4</f>
        <v>0</v>
      </c>
      <c r="AG193" s="817">
        <f t="shared" si="72"/>
        <v>-0.08092</v>
      </c>
    </row>
    <row r="194">
      <c r="A194" s="367" t="s">
        <v>1306</v>
      </c>
      <c r="B194" s="134">
        <f>(B101+B102)*'Data - P&amp;L'!$C$9</f>
        <v>0</v>
      </c>
      <c r="C194" s="134">
        <f>(C101+C102)*'Data - P&amp;L'!$C$9</f>
        <v>0</v>
      </c>
      <c r="D194" s="134">
        <f>(D101+D102)*'Data - P&amp;L'!$C$9</f>
        <v>0</v>
      </c>
      <c r="E194" s="134">
        <f>(E101+E102)*'Data - P&amp;L'!$C$9</f>
        <v>0</v>
      </c>
      <c r="F194" s="134">
        <f>(F101+F102)*'Data - P&amp;L'!$C$9</f>
        <v>0</v>
      </c>
      <c r="G194" s="134">
        <f>(G101+G102)*'Data - P&amp;L'!$C$9</f>
        <v>0</v>
      </c>
      <c r="H194" s="134">
        <f>(H101+H102)*'Data - P&amp;L'!$C$9</f>
        <v>0</v>
      </c>
      <c r="I194" s="134">
        <f>(I101+I102)*'Data - P&amp;L'!$C$9</f>
        <v>0</v>
      </c>
      <c r="J194" s="134">
        <f>(J101+J102)*'Data - P&amp;L'!$C$9</f>
        <v>0</v>
      </c>
      <c r="K194" s="134">
        <f>(K101+K102)*'Data - P&amp;L'!$C$9</f>
        <v>0</v>
      </c>
      <c r="L194" s="134">
        <f>(L101+L102)*'Data - P&amp;L'!$C$9</f>
        <v>0</v>
      </c>
      <c r="M194" s="134">
        <f>(M101+M102)*'Data - P&amp;L'!$C$9</f>
        <v>0</v>
      </c>
      <c r="N194" s="134">
        <f>(N101+N102)*'Data - P&amp;L'!$C$9</f>
        <v>0</v>
      </c>
      <c r="O194" s="134">
        <f>(O101+O102)*'Data - P&amp;L'!$C$9</f>
        <v>0</v>
      </c>
      <c r="P194" s="134">
        <f>(P101+P102)*'Data - P&amp;L'!$C$9</f>
        <v>0</v>
      </c>
      <c r="Q194" s="134">
        <f>(Q101+Q102)*'Data - P&amp;L'!$C$9</f>
        <v>0</v>
      </c>
      <c r="R194" s="134">
        <f>(R101+R102)*'Data - P&amp;L'!$C$9</f>
        <v>0</v>
      </c>
      <c r="S194" s="134">
        <f>(S101+S102)*'Data - P&amp;L'!$C$9</f>
        <v>0</v>
      </c>
      <c r="T194" s="134">
        <f>(T101+T102)*'Data - P&amp;L'!$C$9</f>
        <v>0</v>
      </c>
      <c r="U194" s="134">
        <f>(U101+U102)*'Data - P&amp;L'!$C$9</f>
        <v>0</v>
      </c>
      <c r="V194" s="134">
        <f>(V101+V102)*'Data - P&amp;L'!$C$9</f>
        <v>0</v>
      </c>
      <c r="W194" s="134">
        <f>(W101+W102)*'Data - P&amp;L'!$C$9</f>
        <v>0</v>
      </c>
      <c r="X194" s="134">
        <f>(X101+X102)*'Data - P&amp;L'!$C$9</f>
        <v>0</v>
      </c>
      <c r="Y194" s="134">
        <f>(Y101+Y102)*'Data - P&amp;L'!$C$9</f>
        <v>-6.66</v>
      </c>
      <c r="Z194" s="134">
        <f>(Z101+Z102)*'Data - P&amp;L'!$C$9</f>
        <v>0</v>
      </c>
      <c r="AA194" s="134">
        <f>(AA101+AA102)*'Data - P&amp;L'!$C$9</f>
        <v>0</v>
      </c>
      <c r="AB194" s="134">
        <f>(AB101+AB102)*'Data - P&amp;L'!$C$9</f>
        <v>0</v>
      </c>
      <c r="AC194" s="134">
        <f>(AC101+AC102)*'Data - P&amp;L'!$C$9</f>
        <v>0</v>
      </c>
      <c r="AD194" s="134">
        <f>(AD101+AD102)*'Data - P&amp;L'!$C$9</f>
        <v>0</v>
      </c>
      <c r="AE194" s="134">
        <f>(AE101+AE102)*'Data - P&amp;L'!$C$9</f>
        <v>0</v>
      </c>
      <c r="AF194" s="134">
        <f>(AF101+AF102)*'Data - P&amp;L'!$C$9</f>
        <v>0</v>
      </c>
      <c r="AG194" s="817">
        <f t="shared" si="72"/>
        <v>-6.66</v>
      </c>
    </row>
    <row r="195">
      <c r="A195" s="830" t="s">
        <v>1307</v>
      </c>
      <c r="B195" s="134">
        <f>B194*'Data - P&amp;L'!$L$5</f>
        <v>0</v>
      </c>
      <c r="C195" s="134">
        <f>C194*'Data - P&amp;L'!$L$5</f>
        <v>0</v>
      </c>
      <c r="D195" s="134">
        <f>D194*'Data - P&amp;L'!$L$5</f>
        <v>0</v>
      </c>
      <c r="E195" s="134">
        <f>E194*'Data - P&amp;L'!$L$5</f>
        <v>0</v>
      </c>
      <c r="F195" s="134">
        <f>F194*'Data - P&amp;L'!$L$5</f>
        <v>0</v>
      </c>
      <c r="G195" s="134">
        <f>G194*'Data - P&amp;L'!$L$5</f>
        <v>0</v>
      </c>
      <c r="H195" s="134">
        <f>H194*'Data - P&amp;L'!$L$5</f>
        <v>0</v>
      </c>
      <c r="I195" s="134">
        <f>I194*'Data - P&amp;L'!$L$5</f>
        <v>0</v>
      </c>
      <c r="J195" s="134">
        <f>J194*'Data - P&amp;L'!$L$5</f>
        <v>0</v>
      </c>
      <c r="K195" s="134">
        <f>K194*'Data - P&amp;L'!$L$5</f>
        <v>0</v>
      </c>
      <c r="L195" s="134">
        <f>L194*'Data - P&amp;L'!$L$5</f>
        <v>0</v>
      </c>
      <c r="M195" s="134">
        <f>M194*'Data - P&amp;L'!$L$5</f>
        <v>0</v>
      </c>
      <c r="N195" s="134">
        <f>N194*'Data - P&amp;L'!$L$5</f>
        <v>0</v>
      </c>
      <c r="O195" s="134">
        <f>O194*'Data - P&amp;L'!$L$5</f>
        <v>0</v>
      </c>
      <c r="P195" s="134">
        <f>P194*'Data - P&amp;L'!$L$5</f>
        <v>0</v>
      </c>
      <c r="Q195" s="134">
        <f>Q194*'Data - P&amp;L'!$L$5</f>
        <v>0</v>
      </c>
      <c r="R195" s="134">
        <f>R194*'Data - P&amp;L'!$L$5</f>
        <v>0</v>
      </c>
      <c r="S195" s="134">
        <f>S194*'Data - P&amp;L'!$L$5</f>
        <v>0</v>
      </c>
      <c r="T195" s="134">
        <f>T194*'Data - P&amp;L'!$L$5</f>
        <v>0</v>
      </c>
      <c r="U195" s="134">
        <f>U194*'Data - P&amp;L'!$L$5</f>
        <v>0</v>
      </c>
      <c r="V195" s="134">
        <f>V194*'Data - P&amp;L'!$L$5</f>
        <v>0</v>
      </c>
      <c r="W195" s="134">
        <f>W194*'Data - P&amp;L'!$L$5</f>
        <v>0</v>
      </c>
      <c r="X195" s="134">
        <f>X194*'Data - P&amp;L'!$L$5</f>
        <v>0</v>
      </c>
      <c r="Y195" s="134">
        <f>Y194*'Data - P&amp;L'!$L$5</f>
        <v>-0.4995</v>
      </c>
      <c r="Z195" s="134">
        <f>Z194*'Data - P&amp;L'!$L$5</f>
        <v>0</v>
      </c>
      <c r="AA195" s="134">
        <f>AA194*'Data - P&amp;L'!$L$5</f>
        <v>0</v>
      </c>
      <c r="AB195" s="134">
        <f>AB194*'Data - P&amp;L'!$L$5</f>
        <v>0</v>
      </c>
      <c r="AC195" s="134">
        <f>AC194*'Data - P&amp;L'!$L$5</f>
        <v>0</v>
      </c>
      <c r="AD195" s="134">
        <f>AD194*'Data - P&amp;L'!$L$5</f>
        <v>0</v>
      </c>
      <c r="AE195" s="134">
        <f>AE194*'Data - P&amp;L'!$L$5</f>
        <v>0</v>
      </c>
      <c r="AF195" s="134">
        <f>AF194*'Data - P&amp;L'!$L$5</f>
        <v>0</v>
      </c>
      <c r="AG195" s="817">
        <f t="shared" si="72"/>
        <v>-0.4995</v>
      </c>
    </row>
    <row r="196">
      <c r="A196" s="830" t="s">
        <v>1308</v>
      </c>
      <c r="B196" s="134">
        <f>B194*'Data - P&amp;L'!$L$4</f>
        <v>0</v>
      </c>
      <c r="C196" s="134">
        <f>C194*'Data - P&amp;L'!$L$4</f>
        <v>0</v>
      </c>
      <c r="D196" s="134">
        <f>D194*'Data - P&amp;L'!$L$4</f>
        <v>0</v>
      </c>
      <c r="E196" s="134">
        <f>E194*'Data - P&amp;L'!$L$4</f>
        <v>0</v>
      </c>
      <c r="F196" s="134">
        <f>F194*'Data - P&amp;L'!$L$4</f>
        <v>0</v>
      </c>
      <c r="G196" s="134">
        <f>G194*'Data - P&amp;L'!$L$4</f>
        <v>0</v>
      </c>
      <c r="H196" s="134">
        <f>H194*'Data - P&amp;L'!$L$4</f>
        <v>0</v>
      </c>
      <c r="I196" s="134">
        <f>I194*'Data - P&amp;L'!$L$4</f>
        <v>0</v>
      </c>
      <c r="J196" s="134">
        <f>J194*'Data - P&amp;L'!$L$4</f>
        <v>0</v>
      </c>
      <c r="K196" s="134">
        <f>K194*'Data - P&amp;L'!$L$4</f>
        <v>0</v>
      </c>
      <c r="L196" s="134">
        <f>L194*'Data - P&amp;L'!$L$4</f>
        <v>0</v>
      </c>
      <c r="M196" s="134">
        <f>M194*'Data - P&amp;L'!$L$4</f>
        <v>0</v>
      </c>
      <c r="N196" s="134">
        <f>N194*'Data - P&amp;L'!$L$4</f>
        <v>0</v>
      </c>
      <c r="O196" s="134">
        <f>O194*'Data - P&amp;L'!$L$4</f>
        <v>0</v>
      </c>
      <c r="P196" s="134">
        <f>P194*'Data - P&amp;L'!$L$4</f>
        <v>0</v>
      </c>
      <c r="Q196" s="134">
        <f>Q194*'Data - P&amp;L'!$L$4</f>
        <v>0</v>
      </c>
      <c r="R196" s="134">
        <f>R194*'Data - P&amp;L'!$L$4</f>
        <v>0</v>
      </c>
      <c r="S196" s="134">
        <f>S194*'Data - P&amp;L'!$L$4</f>
        <v>0</v>
      </c>
      <c r="T196" s="134">
        <f>T194*'Data - P&amp;L'!$L$4</f>
        <v>0</v>
      </c>
      <c r="U196" s="134">
        <f>U194*'Data - P&amp;L'!$L$4</f>
        <v>0</v>
      </c>
      <c r="V196" s="134">
        <f>V194*'Data - P&amp;L'!$L$4</f>
        <v>0</v>
      </c>
      <c r="W196" s="134">
        <f>W194*'Data - P&amp;L'!$L$4</f>
        <v>0</v>
      </c>
      <c r="X196" s="134">
        <f>X194*'Data - P&amp;L'!$L$4</f>
        <v>0</v>
      </c>
      <c r="Y196" s="134">
        <f>Y194*'Data - P&amp;L'!$L$4</f>
        <v>-0.22644</v>
      </c>
      <c r="Z196" s="134">
        <f>Z194*'Data - P&amp;L'!$L$4</f>
        <v>0</v>
      </c>
      <c r="AA196" s="134">
        <f>AA194*'Data - P&amp;L'!$L$4</f>
        <v>0</v>
      </c>
      <c r="AB196" s="134">
        <f>AB194*'Data - P&amp;L'!$L$4</f>
        <v>0</v>
      </c>
      <c r="AC196" s="134">
        <f>AC194*'Data - P&amp;L'!$L$4</f>
        <v>0</v>
      </c>
      <c r="AD196" s="134">
        <f>AD194*'Data - P&amp;L'!$L$4</f>
        <v>0</v>
      </c>
      <c r="AE196" s="134">
        <f>AE194*'Data - P&amp;L'!$L$4</f>
        <v>0</v>
      </c>
      <c r="AF196" s="134">
        <f>AF194*'Data - P&amp;L'!$L$4</f>
        <v>0</v>
      </c>
      <c r="AG196" s="817">
        <f t="shared" si="72"/>
        <v>-0.22644</v>
      </c>
    </row>
    <row r="197">
      <c r="A197" s="367" t="s">
        <v>1309</v>
      </c>
      <c r="B197" s="134">
        <f>(B103+B104)*'Data - P&amp;L'!$C$5</f>
        <v>0</v>
      </c>
      <c r="C197" s="134">
        <f>(C103+C104)*'Data - P&amp;L'!$C$5</f>
        <v>0</v>
      </c>
      <c r="D197" s="134">
        <f>(D103+D104)*'Data - P&amp;L'!$C$5</f>
        <v>0</v>
      </c>
      <c r="E197" s="134">
        <f>(E103+E104)*'Data - P&amp;L'!$C$5</f>
        <v>0</v>
      </c>
      <c r="F197" s="134">
        <f>(F103+F104)*'Data - P&amp;L'!$C$5</f>
        <v>0</v>
      </c>
      <c r="G197" s="134">
        <f>(G103+G104)*'Data - P&amp;L'!$C$5</f>
        <v>-13.44</v>
      </c>
      <c r="H197" s="134">
        <f>(H103+H104)*'Data - P&amp;L'!$C$5</f>
        <v>0</v>
      </c>
      <c r="I197" s="134">
        <f>(I103+I104)*'Data - P&amp;L'!$C$5</f>
        <v>0</v>
      </c>
      <c r="J197" s="134">
        <f>(J103+J104)*'Data - P&amp;L'!$C$5</f>
        <v>0</v>
      </c>
      <c r="K197" s="134">
        <f>(K103+K104)*'Data - P&amp;L'!$C$5</f>
        <v>0</v>
      </c>
      <c r="L197" s="134">
        <f>(L103+L104)*'Data - P&amp;L'!$C$5</f>
        <v>0</v>
      </c>
      <c r="M197" s="134">
        <f>(M103+M104)*'Data - P&amp;L'!$C$5</f>
        <v>0</v>
      </c>
      <c r="N197" s="134">
        <f>(N103+N104)*'Data - P&amp;L'!$C$5</f>
        <v>-13.44</v>
      </c>
      <c r="O197" s="134">
        <f>(O103+O104)*'Data - P&amp;L'!$C$5</f>
        <v>0</v>
      </c>
      <c r="P197" s="134">
        <f>(P103+P104)*'Data - P&amp;L'!$C$5</f>
        <v>0</v>
      </c>
      <c r="Q197" s="134">
        <f>(Q103+Q104)*'Data - P&amp;L'!$C$5</f>
        <v>0</v>
      </c>
      <c r="R197" s="134">
        <f>(R103+R104)*'Data - P&amp;L'!$C$5</f>
        <v>0</v>
      </c>
      <c r="S197" s="134">
        <f>(S103+S104)*'Data - P&amp;L'!$C$5</f>
        <v>0</v>
      </c>
      <c r="T197" s="134">
        <f>(T103+T104)*'Data - P&amp;L'!$C$5</f>
        <v>-13.44</v>
      </c>
      <c r="U197" s="134">
        <f>(U103+U104)*'Data - P&amp;L'!$C$5</f>
        <v>0</v>
      </c>
      <c r="V197" s="134">
        <f>(V103+V104)*'Data - P&amp;L'!$C$5</f>
        <v>0</v>
      </c>
      <c r="W197" s="134">
        <f>(W103+W104)*'Data - P&amp;L'!$C$5</f>
        <v>0</v>
      </c>
      <c r="X197" s="134">
        <f>(X103+X104)*'Data - P&amp;L'!$C$5</f>
        <v>0</v>
      </c>
      <c r="Y197" s="134">
        <f>(Y103+Y104)*'Data - P&amp;L'!$C$5</f>
        <v>0</v>
      </c>
      <c r="Z197" s="134">
        <f>(Z103+Z104)*'Data - P&amp;L'!$C$5</f>
        <v>0</v>
      </c>
      <c r="AA197" s="134">
        <f>(AA103+AA104)*'Data - P&amp;L'!$C$5</f>
        <v>0</v>
      </c>
      <c r="AB197" s="134">
        <f>(AB103+AB104)*'Data - P&amp;L'!$C$5</f>
        <v>0</v>
      </c>
      <c r="AC197" s="134">
        <f>(AC103+AC104)*'Data - P&amp;L'!$C$5</f>
        <v>0</v>
      </c>
      <c r="AD197" s="134">
        <f>(AD103+AD104)*'Data - P&amp;L'!$C$5</f>
        <v>0</v>
      </c>
      <c r="AE197" s="134">
        <f>(AE103+AE104)*'Data - P&amp;L'!$C$5</f>
        <v>0</v>
      </c>
      <c r="AF197" s="134">
        <f>(AF103+AF104)*'Data - P&amp;L'!$C$5</f>
        <v>0</v>
      </c>
      <c r="AG197" s="817">
        <f t="shared" si="72"/>
        <v>-40.32</v>
      </c>
    </row>
    <row r="198">
      <c r="A198" s="830" t="s">
        <v>1310</v>
      </c>
      <c r="B198" s="134">
        <f>B197*'Data - P&amp;L'!$L$8</f>
        <v>0</v>
      </c>
      <c r="C198" s="134">
        <f>C197*'Data - P&amp;L'!$L$8</f>
        <v>0</v>
      </c>
      <c r="D198" s="134">
        <f>D197*'Data - P&amp;L'!$L$8</f>
        <v>0</v>
      </c>
      <c r="E198" s="134">
        <f>E197*'Data - P&amp;L'!$L$8</f>
        <v>0</v>
      </c>
      <c r="F198" s="134">
        <f>F197*'Data - P&amp;L'!$L$8</f>
        <v>0</v>
      </c>
      <c r="G198" s="134">
        <f>G197*'Data - P&amp;L'!$L$8</f>
        <v>-1.008</v>
      </c>
      <c r="H198" s="134">
        <f>H197*'Data - P&amp;L'!$L$8</f>
        <v>0</v>
      </c>
      <c r="I198" s="134">
        <f>I197*'Data - P&amp;L'!$L$8</f>
        <v>0</v>
      </c>
      <c r="J198" s="134">
        <f>J197*'Data - P&amp;L'!$L$8</f>
        <v>0</v>
      </c>
      <c r="K198" s="134">
        <f>K197*'Data - P&amp;L'!$L$8</f>
        <v>0</v>
      </c>
      <c r="L198" s="134">
        <f>L197*'Data - P&amp;L'!$L$8</f>
        <v>0</v>
      </c>
      <c r="M198" s="134">
        <f>M197*'Data - P&amp;L'!$L$8</f>
        <v>0</v>
      </c>
      <c r="N198" s="134">
        <f>N197*'Data - P&amp;L'!$L$8</f>
        <v>-1.008</v>
      </c>
      <c r="O198" s="134">
        <f>O197*'Data - P&amp;L'!$L$8</f>
        <v>0</v>
      </c>
      <c r="P198" s="134">
        <f>P197*'Data - P&amp;L'!$L$8</f>
        <v>0</v>
      </c>
      <c r="Q198" s="134">
        <f>Q197*'Data - P&amp;L'!$L$8</f>
        <v>0</v>
      </c>
      <c r="R198" s="134">
        <f>R197*'Data - P&amp;L'!$L$8</f>
        <v>0</v>
      </c>
      <c r="S198" s="134">
        <f>S197*'Data - P&amp;L'!$L$8</f>
        <v>0</v>
      </c>
      <c r="T198" s="134">
        <f>T197*'Data - P&amp;L'!$L$8</f>
        <v>-1.008</v>
      </c>
      <c r="U198" s="134">
        <f>U197*'Data - P&amp;L'!$L$8</f>
        <v>0</v>
      </c>
      <c r="V198" s="134">
        <f>V197*'Data - P&amp;L'!$L$8</f>
        <v>0</v>
      </c>
      <c r="W198" s="134">
        <f>W197*'Data - P&amp;L'!$L$8</f>
        <v>0</v>
      </c>
      <c r="X198" s="134">
        <f>X197*'Data - P&amp;L'!$L$8</f>
        <v>0</v>
      </c>
      <c r="Y198" s="134">
        <f>Y197*'Data - P&amp;L'!$L$8</f>
        <v>0</v>
      </c>
      <c r="Z198" s="134">
        <f>Z197*'Data - P&amp;L'!$L$8</f>
        <v>0</v>
      </c>
      <c r="AA198" s="134">
        <f>AA197*'Data - P&amp;L'!$L$8</f>
        <v>0</v>
      </c>
      <c r="AB198" s="134">
        <f>AB197*'Data - P&amp;L'!$L$8</f>
        <v>0</v>
      </c>
      <c r="AC198" s="134">
        <f>AC197*'Data - P&amp;L'!$L$8</f>
        <v>0</v>
      </c>
      <c r="AD198" s="134">
        <f>AD197*'Data - P&amp;L'!$L$8</f>
        <v>0</v>
      </c>
      <c r="AE198" s="134">
        <f>AE197*'Data - P&amp;L'!$L$8</f>
        <v>0</v>
      </c>
      <c r="AF198" s="134">
        <f>AF197*'Data - P&amp;L'!$L$8</f>
        <v>0</v>
      </c>
      <c r="AG198" s="817">
        <f t="shared" si="72"/>
        <v>-3.024</v>
      </c>
    </row>
    <row r="199">
      <c r="A199" s="830" t="s">
        <v>1311</v>
      </c>
      <c r="B199" s="134">
        <f>B197*'Data - P&amp;L'!$L$9</f>
        <v>0</v>
      </c>
      <c r="C199" s="134">
        <f>C197*'Data - P&amp;L'!$L$9</f>
        <v>0</v>
      </c>
      <c r="D199" s="134">
        <f>D197*'Data - P&amp;L'!$L$9</f>
        <v>0</v>
      </c>
      <c r="E199" s="134">
        <f>E197*'Data - P&amp;L'!$L$9</f>
        <v>0</v>
      </c>
      <c r="F199" s="134">
        <f>F197*'Data - P&amp;L'!$L$9</f>
        <v>0</v>
      </c>
      <c r="G199" s="134">
        <f>G197*'Data - P&amp;L'!$L$9</f>
        <v>-0.336</v>
      </c>
      <c r="H199" s="134">
        <f>H197*'Data - P&amp;L'!$L$9</f>
        <v>0</v>
      </c>
      <c r="I199" s="134">
        <f>I197*'Data - P&amp;L'!$L$9</f>
        <v>0</v>
      </c>
      <c r="J199" s="134">
        <f>J197*'Data - P&amp;L'!$L$9</f>
        <v>0</v>
      </c>
      <c r="K199" s="134">
        <f>K197*'Data - P&amp;L'!$L$9</f>
        <v>0</v>
      </c>
      <c r="L199" s="134">
        <f>L197*'Data - P&amp;L'!$L$9</f>
        <v>0</v>
      </c>
      <c r="M199" s="134">
        <f>M197*'Data - P&amp;L'!$L$9</f>
        <v>0</v>
      </c>
      <c r="N199" s="134">
        <f>N197*'Data - P&amp;L'!$L$9</f>
        <v>-0.336</v>
      </c>
      <c r="O199" s="134">
        <f>O197*'Data - P&amp;L'!$L$9</f>
        <v>0</v>
      </c>
      <c r="P199" s="134">
        <f>P197*'Data - P&amp;L'!$L$9</f>
        <v>0</v>
      </c>
      <c r="Q199" s="134">
        <f>Q197*'Data - P&amp;L'!$L$9</f>
        <v>0</v>
      </c>
      <c r="R199" s="134">
        <f>R197*'Data - P&amp;L'!$L$9</f>
        <v>0</v>
      </c>
      <c r="S199" s="134">
        <f>S197*'Data - P&amp;L'!$L$9</f>
        <v>0</v>
      </c>
      <c r="T199" s="134">
        <f>T197*'Data - P&amp;L'!$L$9</f>
        <v>-0.336</v>
      </c>
      <c r="U199" s="134">
        <f>U197*'Data - P&amp;L'!$L$9</f>
        <v>0</v>
      </c>
      <c r="V199" s="134">
        <f>V197*'Data - P&amp;L'!$L$9</f>
        <v>0</v>
      </c>
      <c r="W199" s="134">
        <f>W197*'Data - P&amp;L'!$L$9</f>
        <v>0</v>
      </c>
      <c r="X199" s="134">
        <f>X197*'Data - P&amp;L'!$L$9</f>
        <v>0</v>
      </c>
      <c r="Y199" s="134">
        <f>Y197*'Data - P&amp;L'!$L$9</f>
        <v>0</v>
      </c>
      <c r="Z199" s="134">
        <f>Z197*'Data - P&amp;L'!$L$9</f>
        <v>0</v>
      </c>
      <c r="AA199" s="134">
        <f>AA197*'Data - P&amp;L'!$L$9</f>
        <v>0</v>
      </c>
      <c r="AB199" s="134">
        <f>AB197*'Data - P&amp;L'!$L$9</f>
        <v>0</v>
      </c>
      <c r="AC199" s="134">
        <f>AC197*'Data - P&amp;L'!$L$9</f>
        <v>0</v>
      </c>
      <c r="AD199" s="134">
        <f>AD197*'Data - P&amp;L'!$L$9</f>
        <v>0</v>
      </c>
      <c r="AE199" s="134">
        <f>AE197*'Data - P&amp;L'!$L$9</f>
        <v>0</v>
      </c>
      <c r="AF199" s="134">
        <f>AF197*'Data - P&amp;L'!$L$9</f>
        <v>0</v>
      </c>
      <c r="AG199" s="817">
        <f t="shared" si="72"/>
        <v>-1.008</v>
      </c>
    </row>
    <row r="200">
      <c r="A200" s="367" t="s">
        <v>1312</v>
      </c>
      <c r="B200" s="253">
        <f>(B105+B106)*'Data - P&amp;L'!$C$10</f>
        <v>0</v>
      </c>
      <c r="C200" s="253">
        <f>(C105+C106)*'Data - P&amp;L'!$C$10</f>
        <v>0</v>
      </c>
      <c r="D200" s="253">
        <f>(D105+D106)*'Data - P&amp;L'!$C$10</f>
        <v>0</v>
      </c>
      <c r="E200" s="253">
        <f>(E105+E106)*'Data - P&amp;L'!$C$10</f>
        <v>0</v>
      </c>
      <c r="F200" s="253">
        <f>(F105+F106)*'Data - P&amp;L'!$C$10</f>
        <v>0</v>
      </c>
      <c r="G200" s="253">
        <f>(G105+G106)*'Data - P&amp;L'!$C$10</f>
        <v>0</v>
      </c>
      <c r="H200" s="253">
        <f>(H105+H106)*'Data - P&amp;L'!$C$10</f>
        <v>0</v>
      </c>
      <c r="I200" s="253">
        <f>(I105+I106)*'Data - P&amp;L'!$C$10</f>
        <v>0</v>
      </c>
      <c r="J200" s="253">
        <f>(J105+J106)*'Data - P&amp;L'!$C$10</f>
        <v>0</v>
      </c>
      <c r="K200" s="253">
        <f>(K105+K106)*'Data - P&amp;L'!$C$10</f>
        <v>0</v>
      </c>
      <c r="L200" s="253">
        <f>(L105+L106)*'Data - P&amp;L'!$C$10</f>
        <v>0</v>
      </c>
      <c r="M200" s="253">
        <f>(M105+M106)*'Data - P&amp;L'!$C$10</f>
        <v>0</v>
      </c>
      <c r="N200" s="253">
        <f>(N105+N106)*'Data - P&amp;L'!$C$10</f>
        <v>0</v>
      </c>
      <c r="O200" s="253">
        <f>(O105+O106)*'Data - P&amp;L'!$C$10</f>
        <v>0</v>
      </c>
      <c r="P200" s="253">
        <f>(P105+P106)*'Data - P&amp;L'!$C$10</f>
        <v>0</v>
      </c>
      <c r="Q200" s="253">
        <f>(Q105+Q106)*'Data - P&amp;L'!$C$10</f>
        <v>0</v>
      </c>
      <c r="R200" s="253">
        <f>(R105+R106)*'Data - P&amp;L'!$C$10</f>
        <v>0</v>
      </c>
      <c r="S200" s="253">
        <f>(S105+S106)*'Data - P&amp;L'!$C$10</f>
        <v>0</v>
      </c>
      <c r="T200" s="253">
        <f>(T105+T106)*'Data - P&amp;L'!$C$10</f>
        <v>0</v>
      </c>
      <c r="U200" s="253">
        <f>(U105+U106)*'Data - P&amp;L'!$C$10</f>
        <v>0</v>
      </c>
      <c r="V200" s="253">
        <f>(V105+V106)*'Data - P&amp;L'!$C$10</f>
        <v>0</v>
      </c>
      <c r="W200" s="253">
        <f>(W105+W106)*'Data - P&amp;L'!$C$10</f>
        <v>0</v>
      </c>
      <c r="X200" s="253">
        <f>(X105+X106)*'Data - P&amp;L'!$C$10</f>
        <v>0</v>
      </c>
      <c r="Y200" s="253">
        <f>(Y105+Y106)*'Data - P&amp;L'!$C$10</f>
        <v>0</v>
      </c>
      <c r="Z200" s="253">
        <f>(Z105+Z106)*'Data - P&amp;L'!$C$10</f>
        <v>0</v>
      </c>
      <c r="AA200" s="253">
        <f>(AA105+AA106)*'Data - P&amp;L'!$C$10</f>
        <v>0</v>
      </c>
      <c r="AB200" s="253">
        <f>(AB105+AB106)*'Data - P&amp;L'!$C$10</f>
        <v>0</v>
      </c>
      <c r="AC200" s="253">
        <f>(AC105+AC106)*'Data - P&amp;L'!$C$10</f>
        <v>0</v>
      </c>
      <c r="AD200" s="253">
        <f>(AD105+AD106)*'Data - P&amp;L'!$C$10</f>
        <v>0</v>
      </c>
      <c r="AE200" s="253">
        <f>(AE105+AE106)*'Data - P&amp;L'!$C$10</f>
        <v>0</v>
      </c>
      <c r="AF200" s="253">
        <f>(AF105+AF106)*'Data - P&amp;L'!$C$10</f>
        <v>0</v>
      </c>
      <c r="AG200" s="817">
        <f t="shared" si="72"/>
        <v>0</v>
      </c>
    </row>
    <row r="201">
      <c r="A201" s="830" t="s">
        <v>1313</v>
      </c>
      <c r="B201" s="253">
        <f>(B184+B186+B188+B191+B194+B197+B200)*'Data - P&amp;L'!$L$6</f>
        <v>0.732075</v>
      </c>
      <c r="C201" s="253">
        <f>(C184+C186+C188+C191+C194+C197+C200)*'Data - P&amp;L'!$L$6</f>
        <v>0.1220125</v>
      </c>
      <c r="D201" s="253">
        <f>(D184+D186+D188+D191+D194+D197+D200)*'Data - P&amp;L'!$L$6</f>
        <v>0.244025</v>
      </c>
      <c r="E201" s="253">
        <f>(E184+E186+E188+E191+E194+E197+E200)*'Data - P&amp;L'!$L$6</f>
        <v>0.1220125</v>
      </c>
      <c r="F201" s="253">
        <f>(F184+F186+F188+F191+F194+F197+F200)*'Data - P&amp;L'!$L$6</f>
        <v>0.1220125</v>
      </c>
      <c r="G201" s="253">
        <f>(G184+G186+G188+G191+G194+G197+G200)*'Data - P&amp;L'!$L$6</f>
        <v>-0.3560625</v>
      </c>
      <c r="H201" s="253">
        <f>(H184+H186+H188+H191+H194+H197+H200)*'Data - P&amp;L'!$L$6</f>
        <v>0.5832875</v>
      </c>
      <c r="I201" s="253">
        <f>(I184+I186+I188+I191+I194+I197+I200)*'Data - P&amp;L'!$L$6</f>
        <v>2.2914625</v>
      </c>
      <c r="J201" s="253">
        <f>(J184+J186+J188+J191+J194+J197+J200)*'Data - P&amp;L'!$L$6</f>
        <v>0.35265</v>
      </c>
      <c r="K201" s="253">
        <f>(K184+K186+K188+K191+K194+K197+K200)*'Data - P&amp;L'!$L$6</f>
        <v>0.461275</v>
      </c>
      <c r="L201" s="253">
        <f>(L184+L186+L188+L191+L194+L197+L200)*'Data - P&amp;L'!$L$6</f>
        <v>0.596675</v>
      </c>
      <c r="M201" s="253">
        <f>(M184+M186+M188+M191+M194+M197+M200)*'Data - P&amp;L'!$L$6</f>
        <v>11.1582125</v>
      </c>
      <c r="N201" s="253">
        <f>(N184+N186+N188+N191+N194+N197+N200)*'Data - P&amp;L'!$L$6</f>
        <v>3.454625</v>
      </c>
      <c r="O201" s="253">
        <f>(O184+O186+O188+O191+O194+O197+O200)*'Data - P&amp;L'!$L$6</f>
        <v>0</v>
      </c>
      <c r="P201" s="253">
        <f>(P184+P186+P188+P191+P194+P197+P200)*'Data - P&amp;L'!$L$6</f>
        <v>0</v>
      </c>
      <c r="Q201" s="253">
        <f>(Q184+Q186+Q188+Q191+Q194+Q197+Q200)*'Data - P&amp;L'!$L$6</f>
        <v>0</v>
      </c>
      <c r="R201" s="253">
        <f>(R184+R186+R188+R191+R194+R197+R200)*'Data - P&amp;L'!$L$6</f>
        <v>0.3660375</v>
      </c>
      <c r="S201" s="253">
        <f>(S184+S186+S188+S191+S194+S197+S200)*'Data - P&amp;L'!$L$6</f>
        <v>0.244025</v>
      </c>
      <c r="T201" s="253">
        <f>(T184+T186+T188+T191+T194+T197+T200)*'Data - P&amp;L'!$L$6</f>
        <v>-0.133775</v>
      </c>
      <c r="U201" s="253">
        <f>(U184+U186+U188+U191+U194+U197+U200)*'Data - P&amp;L'!$L$6</f>
        <v>0</v>
      </c>
      <c r="V201" s="253">
        <f>(V184+V186+V188+V191+V194+V197+V200)*'Data - P&amp;L'!$L$6</f>
        <v>-0.1235</v>
      </c>
      <c r="W201" s="253">
        <f>(W184+W186+W188+W191+W194+W197+W200)*'Data - P&amp;L'!$L$6</f>
        <v>0</v>
      </c>
      <c r="X201" s="253">
        <f>(X184+X186+X188+X191+X194+X197+X200)*'Data - P&amp;L'!$L$6</f>
        <v>0</v>
      </c>
      <c r="Y201" s="253">
        <f>(Y184+Y186+Y188+Y191+Y194+Y197+Y200)*'Data - P&amp;L'!$L$6</f>
        <v>-0.1303375</v>
      </c>
      <c r="Z201" s="253">
        <f>(Z184+Z186+Z188+Z191+Z194+Z197+Z200)*'Data - P&amp;L'!$L$6</f>
        <v>0</v>
      </c>
      <c r="AA201" s="253">
        <f>(AA184+AA186+AA188+AA191+AA194+AA197+AA200)*'Data - P&amp;L'!$L$6</f>
        <v>0</v>
      </c>
      <c r="AB201" s="253">
        <f>(AB184+AB186+AB188+AB191+AB194+AB197+AB200)*'Data - P&amp;L'!$L$6</f>
        <v>0</v>
      </c>
      <c r="AC201" s="253">
        <f>(AC184+AC186+AC188+AC191+AC194+AC197+AC200)*'Data - P&amp;L'!$L$6</f>
        <v>0</v>
      </c>
      <c r="AD201" s="253">
        <f>(AD184+AD186+AD188+AD191+AD194+AD197+AD200)*'Data - P&amp;L'!$L$6</f>
        <v>0</v>
      </c>
      <c r="AE201" s="253">
        <f>(AE184+AE186+AE188+AE191+AE194+AE197+AE200)*'Data - P&amp;L'!$L$6</f>
        <v>0</v>
      </c>
      <c r="AF201" s="253">
        <f>(AF184+AF186+AF188+AF191+AF194+AF197+AF200)*'Data - P&amp;L'!$L$6</f>
        <v>0</v>
      </c>
      <c r="AG201" s="817">
        <f t="shared" si="72"/>
        <v>20.1067125</v>
      </c>
    </row>
    <row r="202">
      <c r="A202" s="830" t="s">
        <v>1314</v>
      </c>
      <c r="B202" s="253">
        <f t="shared" ref="B202:AF202" si="73">$AG202/31</f>
        <v>17.36774194</v>
      </c>
      <c r="C202" s="253">
        <f t="shared" si="73"/>
        <v>17.36774194</v>
      </c>
      <c r="D202" s="253">
        <f t="shared" si="73"/>
        <v>17.36774194</v>
      </c>
      <c r="E202" s="253">
        <f t="shared" si="73"/>
        <v>17.36774194</v>
      </c>
      <c r="F202" s="253">
        <f t="shared" si="73"/>
        <v>17.36774194</v>
      </c>
      <c r="G202" s="253">
        <f t="shared" si="73"/>
        <v>17.36774194</v>
      </c>
      <c r="H202" s="253">
        <f t="shared" si="73"/>
        <v>17.36774194</v>
      </c>
      <c r="I202" s="253">
        <f t="shared" si="73"/>
        <v>17.36774194</v>
      </c>
      <c r="J202" s="253">
        <f t="shared" si="73"/>
        <v>17.36774194</v>
      </c>
      <c r="K202" s="253">
        <f t="shared" si="73"/>
        <v>17.36774194</v>
      </c>
      <c r="L202" s="253">
        <f t="shared" si="73"/>
        <v>17.36774194</v>
      </c>
      <c r="M202" s="253">
        <f t="shared" si="73"/>
        <v>17.36774194</v>
      </c>
      <c r="N202" s="253">
        <f t="shared" si="73"/>
        <v>17.36774194</v>
      </c>
      <c r="O202" s="253">
        <f t="shared" si="73"/>
        <v>17.36774194</v>
      </c>
      <c r="P202" s="253">
        <f t="shared" si="73"/>
        <v>17.36774194</v>
      </c>
      <c r="Q202" s="253">
        <f t="shared" si="73"/>
        <v>17.36774194</v>
      </c>
      <c r="R202" s="253">
        <f t="shared" si="73"/>
        <v>17.36774194</v>
      </c>
      <c r="S202" s="253">
        <f t="shared" si="73"/>
        <v>17.36774194</v>
      </c>
      <c r="T202" s="253">
        <f t="shared" si="73"/>
        <v>17.36774194</v>
      </c>
      <c r="U202" s="253">
        <f t="shared" si="73"/>
        <v>17.36774194</v>
      </c>
      <c r="V202" s="253">
        <f t="shared" si="73"/>
        <v>17.36774194</v>
      </c>
      <c r="W202" s="253">
        <f t="shared" si="73"/>
        <v>17.36774194</v>
      </c>
      <c r="X202" s="253">
        <f t="shared" si="73"/>
        <v>17.36774194</v>
      </c>
      <c r="Y202" s="253">
        <f t="shared" si="73"/>
        <v>17.36774194</v>
      </c>
      <c r="Z202" s="253">
        <f t="shared" si="73"/>
        <v>17.36774194</v>
      </c>
      <c r="AA202" s="253">
        <f t="shared" si="73"/>
        <v>17.36774194</v>
      </c>
      <c r="AB202" s="253">
        <f t="shared" si="73"/>
        <v>17.36774194</v>
      </c>
      <c r="AC202" s="253">
        <f t="shared" si="73"/>
        <v>17.36774194</v>
      </c>
      <c r="AD202" s="253">
        <f t="shared" si="73"/>
        <v>17.36774194</v>
      </c>
      <c r="AE202" s="253">
        <f t="shared" si="73"/>
        <v>17.36774194</v>
      </c>
      <c r="AF202" s="253">
        <f t="shared" si="73"/>
        <v>17.36774194</v>
      </c>
      <c r="AG202" s="831">
        <v>538.4</v>
      </c>
    </row>
    <row r="203">
      <c r="A203" s="368" t="s">
        <v>1315</v>
      </c>
      <c r="B203" s="134">
        <f>((B97+B61)*'Data - P&amp;L'!$C$38)</f>
        <v>1516.38</v>
      </c>
      <c r="C203" s="134">
        <f>((C97+C61)*'Data - P&amp;L'!$C$38)</f>
        <v>226.86</v>
      </c>
      <c r="D203" s="134">
        <f>((D97+D61)*'Data - P&amp;L'!$C$38)</f>
        <v>310.44</v>
      </c>
      <c r="E203" s="134">
        <f>((E97+E61)*'Data - P&amp;L'!$C$38)</f>
        <v>441.78</v>
      </c>
      <c r="F203" s="134">
        <f>((F97+F61)*'Data - P&amp;L'!$C$38)</f>
        <v>11.94</v>
      </c>
      <c r="G203" s="134">
        <f>((G97+G61)*'Data - P&amp;L'!$C$38)</f>
        <v>47.76</v>
      </c>
      <c r="H203" s="134">
        <f>((H97+H61)*'Data - P&amp;L'!$C$38)</f>
        <v>191.04</v>
      </c>
      <c r="I203" s="134">
        <f>((I97+I61)*'Data - P&amp;L'!$C$38)</f>
        <v>274.62</v>
      </c>
      <c r="J203" s="134">
        <f>((J97+J61)*'Data - P&amp;L'!$C$38)</f>
        <v>262.68</v>
      </c>
      <c r="K203" s="134">
        <f>((K97+K61)*'Data - P&amp;L'!$C$38)</f>
        <v>274.62</v>
      </c>
      <c r="L203" s="134">
        <f>((L97+L61)*'Data - P&amp;L'!$C$38)</f>
        <v>346.26</v>
      </c>
      <c r="M203" s="134">
        <f>((M97+M61)*'Data - P&amp;L'!$C$38)</f>
        <v>1098.48</v>
      </c>
      <c r="N203" s="134">
        <f>((N97+N61)*'Data - P&amp;L'!$C$38)</f>
        <v>489.54</v>
      </c>
      <c r="O203" s="134">
        <f>((O97+O61)*'Data - P&amp;L'!$C$38)</f>
        <v>23.88</v>
      </c>
      <c r="P203" s="134">
        <f>((P97+P61)*'Data - P&amp;L'!$C$38)</f>
        <v>59.7</v>
      </c>
      <c r="Q203" s="134">
        <f>((Q97+Q61)*'Data - P&amp;L'!$C$38)</f>
        <v>35.82</v>
      </c>
      <c r="R203" s="134">
        <f>((R97+R61)*'Data - P&amp;L'!$C$38)</f>
        <v>95.52</v>
      </c>
      <c r="S203" s="134">
        <f>((S97+S61)*'Data - P&amp;L'!$C$38)</f>
        <v>71.64</v>
      </c>
      <c r="T203" s="134">
        <f>((T97+T61)*'Data - P&amp;L'!$C$38)</f>
        <v>-11.94</v>
      </c>
      <c r="U203" s="134">
        <f>((U97+U61)*'Data - P&amp;L'!$C$38)</f>
        <v>0</v>
      </c>
      <c r="V203" s="134">
        <f>((V97+V61)*'Data - P&amp;L'!$C$38)</f>
        <v>0</v>
      </c>
      <c r="W203" s="134">
        <f>((W97+W61)*'Data - P&amp;L'!$C$38)</f>
        <v>35.82</v>
      </c>
      <c r="X203" s="134">
        <f>((X97+X61)*'Data - P&amp;L'!$C$38)</f>
        <v>0</v>
      </c>
      <c r="Y203" s="134">
        <f>((Y97+Y61)*'Data - P&amp;L'!$C$38)</f>
        <v>47.76</v>
      </c>
      <c r="Z203" s="134">
        <f>((Z97+Z61)*'Data - P&amp;L'!$C$38)</f>
        <v>83.58</v>
      </c>
      <c r="AA203" s="134">
        <f>((AA97+AA61)*'Data - P&amp;L'!$C$38)</f>
        <v>0</v>
      </c>
      <c r="AB203" s="134">
        <f>((AB97+AB61)*'Data - P&amp;L'!$C$38)</f>
        <v>11.94</v>
      </c>
      <c r="AC203" s="134">
        <f>((AC97+AC61)*'Data - P&amp;L'!$C$38)</f>
        <v>35.82</v>
      </c>
      <c r="AD203" s="134">
        <f>((AD97+AD61)*'Data - P&amp;L'!$C$38)</f>
        <v>131.34</v>
      </c>
      <c r="AE203" s="134" t="str">
        <f>((AE97+AE61)*'Data - P&amp;L'!$C$38)</f>
        <v>#REF!</v>
      </c>
      <c r="AF203" s="134" t="str">
        <f>((AF97+AF61)*'Data - P&amp;L'!$C$38)</f>
        <v>#REF!</v>
      </c>
      <c r="AG203" s="817" t="str">
        <f t="shared" ref="AG203:AG228" si="74">SUM(B203:AF203)</f>
        <v>#REF!</v>
      </c>
    </row>
    <row r="204">
      <c r="A204" s="210" t="s">
        <v>1316</v>
      </c>
      <c r="B204" s="253">
        <f>((B97)*'Data - P&amp;L'!$C$34)</f>
        <v>206.94</v>
      </c>
      <c r="C204" s="253">
        <f>((C97)*'Data - P&amp;L'!$C$34)</f>
        <v>34.49</v>
      </c>
      <c r="D204" s="253">
        <f>((D97)*'Data - P&amp;L'!$C$34)</f>
        <v>68.98</v>
      </c>
      <c r="E204" s="253">
        <f>((E97)*'Data - P&amp;L'!$C$34)</f>
        <v>34.49</v>
      </c>
      <c r="F204" s="253">
        <f>((F97)*'Data - P&amp;L'!$C$34)</f>
        <v>34.49</v>
      </c>
      <c r="G204" s="253">
        <f>((G97)*'Data - P&amp;L'!$C$34)</f>
        <v>-103.47</v>
      </c>
      <c r="H204" s="253">
        <f>((H97)*'Data - P&amp;L'!$C$34)</f>
        <v>172.45</v>
      </c>
      <c r="I204" s="253">
        <f>((I97)*'Data - P&amp;L'!$C$34)</f>
        <v>655.31</v>
      </c>
      <c r="J204" s="253">
        <f>((J97)*'Data - P&amp;L'!$C$34)</f>
        <v>103.47</v>
      </c>
      <c r="K204" s="253">
        <f>((K97)*'Data - P&amp;L'!$C$34)</f>
        <v>137.96</v>
      </c>
      <c r="L204" s="253">
        <f>((L97)*'Data - P&amp;L'!$C$34)</f>
        <v>172.45</v>
      </c>
      <c r="M204" s="253">
        <f>((M97)*'Data - P&amp;L'!$C$34)</f>
        <v>3173.08</v>
      </c>
      <c r="N204" s="253">
        <f>((N97)*'Data - P&amp;L'!$C$34)</f>
        <v>1000.21</v>
      </c>
      <c r="O204" s="253">
        <f>((O97)*'Data - P&amp;L'!$C$34)</f>
        <v>0</v>
      </c>
      <c r="P204" s="253">
        <f>((P97)*'Data - P&amp;L'!$C$34)</f>
        <v>0</v>
      </c>
      <c r="Q204" s="253">
        <f>((Q97)*'Data - P&amp;L'!$C$34)</f>
        <v>0</v>
      </c>
      <c r="R204" s="253">
        <f>((R97)*'Data - P&amp;L'!$C$34)</f>
        <v>103.47</v>
      </c>
      <c r="S204" s="253">
        <f>((S97)*'Data - P&amp;L'!$C$34)</f>
        <v>68.98</v>
      </c>
      <c r="T204" s="253">
        <f>((T97)*'Data - P&amp;L'!$C$34)</f>
        <v>-34.49</v>
      </c>
      <c r="U204" s="253">
        <f>((U97)*'Data - P&amp;L'!$C$34)</f>
        <v>0</v>
      </c>
      <c r="V204" s="253">
        <f>((V97)*'Data - P&amp;L'!$C$34)</f>
        <v>-34.49</v>
      </c>
      <c r="W204" s="253">
        <f>((W97)*'Data - P&amp;L'!$C$34)</f>
        <v>0</v>
      </c>
      <c r="X204" s="253">
        <f>((X97)*'Data - P&amp;L'!$C$34)</f>
        <v>0</v>
      </c>
      <c r="Y204" s="253">
        <f>((Y97)*'Data - P&amp;L'!$C$34)</f>
        <v>-34.49</v>
      </c>
      <c r="Z204" s="253">
        <f>((Z97)*'Data - P&amp;L'!$C$34)</f>
        <v>0</v>
      </c>
      <c r="AA204" s="253">
        <f>((AA97)*'Data - P&amp;L'!$C$34)</f>
        <v>0</v>
      </c>
      <c r="AB204" s="253">
        <f>((AB97)*'Data - P&amp;L'!$C$34)</f>
        <v>0</v>
      </c>
      <c r="AC204" s="253">
        <f>((AC97)*'Data - P&amp;L'!$C$34)</f>
        <v>0</v>
      </c>
      <c r="AD204" s="253">
        <f>((AD97)*'Data - P&amp;L'!$C$34)</f>
        <v>0</v>
      </c>
      <c r="AE204" s="253">
        <f>((AE97)*'Data - P&amp;L'!$C$34)</f>
        <v>0</v>
      </c>
      <c r="AF204" s="253">
        <f>((AF97)*'Data - P&amp;L'!$C$34)</f>
        <v>0</v>
      </c>
      <c r="AG204" s="817">
        <f t="shared" si="74"/>
        <v>5759.83</v>
      </c>
    </row>
    <row r="205">
      <c r="A205" s="210" t="s">
        <v>1317</v>
      </c>
      <c r="B205" s="260">
        <f>(B107*'Data - P&amp;L'!$D$38)</f>
        <v>0</v>
      </c>
      <c r="C205" s="260">
        <f>(C107*'Data - P&amp;L'!$D$38)</f>
        <v>0</v>
      </c>
      <c r="D205" s="260">
        <f>(D107*'Data - P&amp;L'!$D$38)</f>
        <v>0</v>
      </c>
      <c r="E205" s="260">
        <f>(E107*'Data - P&amp;L'!$D$38)</f>
        <v>0</v>
      </c>
      <c r="F205" s="260">
        <f>(F107*'Data - P&amp;L'!$D$38)</f>
        <v>0</v>
      </c>
      <c r="G205" s="260">
        <f>(G107*'Data - P&amp;L'!$D$38)</f>
        <v>-1.435</v>
      </c>
      <c r="H205" s="260">
        <f>(H107*'Data - P&amp;L'!$D$38)</f>
        <v>0</v>
      </c>
      <c r="I205" s="260">
        <f>(I107*'Data - P&amp;L'!$D$38)</f>
        <v>0</v>
      </c>
      <c r="J205" s="260">
        <f>(J107*'Data - P&amp;L'!$D$38)</f>
        <v>0</v>
      </c>
      <c r="K205" s="260">
        <f>(K107*'Data - P&amp;L'!$D$38)</f>
        <v>0</v>
      </c>
      <c r="L205" s="260">
        <f>(L107*'Data - P&amp;L'!$D$38)</f>
        <v>0</v>
      </c>
      <c r="M205" s="260">
        <f>(M107*'Data - P&amp;L'!$D$38)</f>
        <v>0</v>
      </c>
      <c r="N205" s="260">
        <f>(N107*'Data - P&amp;L'!$D$38)</f>
        <v>-1.435</v>
      </c>
      <c r="O205" s="260">
        <f>(O107*'Data - P&amp;L'!$D$38)</f>
        <v>0</v>
      </c>
      <c r="P205" s="260">
        <f>(P107*'Data - P&amp;L'!$D$38)</f>
        <v>0</v>
      </c>
      <c r="Q205" s="260">
        <f>(Q107*'Data - P&amp;L'!$D$38)</f>
        <v>0</v>
      </c>
      <c r="R205" s="260">
        <f>(R107*'Data - P&amp;L'!$D$38)</f>
        <v>0</v>
      </c>
      <c r="S205" s="260">
        <f>(S107*'Data - P&amp;L'!$D$38)</f>
        <v>0</v>
      </c>
      <c r="T205" s="260">
        <f>(T107*'Data - P&amp;L'!$D$38)</f>
        <v>-4.305</v>
      </c>
      <c r="U205" s="260">
        <f>(U107*'Data - P&amp;L'!$D$38)</f>
        <v>0</v>
      </c>
      <c r="V205" s="260">
        <f>(V107*'Data - P&amp;L'!$D$38)</f>
        <v>-1.435</v>
      </c>
      <c r="W205" s="260">
        <f>(W107*'Data - P&amp;L'!$D$38)</f>
        <v>0</v>
      </c>
      <c r="X205" s="260">
        <f>(X107*'Data - P&amp;L'!$D$38)</f>
        <v>0</v>
      </c>
      <c r="Y205" s="260">
        <f>(Y107*'Data - P&amp;L'!$D$38)</f>
        <v>-1.435</v>
      </c>
      <c r="Z205" s="260">
        <f>(Z107*'Data - P&amp;L'!$D$38)</f>
        <v>0</v>
      </c>
      <c r="AA205" s="260">
        <f>(AA107*'Data - P&amp;L'!$D$38)</f>
        <v>0</v>
      </c>
      <c r="AB205" s="260">
        <f>(AB107*'Data - P&amp;L'!$D$38)</f>
        <v>0</v>
      </c>
      <c r="AC205" s="260">
        <f>(AC107*'Data - P&amp;L'!$D$38)</f>
        <v>0</v>
      </c>
      <c r="AD205" s="260">
        <f>(AD107*'Data - P&amp;L'!$D$38)</f>
        <v>0</v>
      </c>
      <c r="AE205" s="260">
        <f>(AE107*'Data - P&amp;L'!$D$38)</f>
        <v>0</v>
      </c>
      <c r="AF205" s="260">
        <f>(AF107*'Data - P&amp;L'!$D$38)</f>
        <v>0</v>
      </c>
      <c r="AG205" s="817">
        <f t="shared" si="74"/>
        <v>-10.045</v>
      </c>
    </row>
    <row r="206">
      <c r="A206" s="210" t="s">
        <v>1318</v>
      </c>
      <c r="B206" s="260">
        <f>(B107*'Data - P&amp;L'!$D$34)</f>
        <v>0</v>
      </c>
      <c r="C206" s="260">
        <f>(C107*'Data - P&amp;L'!$D$34)</f>
        <v>0</v>
      </c>
      <c r="D206" s="260">
        <f>(D107*'Data - P&amp;L'!$D$34)</f>
        <v>0</v>
      </c>
      <c r="E206" s="260">
        <f>(E107*'Data - P&amp;L'!$D$34)</f>
        <v>0</v>
      </c>
      <c r="F206" s="260">
        <f>(F107*'Data - P&amp;L'!$D$34)</f>
        <v>0</v>
      </c>
      <c r="G206" s="260">
        <f>(G107*'Data - P&amp;L'!$D$34)</f>
        <v>-9.68</v>
      </c>
      <c r="H206" s="260">
        <f>(H107*'Data - P&amp;L'!$D$34)</f>
        <v>0</v>
      </c>
      <c r="I206" s="260">
        <f>(I107*'Data - P&amp;L'!$D$34)</f>
        <v>0</v>
      </c>
      <c r="J206" s="260">
        <f>(J107*'Data - P&amp;L'!$D$34)</f>
        <v>0</v>
      </c>
      <c r="K206" s="260">
        <f>(K107*'Data - P&amp;L'!$D$34)</f>
        <v>0</v>
      </c>
      <c r="L206" s="260">
        <f>(L107*'Data - P&amp;L'!$D$34)</f>
        <v>0</v>
      </c>
      <c r="M206" s="260">
        <f>(M107*'Data - P&amp;L'!$D$34)</f>
        <v>0</v>
      </c>
      <c r="N206" s="260">
        <f>(N107*'Data - P&amp;L'!$D$34)</f>
        <v>-9.68</v>
      </c>
      <c r="O206" s="260">
        <f>(O107*'Data - P&amp;L'!$D$34)</f>
        <v>0</v>
      </c>
      <c r="P206" s="260">
        <f>(P107*'Data - P&amp;L'!$D$34)</f>
        <v>0</v>
      </c>
      <c r="Q206" s="260">
        <f>(Q107*'Data - P&amp;L'!$D$34)</f>
        <v>0</v>
      </c>
      <c r="R206" s="260">
        <f>(R107*'Data - P&amp;L'!$D$34)</f>
        <v>0</v>
      </c>
      <c r="S206" s="260">
        <f>(S107*'Data - P&amp;L'!$D$34)</f>
        <v>0</v>
      </c>
      <c r="T206" s="260">
        <f>(T107*'Data - P&amp;L'!$D$34)</f>
        <v>-29.04</v>
      </c>
      <c r="U206" s="260">
        <f>(U107*'Data - P&amp;L'!$D$34)</f>
        <v>0</v>
      </c>
      <c r="V206" s="260">
        <f>(V107*'Data - P&amp;L'!$D$34)</f>
        <v>-9.68</v>
      </c>
      <c r="W206" s="260">
        <f>(W107*'Data - P&amp;L'!$D$34)</f>
        <v>0</v>
      </c>
      <c r="X206" s="260">
        <f>(X107*'Data - P&amp;L'!$D$34)</f>
        <v>0</v>
      </c>
      <c r="Y206" s="260">
        <f>(Y107*'Data - P&amp;L'!$D$34)</f>
        <v>-9.68</v>
      </c>
      <c r="Z206" s="260">
        <f>(Z107*'Data - P&amp;L'!$D$34)</f>
        <v>0</v>
      </c>
      <c r="AA206" s="260">
        <f>(AA107*'Data - P&amp;L'!$D$34)</f>
        <v>0</v>
      </c>
      <c r="AB206" s="260">
        <f>(AB107*'Data - P&amp;L'!$D$34)</f>
        <v>0</v>
      </c>
      <c r="AC206" s="260">
        <f>(AC107*'Data - P&amp;L'!$D$34)</f>
        <v>0</v>
      </c>
      <c r="AD206" s="260">
        <f>(AD107*'Data - P&amp;L'!$D$34)</f>
        <v>0</v>
      </c>
      <c r="AE206" s="260">
        <f>(AE107*'Data - P&amp;L'!$D$34)</f>
        <v>0</v>
      </c>
      <c r="AF206" s="260">
        <f>(AF107*'Data - P&amp;L'!$D$34)</f>
        <v>0</v>
      </c>
      <c r="AG206" s="817">
        <f t="shared" si="74"/>
        <v>-67.76</v>
      </c>
    </row>
    <row r="207">
      <c r="A207" s="369" t="s">
        <v>1319</v>
      </c>
      <c r="B207" s="260">
        <f t="shared" ref="B207:AF207" si="75">B20*0.06</f>
        <v>38.20912632</v>
      </c>
      <c r="C207" s="260">
        <f t="shared" si="75"/>
        <v>19.10456316</v>
      </c>
      <c r="D207" s="260">
        <f t="shared" si="75"/>
        <v>57.31368948</v>
      </c>
      <c r="E207" s="260">
        <f t="shared" si="75"/>
        <v>19.10456316</v>
      </c>
      <c r="F207" s="260">
        <f t="shared" si="75"/>
        <v>0</v>
      </c>
      <c r="G207" s="260">
        <f t="shared" si="75"/>
        <v>0</v>
      </c>
      <c r="H207" s="260">
        <f t="shared" si="75"/>
        <v>57.31368948</v>
      </c>
      <c r="I207" s="260">
        <f t="shared" si="75"/>
        <v>57.31368948</v>
      </c>
      <c r="J207" s="260">
        <f t="shared" si="75"/>
        <v>38.20912632</v>
      </c>
      <c r="K207" s="260">
        <f t="shared" si="75"/>
        <v>19.10456316</v>
      </c>
      <c r="L207" s="260">
        <f t="shared" si="75"/>
        <v>19.10456316</v>
      </c>
      <c r="M207" s="260">
        <f t="shared" si="75"/>
        <v>19.10456316</v>
      </c>
      <c r="N207" s="260">
        <f t="shared" si="75"/>
        <v>0</v>
      </c>
      <c r="O207" s="260">
        <f t="shared" si="75"/>
        <v>0</v>
      </c>
      <c r="P207" s="260">
        <f t="shared" si="75"/>
        <v>0</v>
      </c>
      <c r="Q207" s="260">
        <f t="shared" si="75"/>
        <v>19.10456316</v>
      </c>
      <c r="R207" s="260">
        <f t="shared" si="75"/>
        <v>0</v>
      </c>
      <c r="S207" s="260">
        <f t="shared" si="75"/>
        <v>0</v>
      </c>
      <c r="T207" s="260">
        <f t="shared" si="75"/>
        <v>38.20912632</v>
      </c>
      <c r="U207" s="260">
        <f t="shared" si="75"/>
        <v>0</v>
      </c>
      <c r="V207" s="260">
        <f t="shared" si="75"/>
        <v>0</v>
      </c>
      <c r="W207" s="260">
        <f t="shared" si="75"/>
        <v>0</v>
      </c>
      <c r="X207" s="260">
        <f t="shared" si="75"/>
        <v>19.10456316</v>
      </c>
      <c r="Y207" s="260">
        <f t="shared" si="75"/>
        <v>0</v>
      </c>
      <c r="Z207" s="260">
        <f t="shared" si="75"/>
        <v>0</v>
      </c>
      <c r="AA207" s="260">
        <f t="shared" si="75"/>
        <v>0</v>
      </c>
      <c r="AB207" s="260">
        <f t="shared" si="75"/>
        <v>57.31368948</v>
      </c>
      <c r="AC207" s="260">
        <f t="shared" si="75"/>
        <v>19.10456316</v>
      </c>
      <c r="AD207" s="260">
        <f t="shared" si="75"/>
        <v>0</v>
      </c>
      <c r="AE207" s="260" t="str">
        <f t="shared" si="75"/>
        <v>#REF!</v>
      </c>
      <c r="AF207" s="260" t="str">
        <f t="shared" si="75"/>
        <v>#REF!</v>
      </c>
      <c r="AG207" s="817" t="str">
        <f t="shared" si="74"/>
        <v>#REF!</v>
      </c>
    </row>
    <row r="208" collapsed="1">
      <c r="A208" s="374" t="s">
        <v>603</v>
      </c>
      <c r="B208" s="262" t="str">
        <f t="shared" ref="B208:AF208" si="76">iferror(B209+B210+B211+B212+B213,"")</f>
        <v/>
      </c>
      <c r="C208" s="262" t="str">
        <f t="shared" si="76"/>
        <v/>
      </c>
      <c r="D208" s="262" t="str">
        <f t="shared" si="76"/>
        <v/>
      </c>
      <c r="E208" s="262" t="str">
        <f t="shared" si="76"/>
        <v/>
      </c>
      <c r="F208" s="262" t="str">
        <f t="shared" si="76"/>
        <v/>
      </c>
      <c r="G208" s="262" t="str">
        <f t="shared" si="76"/>
        <v/>
      </c>
      <c r="H208" s="262" t="str">
        <f t="shared" si="76"/>
        <v/>
      </c>
      <c r="I208" s="262" t="str">
        <f t="shared" si="76"/>
        <v/>
      </c>
      <c r="J208" s="262" t="str">
        <f t="shared" si="76"/>
        <v/>
      </c>
      <c r="K208" s="262" t="str">
        <f t="shared" si="76"/>
        <v/>
      </c>
      <c r="L208" s="262" t="str">
        <f t="shared" si="76"/>
        <v/>
      </c>
      <c r="M208" s="262" t="str">
        <f t="shared" si="76"/>
        <v/>
      </c>
      <c r="N208" s="262" t="str">
        <f t="shared" si="76"/>
        <v/>
      </c>
      <c r="O208" s="262" t="str">
        <f t="shared" si="76"/>
        <v/>
      </c>
      <c r="P208" s="262" t="str">
        <f t="shared" si="76"/>
        <v/>
      </c>
      <c r="Q208" s="262" t="str">
        <f t="shared" si="76"/>
        <v/>
      </c>
      <c r="R208" s="262" t="str">
        <f t="shared" si="76"/>
        <v/>
      </c>
      <c r="S208" s="262" t="str">
        <f t="shared" si="76"/>
        <v/>
      </c>
      <c r="T208" s="262" t="str">
        <f t="shared" si="76"/>
        <v/>
      </c>
      <c r="U208" s="262" t="str">
        <f t="shared" si="76"/>
        <v/>
      </c>
      <c r="V208" s="262" t="str">
        <f t="shared" si="76"/>
        <v/>
      </c>
      <c r="W208" s="262" t="str">
        <f t="shared" si="76"/>
        <v/>
      </c>
      <c r="X208" s="262" t="str">
        <f t="shared" si="76"/>
        <v/>
      </c>
      <c r="Y208" s="262" t="str">
        <f t="shared" si="76"/>
        <v/>
      </c>
      <c r="Z208" s="262" t="str">
        <f t="shared" si="76"/>
        <v/>
      </c>
      <c r="AA208" s="262" t="str">
        <f t="shared" si="76"/>
        <v/>
      </c>
      <c r="AB208" s="262" t="str">
        <f t="shared" si="76"/>
        <v/>
      </c>
      <c r="AC208" s="262" t="str">
        <f t="shared" si="76"/>
        <v/>
      </c>
      <c r="AD208" s="262" t="str">
        <f t="shared" si="76"/>
        <v/>
      </c>
      <c r="AE208" s="262" t="str">
        <f t="shared" si="76"/>
        <v/>
      </c>
      <c r="AF208" s="262" t="str">
        <f t="shared" si="76"/>
        <v/>
      </c>
      <c r="AG208" s="817">
        <f t="shared" si="74"/>
        <v>0</v>
      </c>
    </row>
    <row r="209" hidden="1" outlineLevel="1">
      <c r="A209" s="215" t="s">
        <v>1320</v>
      </c>
      <c r="B209" s="263">
        <f t="shared" ref="B209:AF209" si="77">B4+B16+B21</f>
        <v>1273.637544</v>
      </c>
      <c r="C209" s="263">
        <f t="shared" si="77"/>
        <v>636.818772</v>
      </c>
      <c r="D209" s="263">
        <f t="shared" si="77"/>
        <v>1910.456316</v>
      </c>
      <c r="E209" s="263">
        <f t="shared" si="77"/>
        <v>636.818772</v>
      </c>
      <c r="F209" s="263">
        <f t="shared" si="77"/>
        <v>0</v>
      </c>
      <c r="G209" s="263">
        <f t="shared" si="77"/>
        <v>0</v>
      </c>
      <c r="H209" s="263">
        <f t="shared" si="77"/>
        <v>1910.456316</v>
      </c>
      <c r="I209" s="263">
        <f t="shared" si="77"/>
        <v>1910.456316</v>
      </c>
      <c r="J209" s="263">
        <f t="shared" si="77"/>
        <v>1273.637544</v>
      </c>
      <c r="K209" s="263">
        <f t="shared" si="77"/>
        <v>636.818772</v>
      </c>
      <c r="L209" s="263">
        <f t="shared" si="77"/>
        <v>636.818772</v>
      </c>
      <c r="M209" s="263">
        <f t="shared" si="77"/>
        <v>636.818772</v>
      </c>
      <c r="N209" s="263">
        <f t="shared" si="77"/>
        <v>0</v>
      </c>
      <c r="O209" s="263">
        <f t="shared" si="77"/>
        <v>0</v>
      </c>
      <c r="P209" s="263">
        <f t="shared" si="77"/>
        <v>0</v>
      </c>
      <c r="Q209" s="263">
        <f t="shared" si="77"/>
        <v>636.818772</v>
      </c>
      <c r="R209" s="263">
        <f t="shared" si="77"/>
        <v>0</v>
      </c>
      <c r="S209" s="263">
        <f t="shared" si="77"/>
        <v>0</v>
      </c>
      <c r="T209" s="263">
        <f t="shared" si="77"/>
        <v>1273.637544</v>
      </c>
      <c r="U209" s="263">
        <f t="shared" si="77"/>
        <v>0</v>
      </c>
      <c r="V209" s="263">
        <f t="shared" si="77"/>
        <v>0</v>
      </c>
      <c r="W209" s="263">
        <f t="shared" si="77"/>
        <v>0</v>
      </c>
      <c r="X209" s="263">
        <f t="shared" si="77"/>
        <v>636.818772</v>
      </c>
      <c r="Y209" s="263">
        <f t="shared" si="77"/>
        <v>0</v>
      </c>
      <c r="Z209" s="263">
        <f t="shared" si="77"/>
        <v>0</v>
      </c>
      <c r="AA209" s="263">
        <f t="shared" si="77"/>
        <v>0</v>
      </c>
      <c r="AB209" s="263">
        <f t="shared" si="77"/>
        <v>1910.456316</v>
      </c>
      <c r="AC209" s="263">
        <f t="shared" si="77"/>
        <v>636.818772</v>
      </c>
      <c r="AD209" s="263">
        <f t="shared" si="77"/>
        <v>0</v>
      </c>
      <c r="AE209" s="263" t="str">
        <f t="shared" si="77"/>
        <v>#REF!</v>
      </c>
      <c r="AF209" s="263" t="str">
        <f t="shared" si="77"/>
        <v>#REF!</v>
      </c>
      <c r="AG209" s="817" t="str">
        <f t="shared" si="74"/>
        <v>#REF!</v>
      </c>
    </row>
    <row r="210" hidden="1" outlineLevel="1">
      <c r="A210" s="215" t="s">
        <v>1321</v>
      </c>
      <c r="B210" s="253">
        <f t="shared" ref="B210:AF210" si="78">(B23+B28+B32)</f>
        <v>0</v>
      </c>
      <c r="C210" s="253">
        <f t="shared" si="78"/>
        <v>0</v>
      </c>
      <c r="D210" s="253">
        <f t="shared" si="78"/>
        <v>0</v>
      </c>
      <c r="E210" s="253">
        <f t="shared" si="78"/>
        <v>0</v>
      </c>
      <c r="F210" s="253">
        <f t="shared" si="78"/>
        <v>0</v>
      </c>
      <c r="G210" s="253">
        <f t="shared" si="78"/>
        <v>0</v>
      </c>
      <c r="H210" s="253">
        <f t="shared" si="78"/>
        <v>1</v>
      </c>
      <c r="I210" s="253">
        <f t="shared" si="78"/>
        <v>1</v>
      </c>
      <c r="J210" s="253">
        <f t="shared" si="78"/>
        <v>0</v>
      </c>
      <c r="K210" s="253">
        <f t="shared" si="78"/>
        <v>1</v>
      </c>
      <c r="L210" s="253">
        <f t="shared" si="78"/>
        <v>0</v>
      </c>
      <c r="M210" s="253">
        <f t="shared" si="78"/>
        <v>2</v>
      </c>
      <c r="N210" s="253">
        <f t="shared" si="78"/>
        <v>3</v>
      </c>
      <c r="O210" s="253">
        <f t="shared" si="78"/>
        <v>0</v>
      </c>
      <c r="P210" s="253">
        <f t="shared" si="78"/>
        <v>0</v>
      </c>
      <c r="Q210" s="253">
        <f t="shared" si="78"/>
        <v>0</v>
      </c>
      <c r="R210" s="253">
        <f t="shared" si="78"/>
        <v>0</v>
      </c>
      <c r="S210" s="253">
        <f t="shared" si="78"/>
        <v>0</v>
      </c>
      <c r="T210" s="253">
        <f t="shared" si="78"/>
        <v>0</v>
      </c>
      <c r="U210" s="253">
        <f t="shared" si="78"/>
        <v>0</v>
      </c>
      <c r="V210" s="253">
        <f t="shared" si="78"/>
        <v>0</v>
      </c>
      <c r="W210" s="253">
        <f t="shared" si="78"/>
        <v>0</v>
      </c>
      <c r="X210" s="253">
        <f t="shared" si="78"/>
        <v>0</v>
      </c>
      <c r="Y210" s="253">
        <f t="shared" si="78"/>
        <v>0</v>
      </c>
      <c r="Z210" s="253">
        <f t="shared" si="78"/>
        <v>0</v>
      </c>
      <c r="AA210" s="253">
        <f t="shared" si="78"/>
        <v>0</v>
      </c>
      <c r="AB210" s="253">
        <f t="shared" si="78"/>
        <v>0</v>
      </c>
      <c r="AC210" s="253">
        <f t="shared" si="78"/>
        <v>0</v>
      </c>
      <c r="AD210" s="253">
        <f t="shared" si="78"/>
        <v>0</v>
      </c>
      <c r="AE210" s="253">
        <f t="shared" si="78"/>
        <v>0</v>
      </c>
      <c r="AF210" s="253">
        <f t="shared" si="78"/>
        <v>0</v>
      </c>
      <c r="AG210" s="817">
        <f t="shared" si="74"/>
        <v>8</v>
      </c>
    </row>
    <row r="211" hidden="1" outlineLevel="1">
      <c r="A211" s="832" t="s">
        <v>1322</v>
      </c>
      <c r="B211" s="253" t="str">
        <f>(#REF!*'Data - P&amp;L'!$R$3)+(#REF!*'Data - P&amp;L'!$R$4)+(#REF!*'Data - P&amp;L'!$R$5)</f>
        <v>#REF!</v>
      </c>
      <c r="C211" s="253" t="str">
        <f>(#REF!*'Data - P&amp;L'!$R$3)+(#REF!*'Data - P&amp;L'!$R$4)+(#REF!*'Data - P&amp;L'!$R$5)</f>
        <v>#REF!</v>
      </c>
      <c r="D211" s="253" t="str">
        <f>(#REF!*'Data - P&amp;L'!$R$3)+(#REF!*'Data - P&amp;L'!$R$4)+(#REF!*'Data - P&amp;L'!$R$5)</f>
        <v>#REF!</v>
      </c>
      <c r="E211" s="253" t="str">
        <f>(#REF!*'Data - P&amp;L'!$R$3)+(#REF!*'Data - P&amp;L'!$R$4)+(#REF!*'Data - P&amp;L'!$R$5)</f>
        <v>#REF!</v>
      </c>
      <c r="F211" s="253" t="str">
        <f>(#REF!*'Data - P&amp;L'!$R$3)+(#REF!*'Data - P&amp;L'!$R$4)+(#REF!*'Data - P&amp;L'!$R$5)</f>
        <v>#REF!</v>
      </c>
      <c r="G211" s="253" t="str">
        <f>(#REF!*'Data - P&amp;L'!$R$3)+(#REF!*'Data - P&amp;L'!$R$4)+(#REF!*'Data - P&amp;L'!$R$5)</f>
        <v>#REF!</v>
      </c>
      <c r="H211" s="253" t="str">
        <f>(#REF!*'Data - P&amp;L'!$R$3)+(#REF!*'Data - P&amp;L'!$R$4)+(#REF!*'Data - P&amp;L'!$R$5)</f>
        <v>#REF!</v>
      </c>
      <c r="I211" s="253" t="str">
        <f>(#REF!*'Data - P&amp;L'!$R$3)+(#REF!*'Data - P&amp;L'!$R$4)+(#REF!*'Data - P&amp;L'!$R$5)</f>
        <v>#REF!</v>
      </c>
      <c r="J211" s="253" t="str">
        <f>(#REF!*'Data - P&amp;L'!$R$3)+(#REF!*'Data - P&amp;L'!$R$4)+(#REF!*'Data - P&amp;L'!$R$5)</f>
        <v>#REF!</v>
      </c>
      <c r="K211" s="253" t="str">
        <f>(#REF!*'Data - P&amp;L'!$R$3)+(#REF!*'Data - P&amp;L'!$R$4)+(#REF!*'Data - P&amp;L'!$R$5)</f>
        <v>#REF!</v>
      </c>
      <c r="L211" s="253" t="str">
        <f>(#REF!*'Data - P&amp;L'!$R$3)+(#REF!*'Data - P&amp;L'!$R$4)+(#REF!*'Data - P&amp;L'!$R$5)</f>
        <v>#REF!</v>
      </c>
      <c r="M211" s="253" t="str">
        <f>(#REF!*'Data - P&amp;L'!$R$3)+(#REF!*'Data - P&amp;L'!$R$4)+(#REF!*'Data - P&amp;L'!$R$5)</f>
        <v>#REF!</v>
      </c>
      <c r="N211" s="253" t="str">
        <f>(#REF!*'Data - P&amp;L'!$R$3)+(#REF!*'Data - P&amp;L'!$R$4)+(#REF!*'Data - P&amp;L'!$R$5)</f>
        <v>#REF!</v>
      </c>
      <c r="O211" s="253" t="str">
        <f>(#REF!*'Data - P&amp;L'!$R$3)+(#REF!*'Data - P&amp;L'!$R$4)+(#REF!*'Data - P&amp;L'!$R$5)</f>
        <v>#REF!</v>
      </c>
      <c r="P211" s="253" t="str">
        <f>(#REF!*'Data - P&amp;L'!$R$3)+(#REF!*'Data - P&amp;L'!$R$4)+(#REF!*'Data - P&amp;L'!$R$5)</f>
        <v>#REF!</v>
      </c>
      <c r="Q211" s="253" t="str">
        <f>(#REF!*'Data - P&amp;L'!$R$3)+(#REF!*'Data - P&amp;L'!$R$4)+(#REF!*'Data - P&amp;L'!$R$5)</f>
        <v>#REF!</v>
      </c>
      <c r="R211" s="253" t="str">
        <f>(#REF!*'Data - P&amp;L'!$R$3)+(#REF!*'Data - P&amp;L'!$R$4)+(#REF!*'Data - P&amp;L'!$R$5)</f>
        <v>#REF!</v>
      </c>
      <c r="S211" s="253" t="str">
        <f>(#REF!*'Data - P&amp;L'!$R$3)+(#REF!*'Data - P&amp;L'!$R$4)+(#REF!*'Data - P&amp;L'!$R$5)</f>
        <v>#REF!</v>
      </c>
      <c r="T211" s="253" t="str">
        <f>(#REF!*'Data - P&amp;L'!$R$3)+(#REF!*'Data - P&amp;L'!$R$4)+(#REF!*'Data - P&amp;L'!$R$5)</f>
        <v>#REF!</v>
      </c>
      <c r="U211" s="253" t="str">
        <f>(#REF!*'Data - P&amp;L'!$R$3)+(#REF!*'Data - P&amp;L'!$R$4)+(#REF!*'Data - P&amp;L'!$R$5)</f>
        <v>#REF!</v>
      </c>
      <c r="V211" s="253" t="str">
        <f>(#REF!*'Data - P&amp;L'!$R$3)+(#REF!*'Data - P&amp;L'!$R$4)+(#REF!*'Data - P&amp;L'!$R$5)</f>
        <v>#REF!</v>
      </c>
      <c r="W211" s="253" t="str">
        <f>(#REF!*'Data - P&amp;L'!$R$3)+(#REF!*'Data - P&amp;L'!$R$4)+(#REF!*'Data - P&amp;L'!$R$5)</f>
        <v>#REF!</v>
      </c>
      <c r="X211" s="253" t="str">
        <f>(#REF!*'Data - P&amp;L'!$R$3)+(#REF!*'Data - P&amp;L'!$R$4)+(#REF!*'Data - P&amp;L'!$R$5)</f>
        <v>#REF!</v>
      </c>
      <c r="Y211" s="253" t="str">
        <f>(#REF!*'Data - P&amp;L'!$R$3)+(#REF!*'Data - P&amp;L'!$R$4)+(#REF!*'Data - P&amp;L'!$R$5)</f>
        <v>#REF!</v>
      </c>
      <c r="Z211" s="253" t="str">
        <f>(#REF!*'Data - P&amp;L'!$R$3)+(#REF!*'Data - P&amp;L'!$R$4)+(#REF!*'Data - P&amp;L'!$R$5)</f>
        <v>#REF!</v>
      </c>
      <c r="AA211" s="253" t="str">
        <f>(#REF!*'Data - P&amp;L'!$R$3)+(#REF!*'Data - P&amp;L'!$R$4)+(#REF!*'Data - P&amp;L'!$R$5)</f>
        <v>#REF!</v>
      </c>
      <c r="AB211" s="253" t="str">
        <f>(#REF!*'Data - P&amp;L'!$R$3)+(#REF!*'Data - P&amp;L'!$R$4)+(#REF!*'Data - P&amp;L'!$R$5)</f>
        <v>#REF!</v>
      </c>
      <c r="AC211" s="253" t="str">
        <f>(#REF!*'Data - P&amp;L'!$R$3)+(#REF!*'Data - P&amp;L'!$R$4)+(#REF!*'Data - P&amp;L'!$R$5)</f>
        <v>#REF!</v>
      </c>
      <c r="AD211" s="253" t="str">
        <f>(#REF!*'Data - P&amp;L'!$R$3)+(#REF!*'Data - P&amp;L'!$R$4)+(#REF!*'Data - P&amp;L'!$R$5)</f>
        <v>#REF!</v>
      </c>
      <c r="AE211" s="253" t="str">
        <f>(#REF!*'Data - P&amp;L'!$R$3)+(#REF!*'Data - P&amp;L'!$R$4)+(#REF!*'Data - P&amp;L'!$R$5)</f>
        <v>#REF!</v>
      </c>
      <c r="AF211" s="253" t="str">
        <f>(#REF!*'Data - P&amp;L'!$R$3)+(#REF!*'Data - P&amp;L'!$R$4)+(#REF!*'Data - P&amp;L'!$R$5)</f>
        <v>#REF!</v>
      </c>
      <c r="AG211" s="817" t="str">
        <f t="shared" si="74"/>
        <v>#REF!</v>
      </c>
    </row>
    <row r="212" hidden="1" outlineLevel="1">
      <c r="A212" s="215" t="s">
        <v>386</v>
      </c>
      <c r="B212" s="833">
        <v>0.0</v>
      </c>
      <c r="C212" s="833">
        <v>0.0</v>
      </c>
      <c r="D212" s="833">
        <v>0.0</v>
      </c>
      <c r="E212" s="834">
        <v>0.0</v>
      </c>
      <c r="F212" s="833">
        <v>0.0</v>
      </c>
      <c r="G212" s="833"/>
      <c r="H212" s="833"/>
      <c r="I212" s="833"/>
      <c r="J212" s="833"/>
      <c r="K212" s="833"/>
      <c r="L212" s="833"/>
      <c r="M212" s="833"/>
      <c r="N212" s="833"/>
      <c r="O212" s="833"/>
      <c r="P212" s="833"/>
      <c r="Q212" s="833"/>
      <c r="R212" s="833"/>
      <c r="S212" s="833"/>
      <c r="T212" s="833"/>
      <c r="U212" s="833"/>
      <c r="V212" s="833"/>
      <c r="W212" s="833"/>
      <c r="X212" s="833"/>
      <c r="Y212" s="833"/>
      <c r="Z212" s="833"/>
      <c r="AA212" s="833"/>
      <c r="AB212" s="833"/>
      <c r="AC212" s="833"/>
      <c r="AD212" s="833"/>
      <c r="AE212" s="833"/>
      <c r="AF212" s="833"/>
      <c r="AG212" s="817">
        <f t="shared" si="74"/>
        <v>0</v>
      </c>
    </row>
    <row r="213" hidden="1" outlineLevel="1">
      <c r="A213" s="215" t="s">
        <v>470</v>
      </c>
      <c r="B213" s="833">
        <v>27.0</v>
      </c>
      <c r="C213" s="833">
        <v>126.32</v>
      </c>
      <c r="D213" s="834">
        <v>0.0</v>
      </c>
      <c r="E213" s="834">
        <v>0.0</v>
      </c>
      <c r="F213" s="833">
        <v>0.0</v>
      </c>
      <c r="G213" s="833"/>
      <c r="H213" s="833"/>
      <c r="I213" s="833"/>
      <c r="J213" s="833"/>
      <c r="K213" s="833"/>
      <c r="L213" s="833"/>
      <c r="M213" s="833"/>
      <c r="N213" s="833"/>
      <c r="O213" s="833"/>
      <c r="P213" s="833"/>
      <c r="Q213" s="833"/>
      <c r="R213" s="833"/>
      <c r="S213" s="833"/>
      <c r="T213" s="833"/>
      <c r="U213" s="833"/>
      <c r="V213" s="833"/>
      <c r="W213" s="833"/>
      <c r="X213" s="833"/>
      <c r="Y213" s="833"/>
      <c r="Z213" s="833"/>
      <c r="AA213" s="833"/>
      <c r="AB213" s="833"/>
      <c r="AC213" s="833"/>
      <c r="AD213" s="833"/>
      <c r="AE213" s="833"/>
      <c r="AF213" s="833"/>
      <c r="AG213" s="817">
        <f t="shared" si="74"/>
        <v>153.32</v>
      </c>
    </row>
    <row r="214">
      <c r="A214" s="832" t="s">
        <v>1323</v>
      </c>
      <c r="B214" s="253" t="str">
        <f>#REF!*'Data - P&amp;L'!$C$27</f>
        <v>#REF!</v>
      </c>
      <c r="C214" s="253" t="str">
        <f>#REF!*'Data - P&amp;L'!$C$27</f>
        <v>#REF!</v>
      </c>
      <c r="D214" s="253" t="str">
        <f>#REF!*'Data - P&amp;L'!$C$27</f>
        <v>#REF!</v>
      </c>
      <c r="E214" s="253" t="str">
        <f>#REF!*'Data - P&amp;L'!$C$27</f>
        <v>#REF!</v>
      </c>
      <c r="F214" s="253" t="str">
        <f>#REF!*'Data - P&amp;L'!$C$27</f>
        <v>#REF!</v>
      </c>
      <c r="G214" s="253" t="str">
        <f>#REF!*'Data - P&amp;L'!$C$27</f>
        <v>#REF!</v>
      </c>
      <c r="H214" s="253" t="str">
        <f>#REF!*'Data - P&amp;L'!$C$27</f>
        <v>#REF!</v>
      </c>
      <c r="I214" s="253" t="str">
        <f>#REF!*'Data - P&amp;L'!$C$27</f>
        <v>#REF!</v>
      </c>
      <c r="J214" s="253" t="str">
        <f>#REF!*'Data - P&amp;L'!$C$27</f>
        <v>#REF!</v>
      </c>
      <c r="K214" s="253" t="str">
        <f>#REF!*'Data - P&amp;L'!$C$27</f>
        <v>#REF!</v>
      </c>
      <c r="L214" s="253" t="str">
        <f>#REF!*'Data - P&amp;L'!$C$27</f>
        <v>#REF!</v>
      </c>
      <c r="M214" s="253" t="str">
        <f>#REF!*'Data - P&amp;L'!$C$27</f>
        <v>#REF!</v>
      </c>
      <c r="N214" s="253" t="str">
        <f>#REF!*'Data - P&amp;L'!$C$27</f>
        <v>#REF!</v>
      </c>
      <c r="O214" s="253" t="str">
        <f>#REF!*'Data - P&amp;L'!$C$27</f>
        <v>#REF!</v>
      </c>
      <c r="P214" s="253" t="str">
        <f>#REF!*'Data - P&amp;L'!$C$27</f>
        <v>#REF!</v>
      </c>
      <c r="Q214" s="253" t="str">
        <f>#REF!*'Data - P&amp;L'!$C$27</f>
        <v>#REF!</v>
      </c>
      <c r="R214" s="253" t="str">
        <f>#REF!*'Data - P&amp;L'!$C$27</f>
        <v>#REF!</v>
      </c>
      <c r="S214" s="253" t="str">
        <f>#REF!*'Data - P&amp;L'!$C$27</f>
        <v>#REF!</v>
      </c>
      <c r="T214" s="253" t="str">
        <f>#REF!*'Data - P&amp;L'!$C$27</f>
        <v>#REF!</v>
      </c>
      <c r="U214" s="253" t="str">
        <f>#REF!*'Data - P&amp;L'!$C$27</f>
        <v>#REF!</v>
      </c>
      <c r="V214" s="253" t="str">
        <f>#REF!*'Data - P&amp;L'!$C$27</f>
        <v>#REF!</v>
      </c>
      <c r="W214" s="253" t="str">
        <f>#REF!*'Data - P&amp;L'!$C$27</f>
        <v>#REF!</v>
      </c>
      <c r="X214" s="253" t="str">
        <f>#REF!*'Data - P&amp;L'!$C$27</f>
        <v>#REF!</v>
      </c>
      <c r="Y214" s="253" t="str">
        <f>#REF!*'Data - P&amp;L'!$C$27</f>
        <v>#REF!</v>
      </c>
      <c r="Z214" s="253" t="str">
        <f>#REF!*'Data - P&amp;L'!$C$27</f>
        <v>#REF!</v>
      </c>
      <c r="AA214" s="253" t="str">
        <f>#REF!*'Data - P&amp;L'!$C$27</f>
        <v>#REF!</v>
      </c>
      <c r="AB214" s="253" t="str">
        <f>#REF!*'Data - P&amp;L'!$C$27</f>
        <v>#REF!</v>
      </c>
      <c r="AC214" s="253" t="str">
        <f>#REF!*'Data - P&amp;L'!$C$27</f>
        <v>#REF!</v>
      </c>
      <c r="AD214" s="253" t="str">
        <f>#REF!*'Data - P&amp;L'!$C$27</f>
        <v>#REF!</v>
      </c>
      <c r="AE214" s="253" t="str">
        <f>#REF!*'Data - P&amp;L'!$C$27</f>
        <v>#REF!</v>
      </c>
      <c r="AF214" s="253" t="str">
        <f>#REF!*'Data - P&amp;L'!$C$27</f>
        <v>#REF!</v>
      </c>
      <c r="AG214" s="817" t="str">
        <f t="shared" si="74"/>
        <v>#REF!</v>
      </c>
    </row>
    <row r="215" collapsed="1">
      <c r="A215" s="392" t="s">
        <v>1324</v>
      </c>
      <c r="B215" s="253">
        <f t="shared" ref="B215:AF215" si="79">sum(B216:B221)</f>
        <v>14.46</v>
      </c>
      <c r="C215" s="253">
        <f t="shared" si="79"/>
        <v>2.41</v>
      </c>
      <c r="D215" s="253">
        <f t="shared" si="79"/>
        <v>4.82</v>
      </c>
      <c r="E215" s="253">
        <f t="shared" si="79"/>
        <v>2.41</v>
      </c>
      <c r="F215" s="253">
        <f t="shared" si="79"/>
        <v>2.41</v>
      </c>
      <c r="G215" s="253">
        <f t="shared" si="79"/>
        <v>-7.23</v>
      </c>
      <c r="H215" s="253">
        <f t="shared" si="79"/>
        <v>12.05</v>
      </c>
      <c r="I215" s="253">
        <f t="shared" si="79"/>
        <v>45.79</v>
      </c>
      <c r="J215" s="253">
        <f t="shared" si="79"/>
        <v>7.23</v>
      </c>
      <c r="K215" s="253">
        <f t="shared" si="79"/>
        <v>9.64</v>
      </c>
      <c r="L215" s="253">
        <f t="shared" si="79"/>
        <v>12.05</v>
      </c>
      <c r="M215" s="253">
        <f t="shared" si="79"/>
        <v>221.72</v>
      </c>
      <c r="N215" s="253">
        <f t="shared" si="79"/>
        <v>69.89</v>
      </c>
      <c r="O215" s="253">
        <f t="shared" si="79"/>
        <v>0</v>
      </c>
      <c r="P215" s="253">
        <f t="shared" si="79"/>
        <v>0</v>
      </c>
      <c r="Q215" s="253">
        <f t="shared" si="79"/>
        <v>0</v>
      </c>
      <c r="R215" s="253">
        <f t="shared" si="79"/>
        <v>7.23</v>
      </c>
      <c r="S215" s="253">
        <f t="shared" si="79"/>
        <v>4.82</v>
      </c>
      <c r="T215" s="253">
        <f t="shared" si="79"/>
        <v>-2.41</v>
      </c>
      <c r="U215" s="253">
        <f t="shared" si="79"/>
        <v>0</v>
      </c>
      <c r="V215" s="253">
        <f t="shared" si="79"/>
        <v>-2.41</v>
      </c>
      <c r="W215" s="253">
        <f t="shared" si="79"/>
        <v>0</v>
      </c>
      <c r="X215" s="253">
        <f t="shared" si="79"/>
        <v>0</v>
      </c>
      <c r="Y215" s="253">
        <f t="shared" si="79"/>
        <v>-2.41</v>
      </c>
      <c r="Z215" s="253">
        <f t="shared" si="79"/>
        <v>0</v>
      </c>
      <c r="AA215" s="253">
        <f t="shared" si="79"/>
        <v>0</v>
      </c>
      <c r="AB215" s="253">
        <f t="shared" si="79"/>
        <v>0</v>
      </c>
      <c r="AC215" s="253">
        <f t="shared" si="79"/>
        <v>0</v>
      </c>
      <c r="AD215" s="253">
        <f t="shared" si="79"/>
        <v>0</v>
      </c>
      <c r="AE215" s="253">
        <f t="shared" si="79"/>
        <v>0</v>
      </c>
      <c r="AF215" s="253">
        <f t="shared" si="79"/>
        <v>0</v>
      </c>
      <c r="AG215" s="817">
        <f t="shared" si="74"/>
        <v>402.47</v>
      </c>
    </row>
    <row r="216" hidden="1" outlineLevel="1">
      <c r="A216" s="392" t="s">
        <v>1325</v>
      </c>
      <c r="B216" s="253">
        <f>((B97)*'Data - P&amp;L'!$C$28)</f>
        <v>0.6</v>
      </c>
      <c r="C216" s="253">
        <f>((C97)*'Data - P&amp;L'!$C$28)</f>
        <v>0.1</v>
      </c>
      <c r="D216" s="253">
        <f>((D97)*'Data - P&amp;L'!$C$28)</f>
        <v>0.2</v>
      </c>
      <c r="E216" s="253">
        <f>((E97)*'Data - P&amp;L'!$C$28)</f>
        <v>0.1</v>
      </c>
      <c r="F216" s="253">
        <f>((F97)*'Data - P&amp;L'!$C$28)</f>
        <v>0.1</v>
      </c>
      <c r="G216" s="253">
        <f>((G97)*'Data - P&amp;L'!$C$28)</f>
        <v>-0.3</v>
      </c>
      <c r="H216" s="253">
        <f>((H97)*'Data - P&amp;L'!$C$28)</f>
        <v>0.5</v>
      </c>
      <c r="I216" s="253">
        <f>((I97)*'Data - P&amp;L'!$C$28)</f>
        <v>1.9</v>
      </c>
      <c r="J216" s="253">
        <f>((J97)*'Data - P&amp;L'!$C$28)</f>
        <v>0.3</v>
      </c>
      <c r="K216" s="253">
        <f>((K97)*'Data - P&amp;L'!$C$28)</f>
        <v>0.4</v>
      </c>
      <c r="L216" s="253">
        <f>((L97)*'Data - P&amp;L'!$C$28)</f>
        <v>0.5</v>
      </c>
      <c r="M216" s="253">
        <f>((M97)*'Data - P&amp;L'!$C$28)</f>
        <v>9.2</v>
      </c>
      <c r="N216" s="253">
        <f>((N97)*'Data - P&amp;L'!$C$28)</f>
        <v>2.9</v>
      </c>
      <c r="O216" s="253">
        <f>((O97)*'Data - P&amp;L'!$C$28)</f>
        <v>0</v>
      </c>
      <c r="P216" s="253">
        <f>((P97)*'Data - P&amp;L'!$C$28)</f>
        <v>0</v>
      </c>
      <c r="Q216" s="253">
        <f>((Q97)*'Data - P&amp;L'!$C$28)</f>
        <v>0</v>
      </c>
      <c r="R216" s="253">
        <f>((R97)*'Data - P&amp;L'!$C$28)</f>
        <v>0.3</v>
      </c>
      <c r="S216" s="253">
        <f>((S97)*'Data - P&amp;L'!$C$28)</f>
        <v>0.2</v>
      </c>
      <c r="T216" s="253">
        <f>((T97)*'Data - P&amp;L'!$C$28)</f>
        <v>-0.1</v>
      </c>
      <c r="U216" s="253">
        <f>((U97)*'Data - P&amp;L'!$C$28)</f>
        <v>0</v>
      </c>
      <c r="V216" s="253">
        <f>((V97)*'Data - P&amp;L'!$C$28)</f>
        <v>-0.1</v>
      </c>
      <c r="W216" s="253">
        <f>((W97)*'Data - P&amp;L'!$C$28)</f>
        <v>0</v>
      </c>
      <c r="X216" s="253">
        <f>((X97)*'Data - P&amp;L'!$C$28)</f>
        <v>0</v>
      </c>
      <c r="Y216" s="253">
        <f>((Y97)*'Data - P&amp;L'!$C$28)</f>
        <v>-0.1</v>
      </c>
      <c r="Z216" s="253">
        <f>((Z97)*'Data - P&amp;L'!$C$28)</f>
        <v>0</v>
      </c>
      <c r="AA216" s="253">
        <f>((AA97)*'Data - P&amp;L'!$C$28)</f>
        <v>0</v>
      </c>
      <c r="AB216" s="253">
        <f>((AB97)*'Data - P&amp;L'!$C$28)</f>
        <v>0</v>
      </c>
      <c r="AC216" s="253">
        <f>((AC97)*'Data - P&amp;L'!$C$28)</f>
        <v>0</v>
      </c>
      <c r="AD216" s="253">
        <f>((AD97)*'Data - P&amp;L'!$C$28)</f>
        <v>0</v>
      </c>
      <c r="AE216" s="253">
        <f>((AE97)*'Data - P&amp;L'!$C$28)</f>
        <v>0</v>
      </c>
      <c r="AF216" s="253">
        <f>((AF97)*'Data - P&amp;L'!$C$28)</f>
        <v>0</v>
      </c>
      <c r="AG216" s="817">
        <f t="shared" si="74"/>
        <v>16.7</v>
      </c>
    </row>
    <row r="217" hidden="1" outlineLevel="1">
      <c r="A217" s="392" t="s">
        <v>1326</v>
      </c>
      <c r="B217" s="203">
        <f>((B97)*'Data - P&amp;L'!$C$29)</f>
        <v>1.86</v>
      </c>
      <c r="C217" s="203">
        <f>((C97)*'Data - P&amp;L'!$C$29)</f>
        <v>0.31</v>
      </c>
      <c r="D217" s="203">
        <f>((D97)*'Data - P&amp;L'!$C$29)</f>
        <v>0.62</v>
      </c>
      <c r="E217" s="203">
        <f>((E97)*'Data - P&amp;L'!$C$29)</f>
        <v>0.31</v>
      </c>
      <c r="F217" s="203">
        <f>((F97)*'Data - P&amp;L'!$C$29)</f>
        <v>0.31</v>
      </c>
      <c r="G217" s="203">
        <f>((G97)*'Data - P&amp;L'!$C$29)</f>
        <v>-0.93</v>
      </c>
      <c r="H217" s="203">
        <f>((H97)*'Data - P&amp;L'!$C$29)</f>
        <v>1.55</v>
      </c>
      <c r="I217" s="203">
        <f>((I97)*'Data - P&amp;L'!$C$29)</f>
        <v>5.89</v>
      </c>
      <c r="J217" s="203">
        <f>((J97)*'Data - P&amp;L'!$C$29)</f>
        <v>0.93</v>
      </c>
      <c r="K217" s="203">
        <f>((K97)*'Data - P&amp;L'!$C$29)</f>
        <v>1.24</v>
      </c>
      <c r="L217" s="203">
        <f>((L97)*'Data - P&amp;L'!$C$29)</f>
        <v>1.55</v>
      </c>
      <c r="M217" s="203">
        <f>((M97)*'Data - P&amp;L'!$C$29)</f>
        <v>28.52</v>
      </c>
      <c r="N217" s="203">
        <f>((N97)*'Data - P&amp;L'!$C$29)</f>
        <v>8.99</v>
      </c>
      <c r="O217" s="203">
        <f>((O97)*'Data - P&amp;L'!$C$29)</f>
        <v>0</v>
      </c>
      <c r="P217" s="203">
        <f>((P97)*'Data - P&amp;L'!$C$29)</f>
        <v>0</v>
      </c>
      <c r="Q217" s="203">
        <f>((Q97)*'Data - P&amp;L'!$C$29)</f>
        <v>0</v>
      </c>
      <c r="R217" s="203">
        <f>((R97)*'Data - P&amp;L'!$C$29)</f>
        <v>0.93</v>
      </c>
      <c r="S217" s="203">
        <f>((S97)*'Data - P&amp;L'!$C$29)</f>
        <v>0.62</v>
      </c>
      <c r="T217" s="203">
        <f>((T97)*'Data - P&amp;L'!$C$29)</f>
        <v>-0.31</v>
      </c>
      <c r="U217" s="203">
        <f>((U97)*'Data - P&amp;L'!$C$29)</f>
        <v>0</v>
      </c>
      <c r="V217" s="203">
        <f>((V97)*'Data - P&amp;L'!$C$29)</f>
        <v>-0.31</v>
      </c>
      <c r="W217" s="203">
        <f>((W97)*'Data - P&amp;L'!$C$29)</f>
        <v>0</v>
      </c>
      <c r="X217" s="203">
        <f>((X97)*'Data - P&amp;L'!$C$29)</f>
        <v>0</v>
      </c>
      <c r="Y217" s="203">
        <f>((Y97)*'Data - P&amp;L'!$C$29)</f>
        <v>-0.31</v>
      </c>
      <c r="Z217" s="203">
        <f>((Z97)*'Data - P&amp;L'!$C$29)</f>
        <v>0</v>
      </c>
      <c r="AA217" s="203">
        <f>((AA97)*'Data - P&amp;L'!$C$29)</f>
        <v>0</v>
      </c>
      <c r="AB217" s="203">
        <f>((AB97)*'Data - P&amp;L'!$C$29)</f>
        <v>0</v>
      </c>
      <c r="AC217" s="203">
        <f>((AC97)*'Data - P&amp;L'!$C$29)</f>
        <v>0</v>
      </c>
      <c r="AD217" s="203">
        <f>((AD97)*'Data - P&amp;L'!$C$29)</f>
        <v>0</v>
      </c>
      <c r="AE217" s="203">
        <f>((AE97)*'Data - P&amp;L'!$C$29)</f>
        <v>0</v>
      </c>
      <c r="AF217" s="203">
        <f>((AF97)*'Data - P&amp;L'!$C$29)</f>
        <v>0</v>
      </c>
      <c r="AG217" s="817">
        <f t="shared" si="74"/>
        <v>51.77</v>
      </c>
    </row>
    <row r="218" hidden="1" outlineLevel="1">
      <c r="A218" s="392" t="s">
        <v>1327</v>
      </c>
      <c r="B218" s="203">
        <f>((B97)*'Data - P&amp;L'!$C$30)</f>
        <v>0</v>
      </c>
      <c r="C218" s="203">
        <f>((C97)*'Data - P&amp;L'!$C$30)</f>
        <v>0</v>
      </c>
      <c r="D218" s="203">
        <f>((D97)*'Data - P&amp;L'!$C$30)</f>
        <v>0</v>
      </c>
      <c r="E218" s="203">
        <f>((E97)*'Data - P&amp;L'!$C$30)</f>
        <v>0</v>
      </c>
      <c r="F218" s="203">
        <f>((F97)*'Data - P&amp;L'!$C$30)</f>
        <v>0</v>
      </c>
      <c r="G218" s="203">
        <f>((G97)*'Data - P&amp;L'!$C$30)</f>
        <v>0</v>
      </c>
      <c r="H218" s="203">
        <f>((H97)*'Data - P&amp;L'!$C$30)</f>
        <v>0</v>
      </c>
      <c r="I218" s="203">
        <f>((I97)*'Data - P&amp;L'!$C$30)</f>
        <v>0</v>
      </c>
      <c r="J218" s="203">
        <f>((J97)*'Data - P&amp;L'!$C$30)</f>
        <v>0</v>
      </c>
      <c r="K218" s="203">
        <f>((K97)*'Data - P&amp;L'!$C$30)</f>
        <v>0</v>
      </c>
      <c r="L218" s="203">
        <f>((L97)*'Data - P&amp;L'!$C$30)</f>
        <v>0</v>
      </c>
      <c r="M218" s="203">
        <f>((M97)*'Data - P&amp;L'!$C$30)</f>
        <v>0</v>
      </c>
      <c r="N218" s="203">
        <f>((N97)*'Data - P&amp;L'!$C$30)</f>
        <v>0</v>
      </c>
      <c r="O218" s="203">
        <f>((O97)*'Data - P&amp;L'!$C$30)</f>
        <v>0</v>
      </c>
      <c r="P218" s="203">
        <f>((P97)*'Data - P&amp;L'!$C$30)</f>
        <v>0</v>
      </c>
      <c r="Q218" s="203">
        <f>((Q97)*'Data - P&amp;L'!$C$30)</f>
        <v>0</v>
      </c>
      <c r="R218" s="203">
        <f>((R97)*'Data - P&amp;L'!$C$30)</f>
        <v>0</v>
      </c>
      <c r="S218" s="203">
        <f>((S97)*'Data - P&amp;L'!$C$30)</f>
        <v>0</v>
      </c>
      <c r="T218" s="203">
        <f>((T97)*'Data - P&amp;L'!$C$30)</f>
        <v>0</v>
      </c>
      <c r="U218" s="203">
        <f>((U97)*'Data - P&amp;L'!$C$30)</f>
        <v>0</v>
      </c>
      <c r="V218" s="203">
        <f>((V97)*'Data - P&amp;L'!$C$30)</f>
        <v>0</v>
      </c>
      <c r="W218" s="203">
        <f>((W97)*'Data - P&amp;L'!$C$30)</f>
        <v>0</v>
      </c>
      <c r="X218" s="203">
        <f>((X97)*'Data - P&amp;L'!$C$30)</f>
        <v>0</v>
      </c>
      <c r="Y218" s="203">
        <f>((Y97)*'Data - P&amp;L'!$C$30)</f>
        <v>0</v>
      </c>
      <c r="Z218" s="203">
        <f>((Z97)*'Data - P&amp;L'!$C$30)</f>
        <v>0</v>
      </c>
      <c r="AA218" s="203">
        <f>((AA97)*'Data - P&amp;L'!$C$30)</f>
        <v>0</v>
      </c>
      <c r="AB218" s="203">
        <f>((AB97)*'Data - P&amp;L'!$C$30)</f>
        <v>0</v>
      </c>
      <c r="AC218" s="203">
        <f>((AC97)*'Data - P&amp;L'!$C$30)</f>
        <v>0</v>
      </c>
      <c r="AD218" s="203">
        <f>((AD97)*'Data - P&amp;L'!$C$30)</f>
        <v>0</v>
      </c>
      <c r="AE218" s="203">
        <f>((AE97)*'Data - P&amp;L'!$C$30)</f>
        <v>0</v>
      </c>
      <c r="AF218" s="203">
        <f>((AF97)*'Data - P&amp;L'!$C$30)</f>
        <v>0</v>
      </c>
      <c r="AG218" s="817">
        <f t="shared" si="74"/>
        <v>0</v>
      </c>
    </row>
    <row r="219" hidden="1" outlineLevel="1">
      <c r="A219" s="392" t="s">
        <v>1328</v>
      </c>
      <c r="B219" s="203">
        <f>((B97)*'Data - P&amp;L'!$C$31)</f>
        <v>2.1</v>
      </c>
      <c r="C219" s="203">
        <f>((C97)*'Data - P&amp;L'!$C$31)</f>
        <v>0.35</v>
      </c>
      <c r="D219" s="203">
        <f>((D97)*'Data - P&amp;L'!$C$31)</f>
        <v>0.7</v>
      </c>
      <c r="E219" s="203">
        <f>((E97)*'Data - P&amp;L'!$C$31)</f>
        <v>0.35</v>
      </c>
      <c r="F219" s="203">
        <f>((F97)*'Data - P&amp;L'!$C$31)</f>
        <v>0.35</v>
      </c>
      <c r="G219" s="203">
        <f>((G97)*'Data - P&amp;L'!$C$31)</f>
        <v>-1.05</v>
      </c>
      <c r="H219" s="203">
        <f>((H97)*'Data - P&amp;L'!$C$31)</f>
        <v>1.75</v>
      </c>
      <c r="I219" s="203">
        <f>((I97)*'Data - P&amp;L'!$C$31)</f>
        <v>6.65</v>
      </c>
      <c r="J219" s="203">
        <f>((J97)*'Data - P&amp;L'!$C$31)</f>
        <v>1.05</v>
      </c>
      <c r="K219" s="203">
        <f>((K97)*'Data - P&amp;L'!$C$31)</f>
        <v>1.4</v>
      </c>
      <c r="L219" s="203">
        <f>((L97)*'Data - P&amp;L'!$C$31)</f>
        <v>1.75</v>
      </c>
      <c r="M219" s="203">
        <f>((M97)*'Data - P&amp;L'!$C$31)</f>
        <v>32.2</v>
      </c>
      <c r="N219" s="203">
        <f>((N97)*'Data - P&amp;L'!$C$31)</f>
        <v>10.15</v>
      </c>
      <c r="O219" s="203">
        <f>((O97)*'Data - P&amp;L'!$C$31)</f>
        <v>0</v>
      </c>
      <c r="P219" s="203">
        <f>((P97)*'Data - P&amp;L'!$C$31)</f>
        <v>0</v>
      </c>
      <c r="Q219" s="203">
        <f>((Q97)*'Data - P&amp;L'!$C$31)</f>
        <v>0</v>
      </c>
      <c r="R219" s="203">
        <f>((R97)*'Data - P&amp;L'!$C$31)</f>
        <v>1.05</v>
      </c>
      <c r="S219" s="203">
        <f>((S97)*'Data - P&amp;L'!$C$31)</f>
        <v>0.7</v>
      </c>
      <c r="T219" s="203">
        <f>((T97)*'Data - P&amp;L'!$C$31)</f>
        <v>-0.35</v>
      </c>
      <c r="U219" s="203">
        <f>((U97)*'Data - P&amp;L'!$C$31)</f>
        <v>0</v>
      </c>
      <c r="V219" s="203">
        <f>((V97)*'Data - P&amp;L'!$C$31)</f>
        <v>-0.35</v>
      </c>
      <c r="W219" s="203">
        <f>((W97)*'Data - P&amp;L'!$C$31)</f>
        <v>0</v>
      </c>
      <c r="X219" s="203">
        <f>((X97)*'Data - P&amp;L'!$C$31)</f>
        <v>0</v>
      </c>
      <c r="Y219" s="203">
        <f>((Y97)*'Data - P&amp;L'!$C$31)</f>
        <v>-0.35</v>
      </c>
      <c r="Z219" s="203">
        <f>((Z97)*'Data - P&amp;L'!$C$31)</f>
        <v>0</v>
      </c>
      <c r="AA219" s="203">
        <f>((AA97)*'Data - P&amp;L'!$C$31)</f>
        <v>0</v>
      </c>
      <c r="AB219" s="203">
        <f>((AB97)*'Data - P&amp;L'!$C$31)</f>
        <v>0</v>
      </c>
      <c r="AC219" s="203">
        <f>((AC97)*'Data - P&amp;L'!$C$31)</f>
        <v>0</v>
      </c>
      <c r="AD219" s="203">
        <f>((AD97)*'Data - P&amp;L'!$C$31)</f>
        <v>0</v>
      </c>
      <c r="AE219" s="203">
        <f>((AE97)*'Data - P&amp;L'!$C$31)</f>
        <v>0</v>
      </c>
      <c r="AF219" s="203">
        <f>((AF97)*'Data - P&amp;L'!$C$31)</f>
        <v>0</v>
      </c>
      <c r="AG219" s="817">
        <f t="shared" si="74"/>
        <v>58.45</v>
      </c>
    </row>
    <row r="220" hidden="1" outlineLevel="1">
      <c r="A220" s="392" t="s">
        <v>1329</v>
      </c>
      <c r="B220" s="203">
        <f>((B97)*'Data - P&amp;L'!$C$32)</f>
        <v>0</v>
      </c>
      <c r="C220" s="203">
        <f>((C97)*'Data - P&amp;L'!$C$32)</f>
        <v>0</v>
      </c>
      <c r="D220" s="203">
        <f>((D97)*'Data - P&amp;L'!$C$32)</f>
        <v>0</v>
      </c>
      <c r="E220" s="203">
        <f>((E97)*'Data - P&amp;L'!$C$32)</f>
        <v>0</v>
      </c>
      <c r="F220" s="203">
        <f>((F97)*'Data - P&amp;L'!$C$32)</f>
        <v>0</v>
      </c>
      <c r="G220" s="203">
        <f>((G97)*'Data - P&amp;L'!$C$32)</f>
        <v>0</v>
      </c>
      <c r="H220" s="203">
        <f>((H97)*'Data - P&amp;L'!$C$32)</f>
        <v>0</v>
      </c>
      <c r="I220" s="203">
        <f>((I97)*'Data - P&amp;L'!$C$32)</f>
        <v>0</v>
      </c>
      <c r="J220" s="203">
        <f>((J97)*'Data - P&amp;L'!$C$32)</f>
        <v>0</v>
      </c>
      <c r="K220" s="203">
        <f>((K97)*'Data - P&amp;L'!$C$32)</f>
        <v>0</v>
      </c>
      <c r="L220" s="203">
        <f>((L97)*'Data - P&amp;L'!$C$32)</f>
        <v>0</v>
      </c>
      <c r="M220" s="203">
        <f>((M97)*'Data - P&amp;L'!$C$32)</f>
        <v>0</v>
      </c>
      <c r="N220" s="203">
        <f>((N97)*'Data - P&amp;L'!$C$32)</f>
        <v>0</v>
      </c>
      <c r="O220" s="203">
        <f>((O97)*'Data - P&amp;L'!$C$32)</f>
        <v>0</v>
      </c>
      <c r="P220" s="203">
        <f>((P97)*'Data - P&amp;L'!$C$32)</f>
        <v>0</v>
      </c>
      <c r="Q220" s="203">
        <f>((Q97)*'Data - P&amp;L'!$C$32)</f>
        <v>0</v>
      </c>
      <c r="R220" s="203">
        <f>((R97)*'Data - P&amp;L'!$C$32)</f>
        <v>0</v>
      </c>
      <c r="S220" s="203">
        <f>((S97)*'Data - P&amp;L'!$C$32)</f>
        <v>0</v>
      </c>
      <c r="T220" s="203">
        <f>((T97)*'Data - P&amp;L'!$C$32)</f>
        <v>0</v>
      </c>
      <c r="U220" s="203">
        <f>((U97)*'Data - P&amp;L'!$C$32)</f>
        <v>0</v>
      </c>
      <c r="V220" s="203">
        <f>((V97)*'Data - P&amp;L'!$C$32)</f>
        <v>0</v>
      </c>
      <c r="W220" s="203">
        <f>((W97)*'Data - P&amp;L'!$C$32)</f>
        <v>0</v>
      </c>
      <c r="X220" s="203">
        <f>((X97)*'Data - P&amp;L'!$C$32)</f>
        <v>0</v>
      </c>
      <c r="Y220" s="203">
        <f>((Y97)*'Data - P&amp;L'!$C$32)</f>
        <v>0</v>
      </c>
      <c r="Z220" s="203">
        <f>((Z97)*'Data - P&amp;L'!$C$32)</f>
        <v>0</v>
      </c>
      <c r="AA220" s="203">
        <f>((AA97)*'Data - P&amp;L'!$C$32)</f>
        <v>0</v>
      </c>
      <c r="AB220" s="203">
        <f>((AB97)*'Data - P&amp;L'!$C$32)</f>
        <v>0</v>
      </c>
      <c r="AC220" s="203">
        <f>((AC97)*'Data - P&amp;L'!$C$32)</f>
        <v>0</v>
      </c>
      <c r="AD220" s="203">
        <f>((AD97)*'Data - P&amp;L'!$C$32)</f>
        <v>0</v>
      </c>
      <c r="AE220" s="203">
        <f>((AE97)*'Data - P&amp;L'!$C$32)</f>
        <v>0</v>
      </c>
      <c r="AF220" s="203">
        <f>((AF97)*'Data - P&amp;L'!$C$32)</f>
        <v>0</v>
      </c>
      <c r="AG220" s="817">
        <f t="shared" si="74"/>
        <v>0</v>
      </c>
    </row>
    <row r="221" hidden="1" outlineLevel="1">
      <c r="A221" s="392" t="s">
        <v>1330</v>
      </c>
      <c r="B221" s="203">
        <f>((B97)*'Data - P&amp;L'!$C$33)</f>
        <v>9.9</v>
      </c>
      <c r="C221" s="203">
        <f>((C97)*'Data - P&amp;L'!$C$33)</f>
        <v>1.65</v>
      </c>
      <c r="D221" s="203">
        <f>((D97)*'Data - P&amp;L'!$C$33)</f>
        <v>3.3</v>
      </c>
      <c r="E221" s="203">
        <f>((E97)*'Data - P&amp;L'!$C$33)</f>
        <v>1.65</v>
      </c>
      <c r="F221" s="203">
        <f>((F97)*'Data - P&amp;L'!$C$33)</f>
        <v>1.65</v>
      </c>
      <c r="G221" s="203">
        <f>((G97)*'Data - P&amp;L'!$C$33)</f>
        <v>-4.95</v>
      </c>
      <c r="H221" s="203">
        <f>((H97)*'Data - P&amp;L'!$C$33)</f>
        <v>8.25</v>
      </c>
      <c r="I221" s="203">
        <f>((I97)*'Data - P&amp;L'!$C$33)</f>
        <v>31.35</v>
      </c>
      <c r="J221" s="203">
        <f>((J97)*'Data - P&amp;L'!$C$33)</f>
        <v>4.95</v>
      </c>
      <c r="K221" s="203">
        <f>((K97)*'Data - P&amp;L'!$C$33)</f>
        <v>6.6</v>
      </c>
      <c r="L221" s="203">
        <f>((L97)*'Data - P&amp;L'!$C$33)</f>
        <v>8.25</v>
      </c>
      <c r="M221" s="203">
        <f>((M97)*'Data - P&amp;L'!$C$33)</f>
        <v>151.8</v>
      </c>
      <c r="N221" s="203">
        <f>((N97)*'Data - P&amp;L'!$C$33)</f>
        <v>47.85</v>
      </c>
      <c r="O221" s="203">
        <f>((O97)*'Data - P&amp;L'!$C$33)</f>
        <v>0</v>
      </c>
      <c r="P221" s="203">
        <f>((P97)*'Data - P&amp;L'!$C$33)</f>
        <v>0</v>
      </c>
      <c r="Q221" s="203">
        <f>((Q97)*'Data - P&amp;L'!$C$33)</f>
        <v>0</v>
      </c>
      <c r="R221" s="203">
        <f>((R97)*'Data - P&amp;L'!$C$33)</f>
        <v>4.95</v>
      </c>
      <c r="S221" s="203">
        <f>((S97)*'Data - P&amp;L'!$C$33)</f>
        <v>3.3</v>
      </c>
      <c r="T221" s="203">
        <f>((T97)*'Data - P&amp;L'!$C$33)</f>
        <v>-1.65</v>
      </c>
      <c r="U221" s="203">
        <f>((U97)*'Data - P&amp;L'!$C$33)</f>
        <v>0</v>
      </c>
      <c r="V221" s="203">
        <f>((V97)*'Data - P&amp;L'!$C$33)</f>
        <v>-1.65</v>
      </c>
      <c r="W221" s="203">
        <f>((W97)*'Data - P&amp;L'!$C$33)</f>
        <v>0</v>
      </c>
      <c r="X221" s="203">
        <f>((X97)*'Data - P&amp;L'!$C$33)</f>
        <v>0</v>
      </c>
      <c r="Y221" s="203">
        <f>((Y97)*'Data - P&amp;L'!$C$33)</f>
        <v>-1.65</v>
      </c>
      <c r="Z221" s="203">
        <f>((Z97)*'Data - P&amp;L'!$C$33)</f>
        <v>0</v>
      </c>
      <c r="AA221" s="203">
        <f>((AA97)*'Data - P&amp;L'!$C$33)</f>
        <v>0</v>
      </c>
      <c r="AB221" s="203">
        <f>((AB97)*'Data - P&amp;L'!$C$33)</f>
        <v>0</v>
      </c>
      <c r="AC221" s="203">
        <f>((AC97)*'Data - P&amp;L'!$C$33)</f>
        <v>0</v>
      </c>
      <c r="AD221" s="203">
        <f>((AD97)*'Data - P&amp;L'!$C$33)</f>
        <v>0</v>
      </c>
      <c r="AE221" s="203">
        <f>((AE97)*'Data - P&amp;L'!$C$33)</f>
        <v>0</v>
      </c>
      <c r="AF221" s="203">
        <f>((AF97)*'Data - P&amp;L'!$C$33)</f>
        <v>0</v>
      </c>
      <c r="AG221" s="817">
        <f t="shared" si="74"/>
        <v>275.55</v>
      </c>
    </row>
    <row r="222" collapsed="1">
      <c r="A222" s="392" t="s">
        <v>1331</v>
      </c>
      <c r="B222" s="203">
        <f t="shared" ref="B222:AF222" si="80">sum(B223:B228)</f>
        <v>0</v>
      </c>
      <c r="C222" s="203">
        <f t="shared" si="80"/>
        <v>0</v>
      </c>
      <c r="D222" s="203">
        <f t="shared" si="80"/>
        <v>0</v>
      </c>
      <c r="E222" s="203">
        <f t="shared" si="80"/>
        <v>0</v>
      </c>
      <c r="F222" s="203">
        <f t="shared" si="80"/>
        <v>0</v>
      </c>
      <c r="G222" s="203">
        <f t="shared" si="80"/>
        <v>-1.37</v>
      </c>
      <c r="H222" s="203">
        <f t="shared" si="80"/>
        <v>0</v>
      </c>
      <c r="I222" s="203">
        <f t="shared" si="80"/>
        <v>0</v>
      </c>
      <c r="J222" s="203">
        <f t="shared" si="80"/>
        <v>0</v>
      </c>
      <c r="K222" s="203">
        <f t="shared" si="80"/>
        <v>0</v>
      </c>
      <c r="L222" s="203">
        <f t="shared" si="80"/>
        <v>0</v>
      </c>
      <c r="M222" s="203">
        <f t="shared" si="80"/>
        <v>0</v>
      </c>
      <c r="N222" s="203">
        <f t="shared" si="80"/>
        <v>-1.37</v>
      </c>
      <c r="O222" s="203">
        <f t="shared" si="80"/>
        <v>0</v>
      </c>
      <c r="P222" s="203">
        <f t="shared" si="80"/>
        <v>0</v>
      </c>
      <c r="Q222" s="203">
        <f t="shared" si="80"/>
        <v>0</v>
      </c>
      <c r="R222" s="203">
        <f t="shared" si="80"/>
        <v>0</v>
      </c>
      <c r="S222" s="203">
        <f t="shared" si="80"/>
        <v>0</v>
      </c>
      <c r="T222" s="203">
        <f t="shared" si="80"/>
        <v>-4.11</v>
      </c>
      <c r="U222" s="203">
        <f t="shared" si="80"/>
        <v>0</v>
      </c>
      <c r="V222" s="203">
        <f t="shared" si="80"/>
        <v>-1.37</v>
      </c>
      <c r="W222" s="203">
        <f t="shared" si="80"/>
        <v>0</v>
      </c>
      <c r="X222" s="203">
        <f t="shared" si="80"/>
        <v>0</v>
      </c>
      <c r="Y222" s="203">
        <f t="shared" si="80"/>
        <v>-1.37</v>
      </c>
      <c r="Z222" s="203">
        <f t="shared" si="80"/>
        <v>0</v>
      </c>
      <c r="AA222" s="203">
        <f t="shared" si="80"/>
        <v>0</v>
      </c>
      <c r="AB222" s="203">
        <f t="shared" si="80"/>
        <v>0</v>
      </c>
      <c r="AC222" s="203">
        <f t="shared" si="80"/>
        <v>0</v>
      </c>
      <c r="AD222" s="203">
        <f t="shared" si="80"/>
        <v>0</v>
      </c>
      <c r="AE222" s="203">
        <f t="shared" si="80"/>
        <v>0</v>
      </c>
      <c r="AF222" s="203">
        <f t="shared" si="80"/>
        <v>0</v>
      </c>
      <c r="AG222" s="817">
        <f t="shared" si="74"/>
        <v>-9.59</v>
      </c>
    </row>
    <row r="223" hidden="1" outlineLevel="1">
      <c r="A223" s="392" t="s">
        <v>1332</v>
      </c>
      <c r="B223" s="203">
        <f>((B107)*'Data - P&amp;L'!$D$28)</f>
        <v>0</v>
      </c>
      <c r="C223" s="203">
        <f>((C107)*'Data - P&amp;L'!$D$28)</f>
        <v>0</v>
      </c>
      <c r="D223" s="203">
        <f>((D107)*'Data - P&amp;L'!$D$28)</f>
        <v>0</v>
      </c>
      <c r="E223" s="203">
        <f>((E107)*'Data - P&amp;L'!$D$28)</f>
        <v>0</v>
      </c>
      <c r="F223" s="203">
        <f>((F107)*'Data - P&amp;L'!$D$28)</f>
        <v>0</v>
      </c>
      <c r="G223" s="203">
        <f>((G107)*'Data - P&amp;L'!$D$28)</f>
        <v>0</v>
      </c>
      <c r="H223" s="203">
        <f>((H107)*'Data - P&amp;L'!$D$28)</f>
        <v>0</v>
      </c>
      <c r="I223" s="203">
        <f>((I107)*'Data - P&amp;L'!$D$28)</f>
        <v>0</v>
      </c>
      <c r="J223" s="203">
        <f>((J107)*'Data - P&amp;L'!$D$28)</f>
        <v>0</v>
      </c>
      <c r="K223" s="203">
        <f>((K107)*'Data - P&amp;L'!$D$28)</f>
        <v>0</v>
      </c>
      <c r="L223" s="203">
        <f>((L107)*'Data - P&amp;L'!$D$28)</f>
        <v>0</v>
      </c>
      <c r="M223" s="203">
        <f>((M107)*'Data - P&amp;L'!$D$28)</f>
        <v>0</v>
      </c>
      <c r="N223" s="203">
        <f>((N107)*'Data - P&amp;L'!$D$28)</f>
        <v>0</v>
      </c>
      <c r="O223" s="203">
        <f>((O107)*'Data - P&amp;L'!$D$28)</f>
        <v>0</v>
      </c>
      <c r="P223" s="203">
        <f>((P107)*'Data - P&amp;L'!$D$28)</f>
        <v>0</v>
      </c>
      <c r="Q223" s="203">
        <f>((Q107)*'Data - P&amp;L'!$D$28)</f>
        <v>0</v>
      </c>
      <c r="R223" s="203">
        <f>((R107)*'Data - P&amp;L'!$D$28)</f>
        <v>0</v>
      </c>
      <c r="S223" s="203">
        <f>((S107)*'Data - P&amp;L'!$D$28)</f>
        <v>0</v>
      </c>
      <c r="T223" s="203">
        <f>((T107)*'Data - P&amp;L'!$D$28)</f>
        <v>0</v>
      </c>
      <c r="U223" s="203">
        <f>((U107)*'Data - P&amp;L'!$D$28)</f>
        <v>0</v>
      </c>
      <c r="V223" s="203">
        <f>((V107)*'Data - P&amp;L'!$D$28)</f>
        <v>0</v>
      </c>
      <c r="W223" s="203">
        <f>((W107)*'Data - P&amp;L'!$D$28)</f>
        <v>0</v>
      </c>
      <c r="X223" s="203">
        <f>((X107)*'Data - P&amp;L'!$D$28)</f>
        <v>0</v>
      </c>
      <c r="Y223" s="203">
        <f>((Y107)*'Data - P&amp;L'!$D$28)</f>
        <v>0</v>
      </c>
      <c r="Z223" s="203">
        <f>((Z107)*'Data - P&amp;L'!$D$28)</f>
        <v>0</v>
      </c>
      <c r="AA223" s="203">
        <f>((AA107)*'Data - P&amp;L'!$D$28)</f>
        <v>0</v>
      </c>
      <c r="AB223" s="203">
        <f>((AB107)*'Data - P&amp;L'!$D$28)</f>
        <v>0</v>
      </c>
      <c r="AC223" s="203">
        <f>((AC107)*'Data - P&amp;L'!$D$28)</f>
        <v>0</v>
      </c>
      <c r="AD223" s="203">
        <f>((AD107)*'Data - P&amp;L'!$D$28)</f>
        <v>0</v>
      </c>
      <c r="AE223" s="203">
        <f>((AE107)*'Data - P&amp;L'!$D$28)</f>
        <v>0</v>
      </c>
      <c r="AF223" s="203">
        <f>((AF107)*'Data - P&amp;L'!$D$28)</f>
        <v>0</v>
      </c>
      <c r="AG223" s="817">
        <f t="shared" si="74"/>
        <v>0</v>
      </c>
    </row>
    <row r="224" hidden="1" outlineLevel="1">
      <c r="A224" s="392" t="s">
        <v>1333</v>
      </c>
      <c r="B224" s="203">
        <f>((B107)*'Data - P&amp;L'!$D$29)</f>
        <v>0</v>
      </c>
      <c r="C224" s="203">
        <f>((C107)*'Data - P&amp;L'!$D$29)</f>
        <v>0</v>
      </c>
      <c r="D224" s="203">
        <f>((D107)*'Data - P&amp;L'!$D$29)</f>
        <v>0</v>
      </c>
      <c r="E224" s="203">
        <f>((E107)*'Data - P&amp;L'!$D$29)</f>
        <v>0</v>
      </c>
      <c r="F224" s="203">
        <f>((F107)*'Data - P&amp;L'!$D$29)</f>
        <v>0</v>
      </c>
      <c r="G224" s="203">
        <f>((G107)*'Data - P&amp;L'!$D$29)</f>
        <v>-0.31</v>
      </c>
      <c r="H224" s="203">
        <f>((H107)*'Data - P&amp;L'!$D$29)</f>
        <v>0</v>
      </c>
      <c r="I224" s="203">
        <f>((I107)*'Data - P&amp;L'!$D$29)</f>
        <v>0</v>
      </c>
      <c r="J224" s="203">
        <f>((J107)*'Data - P&amp;L'!$D$29)</f>
        <v>0</v>
      </c>
      <c r="K224" s="203">
        <f>((K107)*'Data - P&amp;L'!$D$29)</f>
        <v>0</v>
      </c>
      <c r="L224" s="203">
        <f>((L107)*'Data - P&amp;L'!$D$29)</f>
        <v>0</v>
      </c>
      <c r="M224" s="203">
        <f>((M107)*'Data - P&amp;L'!$D$29)</f>
        <v>0</v>
      </c>
      <c r="N224" s="203">
        <f>((N107)*'Data - P&amp;L'!$D$29)</f>
        <v>-0.31</v>
      </c>
      <c r="O224" s="203">
        <f>((O107)*'Data - P&amp;L'!$D$29)</f>
        <v>0</v>
      </c>
      <c r="P224" s="203">
        <f>((P107)*'Data - P&amp;L'!$D$29)</f>
        <v>0</v>
      </c>
      <c r="Q224" s="203">
        <f>((Q107)*'Data - P&amp;L'!$D$29)</f>
        <v>0</v>
      </c>
      <c r="R224" s="203">
        <f>((R107)*'Data - P&amp;L'!$D$29)</f>
        <v>0</v>
      </c>
      <c r="S224" s="203">
        <f>((S107)*'Data - P&amp;L'!$D$29)</f>
        <v>0</v>
      </c>
      <c r="T224" s="203">
        <f>((T107)*'Data - P&amp;L'!$D$29)</f>
        <v>-0.93</v>
      </c>
      <c r="U224" s="203">
        <f>((U107)*'Data - P&amp;L'!$D$29)</f>
        <v>0</v>
      </c>
      <c r="V224" s="203">
        <f>((V107)*'Data - P&amp;L'!$D$29)</f>
        <v>-0.31</v>
      </c>
      <c r="W224" s="203">
        <f>((W107)*'Data - P&amp;L'!$D$29)</f>
        <v>0</v>
      </c>
      <c r="X224" s="203">
        <f>((X107)*'Data - P&amp;L'!$D$29)</f>
        <v>0</v>
      </c>
      <c r="Y224" s="203">
        <f>((Y107)*'Data - P&amp;L'!$D$29)</f>
        <v>-0.31</v>
      </c>
      <c r="Z224" s="203">
        <f>((Z107)*'Data - P&amp;L'!$D$29)</f>
        <v>0</v>
      </c>
      <c r="AA224" s="203">
        <f>((AA107)*'Data - P&amp;L'!$D$29)</f>
        <v>0</v>
      </c>
      <c r="AB224" s="203">
        <f>((AB107)*'Data - P&amp;L'!$D$29)</f>
        <v>0</v>
      </c>
      <c r="AC224" s="203">
        <f>((AC107)*'Data - P&amp;L'!$D$29)</f>
        <v>0</v>
      </c>
      <c r="AD224" s="203">
        <f>((AD107)*'Data - P&amp;L'!$D$29)</f>
        <v>0</v>
      </c>
      <c r="AE224" s="203">
        <f>((AE107)*'Data - P&amp;L'!$D$29)</f>
        <v>0</v>
      </c>
      <c r="AF224" s="203">
        <f>((AF107)*'Data - P&amp;L'!$D$29)</f>
        <v>0</v>
      </c>
      <c r="AG224" s="817">
        <f t="shared" si="74"/>
        <v>-2.17</v>
      </c>
    </row>
    <row r="225" hidden="1" outlineLevel="1">
      <c r="A225" s="392" t="s">
        <v>1334</v>
      </c>
      <c r="B225" s="203">
        <f>((B107)*'Data - P&amp;L'!$D$30)</f>
        <v>0</v>
      </c>
      <c r="C225" s="203">
        <f>((C107)*'Data - P&amp;L'!$D$30)</f>
        <v>0</v>
      </c>
      <c r="D225" s="203">
        <f>((D107)*'Data - P&amp;L'!$D$30)</f>
        <v>0</v>
      </c>
      <c r="E225" s="203">
        <f>((E107)*'Data - P&amp;L'!$D$30)</f>
        <v>0</v>
      </c>
      <c r="F225" s="203">
        <f>((F107)*'Data - P&amp;L'!$D$30)</f>
        <v>0</v>
      </c>
      <c r="G225" s="203">
        <f>((G107)*'Data - P&amp;L'!$D$30)</f>
        <v>0</v>
      </c>
      <c r="H225" s="203">
        <f>((H107)*'Data - P&amp;L'!$D$30)</f>
        <v>0</v>
      </c>
      <c r="I225" s="203">
        <f>((I107)*'Data - P&amp;L'!$D$30)</f>
        <v>0</v>
      </c>
      <c r="J225" s="203">
        <f>((J107)*'Data - P&amp;L'!$D$30)</f>
        <v>0</v>
      </c>
      <c r="K225" s="203">
        <f>((K107)*'Data - P&amp;L'!$D$30)</f>
        <v>0</v>
      </c>
      <c r="L225" s="203">
        <f>((L107)*'Data - P&amp;L'!$D$30)</f>
        <v>0</v>
      </c>
      <c r="M225" s="203">
        <f>((M107)*'Data - P&amp;L'!$D$30)</f>
        <v>0</v>
      </c>
      <c r="N225" s="203">
        <f>((N107)*'Data - P&amp;L'!$D$30)</f>
        <v>0</v>
      </c>
      <c r="O225" s="203">
        <f>((O107)*'Data - P&amp;L'!$D$30)</f>
        <v>0</v>
      </c>
      <c r="P225" s="203">
        <f>((P107)*'Data - P&amp;L'!$D$30)</f>
        <v>0</v>
      </c>
      <c r="Q225" s="203">
        <f>((Q107)*'Data - P&amp;L'!$D$30)</f>
        <v>0</v>
      </c>
      <c r="R225" s="203">
        <f>((R107)*'Data - P&amp;L'!$D$30)</f>
        <v>0</v>
      </c>
      <c r="S225" s="203">
        <f>((S107)*'Data - P&amp;L'!$D$30)</f>
        <v>0</v>
      </c>
      <c r="T225" s="203">
        <f>((T107)*'Data - P&amp;L'!$D$30)</f>
        <v>0</v>
      </c>
      <c r="U225" s="203">
        <f>((U107)*'Data - P&amp;L'!$D$30)</f>
        <v>0</v>
      </c>
      <c r="V225" s="203">
        <f>((V107)*'Data - P&amp;L'!$D$30)</f>
        <v>0</v>
      </c>
      <c r="W225" s="203">
        <f>((W107)*'Data - P&amp;L'!$D$30)</f>
        <v>0</v>
      </c>
      <c r="X225" s="203">
        <f>((X107)*'Data - P&amp;L'!$D$30)</f>
        <v>0</v>
      </c>
      <c r="Y225" s="203">
        <f>((Y107)*'Data - P&amp;L'!$D$30)</f>
        <v>0</v>
      </c>
      <c r="Z225" s="203">
        <f>((Z107)*'Data - P&amp;L'!$D$30)</f>
        <v>0</v>
      </c>
      <c r="AA225" s="203">
        <f>((AA107)*'Data - P&amp;L'!$D$30)</f>
        <v>0</v>
      </c>
      <c r="AB225" s="203">
        <f>((AB107)*'Data - P&amp;L'!$D$30)</f>
        <v>0</v>
      </c>
      <c r="AC225" s="203">
        <f>((AC107)*'Data - P&amp;L'!$D$30)</f>
        <v>0</v>
      </c>
      <c r="AD225" s="203">
        <f>((AD107)*'Data - P&amp;L'!$D$30)</f>
        <v>0</v>
      </c>
      <c r="AE225" s="203">
        <f>((AE107)*'Data - P&amp;L'!$D$30)</f>
        <v>0</v>
      </c>
      <c r="AF225" s="203">
        <f>((AF107)*'Data - P&amp;L'!$D$30)</f>
        <v>0</v>
      </c>
      <c r="AG225" s="817">
        <f t="shared" si="74"/>
        <v>0</v>
      </c>
    </row>
    <row r="226" hidden="1" outlineLevel="1">
      <c r="A226" s="392" t="s">
        <v>1335</v>
      </c>
      <c r="B226" s="203">
        <f>((B107)*'Data - P&amp;L'!$D$31)</f>
        <v>0</v>
      </c>
      <c r="C226" s="203">
        <f>((C107)*'Data - P&amp;L'!$D$31)</f>
        <v>0</v>
      </c>
      <c r="D226" s="203">
        <f>((D107)*'Data - P&amp;L'!$D$31)</f>
        <v>0</v>
      </c>
      <c r="E226" s="203">
        <f>((E107)*'Data - P&amp;L'!$D$31)</f>
        <v>0</v>
      </c>
      <c r="F226" s="203">
        <f>((F107)*'Data - P&amp;L'!$D$31)</f>
        <v>0</v>
      </c>
      <c r="G226" s="203">
        <f>((G107)*'Data - P&amp;L'!$D$31)</f>
        <v>-0.35</v>
      </c>
      <c r="H226" s="203">
        <f>((H107)*'Data - P&amp;L'!$D$31)</f>
        <v>0</v>
      </c>
      <c r="I226" s="203">
        <f>((I107)*'Data - P&amp;L'!$D$31)</f>
        <v>0</v>
      </c>
      <c r="J226" s="203">
        <f>((J107)*'Data - P&amp;L'!$D$31)</f>
        <v>0</v>
      </c>
      <c r="K226" s="203">
        <f>((K107)*'Data - P&amp;L'!$D$31)</f>
        <v>0</v>
      </c>
      <c r="L226" s="203">
        <f>((L107)*'Data - P&amp;L'!$D$31)</f>
        <v>0</v>
      </c>
      <c r="M226" s="203">
        <f>((M107)*'Data - P&amp;L'!$D$31)</f>
        <v>0</v>
      </c>
      <c r="N226" s="203">
        <f>((N107)*'Data - P&amp;L'!$D$31)</f>
        <v>-0.35</v>
      </c>
      <c r="O226" s="203">
        <f>((O107)*'Data - P&amp;L'!$D$31)</f>
        <v>0</v>
      </c>
      <c r="P226" s="203">
        <f>((P107)*'Data - P&amp;L'!$D$31)</f>
        <v>0</v>
      </c>
      <c r="Q226" s="203">
        <f>((Q107)*'Data - P&amp;L'!$D$31)</f>
        <v>0</v>
      </c>
      <c r="R226" s="203">
        <f>((R107)*'Data - P&amp;L'!$D$31)</f>
        <v>0</v>
      </c>
      <c r="S226" s="203">
        <f>((S107)*'Data - P&amp;L'!$D$31)</f>
        <v>0</v>
      </c>
      <c r="T226" s="203">
        <f>((T107)*'Data - P&amp;L'!$D$31)</f>
        <v>-1.05</v>
      </c>
      <c r="U226" s="203">
        <f>((U107)*'Data - P&amp;L'!$D$31)</f>
        <v>0</v>
      </c>
      <c r="V226" s="203">
        <f>((V107)*'Data - P&amp;L'!$D$31)</f>
        <v>-0.35</v>
      </c>
      <c r="W226" s="203">
        <f>((W107)*'Data - P&amp;L'!$D$31)</f>
        <v>0</v>
      </c>
      <c r="X226" s="203">
        <f>((X107)*'Data - P&amp;L'!$D$31)</f>
        <v>0</v>
      </c>
      <c r="Y226" s="203">
        <f>((Y107)*'Data - P&amp;L'!$D$31)</f>
        <v>-0.35</v>
      </c>
      <c r="Z226" s="203">
        <f>((Z107)*'Data - P&amp;L'!$D$31)</f>
        <v>0</v>
      </c>
      <c r="AA226" s="203">
        <f>((AA107)*'Data - P&amp;L'!$D$31)</f>
        <v>0</v>
      </c>
      <c r="AB226" s="203">
        <f>((AB107)*'Data - P&amp;L'!$D$31)</f>
        <v>0</v>
      </c>
      <c r="AC226" s="203">
        <f>((AC107)*'Data - P&amp;L'!$D$31)</f>
        <v>0</v>
      </c>
      <c r="AD226" s="203">
        <f>((AD107)*'Data - P&amp;L'!$D$31)</f>
        <v>0</v>
      </c>
      <c r="AE226" s="203">
        <f>((AE107)*'Data - P&amp;L'!$D$31)</f>
        <v>0</v>
      </c>
      <c r="AF226" s="203">
        <f>((AF107)*'Data - P&amp;L'!$D$31)</f>
        <v>0</v>
      </c>
      <c r="AG226" s="817">
        <f t="shared" si="74"/>
        <v>-2.45</v>
      </c>
    </row>
    <row r="227" hidden="1" outlineLevel="1">
      <c r="A227" s="392" t="s">
        <v>1336</v>
      </c>
      <c r="B227" s="203">
        <f>((B107)*'Data - P&amp;L'!$D$32)</f>
        <v>0</v>
      </c>
      <c r="C227" s="203">
        <f>((C107)*'Data - P&amp;L'!$D$32)</f>
        <v>0</v>
      </c>
      <c r="D227" s="203">
        <f>((D107)*'Data - P&amp;L'!$D$32)</f>
        <v>0</v>
      </c>
      <c r="E227" s="203">
        <f>((E107)*'Data - P&amp;L'!$D$32)</f>
        <v>0</v>
      </c>
      <c r="F227" s="203">
        <f>((F107)*'Data - P&amp;L'!$D$32)</f>
        <v>0</v>
      </c>
      <c r="G227" s="203">
        <f>((G107)*'Data - P&amp;L'!$D$32)</f>
        <v>0</v>
      </c>
      <c r="H227" s="203">
        <f>((H107)*'Data - P&amp;L'!$D$32)</f>
        <v>0</v>
      </c>
      <c r="I227" s="203">
        <f>((I107)*'Data - P&amp;L'!$D$32)</f>
        <v>0</v>
      </c>
      <c r="J227" s="203">
        <f>((J107)*'Data - P&amp;L'!$D$32)</f>
        <v>0</v>
      </c>
      <c r="K227" s="203">
        <f>((K107)*'Data - P&amp;L'!$D$32)</f>
        <v>0</v>
      </c>
      <c r="L227" s="203">
        <f>((L107)*'Data - P&amp;L'!$D$32)</f>
        <v>0</v>
      </c>
      <c r="M227" s="203">
        <f>((M107)*'Data - P&amp;L'!$D$32)</f>
        <v>0</v>
      </c>
      <c r="N227" s="203">
        <f>((N107)*'Data - P&amp;L'!$D$32)</f>
        <v>0</v>
      </c>
      <c r="O227" s="203">
        <f>((O107)*'Data - P&amp;L'!$D$32)</f>
        <v>0</v>
      </c>
      <c r="P227" s="203">
        <f>((P107)*'Data - P&amp;L'!$D$32)</f>
        <v>0</v>
      </c>
      <c r="Q227" s="203">
        <f>((Q107)*'Data - P&amp;L'!$D$32)</f>
        <v>0</v>
      </c>
      <c r="R227" s="203">
        <f>((R107)*'Data - P&amp;L'!$D$32)</f>
        <v>0</v>
      </c>
      <c r="S227" s="203">
        <f>((S107)*'Data - P&amp;L'!$D$32)</f>
        <v>0</v>
      </c>
      <c r="T227" s="203">
        <f>((T107)*'Data - P&amp;L'!$D$32)</f>
        <v>0</v>
      </c>
      <c r="U227" s="203">
        <f>((U107)*'Data - P&amp;L'!$D$32)</f>
        <v>0</v>
      </c>
      <c r="V227" s="203">
        <f>((V107)*'Data - P&amp;L'!$D$32)</f>
        <v>0</v>
      </c>
      <c r="W227" s="203">
        <f>((W107)*'Data - P&amp;L'!$D$32)</f>
        <v>0</v>
      </c>
      <c r="X227" s="203">
        <f>((X107)*'Data - P&amp;L'!$D$32)</f>
        <v>0</v>
      </c>
      <c r="Y227" s="203">
        <f>((Y107)*'Data - P&amp;L'!$D$32)</f>
        <v>0</v>
      </c>
      <c r="Z227" s="203">
        <f>((Z107)*'Data - P&amp;L'!$D$32)</f>
        <v>0</v>
      </c>
      <c r="AA227" s="203">
        <f>((AA107)*'Data - P&amp;L'!$D$32)</f>
        <v>0</v>
      </c>
      <c r="AB227" s="203">
        <f>((AB107)*'Data - P&amp;L'!$D$32)</f>
        <v>0</v>
      </c>
      <c r="AC227" s="203">
        <f>((AC107)*'Data - P&amp;L'!$D$32)</f>
        <v>0</v>
      </c>
      <c r="AD227" s="203">
        <f>((AD107)*'Data - P&amp;L'!$D$32)</f>
        <v>0</v>
      </c>
      <c r="AE227" s="203">
        <f>((AE107)*'Data - P&amp;L'!$D$32)</f>
        <v>0</v>
      </c>
      <c r="AF227" s="203">
        <f>((AF107)*'Data - P&amp;L'!$D$32)</f>
        <v>0</v>
      </c>
      <c r="AG227" s="817">
        <f t="shared" si="74"/>
        <v>0</v>
      </c>
    </row>
    <row r="228" hidden="1" outlineLevel="1">
      <c r="A228" s="835" t="s">
        <v>1337</v>
      </c>
      <c r="B228" s="306">
        <f>((B107)*'Data - P&amp;L'!$D$33)</f>
        <v>0</v>
      </c>
      <c r="C228" s="306">
        <f>((C107)*'Data - P&amp;L'!$D$33)</f>
        <v>0</v>
      </c>
      <c r="D228" s="306">
        <f>((D107)*'Data - P&amp;L'!$D$33)</f>
        <v>0</v>
      </c>
      <c r="E228" s="306">
        <f>((E107)*'Data - P&amp;L'!$D$33)</f>
        <v>0</v>
      </c>
      <c r="F228" s="306">
        <f>((F107)*'Data - P&amp;L'!$D$33)</f>
        <v>0</v>
      </c>
      <c r="G228" s="306">
        <f>((G107)*'Data - P&amp;L'!$D$33)</f>
        <v>-0.71</v>
      </c>
      <c r="H228" s="306">
        <f>((H107)*'Data - P&amp;L'!$D$33)</f>
        <v>0</v>
      </c>
      <c r="I228" s="306">
        <f>((I107)*'Data - P&amp;L'!$D$33)</f>
        <v>0</v>
      </c>
      <c r="J228" s="306">
        <f>((J107)*'Data - P&amp;L'!$D$33)</f>
        <v>0</v>
      </c>
      <c r="K228" s="306">
        <f>((K107)*'Data - P&amp;L'!$D$33)</f>
        <v>0</v>
      </c>
      <c r="L228" s="306">
        <f>((L107)*'Data - P&amp;L'!$D$33)</f>
        <v>0</v>
      </c>
      <c r="M228" s="306">
        <f>((M107)*'Data - P&amp;L'!$D$33)</f>
        <v>0</v>
      </c>
      <c r="N228" s="306">
        <f>((N107)*'Data - P&amp;L'!$D$33)</f>
        <v>-0.71</v>
      </c>
      <c r="O228" s="306">
        <f>((O107)*'Data - P&amp;L'!$D$33)</f>
        <v>0</v>
      </c>
      <c r="P228" s="306">
        <f>((P107)*'Data - P&amp;L'!$D$33)</f>
        <v>0</v>
      </c>
      <c r="Q228" s="306">
        <f>((Q107)*'Data - P&amp;L'!$D$33)</f>
        <v>0</v>
      </c>
      <c r="R228" s="306">
        <f>((R107)*'Data - P&amp;L'!$D$33)</f>
        <v>0</v>
      </c>
      <c r="S228" s="306">
        <f>((S107)*'Data - P&amp;L'!$D$33)</f>
        <v>0</v>
      </c>
      <c r="T228" s="306">
        <f>((T107)*'Data - P&amp;L'!$D$33)</f>
        <v>-2.13</v>
      </c>
      <c r="U228" s="306">
        <f>((U107)*'Data - P&amp;L'!$D$33)</f>
        <v>0</v>
      </c>
      <c r="V228" s="306">
        <f>((V107)*'Data - P&amp;L'!$D$33)</f>
        <v>-0.71</v>
      </c>
      <c r="W228" s="306">
        <f>((W107)*'Data - P&amp;L'!$D$33)</f>
        <v>0</v>
      </c>
      <c r="X228" s="306">
        <f>((X107)*'Data - P&amp;L'!$D$33)</f>
        <v>0</v>
      </c>
      <c r="Y228" s="306">
        <f>((Y107)*'Data - P&amp;L'!$D$33)</f>
        <v>-0.71</v>
      </c>
      <c r="Z228" s="306">
        <f>((Z107)*'Data - P&amp;L'!$D$33)</f>
        <v>0</v>
      </c>
      <c r="AA228" s="306">
        <f>((AA107)*'Data - P&amp;L'!$D$33)</f>
        <v>0</v>
      </c>
      <c r="AB228" s="306">
        <f>((AB107)*'Data - P&amp;L'!$D$33)</f>
        <v>0</v>
      </c>
      <c r="AC228" s="306">
        <f>((AC107)*'Data - P&amp;L'!$D$33)</f>
        <v>0</v>
      </c>
      <c r="AD228" s="306">
        <f>((AD107)*'Data - P&amp;L'!$D$33)</f>
        <v>0</v>
      </c>
      <c r="AE228" s="306">
        <f>((AE107)*'Data - P&amp;L'!$D$33)</f>
        <v>0</v>
      </c>
      <c r="AF228" s="306">
        <f>((AF107)*'Data - P&amp;L'!$D$33)</f>
        <v>0</v>
      </c>
      <c r="AG228" s="817">
        <f t="shared" si="74"/>
        <v>-4.97</v>
      </c>
    </row>
    <row r="229" collapsed="1">
      <c r="A229" s="215" t="s">
        <v>1338</v>
      </c>
      <c r="B229" s="83"/>
      <c r="C229" s="83"/>
      <c r="D229" s="83"/>
      <c r="E229" s="83"/>
      <c r="F229" s="83"/>
      <c r="G229" s="83"/>
      <c r="H229" s="83"/>
      <c r="I229" s="83"/>
      <c r="J229" s="83"/>
      <c r="K229" s="83"/>
      <c r="L229" s="83"/>
      <c r="M229" s="83"/>
      <c r="N229" s="83"/>
      <c r="O229" s="83"/>
      <c r="P229" s="83"/>
      <c r="Q229" s="83"/>
      <c r="R229" s="83"/>
      <c r="S229" s="83"/>
      <c r="T229" s="83"/>
      <c r="U229" s="83"/>
      <c r="V229" s="83"/>
      <c r="W229" s="83"/>
      <c r="X229" s="83"/>
      <c r="Y229" s="83"/>
      <c r="Z229" s="83"/>
      <c r="AA229" s="83"/>
      <c r="AB229" s="83"/>
      <c r="AC229" s="83"/>
      <c r="AD229" s="83"/>
      <c r="AE229" s="836"/>
      <c r="AF229" s="836"/>
      <c r="AG229" s="817"/>
    </row>
    <row r="230" hidden="1" outlineLevel="1">
      <c r="A230" s="367" t="s">
        <v>1296</v>
      </c>
      <c r="B230" s="203">
        <f>B142*'Data - P&amp;L'!$C$3</f>
        <v>0</v>
      </c>
      <c r="C230" s="203">
        <f>C94*'Data - P&amp;L'!$C$3</f>
        <v>0</v>
      </c>
      <c r="D230" s="203">
        <f>D94*'Data - P&amp;L'!$C$3</f>
        <v>0</v>
      </c>
      <c r="E230" s="203">
        <f>E94*'Data - P&amp;L'!$C$3</f>
        <v>0</v>
      </c>
      <c r="F230" s="203">
        <f>F94*'Data - P&amp;L'!$C$3</f>
        <v>0</v>
      </c>
      <c r="G230" s="203">
        <f>G94*'Data - P&amp;L'!$C$3</f>
        <v>-86.9</v>
      </c>
      <c r="H230" s="203">
        <f>H94*'Data - P&amp;L'!$C$3</f>
        <v>86.9</v>
      </c>
      <c r="I230" s="203">
        <f>I94*'Data - P&amp;L'!$C$3</f>
        <v>86.9</v>
      </c>
      <c r="J230" s="203">
        <f>J94*'Data - P&amp;L'!$C$3</f>
        <v>86.9</v>
      </c>
      <c r="K230" s="203">
        <f>K94*'Data - P&amp;L'!$C$3</f>
        <v>0</v>
      </c>
      <c r="L230" s="203">
        <f>L94*'Data - P&amp;L'!$C$3</f>
        <v>86.9</v>
      </c>
      <c r="M230" s="203">
        <f>M94*'Data - P&amp;L'!$C$3</f>
        <v>173.8</v>
      </c>
      <c r="N230" s="203">
        <f>N94*'Data - P&amp;L'!$C$3</f>
        <v>173.8</v>
      </c>
      <c r="O230" s="203">
        <f>O94*'Data - P&amp;L'!$C$3</f>
        <v>0</v>
      </c>
      <c r="P230" s="203">
        <f>P94*'Data - P&amp;L'!$C$3</f>
        <v>0</v>
      </c>
      <c r="Q230" s="203">
        <f>Q94*'Data - P&amp;L'!$C$3</f>
        <v>0</v>
      </c>
      <c r="R230" s="203">
        <f>R94*'Data - P&amp;L'!$C$3</f>
        <v>0</v>
      </c>
      <c r="S230" s="203">
        <f>S94*'Data - P&amp;L'!$C$3</f>
        <v>0</v>
      </c>
      <c r="T230" s="203">
        <f>T94*'Data - P&amp;L'!$C$3</f>
        <v>0</v>
      </c>
      <c r="U230" s="203">
        <f>U94*'Data - P&amp;L'!$C$3</f>
        <v>0</v>
      </c>
      <c r="V230" s="203">
        <f>V94*'Data - P&amp;L'!$C$3</f>
        <v>0</v>
      </c>
      <c r="W230" s="203">
        <f>W94*'Data - P&amp;L'!$C$3</f>
        <v>0</v>
      </c>
      <c r="X230" s="203">
        <f>X94*'Data - P&amp;L'!$C$3</f>
        <v>0</v>
      </c>
      <c r="Y230" s="203">
        <f>Y94*'Data - P&amp;L'!$C$3</f>
        <v>0</v>
      </c>
      <c r="Z230" s="203">
        <f>Z94*'Data - P&amp;L'!$C$3</f>
        <v>0</v>
      </c>
      <c r="AA230" s="203">
        <f>AA94*'Data - P&amp;L'!$C$3</f>
        <v>0</v>
      </c>
      <c r="AB230" s="203">
        <f>AB94*'Data - P&amp;L'!$C$3</f>
        <v>0</v>
      </c>
      <c r="AC230" s="203">
        <f>AC94*'Data - P&amp;L'!$C$3</f>
        <v>0</v>
      </c>
      <c r="AD230" s="203">
        <f>AD94*'Data - P&amp;L'!$C$3</f>
        <v>0</v>
      </c>
      <c r="AE230" s="203">
        <f>AE94*'Data - P&amp;L'!$C$3</f>
        <v>0</v>
      </c>
      <c r="AF230" s="203">
        <f>AF94*'Data - P&amp;L'!$C$3</f>
        <v>0</v>
      </c>
      <c r="AG230" s="817">
        <f t="shared" ref="AG230:AG264" si="81">SUM(B230:AF230)</f>
        <v>608.3</v>
      </c>
    </row>
    <row r="231" hidden="1" outlineLevel="1">
      <c r="A231" s="830" t="s">
        <v>1297</v>
      </c>
      <c r="B231" s="203">
        <f>B230*'Data - P&amp;L'!$L$5</f>
        <v>0</v>
      </c>
      <c r="C231" s="203">
        <f>C230*'Data - P&amp;L'!$L$5</f>
        <v>0</v>
      </c>
      <c r="D231" s="203">
        <f>D230*'Data - P&amp;L'!$L$5</f>
        <v>0</v>
      </c>
      <c r="E231" s="203">
        <f>E230*'Data - P&amp;L'!$L$5</f>
        <v>0</v>
      </c>
      <c r="F231" s="203">
        <f>F230*'Data - P&amp;L'!$L$5</f>
        <v>0</v>
      </c>
      <c r="G231" s="203">
        <f>G230*'Data - P&amp;L'!$L$5</f>
        <v>-6.5175</v>
      </c>
      <c r="H231" s="203">
        <f>H230*'Data - P&amp;L'!$L$5</f>
        <v>6.5175</v>
      </c>
      <c r="I231" s="203">
        <f>I230*'Data - P&amp;L'!$L$5</f>
        <v>6.5175</v>
      </c>
      <c r="J231" s="203">
        <f>J230*'Data - P&amp;L'!$L$5</f>
        <v>6.5175</v>
      </c>
      <c r="K231" s="203">
        <f>K230*'Data - P&amp;L'!$L$5</f>
        <v>0</v>
      </c>
      <c r="L231" s="203">
        <f>L230*'Data - P&amp;L'!$L$5</f>
        <v>6.5175</v>
      </c>
      <c r="M231" s="203">
        <f>M230*'Data - P&amp;L'!$L$5</f>
        <v>13.035</v>
      </c>
      <c r="N231" s="203">
        <f>N230*'Data - P&amp;L'!$L$5</f>
        <v>13.035</v>
      </c>
      <c r="O231" s="203">
        <f>O230*'Data - P&amp;L'!$L$5</f>
        <v>0</v>
      </c>
      <c r="P231" s="203">
        <f>P230*'Data - P&amp;L'!$L$5</f>
        <v>0</v>
      </c>
      <c r="Q231" s="203">
        <f>Q230*'Data - P&amp;L'!$L$5</f>
        <v>0</v>
      </c>
      <c r="R231" s="203">
        <f>R230*'Data - P&amp;L'!$L$5</f>
        <v>0</v>
      </c>
      <c r="S231" s="203">
        <f>S230*'Data - P&amp;L'!$L$5</f>
        <v>0</v>
      </c>
      <c r="T231" s="203">
        <f>T230*'Data - P&amp;L'!$L$5</f>
        <v>0</v>
      </c>
      <c r="U231" s="203">
        <f>U230*'Data - P&amp;L'!$L$5</f>
        <v>0</v>
      </c>
      <c r="V231" s="203">
        <f>V230*'Data - P&amp;L'!$L$5</f>
        <v>0</v>
      </c>
      <c r="W231" s="203">
        <f>W230*'Data - P&amp;L'!$L$5</f>
        <v>0</v>
      </c>
      <c r="X231" s="203">
        <f>X230*'Data - P&amp;L'!$L$5</f>
        <v>0</v>
      </c>
      <c r="Y231" s="203">
        <f>Y230*'Data - P&amp;L'!$L$5</f>
        <v>0</v>
      </c>
      <c r="Z231" s="203">
        <f>Z230*'Data - P&amp;L'!$L$5</f>
        <v>0</v>
      </c>
      <c r="AA231" s="203">
        <f>AA230*'Data - P&amp;L'!$L$5</f>
        <v>0</v>
      </c>
      <c r="AB231" s="203">
        <f>AB230*'Data - P&amp;L'!$L$5</f>
        <v>0</v>
      </c>
      <c r="AC231" s="203">
        <f>AC230*'Data - P&amp;L'!$L$5</f>
        <v>0</v>
      </c>
      <c r="AD231" s="203">
        <f>AD230*'Data - P&amp;L'!$L$5</f>
        <v>0</v>
      </c>
      <c r="AE231" s="203">
        <f>AE230*'Data - P&amp;L'!$L$5</f>
        <v>0</v>
      </c>
      <c r="AF231" s="203">
        <f>AF230*'Data - P&amp;L'!$L$5</f>
        <v>0</v>
      </c>
      <c r="AG231" s="817">
        <f t="shared" si="81"/>
        <v>45.6225</v>
      </c>
    </row>
    <row r="232" hidden="1" outlineLevel="1">
      <c r="A232" s="367" t="s">
        <v>1298</v>
      </c>
      <c r="B232" s="203">
        <f>B143*'Data - P&amp;L'!$C$4</f>
        <v>0</v>
      </c>
      <c r="C232" s="203">
        <f>C95*'Data - P&amp;L'!$C$4</f>
        <v>0</v>
      </c>
      <c r="D232" s="203">
        <f>D95*'Data - P&amp;L'!$C$4</f>
        <v>195.22</v>
      </c>
      <c r="E232" s="203">
        <f>E95*'Data - P&amp;L'!$C$4</f>
        <v>97.61</v>
      </c>
      <c r="F232" s="203">
        <f>F95*'Data - P&amp;L'!$C$4</f>
        <v>97.61</v>
      </c>
      <c r="G232" s="203">
        <f>G95*'Data - P&amp;L'!$C$4</f>
        <v>-97.61</v>
      </c>
      <c r="H232" s="203">
        <f>H95*'Data - P&amp;L'!$C$4</f>
        <v>292.83</v>
      </c>
      <c r="I232" s="203">
        <f>I95*'Data - P&amp;L'!$C$4</f>
        <v>976.1</v>
      </c>
      <c r="J232" s="203">
        <f>J95*'Data - P&amp;L'!$C$4</f>
        <v>195.22</v>
      </c>
      <c r="K232" s="203">
        <f>K95*'Data - P&amp;L'!$C$4</f>
        <v>195.22</v>
      </c>
      <c r="L232" s="203">
        <f>L95*'Data - P&amp;L'!$C$4</f>
        <v>390.44</v>
      </c>
      <c r="M232" s="203">
        <f>M95*'Data - P&amp;L'!$C$4</f>
        <v>6442.26</v>
      </c>
      <c r="N232" s="203">
        <f>N95*'Data - P&amp;L'!$C$4</f>
        <v>1464.15</v>
      </c>
      <c r="O232" s="203">
        <f>O95*'Data - P&amp;L'!$C$4</f>
        <v>0</v>
      </c>
      <c r="P232" s="203">
        <f>P95*'Data - P&amp;L'!$C$4</f>
        <v>0</v>
      </c>
      <c r="Q232" s="203">
        <f>Q95*'Data - P&amp;L'!$C$4</f>
        <v>0</v>
      </c>
      <c r="R232" s="203">
        <f>R95*'Data - P&amp;L'!$C$4</f>
        <v>195.22</v>
      </c>
      <c r="S232" s="203">
        <f>S95*'Data - P&amp;L'!$C$4</f>
        <v>195.22</v>
      </c>
      <c r="T232" s="203">
        <f>T95*'Data - P&amp;L'!$C$4</f>
        <v>0</v>
      </c>
      <c r="U232" s="203">
        <f>U95*'Data - P&amp;L'!$C$4</f>
        <v>0</v>
      </c>
      <c r="V232" s="203">
        <f>V95*'Data - P&amp;L'!$C$4</f>
        <v>-97.61</v>
      </c>
      <c r="W232" s="203">
        <f>W95*'Data - P&amp;L'!$C$4</f>
        <v>0</v>
      </c>
      <c r="X232" s="203">
        <f>X95*'Data - P&amp;L'!$C$4</f>
        <v>0</v>
      </c>
      <c r="Y232" s="203">
        <f>Y95*'Data - P&amp;L'!$C$4</f>
        <v>-97.61</v>
      </c>
      <c r="Z232" s="203">
        <f>Z95*'Data - P&amp;L'!$C$4</f>
        <v>0</v>
      </c>
      <c r="AA232" s="203">
        <f>AA95*'Data - P&amp;L'!$C$4</f>
        <v>0</v>
      </c>
      <c r="AB232" s="203">
        <f>AB95*'Data - P&amp;L'!$C$4</f>
        <v>0</v>
      </c>
      <c r="AC232" s="203">
        <f>AC95*'Data - P&amp;L'!$C$4</f>
        <v>0</v>
      </c>
      <c r="AD232" s="203">
        <f>AD95*'Data - P&amp;L'!$C$4</f>
        <v>0</v>
      </c>
      <c r="AE232" s="203">
        <f>AE95*'Data - P&amp;L'!$C$4</f>
        <v>0</v>
      </c>
      <c r="AF232" s="203">
        <f>AF95*'Data - P&amp;L'!$C$4</f>
        <v>0</v>
      </c>
      <c r="AG232" s="817">
        <f t="shared" si="81"/>
        <v>10444.27</v>
      </c>
    </row>
    <row r="233" hidden="1" outlineLevel="1">
      <c r="A233" s="830" t="s">
        <v>1299</v>
      </c>
      <c r="B233" s="203">
        <f>B232*'Data - P&amp;L'!$L$5</f>
        <v>0</v>
      </c>
      <c r="C233" s="203">
        <f>C232*'Data - P&amp;L'!$L$5</f>
        <v>0</v>
      </c>
      <c r="D233" s="203">
        <f>D232*'Data - P&amp;L'!$L$5</f>
        <v>14.6415</v>
      </c>
      <c r="E233" s="203">
        <f>E232*'Data - P&amp;L'!$L$5</f>
        <v>7.32075</v>
      </c>
      <c r="F233" s="203">
        <f>F232*'Data - P&amp;L'!$L$5</f>
        <v>7.32075</v>
      </c>
      <c r="G233" s="203">
        <f>G232*'Data - P&amp;L'!$L$5</f>
        <v>-7.32075</v>
      </c>
      <c r="H233" s="203">
        <f>H232*'Data - P&amp;L'!$L$5</f>
        <v>21.96225</v>
      </c>
      <c r="I233" s="203">
        <f>I232*'Data - P&amp;L'!$L$5</f>
        <v>73.2075</v>
      </c>
      <c r="J233" s="203">
        <f>J232*'Data - P&amp;L'!$L$5</f>
        <v>14.6415</v>
      </c>
      <c r="K233" s="203">
        <f>K232*'Data - P&amp;L'!$L$5</f>
        <v>14.6415</v>
      </c>
      <c r="L233" s="203">
        <f>L232*'Data - P&amp;L'!$L$5</f>
        <v>29.283</v>
      </c>
      <c r="M233" s="203">
        <f>M232*'Data - P&amp;L'!$L$5</f>
        <v>483.1695</v>
      </c>
      <c r="N233" s="203">
        <f>N232*'Data - P&amp;L'!$L$5</f>
        <v>109.81125</v>
      </c>
      <c r="O233" s="203">
        <f>O232*'Data - P&amp;L'!$L$5</f>
        <v>0</v>
      </c>
      <c r="P233" s="203">
        <f>P232*'Data - P&amp;L'!$L$5</f>
        <v>0</v>
      </c>
      <c r="Q233" s="203">
        <f>Q232*'Data - P&amp;L'!$L$5</f>
        <v>0</v>
      </c>
      <c r="R233" s="203">
        <f>R232*'Data - P&amp;L'!$L$5</f>
        <v>14.6415</v>
      </c>
      <c r="S233" s="203">
        <f>S232*'Data - P&amp;L'!$L$5</f>
        <v>14.6415</v>
      </c>
      <c r="T233" s="203">
        <f>T232*'Data - P&amp;L'!$L$5</f>
        <v>0</v>
      </c>
      <c r="U233" s="203">
        <f>U232*'Data - P&amp;L'!$L$5</f>
        <v>0</v>
      </c>
      <c r="V233" s="203">
        <f>V232*'Data - P&amp;L'!$L$5</f>
        <v>-7.32075</v>
      </c>
      <c r="W233" s="203">
        <f>W232*'Data - P&amp;L'!$L$5</f>
        <v>0</v>
      </c>
      <c r="X233" s="203">
        <f>X232*'Data - P&amp;L'!$L$5</f>
        <v>0</v>
      </c>
      <c r="Y233" s="203">
        <f>Y232*'Data - P&amp;L'!$L$5</f>
        <v>-7.32075</v>
      </c>
      <c r="Z233" s="203">
        <f>Z232*'Data - P&amp;L'!$L$5</f>
        <v>0</v>
      </c>
      <c r="AA233" s="203">
        <f>AA232*'Data - P&amp;L'!$L$5</f>
        <v>0</v>
      </c>
      <c r="AB233" s="203">
        <f>AB232*'Data - P&amp;L'!$L$5</f>
        <v>0</v>
      </c>
      <c r="AC233" s="203">
        <f>AC232*'Data - P&amp;L'!$L$5</f>
        <v>0</v>
      </c>
      <c r="AD233" s="203">
        <f>AD232*'Data - P&amp;L'!$L$5</f>
        <v>0</v>
      </c>
      <c r="AE233" s="203">
        <f>AE232*'Data - P&amp;L'!$L$5</f>
        <v>0</v>
      </c>
      <c r="AF233" s="203">
        <f>AF232*'Data - P&amp;L'!$L$5</f>
        <v>0</v>
      </c>
      <c r="AG233" s="817">
        <f t="shared" si="81"/>
        <v>783.32025</v>
      </c>
    </row>
    <row r="234" hidden="1" outlineLevel="1">
      <c r="A234" s="367" t="s">
        <v>1300</v>
      </c>
      <c r="B234" s="203">
        <f>B145*'Data - P&amp;L'!$C$6</f>
        <v>0</v>
      </c>
      <c r="C234" s="203">
        <f>(C97+C104+C112)*'Data - P&amp;L'!$C$6</f>
        <v>5.49</v>
      </c>
      <c r="D234" s="203">
        <f>(D97+D104+D112)*'Data - P&amp;L'!$C$6</f>
        <v>10.98</v>
      </c>
      <c r="E234" s="203">
        <f>(E97+E104+E112)*'Data - P&amp;L'!$C$6</f>
        <v>5.49</v>
      </c>
      <c r="F234" s="203">
        <f>(F97+F104+F112)*'Data - P&amp;L'!$C$6</f>
        <v>5.49</v>
      </c>
      <c r="G234" s="203">
        <f>(G97+G104+G112)*'Data - P&amp;L'!$C$6</f>
        <v>-10.98</v>
      </c>
      <c r="H234" s="203">
        <f>(H97+H104+H112)*'Data - P&amp;L'!$C$6</f>
        <v>27.45</v>
      </c>
      <c r="I234" s="203">
        <f>(I97+I104+I112)*'Data - P&amp;L'!$C$6</f>
        <v>104.31</v>
      </c>
      <c r="J234" s="203">
        <f>(J97+J104+J112)*'Data - P&amp;L'!$C$6</f>
        <v>16.47</v>
      </c>
      <c r="K234" s="203">
        <f>(K97+K104+K112)*'Data - P&amp;L'!$C$6</f>
        <v>21.96</v>
      </c>
      <c r="L234" s="203">
        <f>(L97+L104+L112)*'Data - P&amp;L'!$C$6</f>
        <v>27.45</v>
      </c>
      <c r="M234" s="203">
        <f>(M97+M104+M112)*'Data - P&amp;L'!$C$6</f>
        <v>505.08</v>
      </c>
      <c r="N234" s="203">
        <f>(N97+N104+N112)*'Data - P&amp;L'!$C$6</f>
        <v>159.21</v>
      </c>
      <c r="O234" s="203">
        <f>(O97+O104+O112)*'Data - P&amp;L'!$C$6</f>
        <v>0</v>
      </c>
      <c r="P234" s="203">
        <f>(P97+P104+P112)*'Data - P&amp;L'!$C$6</f>
        <v>0</v>
      </c>
      <c r="Q234" s="203">
        <f>(Q97+Q104+Q112)*'Data - P&amp;L'!$C$6</f>
        <v>0</v>
      </c>
      <c r="R234" s="203">
        <f>(R97+R104+R112)*'Data - P&amp;L'!$C$6</f>
        <v>16.47</v>
      </c>
      <c r="S234" s="203">
        <f>(S97+S104+S112)*'Data - P&amp;L'!$C$6</f>
        <v>10.98</v>
      </c>
      <c r="T234" s="203">
        <f>(T97+T104+T112)*'Data - P&amp;L'!$C$6</f>
        <v>-5.49</v>
      </c>
      <c r="U234" s="203">
        <f>(U97+U104+U112)*'Data - P&amp;L'!$C$6</f>
        <v>0</v>
      </c>
      <c r="V234" s="203">
        <f>(V97+V104+V112)*'Data - P&amp;L'!$C$6</f>
        <v>-5.49</v>
      </c>
      <c r="W234" s="203">
        <f>(W97+W104+W112)*'Data - P&amp;L'!$C$6</f>
        <v>0</v>
      </c>
      <c r="X234" s="203">
        <f>(X97+X104+X112)*'Data - P&amp;L'!$C$6</f>
        <v>0</v>
      </c>
      <c r="Y234" s="203">
        <f>(Y97+Y104+Y112)*'Data - P&amp;L'!$C$6</f>
        <v>-5.49</v>
      </c>
      <c r="Z234" s="203">
        <f>(Z97+Z104+Z112)*'Data - P&amp;L'!$C$6</f>
        <v>0</v>
      </c>
      <c r="AA234" s="203">
        <f>(AA97+AA104+AA112)*'Data - P&amp;L'!$C$6</f>
        <v>0</v>
      </c>
      <c r="AB234" s="203">
        <f>(AB97+AB104+AB112)*'Data - P&amp;L'!$C$6</f>
        <v>0</v>
      </c>
      <c r="AC234" s="203">
        <f>(AC97+AC104+AC112)*'Data - P&amp;L'!$C$6</f>
        <v>0</v>
      </c>
      <c r="AD234" s="203">
        <f>(AD97+AD104+AD112)*'Data - P&amp;L'!$C$6</f>
        <v>0</v>
      </c>
      <c r="AE234" s="203">
        <f>(AE97+AE104+AE112)*'Data - P&amp;L'!$C$6</f>
        <v>0</v>
      </c>
      <c r="AF234" s="203">
        <f>(AF97+AF104+AF112)*'Data - P&amp;L'!$C$6</f>
        <v>0</v>
      </c>
      <c r="AG234" s="817">
        <f t="shared" si="81"/>
        <v>889.38</v>
      </c>
    </row>
    <row r="235" hidden="1" outlineLevel="1">
      <c r="A235" s="830" t="s">
        <v>1301</v>
      </c>
      <c r="B235" s="203">
        <f>B234*'Data - P&amp;L'!$L$5</f>
        <v>0</v>
      </c>
      <c r="C235" s="203">
        <f>C234*'Data - P&amp;L'!$L$5</f>
        <v>0.41175</v>
      </c>
      <c r="D235" s="203">
        <f>D234*'Data - P&amp;L'!$L$5</f>
        <v>0.8235</v>
      </c>
      <c r="E235" s="203">
        <f>E234*'Data - P&amp;L'!$L$5</f>
        <v>0.41175</v>
      </c>
      <c r="F235" s="203">
        <f>F234*'Data - P&amp;L'!$L$5</f>
        <v>0.41175</v>
      </c>
      <c r="G235" s="203">
        <f>G234*'Data - P&amp;L'!$L$5</f>
        <v>-0.8235</v>
      </c>
      <c r="H235" s="203">
        <f>H234*'Data - P&amp;L'!$L$5</f>
        <v>2.05875</v>
      </c>
      <c r="I235" s="203">
        <f>I234*'Data - P&amp;L'!$L$5</f>
        <v>7.82325</v>
      </c>
      <c r="J235" s="203">
        <f>J234*'Data - P&amp;L'!$L$5</f>
        <v>1.23525</v>
      </c>
      <c r="K235" s="203">
        <f>K234*'Data - P&amp;L'!$L$5</f>
        <v>1.647</v>
      </c>
      <c r="L235" s="203">
        <f>L234*'Data - P&amp;L'!$L$5</f>
        <v>2.05875</v>
      </c>
      <c r="M235" s="203">
        <f>M234*'Data - P&amp;L'!$L$5</f>
        <v>37.881</v>
      </c>
      <c r="N235" s="203">
        <f>N234*'Data - P&amp;L'!$L$5</f>
        <v>11.94075</v>
      </c>
      <c r="O235" s="203">
        <f>O234*'Data - P&amp;L'!$L$5</f>
        <v>0</v>
      </c>
      <c r="P235" s="203">
        <f>P234*'Data - P&amp;L'!$L$5</f>
        <v>0</v>
      </c>
      <c r="Q235" s="203">
        <f>Q234*'Data - P&amp;L'!$L$5</f>
        <v>0</v>
      </c>
      <c r="R235" s="203">
        <f>R234*'Data - P&amp;L'!$L$5</f>
        <v>1.23525</v>
      </c>
      <c r="S235" s="203">
        <f>S234*'Data - P&amp;L'!$L$5</f>
        <v>0.8235</v>
      </c>
      <c r="T235" s="203">
        <f>T234*'Data - P&amp;L'!$L$5</f>
        <v>-0.41175</v>
      </c>
      <c r="U235" s="203">
        <f>U234*'Data - P&amp;L'!$L$5</f>
        <v>0</v>
      </c>
      <c r="V235" s="203">
        <f>V234*'Data - P&amp;L'!$L$5</f>
        <v>-0.41175</v>
      </c>
      <c r="W235" s="203">
        <f>W234*'Data - P&amp;L'!$L$5</f>
        <v>0</v>
      </c>
      <c r="X235" s="203">
        <f>X234*'Data - P&amp;L'!$L$5</f>
        <v>0</v>
      </c>
      <c r="Y235" s="203">
        <f>Y234*'Data - P&amp;L'!$L$5</f>
        <v>-0.41175</v>
      </c>
      <c r="Z235" s="203">
        <f>Z234*'Data - P&amp;L'!$L$5</f>
        <v>0</v>
      </c>
      <c r="AA235" s="203">
        <f>AA234*'Data - P&amp;L'!$L$5</f>
        <v>0</v>
      </c>
      <c r="AB235" s="203">
        <f>AB234*'Data - P&amp;L'!$L$5</f>
        <v>0</v>
      </c>
      <c r="AC235" s="203">
        <f>AC234*'Data - P&amp;L'!$L$5</f>
        <v>0</v>
      </c>
      <c r="AD235" s="203">
        <f>AD234*'Data - P&amp;L'!$L$5</f>
        <v>0</v>
      </c>
      <c r="AE235" s="203">
        <f>AE234*'Data - P&amp;L'!$L$5</f>
        <v>0</v>
      </c>
      <c r="AF235" s="203">
        <f>AF234*'Data - P&amp;L'!$L$5</f>
        <v>0</v>
      </c>
      <c r="AG235" s="817">
        <f t="shared" si="81"/>
        <v>66.7035</v>
      </c>
    </row>
    <row r="236" hidden="1" outlineLevel="1">
      <c r="A236" s="830" t="s">
        <v>1302</v>
      </c>
      <c r="B236" s="203">
        <f>B234*'Data - P&amp;L'!$L$4</f>
        <v>0</v>
      </c>
      <c r="C236" s="203">
        <f>C234*'Data - P&amp;L'!$L$4</f>
        <v>0.18666</v>
      </c>
      <c r="D236" s="203">
        <f>D234*'Data - P&amp;L'!$L$4</f>
        <v>0.37332</v>
      </c>
      <c r="E236" s="203">
        <f>E234*'Data - P&amp;L'!$L$4</f>
        <v>0.18666</v>
      </c>
      <c r="F236" s="203">
        <f>F234*'Data - P&amp;L'!$L$4</f>
        <v>0.18666</v>
      </c>
      <c r="G236" s="203">
        <f>G234*'Data - P&amp;L'!$L$4</f>
        <v>-0.37332</v>
      </c>
      <c r="H236" s="203">
        <f>H234*'Data - P&amp;L'!$L$4</f>
        <v>0.9333</v>
      </c>
      <c r="I236" s="203">
        <f>I234*'Data - P&amp;L'!$L$4</f>
        <v>3.54654</v>
      </c>
      <c r="J236" s="203">
        <f>J234*'Data - P&amp;L'!$L$4</f>
        <v>0.55998</v>
      </c>
      <c r="K236" s="203">
        <f>K234*'Data - P&amp;L'!$L$4</f>
        <v>0.74664</v>
      </c>
      <c r="L236" s="203">
        <f>L234*'Data - P&amp;L'!$L$4</f>
        <v>0.9333</v>
      </c>
      <c r="M236" s="203">
        <f>M234*'Data - P&amp;L'!$L$4</f>
        <v>17.17272</v>
      </c>
      <c r="N236" s="203">
        <f>N234*'Data - P&amp;L'!$L$4</f>
        <v>5.41314</v>
      </c>
      <c r="O236" s="203">
        <f>O234*'Data - P&amp;L'!$L$4</f>
        <v>0</v>
      </c>
      <c r="P236" s="203">
        <f>P234*'Data - P&amp;L'!$L$4</f>
        <v>0</v>
      </c>
      <c r="Q236" s="203">
        <f>Q234*'Data - P&amp;L'!$L$4</f>
        <v>0</v>
      </c>
      <c r="R236" s="203">
        <f>R234*'Data - P&amp;L'!$L$4</f>
        <v>0.55998</v>
      </c>
      <c r="S236" s="203">
        <f>S234*'Data - P&amp;L'!$L$4</f>
        <v>0.37332</v>
      </c>
      <c r="T236" s="203">
        <f>T234*'Data - P&amp;L'!$L$4</f>
        <v>-0.18666</v>
      </c>
      <c r="U236" s="203">
        <f>U234*'Data - P&amp;L'!$L$4</f>
        <v>0</v>
      </c>
      <c r="V236" s="203">
        <f>V234*'Data - P&amp;L'!$L$4</f>
        <v>-0.18666</v>
      </c>
      <c r="W236" s="203">
        <f>W234*'Data - P&amp;L'!$L$4</f>
        <v>0</v>
      </c>
      <c r="X236" s="203">
        <f>X234*'Data - P&amp;L'!$L$4</f>
        <v>0</v>
      </c>
      <c r="Y236" s="203">
        <f>Y234*'Data - P&amp;L'!$L$4</f>
        <v>-0.18666</v>
      </c>
      <c r="Z236" s="203">
        <f>Z234*'Data - P&amp;L'!$L$4</f>
        <v>0</v>
      </c>
      <c r="AA236" s="203">
        <f>AA234*'Data - P&amp;L'!$L$4</f>
        <v>0</v>
      </c>
      <c r="AB236" s="203">
        <f>AB234*'Data - P&amp;L'!$L$4</f>
        <v>0</v>
      </c>
      <c r="AC236" s="203">
        <f>AC234*'Data - P&amp;L'!$L$4</f>
        <v>0</v>
      </c>
      <c r="AD236" s="203">
        <f>AD234*'Data - P&amp;L'!$L$4</f>
        <v>0</v>
      </c>
      <c r="AE236" s="203">
        <f>AE234*'Data - P&amp;L'!$L$4</f>
        <v>0</v>
      </c>
      <c r="AF236" s="203">
        <f>AF234*'Data - P&amp;L'!$L$4</f>
        <v>0</v>
      </c>
      <c r="AG236" s="817">
        <f t="shared" si="81"/>
        <v>30.23892</v>
      </c>
    </row>
    <row r="237" hidden="1" outlineLevel="1">
      <c r="A237" s="367" t="s">
        <v>1303</v>
      </c>
      <c r="B237" s="203">
        <f>B146*'Data - P&amp;L'!$C$8</f>
        <v>0</v>
      </c>
      <c r="C237" s="203">
        <f>(C99+C106+C114)*'Data - P&amp;L'!$C$8</f>
        <v>0</v>
      </c>
      <c r="D237" s="203">
        <f>(D99+D106+D114)*'Data - P&amp;L'!$C$8</f>
        <v>0</v>
      </c>
      <c r="E237" s="203">
        <f>(E99+E106+E114)*'Data - P&amp;L'!$C$8</f>
        <v>0</v>
      </c>
      <c r="F237" s="203">
        <f>(F99+F106+F114)*'Data - P&amp;L'!$C$8</f>
        <v>0</v>
      </c>
      <c r="G237" s="203">
        <f>(G99+G106+G114)*'Data - P&amp;L'!$C$8</f>
        <v>0</v>
      </c>
      <c r="H237" s="203">
        <f>(H99+H106+H114)*'Data - P&amp;L'!$C$8</f>
        <v>0</v>
      </c>
      <c r="I237" s="203">
        <f>(I99+I106+I114)*'Data - P&amp;L'!$C$8</f>
        <v>0</v>
      </c>
      <c r="J237" s="203">
        <f>(J99+J106+J114)*'Data - P&amp;L'!$C$8</f>
        <v>0</v>
      </c>
      <c r="K237" s="203">
        <f>(K99+K106+K114)*'Data - P&amp;L'!$C$8</f>
        <v>0</v>
      </c>
      <c r="L237" s="203">
        <f>(L99+L106+L114)*'Data - P&amp;L'!$C$8</f>
        <v>0</v>
      </c>
      <c r="M237" s="203">
        <f>(M99+M106+M114)*'Data - P&amp;L'!$C$8</f>
        <v>0</v>
      </c>
      <c r="N237" s="203">
        <f>(N99+N106+N114)*'Data - P&amp;L'!$C$8</f>
        <v>0</v>
      </c>
      <c r="O237" s="203">
        <f>(O99+O106+O114)*'Data - P&amp;L'!$C$8</f>
        <v>0</v>
      </c>
      <c r="P237" s="203">
        <f>(P99+P106+P114)*'Data - P&amp;L'!$C$8</f>
        <v>0</v>
      </c>
      <c r="Q237" s="203">
        <f>(Q99+Q106+Q114)*'Data - P&amp;L'!$C$8</f>
        <v>0</v>
      </c>
      <c r="R237" s="203">
        <f>(R99+R106+R114)*'Data - P&amp;L'!$C$8</f>
        <v>0</v>
      </c>
      <c r="S237" s="203">
        <f>(S99+S106+S114)*'Data - P&amp;L'!$C$8</f>
        <v>0</v>
      </c>
      <c r="T237" s="203">
        <f>(T99+T106+T114)*'Data - P&amp;L'!$C$8</f>
        <v>-1.19</v>
      </c>
      <c r="U237" s="203">
        <f>(U99+U106+U114)*'Data - P&amp;L'!$C$8</f>
        <v>0</v>
      </c>
      <c r="V237" s="203">
        <f>(V99+V106+V114)*'Data - P&amp;L'!$C$8</f>
        <v>0</v>
      </c>
      <c r="W237" s="203">
        <f>(W99+W106+W114)*'Data - P&amp;L'!$C$8</f>
        <v>0</v>
      </c>
      <c r="X237" s="203">
        <f>(X99+X106+X114)*'Data - P&amp;L'!$C$8</f>
        <v>0</v>
      </c>
      <c r="Y237" s="203">
        <f>(Y99+Y106+Y114)*'Data - P&amp;L'!$C$8</f>
        <v>0</v>
      </c>
      <c r="Z237" s="203">
        <f>(Z99+Z106+Z114)*'Data - P&amp;L'!$C$8</f>
        <v>0</v>
      </c>
      <c r="AA237" s="203">
        <f>(AA99+AA106+AA114)*'Data - P&amp;L'!$C$8</f>
        <v>0</v>
      </c>
      <c r="AB237" s="203">
        <f>(AB99+AB106+AB114)*'Data - P&amp;L'!$C$8</f>
        <v>0</v>
      </c>
      <c r="AC237" s="203">
        <f>(AC99+AC106+AC114)*'Data - P&amp;L'!$C$8</f>
        <v>0</v>
      </c>
      <c r="AD237" s="203">
        <f>(AD99+AD106+AD114)*'Data - P&amp;L'!$C$8</f>
        <v>0</v>
      </c>
      <c r="AE237" s="203">
        <f>(AE99+AE106+AE114)*'Data - P&amp;L'!$C$8</f>
        <v>0</v>
      </c>
      <c r="AF237" s="203">
        <f>(AF99+AF106+AF114)*'Data - P&amp;L'!$C$8</f>
        <v>0</v>
      </c>
      <c r="AG237" s="817">
        <f t="shared" si="81"/>
        <v>-1.19</v>
      </c>
    </row>
    <row r="238" hidden="1" outlineLevel="1">
      <c r="A238" s="830" t="s">
        <v>1304</v>
      </c>
      <c r="B238" s="203">
        <f>B237*'Data - P&amp;L'!$L$5</f>
        <v>0</v>
      </c>
      <c r="C238" s="203">
        <f>C237*'Data - P&amp;L'!$L$5</f>
        <v>0</v>
      </c>
      <c r="D238" s="203">
        <f>D237*'Data - P&amp;L'!$L$5</f>
        <v>0</v>
      </c>
      <c r="E238" s="203">
        <f>E237*'Data - P&amp;L'!$L$5</f>
        <v>0</v>
      </c>
      <c r="F238" s="203">
        <f>F237*'Data - P&amp;L'!$L$5</f>
        <v>0</v>
      </c>
      <c r="G238" s="203">
        <f>G237*'Data - P&amp;L'!$L$5</f>
        <v>0</v>
      </c>
      <c r="H238" s="203">
        <f>H237*'Data - P&amp;L'!$L$5</f>
        <v>0</v>
      </c>
      <c r="I238" s="203">
        <f>I237*'Data - P&amp;L'!$L$5</f>
        <v>0</v>
      </c>
      <c r="J238" s="203">
        <f>J237*'Data - P&amp;L'!$L$5</f>
        <v>0</v>
      </c>
      <c r="K238" s="203">
        <f>K237*'Data - P&amp;L'!$L$5</f>
        <v>0</v>
      </c>
      <c r="L238" s="203">
        <f>L237*'Data - P&amp;L'!$L$5</f>
        <v>0</v>
      </c>
      <c r="M238" s="203">
        <f>M237*'Data - P&amp;L'!$L$5</f>
        <v>0</v>
      </c>
      <c r="N238" s="203">
        <f>N237*'Data - P&amp;L'!$L$5</f>
        <v>0</v>
      </c>
      <c r="O238" s="203">
        <f>O237*'Data - P&amp;L'!$L$5</f>
        <v>0</v>
      </c>
      <c r="P238" s="203">
        <f>P237*'Data - P&amp;L'!$L$5</f>
        <v>0</v>
      </c>
      <c r="Q238" s="203">
        <f>Q237*'Data - P&amp;L'!$L$5</f>
        <v>0</v>
      </c>
      <c r="R238" s="203">
        <f>R237*'Data - P&amp;L'!$L$5</f>
        <v>0</v>
      </c>
      <c r="S238" s="203">
        <f>S237*'Data - P&amp;L'!$L$5</f>
        <v>0</v>
      </c>
      <c r="T238" s="203">
        <f>T237*'Data - P&amp;L'!$L$5</f>
        <v>-0.08925</v>
      </c>
      <c r="U238" s="203">
        <f>U237*'Data - P&amp;L'!$L$5</f>
        <v>0</v>
      </c>
      <c r="V238" s="203">
        <f>V237*'Data - P&amp;L'!$L$5</f>
        <v>0</v>
      </c>
      <c r="W238" s="203">
        <f>W237*'Data - P&amp;L'!$L$5</f>
        <v>0</v>
      </c>
      <c r="X238" s="203">
        <f>X237*'Data - P&amp;L'!$L$5</f>
        <v>0</v>
      </c>
      <c r="Y238" s="203">
        <f>Y237*'Data - P&amp;L'!$L$5</f>
        <v>0</v>
      </c>
      <c r="Z238" s="203">
        <f>Z237*'Data - P&amp;L'!$L$5</f>
        <v>0</v>
      </c>
      <c r="AA238" s="203">
        <f>AA237*'Data - P&amp;L'!$L$5</f>
        <v>0</v>
      </c>
      <c r="AB238" s="203">
        <f>AB237*'Data - P&amp;L'!$L$5</f>
        <v>0</v>
      </c>
      <c r="AC238" s="203">
        <f>AC237*'Data - P&amp;L'!$L$5</f>
        <v>0</v>
      </c>
      <c r="AD238" s="203">
        <f>AD237*'Data - P&amp;L'!$L$5</f>
        <v>0</v>
      </c>
      <c r="AE238" s="203">
        <f>AE237*'Data - P&amp;L'!$L$5</f>
        <v>0</v>
      </c>
      <c r="AF238" s="203">
        <f>AF237*'Data - P&amp;L'!$L$5</f>
        <v>0</v>
      </c>
      <c r="AG238" s="817">
        <f t="shared" si="81"/>
        <v>-0.08925</v>
      </c>
    </row>
    <row r="239" hidden="1" outlineLevel="1">
      <c r="A239" s="830" t="s">
        <v>1305</v>
      </c>
      <c r="B239" s="203">
        <f>B237*'Data - P&amp;L'!$L$4</f>
        <v>0</v>
      </c>
      <c r="C239" s="203">
        <f>C237*'Data - P&amp;L'!$L$4</f>
        <v>0</v>
      </c>
      <c r="D239" s="203">
        <f>D237*'Data - P&amp;L'!$L$4</f>
        <v>0</v>
      </c>
      <c r="E239" s="203">
        <f>E237*'Data - P&amp;L'!$L$4</f>
        <v>0</v>
      </c>
      <c r="F239" s="203">
        <f>F237*'Data - P&amp;L'!$L$4</f>
        <v>0</v>
      </c>
      <c r="G239" s="203">
        <f>G237*'Data - P&amp;L'!$L$4</f>
        <v>0</v>
      </c>
      <c r="H239" s="203">
        <f>H237*'Data - P&amp;L'!$L$4</f>
        <v>0</v>
      </c>
      <c r="I239" s="203">
        <f>I237*'Data - P&amp;L'!$L$4</f>
        <v>0</v>
      </c>
      <c r="J239" s="203">
        <f>J237*'Data - P&amp;L'!$L$4</f>
        <v>0</v>
      </c>
      <c r="K239" s="203">
        <f>K237*'Data - P&amp;L'!$L$4</f>
        <v>0</v>
      </c>
      <c r="L239" s="203">
        <f>L237*'Data - P&amp;L'!$L$4</f>
        <v>0</v>
      </c>
      <c r="M239" s="203">
        <f>M237*'Data - P&amp;L'!$L$4</f>
        <v>0</v>
      </c>
      <c r="N239" s="203">
        <f>N237*'Data - P&amp;L'!$L$4</f>
        <v>0</v>
      </c>
      <c r="O239" s="203">
        <f>O237*'Data - P&amp;L'!$L$4</f>
        <v>0</v>
      </c>
      <c r="P239" s="203">
        <f>P237*'Data - P&amp;L'!$L$4</f>
        <v>0</v>
      </c>
      <c r="Q239" s="203">
        <f>Q237*'Data - P&amp;L'!$L$4</f>
        <v>0</v>
      </c>
      <c r="R239" s="203">
        <f>R237*'Data - P&amp;L'!$L$4</f>
        <v>0</v>
      </c>
      <c r="S239" s="203">
        <f>S237*'Data - P&amp;L'!$L$4</f>
        <v>0</v>
      </c>
      <c r="T239" s="203">
        <f>T237*'Data - P&amp;L'!$L$4</f>
        <v>-0.04046</v>
      </c>
      <c r="U239" s="203">
        <f>U237*'Data - P&amp;L'!$L$4</f>
        <v>0</v>
      </c>
      <c r="V239" s="203">
        <f>V237*'Data - P&amp;L'!$L$4</f>
        <v>0</v>
      </c>
      <c r="W239" s="203">
        <f>W237*'Data - P&amp;L'!$L$4</f>
        <v>0</v>
      </c>
      <c r="X239" s="203">
        <f>X237*'Data - P&amp;L'!$L$4</f>
        <v>0</v>
      </c>
      <c r="Y239" s="203">
        <f>Y237*'Data - P&amp;L'!$L$4</f>
        <v>0</v>
      </c>
      <c r="Z239" s="203">
        <f>Z237*'Data - P&amp;L'!$L$4</f>
        <v>0</v>
      </c>
      <c r="AA239" s="203">
        <f>AA237*'Data - P&amp;L'!$L$4</f>
        <v>0</v>
      </c>
      <c r="AB239" s="203">
        <f>AB237*'Data - P&amp;L'!$L$4</f>
        <v>0</v>
      </c>
      <c r="AC239" s="203">
        <f>AC237*'Data - P&amp;L'!$L$4</f>
        <v>0</v>
      </c>
      <c r="AD239" s="203">
        <f>AD237*'Data - P&amp;L'!$L$4</f>
        <v>0</v>
      </c>
      <c r="AE239" s="203">
        <f>AE237*'Data - P&amp;L'!$L$4</f>
        <v>0</v>
      </c>
      <c r="AF239" s="203">
        <f>AF237*'Data - P&amp;L'!$L$4</f>
        <v>0</v>
      </c>
      <c r="AG239" s="817">
        <f t="shared" si="81"/>
        <v>-0.04046</v>
      </c>
    </row>
    <row r="240" hidden="1" outlineLevel="1">
      <c r="A240" s="367" t="s">
        <v>1306</v>
      </c>
      <c r="B240" s="203">
        <f>(B147+B148)*'Data - P&amp;L'!$C$9</f>
        <v>0</v>
      </c>
      <c r="C240" s="83" t="str">
        <f>(#REF!+C107+C115)*'Data - P&amp;L'!$C$9</f>
        <v>#REF!</v>
      </c>
      <c r="D240" s="83" t="str">
        <f>(#REF!+D107+D115)*'Data - P&amp;L'!$C$9</f>
        <v>#REF!</v>
      </c>
      <c r="E240" s="83" t="str">
        <f>(#REF!+E107+E115)*'Data - P&amp;L'!$C$9</f>
        <v>#REF!</v>
      </c>
      <c r="F240" s="83" t="str">
        <f>(#REF!+F107+F115)*'Data - P&amp;L'!$C$9</f>
        <v>#REF!</v>
      </c>
      <c r="G240" s="83" t="str">
        <f>(#REF!+G107+G115)*'Data - P&amp;L'!$C$9</f>
        <v>#REF!</v>
      </c>
      <c r="H240" s="83" t="str">
        <f>(#REF!+H107+H115)*'Data - P&amp;L'!$C$9</f>
        <v>#REF!</v>
      </c>
      <c r="I240" s="83" t="str">
        <f>(#REF!+I107+I115)*'Data - P&amp;L'!$C$9</f>
        <v>#REF!</v>
      </c>
      <c r="J240" s="83" t="str">
        <f>(#REF!+J107+J115)*'Data - P&amp;L'!$C$9</f>
        <v>#REF!</v>
      </c>
      <c r="K240" s="83" t="str">
        <f>(#REF!+K107+K115)*'Data - P&amp;L'!$C$9</f>
        <v>#REF!</v>
      </c>
      <c r="L240" s="83" t="str">
        <f>(#REF!+L107+L115)*'Data - P&amp;L'!$C$9</f>
        <v>#REF!</v>
      </c>
      <c r="M240" s="83" t="str">
        <f>(#REF!+M107+M115)*'Data - P&amp;L'!$C$9</f>
        <v>#REF!</v>
      </c>
      <c r="N240" s="83" t="str">
        <f>(#REF!+N107+N115)*'Data - P&amp;L'!$C$9</f>
        <v>#REF!</v>
      </c>
      <c r="O240" s="83" t="str">
        <f>(#REF!+O107+O115)*'Data - P&amp;L'!$C$9</f>
        <v>#REF!</v>
      </c>
      <c r="P240" s="83" t="str">
        <f>(#REF!+P107+P115)*'Data - P&amp;L'!$C$9</f>
        <v>#REF!</v>
      </c>
      <c r="Q240" s="83" t="str">
        <f>(#REF!+Q107+Q115)*'Data - P&amp;L'!$C$9</f>
        <v>#REF!</v>
      </c>
      <c r="R240" s="83" t="str">
        <f>(#REF!+R107+R115)*'Data - P&amp;L'!$C$9</f>
        <v>#REF!</v>
      </c>
      <c r="S240" s="83" t="str">
        <f>(#REF!+S107+S115)*'Data - P&amp;L'!$C$9</f>
        <v>#REF!</v>
      </c>
      <c r="T240" s="83" t="str">
        <f>(#REF!+T107+T115)*'Data - P&amp;L'!$C$9</f>
        <v>#REF!</v>
      </c>
      <c r="U240" s="83" t="str">
        <f>(#REF!+U107+U115)*'Data - P&amp;L'!$C$9</f>
        <v>#REF!</v>
      </c>
      <c r="V240" s="83" t="str">
        <f>(#REF!+V107+V115)*'Data - P&amp;L'!$C$9</f>
        <v>#REF!</v>
      </c>
      <c r="W240" s="83" t="str">
        <f>(#REF!+W107+W115)*'Data - P&amp;L'!$C$9</f>
        <v>#REF!</v>
      </c>
      <c r="X240" s="83" t="str">
        <f>(#REF!+X107+X115)*'Data - P&amp;L'!$C$9</f>
        <v>#REF!</v>
      </c>
      <c r="Y240" s="83" t="str">
        <f>(#REF!+Y107+Y115)*'Data - P&amp;L'!$C$9</f>
        <v>#REF!</v>
      </c>
      <c r="Z240" s="83" t="str">
        <f>(#REF!+Z107+Z115)*'Data - P&amp;L'!$C$9</f>
        <v>#REF!</v>
      </c>
      <c r="AA240" s="83" t="str">
        <f>(#REF!+AA107+AA115)*'Data - P&amp;L'!$C$9</f>
        <v>#REF!</v>
      </c>
      <c r="AB240" s="83" t="str">
        <f>(#REF!+AB107+AB115)*'Data - P&amp;L'!$C$9</f>
        <v>#REF!</v>
      </c>
      <c r="AC240" s="83" t="str">
        <f>(#REF!+AC107+AC115)*'Data - P&amp;L'!$C$9</f>
        <v>#REF!</v>
      </c>
      <c r="AD240" s="83" t="str">
        <f>(#REF!+AD107+AD115)*'Data - P&amp;L'!$C$9</f>
        <v>#REF!</v>
      </c>
      <c r="AE240" s="83" t="str">
        <f>(#REF!+AE107+AE115)*'Data - P&amp;L'!$C$9</f>
        <v>#REF!</v>
      </c>
      <c r="AF240" s="83" t="str">
        <f>(#REF!+AF107+AF115)*'Data - P&amp;L'!$C$9</f>
        <v>#REF!</v>
      </c>
      <c r="AG240" s="817" t="str">
        <f t="shared" si="81"/>
        <v>#REF!</v>
      </c>
    </row>
    <row r="241" hidden="1" outlineLevel="1">
      <c r="A241" s="830" t="s">
        <v>1307</v>
      </c>
      <c r="B241" s="203">
        <f>B240*'Data - P&amp;L'!$L$5</f>
        <v>0</v>
      </c>
      <c r="C241" s="83" t="str">
        <f>C240*'Data - P&amp;L'!$L$5</f>
        <v>#REF!</v>
      </c>
      <c r="D241" s="83" t="str">
        <f>D240*'Data - P&amp;L'!$L$5</f>
        <v>#REF!</v>
      </c>
      <c r="E241" s="83" t="str">
        <f>E240*'Data - P&amp;L'!$L$5</f>
        <v>#REF!</v>
      </c>
      <c r="F241" s="83" t="str">
        <f>F240*'Data - P&amp;L'!$L$5</f>
        <v>#REF!</v>
      </c>
      <c r="G241" s="83" t="str">
        <f>G240*'Data - P&amp;L'!$L$5</f>
        <v>#REF!</v>
      </c>
      <c r="H241" s="83" t="str">
        <f>H240*'Data - P&amp;L'!$L$5</f>
        <v>#REF!</v>
      </c>
      <c r="I241" s="83" t="str">
        <f>I240*'Data - P&amp;L'!$L$5</f>
        <v>#REF!</v>
      </c>
      <c r="J241" s="83" t="str">
        <f>J240*'Data - P&amp;L'!$L$5</f>
        <v>#REF!</v>
      </c>
      <c r="K241" s="83" t="str">
        <f>K240*'Data - P&amp;L'!$L$5</f>
        <v>#REF!</v>
      </c>
      <c r="L241" s="83" t="str">
        <f>L240*'Data - P&amp;L'!$L$5</f>
        <v>#REF!</v>
      </c>
      <c r="M241" s="83" t="str">
        <f>M240*'Data - P&amp;L'!$L$5</f>
        <v>#REF!</v>
      </c>
      <c r="N241" s="83" t="str">
        <f>N240*'Data - P&amp;L'!$L$5</f>
        <v>#REF!</v>
      </c>
      <c r="O241" s="83" t="str">
        <f>O240*'Data - P&amp;L'!$L$5</f>
        <v>#REF!</v>
      </c>
      <c r="P241" s="83" t="str">
        <f>P240*'Data - P&amp;L'!$L$5</f>
        <v>#REF!</v>
      </c>
      <c r="Q241" s="83" t="str">
        <f>Q240*'Data - P&amp;L'!$L$5</f>
        <v>#REF!</v>
      </c>
      <c r="R241" s="83" t="str">
        <f>R240*'Data - P&amp;L'!$L$5</f>
        <v>#REF!</v>
      </c>
      <c r="S241" s="83" t="str">
        <f>S240*'Data - P&amp;L'!$L$5</f>
        <v>#REF!</v>
      </c>
      <c r="T241" s="83" t="str">
        <f>T240*'Data - P&amp;L'!$L$5</f>
        <v>#REF!</v>
      </c>
      <c r="U241" s="83" t="str">
        <f>U240*'Data - P&amp;L'!$L$5</f>
        <v>#REF!</v>
      </c>
      <c r="V241" s="83" t="str">
        <f>V240*'Data - P&amp;L'!$L$5</f>
        <v>#REF!</v>
      </c>
      <c r="W241" s="83" t="str">
        <f>W240*'Data - P&amp;L'!$L$5</f>
        <v>#REF!</v>
      </c>
      <c r="X241" s="83" t="str">
        <f>X240*'Data - P&amp;L'!$L$5</f>
        <v>#REF!</v>
      </c>
      <c r="Y241" s="83" t="str">
        <f>Y240*'Data - P&amp;L'!$L$5</f>
        <v>#REF!</v>
      </c>
      <c r="Z241" s="83" t="str">
        <f>Z240*'Data - P&amp;L'!$L$5</f>
        <v>#REF!</v>
      </c>
      <c r="AA241" s="83" t="str">
        <f>AA240*'Data - P&amp;L'!$L$5</f>
        <v>#REF!</v>
      </c>
      <c r="AB241" s="83" t="str">
        <f>AB240*'Data - P&amp;L'!$L$5</f>
        <v>#REF!</v>
      </c>
      <c r="AC241" s="83" t="str">
        <f>AC240*'Data - P&amp;L'!$L$5</f>
        <v>#REF!</v>
      </c>
      <c r="AD241" s="83" t="str">
        <f>AD240*'Data - P&amp;L'!$L$5</f>
        <v>#REF!</v>
      </c>
      <c r="AE241" s="83" t="str">
        <f>AE240*'Data - P&amp;L'!$L$5</f>
        <v>#REF!</v>
      </c>
      <c r="AF241" s="83" t="str">
        <f>AF240*'Data - P&amp;L'!$L$5</f>
        <v>#REF!</v>
      </c>
      <c r="AG241" s="817" t="str">
        <f t="shared" si="81"/>
        <v>#REF!</v>
      </c>
    </row>
    <row r="242" hidden="1" outlineLevel="1">
      <c r="A242" s="830" t="s">
        <v>1308</v>
      </c>
      <c r="B242" s="203">
        <f>B240*'Data - P&amp;L'!$L$4</f>
        <v>0</v>
      </c>
      <c r="C242" s="83" t="str">
        <f>C240*'Data - P&amp;L'!$L$4</f>
        <v>#REF!</v>
      </c>
      <c r="D242" s="83" t="str">
        <f>D240*'Data - P&amp;L'!$L$4</f>
        <v>#REF!</v>
      </c>
      <c r="E242" s="83" t="str">
        <f>E240*'Data - P&amp;L'!$L$4</f>
        <v>#REF!</v>
      </c>
      <c r="F242" s="83" t="str">
        <f>F240*'Data - P&amp;L'!$L$4</f>
        <v>#REF!</v>
      </c>
      <c r="G242" s="83" t="str">
        <f>G240*'Data - P&amp;L'!$L$4</f>
        <v>#REF!</v>
      </c>
      <c r="H242" s="83" t="str">
        <f>H240*'Data - P&amp;L'!$L$4</f>
        <v>#REF!</v>
      </c>
      <c r="I242" s="83" t="str">
        <f>I240*'Data - P&amp;L'!$L$4</f>
        <v>#REF!</v>
      </c>
      <c r="J242" s="83" t="str">
        <f>J240*'Data - P&amp;L'!$L$4</f>
        <v>#REF!</v>
      </c>
      <c r="K242" s="83" t="str">
        <f>K240*'Data - P&amp;L'!$L$4</f>
        <v>#REF!</v>
      </c>
      <c r="L242" s="83" t="str">
        <f>L240*'Data - P&amp;L'!$L$4</f>
        <v>#REF!</v>
      </c>
      <c r="M242" s="83" t="str">
        <f>M240*'Data - P&amp;L'!$L$4</f>
        <v>#REF!</v>
      </c>
      <c r="N242" s="83" t="str">
        <f>N240*'Data - P&amp;L'!$L$4</f>
        <v>#REF!</v>
      </c>
      <c r="O242" s="83" t="str">
        <f>O240*'Data - P&amp;L'!$L$4</f>
        <v>#REF!</v>
      </c>
      <c r="P242" s="83" t="str">
        <f>P240*'Data - P&amp;L'!$L$4</f>
        <v>#REF!</v>
      </c>
      <c r="Q242" s="83" t="str">
        <f>Q240*'Data - P&amp;L'!$L$4</f>
        <v>#REF!</v>
      </c>
      <c r="R242" s="83" t="str">
        <f>R240*'Data - P&amp;L'!$L$4</f>
        <v>#REF!</v>
      </c>
      <c r="S242" s="83" t="str">
        <f>S240*'Data - P&amp;L'!$L$4</f>
        <v>#REF!</v>
      </c>
      <c r="T242" s="83" t="str">
        <f>T240*'Data - P&amp;L'!$L$4</f>
        <v>#REF!</v>
      </c>
      <c r="U242" s="83" t="str">
        <f>U240*'Data - P&amp;L'!$L$4</f>
        <v>#REF!</v>
      </c>
      <c r="V242" s="83" t="str">
        <f>V240*'Data - P&amp;L'!$L$4</f>
        <v>#REF!</v>
      </c>
      <c r="W242" s="83" t="str">
        <f>W240*'Data - P&amp;L'!$L$4</f>
        <v>#REF!</v>
      </c>
      <c r="X242" s="83" t="str">
        <f>X240*'Data - P&amp;L'!$L$4</f>
        <v>#REF!</v>
      </c>
      <c r="Y242" s="83" t="str">
        <f>Y240*'Data - P&amp;L'!$L$4</f>
        <v>#REF!</v>
      </c>
      <c r="Z242" s="83" t="str">
        <f>Z240*'Data - P&amp;L'!$L$4</f>
        <v>#REF!</v>
      </c>
      <c r="AA242" s="83" t="str">
        <f>AA240*'Data - P&amp;L'!$L$4</f>
        <v>#REF!</v>
      </c>
      <c r="AB242" s="83" t="str">
        <f>AB240*'Data - P&amp;L'!$L$4</f>
        <v>#REF!</v>
      </c>
      <c r="AC242" s="83" t="str">
        <f>AC240*'Data - P&amp;L'!$L$4</f>
        <v>#REF!</v>
      </c>
      <c r="AD242" s="83" t="str">
        <f>AD240*'Data - P&amp;L'!$L$4</f>
        <v>#REF!</v>
      </c>
      <c r="AE242" s="83" t="str">
        <f>AE240*'Data - P&amp;L'!$L$4</f>
        <v>#REF!</v>
      </c>
      <c r="AF242" s="83" t="str">
        <f>AF240*'Data - P&amp;L'!$L$4</f>
        <v>#REF!</v>
      </c>
      <c r="AG242" s="817" t="str">
        <f t="shared" si="81"/>
        <v>#REF!</v>
      </c>
    </row>
    <row r="243" hidden="1" outlineLevel="1">
      <c r="A243" s="367" t="s">
        <v>1309</v>
      </c>
      <c r="B243" s="203">
        <f>(B149+B150)*'Data - P&amp;L'!$C$5</f>
        <v>0</v>
      </c>
      <c r="C243" s="203">
        <f>(C100+C108+C116)*'Data - P&amp;L'!$C$5</f>
        <v>0</v>
      </c>
      <c r="D243" s="203">
        <f>(D100+D108+D116)*'Data - P&amp;L'!$C$5</f>
        <v>0</v>
      </c>
      <c r="E243" s="203">
        <f>(E100+E108+E116)*'Data - P&amp;L'!$C$5</f>
        <v>0</v>
      </c>
      <c r="F243" s="203">
        <f>(F100+F108+F116)*'Data - P&amp;L'!$C$5</f>
        <v>0</v>
      </c>
      <c r="G243" s="203">
        <f>(G100+G108+G116)*'Data - P&amp;L'!$C$5</f>
        <v>0</v>
      </c>
      <c r="H243" s="203">
        <f>(H100+H108+H116)*'Data - P&amp;L'!$C$5</f>
        <v>0</v>
      </c>
      <c r="I243" s="203">
        <f>(I100+I108+I116)*'Data - P&amp;L'!$C$5</f>
        <v>0</v>
      </c>
      <c r="J243" s="203">
        <f>(J100+J108+J116)*'Data - P&amp;L'!$C$5</f>
        <v>0</v>
      </c>
      <c r="K243" s="203">
        <f>(K100+K108+K116)*'Data - P&amp;L'!$C$5</f>
        <v>0</v>
      </c>
      <c r="L243" s="203">
        <f>(L100+L108+L116)*'Data - P&amp;L'!$C$5</f>
        <v>0</v>
      </c>
      <c r="M243" s="203">
        <f>(M100+M108+M116)*'Data - P&amp;L'!$C$5</f>
        <v>0</v>
      </c>
      <c r="N243" s="203">
        <f>(N100+N108+N116)*'Data - P&amp;L'!$C$5</f>
        <v>0</v>
      </c>
      <c r="O243" s="203">
        <f>(O100+O108+O116)*'Data - P&amp;L'!$C$5</f>
        <v>0</v>
      </c>
      <c r="P243" s="203">
        <f>(P100+P108+P116)*'Data - P&amp;L'!$C$5</f>
        <v>0</v>
      </c>
      <c r="Q243" s="203">
        <f>(Q100+Q108+Q116)*'Data - P&amp;L'!$C$5</f>
        <v>0</v>
      </c>
      <c r="R243" s="203">
        <f>(R100+R108+R116)*'Data - P&amp;L'!$C$5</f>
        <v>0</v>
      </c>
      <c r="S243" s="203">
        <f>(S100+S108+S116)*'Data - P&amp;L'!$C$5</f>
        <v>0</v>
      </c>
      <c r="T243" s="203">
        <f>(T100+T108+T116)*'Data - P&amp;L'!$C$5</f>
        <v>-13.44</v>
      </c>
      <c r="U243" s="203">
        <f>(U100+U108+U116)*'Data - P&amp;L'!$C$5</f>
        <v>0</v>
      </c>
      <c r="V243" s="203">
        <f>(V100+V108+V116)*'Data - P&amp;L'!$C$5</f>
        <v>-13.44</v>
      </c>
      <c r="W243" s="203">
        <f>(W100+W108+W116)*'Data - P&amp;L'!$C$5</f>
        <v>0</v>
      </c>
      <c r="X243" s="203">
        <f>(X100+X108+X116)*'Data - P&amp;L'!$C$5</f>
        <v>0</v>
      </c>
      <c r="Y243" s="203">
        <f>(Y100+Y108+Y116)*'Data - P&amp;L'!$C$5</f>
        <v>0</v>
      </c>
      <c r="Z243" s="203">
        <f>(Z100+Z108+Z116)*'Data - P&amp;L'!$C$5</f>
        <v>0</v>
      </c>
      <c r="AA243" s="203">
        <f>(AA100+AA108+AA116)*'Data - P&amp;L'!$C$5</f>
        <v>0</v>
      </c>
      <c r="AB243" s="203">
        <f>(AB100+AB108+AB116)*'Data - P&amp;L'!$C$5</f>
        <v>0</v>
      </c>
      <c r="AC243" s="203">
        <f>(AC100+AC108+AC116)*'Data - P&amp;L'!$C$5</f>
        <v>0</v>
      </c>
      <c r="AD243" s="203">
        <f>(AD100+AD108+AD116)*'Data - P&amp;L'!$C$5</f>
        <v>0</v>
      </c>
      <c r="AE243" s="203">
        <f>(AE100+AE108+AE116)*'Data - P&amp;L'!$C$5</f>
        <v>0</v>
      </c>
      <c r="AF243" s="203">
        <f>(AF100+AF108+AF116)*'Data - P&amp;L'!$C$5</f>
        <v>0</v>
      </c>
      <c r="AG243" s="817">
        <f t="shared" si="81"/>
        <v>-26.88</v>
      </c>
    </row>
    <row r="244" hidden="1" outlineLevel="1">
      <c r="A244" s="830" t="s">
        <v>1339</v>
      </c>
      <c r="B244" s="203">
        <f>B243*'Data - P&amp;L'!$L$8</f>
        <v>0</v>
      </c>
      <c r="C244" s="203">
        <f>C243*'Data - P&amp;L'!$L$8</f>
        <v>0</v>
      </c>
      <c r="D244" s="203">
        <f>D243*'Data - P&amp;L'!$L$8</f>
        <v>0</v>
      </c>
      <c r="E244" s="203">
        <f>E243*'Data - P&amp;L'!$L$8</f>
        <v>0</v>
      </c>
      <c r="F244" s="203">
        <f>F243*'Data - P&amp;L'!$L$8</f>
        <v>0</v>
      </c>
      <c r="G244" s="203">
        <f>G243*'Data - P&amp;L'!$L$8</f>
        <v>0</v>
      </c>
      <c r="H244" s="203">
        <f>H243*'Data - P&amp;L'!$L$8</f>
        <v>0</v>
      </c>
      <c r="I244" s="203">
        <f>I243*'Data - P&amp;L'!$L$8</f>
        <v>0</v>
      </c>
      <c r="J244" s="203">
        <f>J243*'Data - P&amp;L'!$L$8</f>
        <v>0</v>
      </c>
      <c r="K244" s="203">
        <f>K243*'Data - P&amp;L'!$L$8</f>
        <v>0</v>
      </c>
      <c r="L244" s="203">
        <f>L243*'Data - P&amp;L'!$L$8</f>
        <v>0</v>
      </c>
      <c r="M244" s="203">
        <f>M243*'Data - P&amp;L'!$L$8</f>
        <v>0</v>
      </c>
      <c r="N244" s="203">
        <f>N243*'Data - P&amp;L'!$L$8</f>
        <v>0</v>
      </c>
      <c r="O244" s="203">
        <f>O243*'Data - P&amp;L'!$L$8</f>
        <v>0</v>
      </c>
      <c r="P244" s="203">
        <f>P243*'Data - P&amp;L'!$L$8</f>
        <v>0</v>
      </c>
      <c r="Q244" s="203">
        <f>Q243*'Data - P&amp;L'!$L$8</f>
        <v>0</v>
      </c>
      <c r="R244" s="203">
        <f>R243*'Data - P&amp;L'!$L$8</f>
        <v>0</v>
      </c>
      <c r="S244" s="203">
        <f>S243*'Data - P&amp;L'!$L$8</f>
        <v>0</v>
      </c>
      <c r="T244" s="203">
        <f>T243*'Data - P&amp;L'!$L$8</f>
        <v>-1.008</v>
      </c>
      <c r="U244" s="203">
        <f>U243*'Data - P&amp;L'!$L$8</f>
        <v>0</v>
      </c>
      <c r="V244" s="203">
        <f>V243*'Data - P&amp;L'!$L$8</f>
        <v>-1.008</v>
      </c>
      <c r="W244" s="203">
        <f>W243*'Data - P&amp;L'!$L$8</f>
        <v>0</v>
      </c>
      <c r="X244" s="203">
        <f>X243*'Data - P&amp;L'!$L$8</f>
        <v>0</v>
      </c>
      <c r="Y244" s="203">
        <f>Y243*'Data - P&amp;L'!$L$8</f>
        <v>0</v>
      </c>
      <c r="Z244" s="203">
        <f>Z243*'Data - P&amp;L'!$L$8</f>
        <v>0</v>
      </c>
      <c r="AA244" s="203">
        <f>AA243*'Data - P&amp;L'!$L$8</f>
        <v>0</v>
      </c>
      <c r="AB244" s="203">
        <f>AB243*'Data - P&amp;L'!$L$8</f>
        <v>0</v>
      </c>
      <c r="AC244" s="203">
        <f>AC243*'Data - P&amp;L'!$L$8</f>
        <v>0</v>
      </c>
      <c r="AD244" s="203">
        <f>AD243*'Data - P&amp;L'!$L$8</f>
        <v>0</v>
      </c>
      <c r="AE244" s="203">
        <f>AE243*'Data - P&amp;L'!$L$8</f>
        <v>0</v>
      </c>
      <c r="AF244" s="203">
        <f>AF243*'Data - P&amp;L'!$L$8</f>
        <v>0</v>
      </c>
      <c r="AG244" s="817">
        <f t="shared" si="81"/>
        <v>-2.016</v>
      </c>
    </row>
    <row r="245" hidden="1" outlineLevel="1">
      <c r="A245" s="830" t="s">
        <v>1311</v>
      </c>
      <c r="B245" s="203">
        <f>B243*'Data - P&amp;L'!$L$9</f>
        <v>0</v>
      </c>
      <c r="C245" s="203">
        <f>C243*'Data - P&amp;L'!$L$9</f>
        <v>0</v>
      </c>
      <c r="D245" s="203">
        <f>D243*'Data - P&amp;L'!$L$9</f>
        <v>0</v>
      </c>
      <c r="E245" s="203">
        <f>E243*'Data - P&amp;L'!$L$9</f>
        <v>0</v>
      </c>
      <c r="F245" s="203">
        <f>F243*'Data - P&amp;L'!$L$9</f>
        <v>0</v>
      </c>
      <c r="G245" s="203">
        <f>G243*'Data - P&amp;L'!$L$9</f>
        <v>0</v>
      </c>
      <c r="H245" s="203">
        <f>H243*'Data - P&amp;L'!$L$9</f>
        <v>0</v>
      </c>
      <c r="I245" s="203">
        <f>I243*'Data - P&amp;L'!$L$9</f>
        <v>0</v>
      </c>
      <c r="J245" s="203">
        <f>J243*'Data - P&amp;L'!$L$9</f>
        <v>0</v>
      </c>
      <c r="K245" s="203">
        <f>K243*'Data - P&amp;L'!$L$9</f>
        <v>0</v>
      </c>
      <c r="L245" s="203">
        <f>L243*'Data - P&amp;L'!$L$9</f>
        <v>0</v>
      </c>
      <c r="M245" s="203">
        <f>M243*'Data - P&amp;L'!$L$9</f>
        <v>0</v>
      </c>
      <c r="N245" s="203">
        <f>N243*'Data - P&amp;L'!$L$9</f>
        <v>0</v>
      </c>
      <c r="O245" s="203">
        <f>O243*'Data - P&amp;L'!$L$9</f>
        <v>0</v>
      </c>
      <c r="P245" s="203">
        <f>P243*'Data - P&amp;L'!$L$9</f>
        <v>0</v>
      </c>
      <c r="Q245" s="203">
        <f>Q243*'Data - P&amp;L'!$L$9</f>
        <v>0</v>
      </c>
      <c r="R245" s="203">
        <f>R243*'Data - P&amp;L'!$L$9</f>
        <v>0</v>
      </c>
      <c r="S245" s="203">
        <f>S243*'Data - P&amp;L'!$L$9</f>
        <v>0</v>
      </c>
      <c r="T245" s="203">
        <f>T243*'Data - P&amp;L'!$L$9</f>
        <v>-0.336</v>
      </c>
      <c r="U245" s="203">
        <f>U243*'Data - P&amp;L'!$L$9</f>
        <v>0</v>
      </c>
      <c r="V245" s="203">
        <f>V243*'Data - P&amp;L'!$L$9</f>
        <v>-0.336</v>
      </c>
      <c r="W245" s="203">
        <f>W243*'Data - P&amp;L'!$L$9</f>
        <v>0</v>
      </c>
      <c r="X245" s="203">
        <f>X243*'Data - P&amp;L'!$L$9</f>
        <v>0</v>
      </c>
      <c r="Y245" s="203">
        <f>Y243*'Data - P&amp;L'!$L$9</f>
        <v>0</v>
      </c>
      <c r="Z245" s="203">
        <f>Z243*'Data - P&amp;L'!$L$9</f>
        <v>0</v>
      </c>
      <c r="AA245" s="203">
        <f>AA243*'Data - P&amp;L'!$L$9</f>
        <v>0</v>
      </c>
      <c r="AB245" s="203">
        <f>AB243*'Data - P&amp;L'!$L$9</f>
        <v>0</v>
      </c>
      <c r="AC245" s="203">
        <f>AC243*'Data - P&amp;L'!$L$9</f>
        <v>0</v>
      </c>
      <c r="AD245" s="203">
        <f>AD243*'Data - P&amp;L'!$L$9</f>
        <v>0</v>
      </c>
      <c r="AE245" s="203">
        <f>AE243*'Data - P&amp;L'!$L$9</f>
        <v>0</v>
      </c>
      <c r="AF245" s="203">
        <f>AF243*'Data - P&amp;L'!$L$9</f>
        <v>0</v>
      </c>
      <c r="AG245" s="817">
        <f t="shared" si="81"/>
        <v>-0.672</v>
      </c>
    </row>
    <row r="246" hidden="1" outlineLevel="1">
      <c r="A246" s="830" t="s">
        <v>1313</v>
      </c>
      <c r="B246" s="83" t="str">
        <f>(B230+B232+#REF!+B234+B237+B240+B243)*'Data - P&amp;L'!$L$6</f>
        <v>#REF!</v>
      </c>
      <c r="C246" s="83" t="str">
        <f>(C230+C232+#REF!+C234+C237+C240+C243)*'Data - P&amp;L'!$L$6</f>
        <v>#REF!</v>
      </c>
      <c r="D246" s="83" t="str">
        <f>(D230+D232+#REF!+D234+D237+D240+D243)*'Data - P&amp;L'!$L$6</f>
        <v>#REF!</v>
      </c>
      <c r="E246" s="83" t="str">
        <f>(E230+E232+#REF!+E234+E237+E240+E243)*'Data - P&amp;L'!$L$6</f>
        <v>#REF!</v>
      </c>
      <c r="F246" s="83" t="str">
        <f>(F230+F232+#REF!+F234+F237+F240+F243)*'Data - P&amp;L'!$L$6</f>
        <v>#REF!</v>
      </c>
      <c r="G246" s="83" t="str">
        <f>(G230+G232+#REF!+G234+G237+G240+G243)*'Data - P&amp;L'!$L$6</f>
        <v>#REF!</v>
      </c>
      <c r="H246" s="83" t="str">
        <f>(H230+H232+#REF!+H234+H237+H240+H243)*'Data - P&amp;L'!$L$6</f>
        <v>#REF!</v>
      </c>
      <c r="I246" s="83" t="str">
        <f>(I230+I232+#REF!+I234+I237+I240+I243)*'Data - P&amp;L'!$L$6</f>
        <v>#REF!</v>
      </c>
      <c r="J246" s="83" t="str">
        <f>(J230+J232+#REF!+J234+J237+J240+J243)*'Data - P&amp;L'!$L$6</f>
        <v>#REF!</v>
      </c>
      <c r="K246" s="83" t="str">
        <f>(K230+K232+#REF!+K234+K237+K240+K243)*'Data - P&amp;L'!$L$6</f>
        <v>#REF!</v>
      </c>
      <c r="L246" s="83" t="str">
        <f>(L230+L232+#REF!+L234+L237+L240+L243)*'Data - P&amp;L'!$L$6</f>
        <v>#REF!</v>
      </c>
      <c r="M246" s="83" t="str">
        <f>(M230+M232+#REF!+M234+M237+M240+M243)*'Data - P&amp;L'!$L$6</f>
        <v>#REF!</v>
      </c>
      <c r="N246" s="83" t="str">
        <f>(N230+N232+#REF!+N234+N237+N240+N243)*'Data - P&amp;L'!$L$6</f>
        <v>#REF!</v>
      </c>
      <c r="O246" s="83" t="str">
        <f>(O230+O232+#REF!+O234+O237+O240+O243)*'Data - P&amp;L'!$L$6</f>
        <v>#REF!</v>
      </c>
      <c r="P246" s="83" t="str">
        <f>(P230+P232+#REF!+P234+P237+P240+P243)*'Data - P&amp;L'!$L$6</f>
        <v>#REF!</v>
      </c>
      <c r="Q246" s="83" t="str">
        <f>(Q230+Q232+#REF!+Q234+Q237+Q240+Q243)*'Data - P&amp;L'!$L$6</f>
        <v>#REF!</v>
      </c>
      <c r="R246" s="83" t="str">
        <f>(R230+R232+#REF!+R234+R237+R240+R243)*'Data - P&amp;L'!$L$6</f>
        <v>#REF!</v>
      </c>
      <c r="S246" s="83" t="str">
        <f>(S230+S232+#REF!+S234+S237+S240+S243)*'Data - P&amp;L'!$L$6</f>
        <v>#REF!</v>
      </c>
      <c r="T246" s="83" t="str">
        <f>(T230+T232+#REF!+T234+T237+T240+T243)*'Data - P&amp;L'!$L$6</f>
        <v>#REF!</v>
      </c>
      <c r="U246" s="83" t="str">
        <f>(U230+U232+#REF!+U234+U237+U240+U243)*'Data - P&amp;L'!$L$6</f>
        <v>#REF!</v>
      </c>
      <c r="V246" s="83" t="str">
        <f>(V230+V232+#REF!+V234+V237+V240+V243)*'Data - P&amp;L'!$L$6</f>
        <v>#REF!</v>
      </c>
      <c r="W246" s="83" t="str">
        <f>(W230+W232+#REF!+W234+W237+W240+W243)*'Data - P&amp;L'!$L$6</f>
        <v>#REF!</v>
      </c>
      <c r="X246" s="83" t="str">
        <f>(X230+X232+#REF!+X234+X237+X240+X243)*'Data - P&amp;L'!$L$6</f>
        <v>#REF!</v>
      </c>
      <c r="Y246" s="83" t="str">
        <f>(Y230+Y232+#REF!+Y234+Y237+Y240+Y243)*'Data - P&amp;L'!$L$6</f>
        <v>#REF!</v>
      </c>
      <c r="Z246" s="83" t="str">
        <f>(Z230+Z232+#REF!+Z234+Z237+Z240+Z243)*'Data - P&amp;L'!$L$6</f>
        <v>#REF!</v>
      </c>
      <c r="AA246" s="83" t="str">
        <f>(AA230+AA232+#REF!+AA234+AA237+AA240+AA243)*'Data - P&amp;L'!$L$6</f>
        <v>#REF!</v>
      </c>
      <c r="AB246" s="83" t="str">
        <f>(AB230+AB232+#REF!+AB234+AB237+AB240+AB243)*'Data - P&amp;L'!$L$6</f>
        <v>#REF!</v>
      </c>
      <c r="AC246" s="83" t="str">
        <f>(AC230+AC232+#REF!+AC234+AC237+AC240+AC243)*'Data - P&amp;L'!$L$6</f>
        <v>#REF!</v>
      </c>
      <c r="AD246" s="83" t="str">
        <f>(AD230+AD232+#REF!+AD234+AD237+AD240+AD243)*'Data - P&amp;L'!$L$6</f>
        <v>#REF!</v>
      </c>
      <c r="AE246" s="83" t="str">
        <f>(AE230+AE232+#REF!+AE234+AE237+AE240+AE243)*'Data - P&amp;L'!$L$6</f>
        <v>#REF!</v>
      </c>
      <c r="AF246" s="83" t="str">
        <f>(AF230+AF232+#REF!+AF234+AF237+AF240+AF243)*'Data - P&amp;L'!$L$6</f>
        <v>#REF!</v>
      </c>
      <c r="AG246" s="817" t="str">
        <f t="shared" si="81"/>
        <v>#REF!</v>
      </c>
    </row>
    <row r="247" hidden="1" outlineLevel="1">
      <c r="A247" s="830" t="s">
        <v>1315</v>
      </c>
      <c r="B247" s="83" t="str">
        <f>((B35+B36)*'Data - P&amp;L'!$C$38)+((B37+#REF!)*'Data - P&amp;L'!$C$39)+((B92+B93)*'Data - P&amp;L'!$C$40)</f>
        <v>#REF!</v>
      </c>
      <c r="C247" s="83" t="str">
        <f>((C35+C36)*'Data - P&amp;L'!$C$38)+((C37+#REF!)*'Data - P&amp;L'!$C$39)+((C92+C93)*'Data - P&amp;L'!$C$40)</f>
        <v>#REF!</v>
      </c>
      <c r="D247" s="83" t="str">
        <f>((D35+D36)*'Data - P&amp;L'!$C$38)+((D37+#REF!)*'Data - P&amp;L'!$C$39)+((D92+D93)*'Data - P&amp;L'!$C$40)</f>
        <v>#REF!</v>
      </c>
      <c r="E247" s="83" t="str">
        <f>((E35+E36)*'Data - P&amp;L'!$C$38)+((E37+#REF!)*'Data - P&amp;L'!$C$39)+((E92+E93)*'Data - P&amp;L'!$C$40)</f>
        <v>#REF!</v>
      </c>
      <c r="F247" s="83" t="str">
        <f>((F35+F36)*'Data - P&amp;L'!$C$38)+((F37+#REF!)*'Data - P&amp;L'!$C$39)+((F92+F93)*'Data - P&amp;L'!$C$40)</f>
        <v>#REF!</v>
      </c>
      <c r="G247" s="83" t="str">
        <f>((G35+G36)*'Data - P&amp;L'!$C$38)+((G37+#REF!)*'Data - P&amp;L'!$C$39)+((G92+G93)*'Data - P&amp;L'!$C$40)</f>
        <v>#REF!</v>
      </c>
      <c r="H247" s="83" t="str">
        <f>((H35+H36)*'Data - P&amp;L'!$C$38)+((H37+#REF!)*'Data - P&amp;L'!$C$39)+((H92+H93)*'Data - P&amp;L'!$C$40)</f>
        <v>#REF!</v>
      </c>
      <c r="I247" s="83" t="str">
        <f>((I35+I36)*'Data - P&amp;L'!$C$38)+((I37+#REF!)*'Data - P&amp;L'!$C$39)+((I92+I93)*'Data - P&amp;L'!$C$40)</f>
        <v>#REF!</v>
      </c>
      <c r="J247" s="83" t="str">
        <f>((J35+J36)*'Data - P&amp;L'!$C$38)+((J37+#REF!)*'Data - P&amp;L'!$C$39)+((J92+J93)*'Data - P&amp;L'!$C$40)</f>
        <v>#REF!</v>
      </c>
      <c r="K247" s="83" t="str">
        <f>((K35+K36)*'Data - P&amp;L'!$C$38)+((K37+#REF!)*'Data - P&amp;L'!$C$39)+((K92+K93)*'Data - P&amp;L'!$C$40)</f>
        <v>#REF!</v>
      </c>
      <c r="L247" s="83" t="str">
        <f>((L35+L36)*'Data - P&amp;L'!$C$38)+((L37+#REF!)*'Data - P&amp;L'!$C$39)+((L92+L93)*'Data - P&amp;L'!$C$40)</f>
        <v>#REF!</v>
      </c>
      <c r="M247" s="83" t="str">
        <f>((M35+M36)*'Data - P&amp;L'!$C$38)+((M37+#REF!)*'Data - P&amp;L'!$C$39)+((M92+M93)*'Data - P&amp;L'!$C$40)</f>
        <v>#REF!</v>
      </c>
      <c r="N247" s="83" t="str">
        <f>((N35+N36)*'Data - P&amp;L'!$C$38)+((N37+#REF!)*'Data - P&amp;L'!$C$39)+((N92+N93)*'Data - P&amp;L'!$C$40)</f>
        <v>#REF!</v>
      </c>
      <c r="O247" s="83" t="str">
        <f>((O35+O36)*'Data - P&amp;L'!$C$38)+((O37+#REF!)*'Data - P&amp;L'!$C$39)+((O92+O93)*'Data - P&amp;L'!$C$40)</f>
        <v>#REF!</v>
      </c>
      <c r="P247" s="83" t="str">
        <f>((P35+P36)*'Data - P&amp;L'!$C$38)+((P37+#REF!)*'Data - P&amp;L'!$C$39)+((P92+P93)*'Data - P&amp;L'!$C$40)</f>
        <v>#REF!</v>
      </c>
      <c r="Q247" s="83" t="str">
        <f>((Q35+Q36)*'Data - P&amp;L'!$C$38)+((Q37+#REF!)*'Data - P&amp;L'!$C$39)+((Q92+Q93)*'Data - P&amp;L'!$C$40)</f>
        <v>#REF!</v>
      </c>
      <c r="R247" s="83" t="str">
        <f>((R35+R36)*'Data - P&amp;L'!$C$38)+((R37+#REF!)*'Data - P&amp;L'!$C$39)+((R92+R93)*'Data - P&amp;L'!$C$40)</f>
        <v>#REF!</v>
      </c>
      <c r="S247" s="83" t="str">
        <f>((S35+S36)*'Data - P&amp;L'!$C$38)+((S37+#REF!)*'Data - P&amp;L'!$C$39)+((S92+S93)*'Data - P&amp;L'!$C$40)</f>
        <v>#REF!</v>
      </c>
      <c r="T247" s="83" t="str">
        <f>((T35+T36)*'Data - P&amp;L'!$C$38)+((T37+#REF!)*'Data - P&amp;L'!$C$39)+((T92+T93)*'Data - P&amp;L'!$C$40)</f>
        <v>#REF!</v>
      </c>
      <c r="U247" s="83" t="str">
        <f>((U35+U36)*'Data - P&amp;L'!$C$38)+((U37+#REF!)*'Data - P&amp;L'!$C$39)+((U92+U93)*'Data - P&amp;L'!$C$40)</f>
        <v>#REF!</v>
      </c>
      <c r="V247" s="83" t="str">
        <f>((V35+V36)*'Data - P&amp;L'!$C$38)+((V37+#REF!)*'Data - P&amp;L'!$C$39)+((V92+V93)*'Data - P&amp;L'!$C$40)</f>
        <v>#REF!</v>
      </c>
      <c r="W247" s="83" t="str">
        <f>((W35+W36)*'Data - P&amp;L'!$C$38)+((W37+#REF!)*'Data - P&amp;L'!$C$39)+((W92+W93)*'Data - P&amp;L'!$C$40)</f>
        <v>#REF!</v>
      </c>
      <c r="X247" s="83" t="str">
        <f>((X35+X36)*'Data - P&amp;L'!$C$38)+((X37+#REF!)*'Data - P&amp;L'!$C$39)+((X92+X93)*'Data - P&amp;L'!$C$40)</f>
        <v>#REF!</v>
      </c>
      <c r="Y247" s="83" t="str">
        <f>((Y35+Y36)*'Data - P&amp;L'!$C$38)+((Y37+#REF!)*'Data - P&amp;L'!$C$39)+((Y92+Y93)*'Data - P&amp;L'!$C$40)</f>
        <v>#REF!</v>
      </c>
      <c r="Z247" s="83" t="str">
        <f>((Z35+Z36)*'Data - P&amp;L'!$C$38)+((Z37+#REF!)*'Data - P&amp;L'!$C$39)+((Z92+Z93)*'Data - P&amp;L'!$C$40)</f>
        <v>#REF!</v>
      </c>
      <c r="AA247" s="83" t="str">
        <f>((AA35+AA36)*'Data - P&amp;L'!$C$38)+((AA37+#REF!)*'Data - P&amp;L'!$C$39)+((AA92+AA93)*'Data - P&amp;L'!$C$40)</f>
        <v>#REF!</v>
      </c>
      <c r="AB247" s="83" t="str">
        <f>((AB35+AB36)*'Data - P&amp;L'!$C$38)+((AB37+#REF!)*'Data - P&amp;L'!$C$39)+((AB92+AB93)*'Data - P&amp;L'!$C$40)</f>
        <v>#REF!</v>
      </c>
      <c r="AC247" s="83" t="str">
        <f>((AC35+AC36)*'Data - P&amp;L'!$C$38)+((AC37+#REF!)*'Data - P&amp;L'!$C$39)+((AC92+AC93)*'Data - P&amp;L'!$C$40)</f>
        <v>#REF!</v>
      </c>
      <c r="AD247" s="83" t="str">
        <f>((AD35+AD36)*'Data - P&amp;L'!$C$38)+((AD37+#REF!)*'Data - P&amp;L'!$C$39)+((AD92+AD93)*'Data - P&amp;L'!$C$40)</f>
        <v>#REF!</v>
      </c>
      <c r="AE247" s="83" t="str">
        <f>((AE35+AE36)*'Data - P&amp;L'!$C$38)+((AE37+#REF!)*'Data - P&amp;L'!$C$39)+((AE92+AE93)*'Data - P&amp;L'!$C$40)</f>
        <v>#REF!</v>
      </c>
      <c r="AF247" s="83" t="str">
        <f>((AF35+AF36)*'Data - P&amp;L'!$C$38)+((AF37+#REF!)*'Data - P&amp;L'!$C$39)+((AF92+AF93)*'Data - P&amp;L'!$C$40)</f>
        <v>#REF!</v>
      </c>
      <c r="AG247" s="817" t="str">
        <f t="shared" si="81"/>
        <v>#REF!</v>
      </c>
    </row>
    <row r="248" hidden="1" outlineLevel="1">
      <c r="A248" s="830" t="s">
        <v>1316</v>
      </c>
      <c r="B248" s="83" t="str">
        <f>((B35+B36)*'Data - P&amp;L'!$C$23)+((B37+#REF!)*'Data - P&amp;L'!$C$24)+((B92+B93)*'Data - P&amp;L'!$C$25)</f>
        <v>#REF!</v>
      </c>
      <c r="C248" s="83" t="str">
        <f>((C35+C36)*'Data - P&amp;L'!$C$23)+((C37+#REF!)*'Data - P&amp;L'!$C$24)+((C92+C93)*'Data - P&amp;L'!$C$25)</f>
        <v>#REF!</v>
      </c>
      <c r="D248" s="83" t="str">
        <f>((D35+D36)*'Data - P&amp;L'!$C$23)+((D37+#REF!)*'Data - P&amp;L'!$C$24)+((D92+D93)*'Data - P&amp;L'!$C$25)</f>
        <v>#REF!</v>
      </c>
      <c r="E248" s="83" t="str">
        <f>((E35+E36)*'Data - P&amp;L'!$C$23)+((E37+#REF!)*'Data - P&amp;L'!$C$24)+((E92+E93)*'Data - P&amp;L'!$C$25)</f>
        <v>#REF!</v>
      </c>
      <c r="F248" s="83" t="str">
        <f>((F35+F36)*'Data - P&amp;L'!$C$23)+((F37+#REF!)*'Data - P&amp;L'!$C$24)+((F92+F93)*'Data - P&amp;L'!$C$25)</f>
        <v>#REF!</v>
      </c>
      <c r="G248" s="83" t="str">
        <f>((G35+G36)*'Data - P&amp;L'!$C$23)+((G37+#REF!)*'Data - P&amp;L'!$C$24)+((G92+G93)*'Data - P&amp;L'!$C$25)</f>
        <v>#REF!</v>
      </c>
      <c r="H248" s="83" t="str">
        <f>((H35+H36)*'Data - P&amp;L'!$C$23)+((H37+#REF!)*'Data - P&amp;L'!$C$24)+((H92+H93)*'Data - P&amp;L'!$C$25)</f>
        <v>#REF!</v>
      </c>
      <c r="I248" s="83" t="str">
        <f>((I35+I36)*'Data - P&amp;L'!$C$23)+((I37+#REF!)*'Data - P&amp;L'!$C$24)+((I92+I93)*'Data - P&amp;L'!$C$25)</f>
        <v>#REF!</v>
      </c>
      <c r="J248" s="83" t="str">
        <f>((J35+J36)*'Data - P&amp;L'!$C$23)+((J37+#REF!)*'Data - P&amp;L'!$C$24)+((J92+J93)*'Data - P&amp;L'!$C$25)</f>
        <v>#REF!</v>
      </c>
      <c r="K248" s="83" t="str">
        <f>((K35+K36)*'Data - P&amp;L'!$C$23)+((K37+#REF!)*'Data - P&amp;L'!$C$24)+((K92+K93)*'Data - P&amp;L'!$C$25)</f>
        <v>#REF!</v>
      </c>
      <c r="L248" s="83" t="str">
        <f>((L35+L36)*'Data - P&amp;L'!$C$23)+((L37+#REF!)*'Data - P&amp;L'!$C$24)+((L92+L93)*'Data - P&amp;L'!$C$25)</f>
        <v>#REF!</v>
      </c>
      <c r="M248" s="83" t="str">
        <f>((M35+M36)*'Data - P&amp;L'!$C$23)+((M37+#REF!)*'Data - P&amp;L'!$C$24)+((M92+M93)*'Data - P&amp;L'!$C$25)</f>
        <v>#REF!</v>
      </c>
      <c r="N248" s="83" t="str">
        <f>((N35+N36)*'Data - P&amp;L'!$C$23)+((N37+#REF!)*'Data - P&amp;L'!$C$24)+((N92+N93)*'Data - P&amp;L'!$C$25)</f>
        <v>#REF!</v>
      </c>
      <c r="O248" s="83" t="str">
        <f>((O35+O36)*'Data - P&amp;L'!$C$23)+((O37+#REF!)*'Data - P&amp;L'!$C$24)+((O92+O93)*'Data - P&amp;L'!$C$25)</f>
        <v>#REF!</v>
      </c>
      <c r="P248" s="83" t="str">
        <f>((P35+P36)*'Data - P&amp;L'!$C$23)+((P37+#REF!)*'Data - P&amp;L'!$C$24)+((P92+P93)*'Data - P&amp;L'!$C$25)</f>
        <v>#REF!</v>
      </c>
      <c r="Q248" s="83" t="str">
        <f>((Q35+Q36)*'Data - P&amp;L'!$C$23)+((Q37+#REF!)*'Data - P&amp;L'!$C$24)+((Q92+Q93)*'Data - P&amp;L'!$C$25)</f>
        <v>#REF!</v>
      </c>
      <c r="R248" s="83" t="str">
        <f>((R35+R36)*'Data - P&amp;L'!$C$23)+((R37+#REF!)*'Data - P&amp;L'!$C$24)+((R92+R93)*'Data - P&amp;L'!$C$25)</f>
        <v>#REF!</v>
      </c>
      <c r="S248" s="83" t="str">
        <f>((S35+S36)*'Data - P&amp;L'!$C$23)+((S37+#REF!)*'Data - P&amp;L'!$C$24)+((S92+S93)*'Data - P&amp;L'!$C$25)</f>
        <v>#REF!</v>
      </c>
      <c r="T248" s="83" t="str">
        <f>((T35+T36)*'Data - P&amp;L'!$C$23)+((T37+#REF!)*'Data - P&amp;L'!$C$24)+((T92+T93)*'Data - P&amp;L'!$C$25)</f>
        <v>#REF!</v>
      </c>
      <c r="U248" s="83" t="str">
        <f>((U35+U36)*'Data - P&amp;L'!$C$23)+((U37+#REF!)*'Data - P&amp;L'!$C$24)+((U92+U93)*'Data - P&amp;L'!$C$25)</f>
        <v>#REF!</v>
      </c>
      <c r="V248" s="83" t="str">
        <f>((V35+V36)*'Data - P&amp;L'!$C$23)+((V37+#REF!)*'Data - P&amp;L'!$C$24)+((V92+V93)*'Data - P&amp;L'!$C$25)</f>
        <v>#REF!</v>
      </c>
      <c r="W248" s="83" t="str">
        <f>((W35+W36)*'Data - P&amp;L'!$C$23)+((W37+#REF!)*'Data - P&amp;L'!$C$24)+((W92+W93)*'Data - P&amp;L'!$C$25)</f>
        <v>#REF!</v>
      </c>
      <c r="X248" s="83" t="str">
        <f>((X35+X36)*'Data - P&amp;L'!$C$23)+((X37+#REF!)*'Data - P&amp;L'!$C$24)+((X92+X93)*'Data - P&amp;L'!$C$25)</f>
        <v>#REF!</v>
      </c>
      <c r="Y248" s="83" t="str">
        <f>((Y35+Y36)*'Data - P&amp;L'!$C$23)+((Y37+#REF!)*'Data - P&amp;L'!$C$24)+((Y92+Y93)*'Data - P&amp;L'!$C$25)</f>
        <v>#REF!</v>
      </c>
      <c r="Z248" s="83" t="str">
        <f>((Z35+Z36)*'Data - P&amp;L'!$C$23)+((Z37+#REF!)*'Data - P&amp;L'!$C$24)+((Z92+Z93)*'Data - P&amp;L'!$C$25)</f>
        <v>#REF!</v>
      </c>
      <c r="AA248" s="83" t="str">
        <f>((AA35+AA36)*'Data - P&amp;L'!$C$23)+((AA37+#REF!)*'Data - P&amp;L'!$C$24)+((AA92+AA93)*'Data - P&amp;L'!$C$25)</f>
        <v>#REF!</v>
      </c>
      <c r="AB248" s="83" t="str">
        <f>((AB35+AB36)*'Data - P&amp;L'!$C$23)+((AB37+#REF!)*'Data - P&amp;L'!$C$24)+((AB92+AB93)*'Data - P&amp;L'!$C$25)</f>
        <v>#REF!</v>
      </c>
      <c r="AC248" s="83" t="str">
        <f>((AC35+AC36)*'Data - P&amp;L'!$C$23)+((AC37+#REF!)*'Data - P&amp;L'!$C$24)+((AC92+AC93)*'Data - P&amp;L'!$C$25)</f>
        <v>#REF!</v>
      </c>
      <c r="AD248" s="83" t="str">
        <f>((AD35+AD36)*'Data - P&amp;L'!$C$23)+((AD37+#REF!)*'Data - P&amp;L'!$C$24)+((AD92+AD93)*'Data - P&amp;L'!$C$25)</f>
        <v>#REF!</v>
      </c>
      <c r="AE248" s="83" t="str">
        <f>((AE35+AE36)*'Data - P&amp;L'!$C$23)+((AE37+#REF!)*'Data - P&amp;L'!$C$24)+((AE92+AE93)*'Data - P&amp;L'!$C$25)</f>
        <v>#REF!</v>
      </c>
      <c r="AF248" s="83" t="str">
        <f>((AF35+AF36)*'Data - P&amp;L'!$C$23)+((AF37+#REF!)*'Data - P&amp;L'!$C$24)+((AF92+AF93)*'Data - P&amp;L'!$C$25)</f>
        <v>#REF!</v>
      </c>
      <c r="AG248" s="817" t="str">
        <f t="shared" si="81"/>
        <v>#REF!</v>
      </c>
    </row>
    <row r="249" hidden="1" outlineLevel="1">
      <c r="A249" s="830" t="s">
        <v>1317</v>
      </c>
      <c r="B249" s="83" t="str">
        <f>(B102*'Data - P&amp;L'!$D$38)+(B110*'Data - P&amp;L'!$D$39)+(#REF!*'Data - P&amp;L'!$D$40)</f>
        <v>#REF!</v>
      </c>
      <c r="C249" s="83" t="str">
        <f>(C102*'Data - P&amp;L'!$D$38)+(C110*'Data - P&amp;L'!$D$39)+(#REF!*'Data - P&amp;L'!$D$40)</f>
        <v>#REF!</v>
      </c>
      <c r="D249" s="83" t="str">
        <f>(D102*'Data - P&amp;L'!$D$38)+(D110*'Data - P&amp;L'!$D$39)+(#REF!*'Data - P&amp;L'!$D$40)</f>
        <v>#REF!</v>
      </c>
      <c r="E249" s="83" t="str">
        <f>(E102*'Data - P&amp;L'!$D$38)+(E110*'Data - P&amp;L'!$D$39)+(#REF!*'Data - P&amp;L'!$D$40)</f>
        <v>#REF!</v>
      </c>
      <c r="F249" s="83" t="str">
        <f>(F102*'Data - P&amp;L'!$D$38)+(F110*'Data - P&amp;L'!$D$39)+(#REF!*'Data - P&amp;L'!$D$40)</f>
        <v>#REF!</v>
      </c>
      <c r="G249" s="83" t="str">
        <f>(G102*'Data - P&amp;L'!$D$38)+(G110*'Data - P&amp;L'!$D$39)+(#REF!*'Data - P&amp;L'!$D$40)</f>
        <v>#REF!</v>
      </c>
      <c r="H249" s="83" t="str">
        <f>(H102*'Data - P&amp;L'!$D$38)+(H110*'Data - P&amp;L'!$D$39)+(#REF!*'Data - P&amp;L'!$D$40)</f>
        <v>#REF!</v>
      </c>
      <c r="I249" s="83" t="str">
        <f>(I102*'Data - P&amp;L'!$D$38)+(I110*'Data - P&amp;L'!$D$39)+(#REF!*'Data - P&amp;L'!$D$40)</f>
        <v>#REF!</v>
      </c>
      <c r="J249" s="83" t="str">
        <f>(J102*'Data - P&amp;L'!$D$38)+(J110*'Data - P&amp;L'!$D$39)+(#REF!*'Data - P&amp;L'!$D$40)</f>
        <v>#REF!</v>
      </c>
      <c r="K249" s="83" t="str">
        <f>(K102*'Data - P&amp;L'!$D$38)+(K110*'Data - P&amp;L'!$D$39)+(#REF!*'Data - P&amp;L'!$D$40)</f>
        <v>#REF!</v>
      </c>
      <c r="L249" s="83" t="str">
        <f>(L102*'Data - P&amp;L'!$D$38)+(L110*'Data - P&amp;L'!$D$39)+(#REF!*'Data - P&amp;L'!$D$40)</f>
        <v>#REF!</v>
      </c>
      <c r="M249" s="83" t="str">
        <f>(M102*'Data - P&amp;L'!$D$38)+(M110*'Data - P&amp;L'!$D$39)+(#REF!*'Data - P&amp;L'!$D$40)</f>
        <v>#REF!</v>
      </c>
      <c r="N249" s="83" t="str">
        <f>(N102*'Data - P&amp;L'!$D$38)+(N110*'Data - P&amp;L'!$D$39)+(#REF!*'Data - P&amp;L'!$D$40)</f>
        <v>#REF!</v>
      </c>
      <c r="O249" s="83" t="str">
        <f>(O102*'Data - P&amp;L'!$D$38)+(O110*'Data - P&amp;L'!$D$39)+(#REF!*'Data - P&amp;L'!$D$40)</f>
        <v>#REF!</v>
      </c>
      <c r="P249" s="83" t="str">
        <f>(P102*'Data - P&amp;L'!$D$38)+(P110*'Data - P&amp;L'!$D$39)+(#REF!*'Data - P&amp;L'!$D$40)</f>
        <v>#REF!</v>
      </c>
      <c r="Q249" s="83" t="str">
        <f>(Q102*'Data - P&amp;L'!$D$38)+(Q110*'Data - P&amp;L'!$D$39)+(#REF!*'Data - P&amp;L'!$D$40)</f>
        <v>#REF!</v>
      </c>
      <c r="R249" s="83" t="str">
        <f>(R102*'Data - P&amp;L'!$D$38)+(R110*'Data - P&amp;L'!$D$39)+(#REF!*'Data - P&amp;L'!$D$40)</f>
        <v>#REF!</v>
      </c>
      <c r="S249" s="83" t="str">
        <f>(S102*'Data - P&amp;L'!$D$38)+(S110*'Data - P&amp;L'!$D$39)+(#REF!*'Data - P&amp;L'!$D$40)</f>
        <v>#REF!</v>
      </c>
      <c r="T249" s="83" t="str">
        <f>(T102*'Data - P&amp;L'!$D$38)+(T110*'Data - P&amp;L'!$D$39)+(#REF!*'Data - P&amp;L'!$D$40)</f>
        <v>#REF!</v>
      </c>
      <c r="U249" s="83" t="str">
        <f>(U102*'Data - P&amp;L'!$D$38)+(U110*'Data - P&amp;L'!$D$39)+(#REF!*'Data - P&amp;L'!$D$40)</f>
        <v>#REF!</v>
      </c>
      <c r="V249" s="83" t="str">
        <f>(V102*'Data - P&amp;L'!$D$38)+(V110*'Data - P&amp;L'!$D$39)+(#REF!*'Data - P&amp;L'!$D$40)</f>
        <v>#REF!</v>
      </c>
      <c r="W249" s="83" t="str">
        <f>(W102*'Data - P&amp;L'!$D$38)+(W110*'Data - P&amp;L'!$D$39)+(#REF!*'Data - P&amp;L'!$D$40)</f>
        <v>#REF!</v>
      </c>
      <c r="X249" s="83" t="str">
        <f>(X102*'Data - P&amp;L'!$D$38)+(X110*'Data - P&amp;L'!$D$39)+(#REF!*'Data - P&amp;L'!$D$40)</f>
        <v>#REF!</v>
      </c>
      <c r="Y249" s="83" t="str">
        <f>(Y102*'Data - P&amp;L'!$D$38)+(Y110*'Data - P&amp;L'!$D$39)+(#REF!*'Data - P&amp;L'!$D$40)</f>
        <v>#REF!</v>
      </c>
      <c r="Z249" s="83" t="str">
        <f>(Z102*'Data - P&amp;L'!$D$38)+(Z110*'Data - P&amp;L'!$D$39)+(#REF!*'Data - P&amp;L'!$D$40)</f>
        <v>#REF!</v>
      </c>
      <c r="AA249" s="83" t="str">
        <f>(AA102*'Data - P&amp;L'!$D$38)+(AA110*'Data - P&amp;L'!$D$39)+(#REF!*'Data - P&amp;L'!$D$40)</f>
        <v>#REF!</v>
      </c>
      <c r="AB249" s="83" t="str">
        <f>(AB102*'Data - P&amp;L'!$D$38)+(AB110*'Data - P&amp;L'!$D$39)+(#REF!*'Data - P&amp;L'!$D$40)</f>
        <v>#REF!</v>
      </c>
      <c r="AC249" s="83" t="str">
        <f>(AC102*'Data - P&amp;L'!$D$38)+(AC110*'Data - P&amp;L'!$D$39)+(#REF!*'Data - P&amp;L'!$D$40)</f>
        <v>#REF!</v>
      </c>
      <c r="AD249" s="83" t="str">
        <f>(AD102*'Data - P&amp;L'!$D$38)+(AD110*'Data - P&amp;L'!$D$39)+(#REF!*'Data - P&amp;L'!$D$40)</f>
        <v>#REF!</v>
      </c>
      <c r="AE249" s="83" t="str">
        <f>(AE102*'Data - P&amp;L'!$D$38)+(AE110*'Data - P&amp;L'!$D$39)+(#REF!*'Data - P&amp;L'!$D$40)</f>
        <v>#REF!</v>
      </c>
      <c r="AF249" s="83" t="str">
        <f>(AF102*'Data - P&amp;L'!$D$38)+(AF110*'Data - P&amp;L'!$D$39)+(#REF!*'Data - P&amp;L'!$D$40)</f>
        <v>#REF!</v>
      </c>
      <c r="AG249" s="817" t="str">
        <f t="shared" si="81"/>
        <v>#REF!</v>
      </c>
    </row>
    <row r="250" hidden="1" outlineLevel="1">
      <c r="A250" s="830" t="s">
        <v>1318</v>
      </c>
      <c r="B250" s="83" t="str">
        <f>(B102*'Data - P&amp;L'!$D$23)+(B110*'Data - P&amp;L'!$D$24)+(#REF!*'Data - P&amp;L'!$D$25)</f>
        <v>#REF!</v>
      </c>
      <c r="C250" s="83" t="str">
        <f>(C102*'Data - P&amp;L'!$D$23)+(C110*'Data - P&amp;L'!$D$24)+(#REF!*'Data - P&amp;L'!$D$25)</f>
        <v>#REF!</v>
      </c>
      <c r="D250" s="83" t="str">
        <f>(D102*'Data - P&amp;L'!$D$23)+(D110*'Data - P&amp;L'!$D$24)+(#REF!*'Data - P&amp;L'!$D$25)</f>
        <v>#REF!</v>
      </c>
      <c r="E250" s="83" t="str">
        <f>(E102*'Data - P&amp;L'!$D$23)+(E110*'Data - P&amp;L'!$D$24)+(#REF!*'Data - P&amp;L'!$D$25)</f>
        <v>#REF!</v>
      </c>
      <c r="F250" s="83" t="str">
        <f>(F102*'Data - P&amp;L'!$D$23)+(F110*'Data - P&amp;L'!$D$24)+(#REF!*'Data - P&amp;L'!$D$25)</f>
        <v>#REF!</v>
      </c>
      <c r="G250" s="83" t="str">
        <f>(G102*'Data - P&amp;L'!$D$23)+(G110*'Data - P&amp;L'!$D$24)+(#REF!*'Data - P&amp;L'!$D$25)</f>
        <v>#REF!</v>
      </c>
      <c r="H250" s="83" t="str">
        <f>(H102*'Data - P&amp;L'!$D$23)+(H110*'Data - P&amp;L'!$D$24)+(#REF!*'Data - P&amp;L'!$D$25)</f>
        <v>#REF!</v>
      </c>
      <c r="I250" s="83" t="str">
        <f>(I102*'Data - P&amp;L'!$D$23)+(I110*'Data - P&amp;L'!$D$24)+(#REF!*'Data - P&amp;L'!$D$25)</f>
        <v>#REF!</v>
      </c>
      <c r="J250" s="83" t="str">
        <f>(J102*'Data - P&amp;L'!$D$23)+(J110*'Data - P&amp;L'!$D$24)+(#REF!*'Data - P&amp;L'!$D$25)</f>
        <v>#REF!</v>
      </c>
      <c r="K250" s="83" t="str">
        <f>(K102*'Data - P&amp;L'!$D$23)+(K110*'Data - P&amp;L'!$D$24)+(#REF!*'Data - P&amp;L'!$D$25)</f>
        <v>#REF!</v>
      </c>
      <c r="L250" s="83" t="str">
        <f>(L102*'Data - P&amp;L'!$D$23)+(L110*'Data - P&amp;L'!$D$24)+(#REF!*'Data - P&amp;L'!$D$25)</f>
        <v>#REF!</v>
      </c>
      <c r="M250" s="83" t="str">
        <f>(M102*'Data - P&amp;L'!$D$23)+(M110*'Data - P&amp;L'!$D$24)+(#REF!*'Data - P&amp;L'!$D$25)</f>
        <v>#REF!</v>
      </c>
      <c r="N250" s="83" t="str">
        <f>(N102*'Data - P&amp;L'!$D$23)+(N110*'Data - P&amp;L'!$D$24)+(#REF!*'Data - P&amp;L'!$D$25)</f>
        <v>#REF!</v>
      </c>
      <c r="O250" s="83" t="str">
        <f>(O102*'Data - P&amp;L'!$D$23)+(O110*'Data - P&amp;L'!$D$24)+(#REF!*'Data - P&amp;L'!$D$25)</f>
        <v>#REF!</v>
      </c>
      <c r="P250" s="83" t="str">
        <f>(P102*'Data - P&amp;L'!$D$23)+(P110*'Data - P&amp;L'!$D$24)+(#REF!*'Data - P&amp;L'!$D$25)</f>
        <v>#REF!</v>
      </c>
      <c r="Q250" s="83" t="str">
        <f>(Q102*'Data - P&amp;L'!$D$23)+(Q110*'Data - P&amp;L'!$D$24)+(#REF!*'Data - P&amp;L'!$D$25)</f>
        <v>#REF!</v>
      </c>
      <c r="R250" s="83" t="str">
        <f>(R102*'Data - P&amp;L'!$D$23)+(R110*'Data - P&amp;L'!$D$24)+(#REF!*'Data - P&amp;L'!$D$25)</f>
        <v>#REF!</v>
      </c>
      <c r="S250" s="83" t="str">
        <f>(S102*'Data - P&amp;L'!$D$23)+(S110*'Data - P&amp;L'!$D$24)+(#REF!*'Data - P&amp;L'!$D$25)</f>
        <v>#REF!</v>
      </c>
      <c r="T250" s="83" t="str">
        <f>(T102*'Data - P&amp;L'!$D$23)+(T110*'Data - P&amp;L'!$D$24)+(#REF!*'Data - P&amp;L'!$D$25)</f>
        <v>#REF!</v>
      </c>
      <c r="U250" s="83" t="str">
        <f>(U102*'Data - P&amp;L'!$D$23)+(U110*'Data - P&amp;L'!$D$24)+(#REF!*'Data - P&amp;L'!$D$25)</f>
        <v>#REF!</v>
      </c>
      <c r="V250" s="83" t="str">
        <f>(V102*'Data - P&amp;L'!$D$23)+(V110*'Data - P&amp;L'!$D$24)+(#REF!*'Data - P&amp;L'!$D$25)</f>
        <v>#REF!</v>
      </c>
      <c r="W250" s="83" t="str">
        <f>(W102*'Data - P&amp;L'!$D$23)+(W110*'Data - P&amp;L'!$D$24)+(#REF!*'Data - P&amp;L'!$D$25)</f>
        <v>#REF!</v>
      </c>
      <c r="X250" s="83" t="str">
        <f>(X102*'Data - P&amp;L'!$D$23)+(X110*'Data - P&amp;L'!$D$24)+(#REF!*'Data - P&amp;L'!$D$25)</f>
        <v>#REF!</v>
      </c>
      <c r="Y250" s="83" t="str">
        <f>(Y102*'Data - P&amp;L'!$D$23)+(Y110*'Data - P&amp;L'!$D$24)+(#REF!*'Data - P&amp;L'!$D$25)</f>
        <v>#REF!</v>
      </c>
      <c r="Z250" s="83" t="str">
        <f>(Z102*'Data - P&amp;L'!$D$23)+(Z110*'Data - P&amp;L'!$D$24)+(#REF!*'Data - P&amp;L'!$D$25)</f>
        <v>#REF!</v>
      </c>
      <c r="AA250" s="83" t="str">
        <f>(AA102*'Data - P&amp;L'!$D$23)+(AA110*'Data - P&amp;L'!$D$24)+(#REF!*'Data - P&amp;L'!$D$25)</f>
        <v>#REF!</v>
      </c>
      <c r="AB250" s="83" t="str">
        <f>(AB102*'Data - P&amp;L'!$D$23)+(AB110*'Data - P&amp;L'!$D$24)+(#REF!*'Data - P&amp;L'!$D$25)</f>
        <v>#REF!</v>
      </c>
      <c r="AC250" s="83" t="str">
        <f>(AC102*'Data - P&amp;L'!$D$23)+(AC110*'Data - P&amp;L'!$D$24)+(#REF!*'Data - P&amp;L'!$D$25)</f>
        <v>#REF!</v>
      </c>
      <c r="AD250" s="83" t="str">
        <f>(AD102*'Data - P&amp;L'!$D$23)+(AD110*'Data - P&amp;L'!$D$24)+(#REF!*'Data - P&amp;L'!$D$25)</f>
        <v>#REF!</v>
      </c>
      <c r="AE250" s="83" t="str">
        <f>(AE102*'Data - P&amp;L'!$D$23)+(AE110*'Data - P&amp;L'!$D$24)+(#REF!*'Data - P&amp;L'!$D$25)</f>
        <v>#REF!</v>
      </c>
      <c r="AF250" s="83" t="str">
        <f>(AF102*'Data - P&amp;L'!$D$23)+(AF110*'Data - P&amp;L'!$D$24)+(#REF!*'Data - P&amp;L'!$D$25)</f>
        <v>#REF!</v>
      </c>
      <c r="AG250" s="817" t="str">
        <f t="shared" si="81"/>
        <v>#REF!</v>
      </c>
    </row>
    <row r="251" hidden="1" outlineLevel="1">
      <c r="A251" s="392" t="s">
        <v>1323</v>
      </c>
      <c r="B251" s="83"/>
      <c r="C251" s="83"/>
      <c r="D251" s="83"/>
      <c r="E251" s="83"/>
      <c r="F251" s="83"/>
      <c r="G251" s="83"/>
      <c r="H251" s="83"/>
      <c r="I251" s="83"/>
      <c r="J251" s="83"/>
      <c r="K251" s="83"/>
      <c r="L251" s="83"/>
      <c r="M251" s="83"/>
      <c r="N251" s="83"/>
      <c r="O251" s="83"/>
      <c r="P251" s="83"/>
      <c r="Q251" s="83"/>
      <c r="R251" s="83"/>
      <c r="S251" s="83"/>
      <c r="T251" s="83"/>
      <c r="U251" s="83"/>
      <c r="V251" s="83"/>
      <c r="W251" s="83"/>
      <c r="X251" s="83"/>
      <c r="Y251" s="83"/>
      <c r="Z251" s="83"/>
      <c r="AA251" s="83"/>
      <c r="AB251" s="83"/>
      <c r="AC251" s="83"/>
      <c r="AD251" s="83"/>
      <c r="AE251" s="83"/>
      <c r="AF251" s="83"/>
      <c r="AG251" s="817">
        <f t="shared" si="81"/>
        <v>0</v>
      </c>
    </row>
    <row r="252" hidden="1" outlineLevel="1">
      <c r="A252" s="392" t="s">
        <v>1325</v>
      </c>
      <c r="B252" s="203">
        <f>(B94+B95)*'Data - P&amp;L'!$C$28</f>
        <v>0.3</v>
      </c>
      <c r="C252" s="203">
        <f>(C94+C95)*'Data - P&amp;L'!$C$28</f>
        <v>0</v>
      </c>
      <c r="D252" s="203">
        <f>(D94+D95)*'Data - P&amp;L'!$C$28</f>
        <v>0.2</v>
      </c>
      <c r="E252" s="203">
        <f>(E94+E95)*'Data - P&amp;L'!$C$28</f>
        <v>0.1</v>
      </c>
      <c r="F252" s="203">
        <f>(F94+F95)*'Data - P&amp;L'!$C$28</f>
        <v>0.1</v>
      </c>
      <c r="G252" s="203">
        <f>(G94+G95)*'Data - P&amp;L'!$C$28</f>
        <v>-0.2</v>
      </c>
      <c r="H252" s="203">
        <f>(H94+H95)*'Data - P&amp;L'!$C$28</f>
        <v>0.4</v>
      </c>
      <c r="I252" s="203">
        <f>(I94+I95)*'Data - P&amp;L'!$C$28</f>
        <v>1.1</v>
      </c>
      <c r="J252" s="203">
        <f>(J94+J95)*'Data - P&amp;L'!$C$28</f>
        <v>0.3</v>
      </c>
      <c r="K252" s="203">
        <f>(K94+K95)*'Data - P&amp;L'!$C$28</f>
        <v>0.2</v>
      </c>
      <c r="L252" s="203">
        <f>(L94+L95)*'Data - P&amp;L'!$C$28</f>
        <v>0.5</v>
      </c>
      <c r="M252" s="203">
        <f>(M94+M95)*'Data - P&amp;L'!$C$28</f>
        <v>6.8</v>
      </c>
      <c r="N252" s="203">
        <f>(N94+N95)*'Data - P&amp;L'!$C$28</f>
        <v>1.7</v>
      </c>
      <c r="O252" s="203">
        <f>(O94+O95)*'Data - P&amp;L'!$C$28</f>
        <v>0</v>
      </c>
      <c r="P252" s="203">
        <f>(P94+P95)*'Data - P&amp;L'!$C$28</f>
        <v>0</v>
      </c>
      <c r="Q252" s="203">
        <f>(Q94+Q95)*'Data - P&amp;L'!$C$28</f>
        <v>0</v>
      </c>
      <c r="R252" s="203">
        <f>(R94+R95)*'Data - P&amp;L'!$C$28</f>
        <v>0.2</v>
      </c>
      <c r="S252" s="203">
        <f>(S94+S95)*'Data - P&amp;L'!$C$28</f>
        <v>0.2</v>
      </c>
      <c r="T252" s="203">
        <f>(T94+T95)*'Data - P&amp;L'!$C$28</f>
        <v>0</v>
      </c>
      <c r="U252" s="203">
        <f>(U94+U95)*'Data - P&amp;L'!$C$28</f>
        <v>0</v>
      </c>
      <c r="V252" s="203">
        <f>(V94+V95)*'Data - P&amp;L'!$C$28</f>
        <v>-0.1</v>
      </c>
      <c r="W252" s="203">
        <f>(W94+W95)*'Data - P&amp;L'!$C$28</f>
        <v>0</v>
      </c>
      <c r="X252" s="203">
        <f>(X94+X95)*'Data - P&amp;L'!$C$28</f>
        <v>0</v>
      </c>
      <c r="Y252" s="203">
        <f>(Y94+Y95)*'Data - P&amp;L'!$C$28</f>
        <v>-0.1</v>
      </c>
      <c r="Z252" s="203">
        <f>(Z94+Z95)*'Data - P&amp;L'!$C$28</f>
        <v>0</v>
      </c>
      <c r="AA252" s="203">
        <f>(AA94+AA95)*'Data - P&amp;L'!$C$28</f>
        <v>0</v>
      </c>
      <c r="AB252" s="203">
        <f>(AB94+AB95)*'Data - P&amp;L'!$C$28</f>
        <v>0</v>
      </c>
      <c r="AC252" s="203">
        <f>(AC94+AC95)*'Data - P&amp;L'!$C$28</f>
        <v>0</v>
      </c>
      <c r="AD252" s="203">
        <f>(AD94+AD95)*'Data - P&amp;L'!$C$28</f>
        <v>0</v>
      </c>
      <c r="AE252" s="203">
        <f>(AE94+AE95)*'Data - P&amp;L'!$C$28</f>
        <v>0</v>
      </c>
      <c r="AF252" s="203">
        <f>(AF94+AF95)*'Data - P&amp;L'!$C$28</f>
        <v>0</v>
      </c>
      <c r="AG252" s="817">
        <f t="shared" si="81"/>
        <v>11.7</v>
      </c>
    </row>
    <row r="253" hidden="1" outlineLevel="1">
      <c r="A253" s="392" t="s">
        <v>1326</v>
      </c>
      <c r="B253" s="203">
        <f>(B94+B95)*'Data - P&amp;L'!$C$29</f>
        <v>0.93</v>
      </c>
      <c r="C253" s="203">
        <f>(C94+C95)*'Data - P&amp;L'!$C$29</f>
        <v>0</v>
      </c>
      <c r="D253" s="203">
        <f>(D94+D95)*'Data - P&amp;L'!$C$29</f>
        <v>0.62</v>
      </c>
      <c r="E253" s="203">
        <f>(E94+E95)*'Data - P&amp;L'!$C$29</f>
        <v>0.31</v>
      </c>
      <c r="F253" s="203">
        <f>(F94+F95)*'Data - P&amp;L'!$C$29</f>
        <v>0.31</v>
      </c>
      <c r="G253" s="203">
        <f>(G94+G95)*'Data - P&amp;L'!$C$29</f>
        <v>-0.62</v>
      </c>
      <c r="H253" s="203">
        <f>(H94+H95)*'Data - P&amp;L'!$C$29</f>
        <v>1.24</v>
      </c>
      <c r="I253" s="203">
        <f>(I94+I95)*'Data - P&amp;L'!$C$29</f>
        <v>3.41</v>
      </c>
      <c r="J253" s="203">
        <f>(J94+J95)*'Data - P&amp;L'!$C$29</f>
        <v>0.93</v>
      </c>
      <c r="K253" s="203">
        <f>(K94+K95)*'Data - P&amp;L'!$C$29</f>
        <v>0.62</v>
      </c>
      <c r="L253" s="203">
        <f>(L94+L95)*'Data - P&amp;L'!$C$29</f>
        <v>1.55</v>
      </c>
      <c r="M253" s="203">
        <f>(M94+M95)*'Data - P&amp;L'!$C$29</f>
        <v>21.08</v>
      </c>
      <c r="N253" s="203">
        <f>(N94+N95)*'Data - P&amp;L'!$C$29</f>
        <v>5.27</v>
      </c>
      <c r="O253" s="203">
        <f>(O94+O95)*'Data - P&amp;L'!$C$29</f>
        <v>0</v>
      </c>
      <c r="P253" s="203">
        <f>(P94+P95)*'Data - P&amp;L'!$C$29</f>
        <v>0</v>
      </c>
      <c r="Q253" s="203">
        <f>(Q94+Q95)*'Data - P&amp;L'!$C$29</f>
        <v>0</v>
      </c>
      <c r="R253" s="203">
        <f>(R94+R95)*'Data - P&amp;L'!$C$29</f>
        <v>0.62</v>
      </c>
      <c r="S253" s="203">
        <f>(S94+S95)*'Data - P&amp;L'!$C$29</f>
        <v>0.62</v>
      </c>
      <c r="T253" s="203">
        <f>(T94+T95)*'Data - P&amp;L'!$C$29</f>
        <v>0</v>
      </c>
      <c r="U253" s="203">
        <f>(U94+U95)*'Data - P&amp;L'!$C$29</f>
        <v>0</v>
      </c>
      <c r="V253" s="203">
        <f>(V94+V95)*'Data - P&amp;L'!$C$29</f>
        <v>-0.31</v>
      </c>
      <c r="W253" s="203">
        <f>(W94+W95)*'Data - P&amp;L'!$C$29</f>
        <v>0</v>
      </c>
      <c r="X253" s="203">
        <f>(X94+X95)*'Data - P&amp;L'!$C$29</f>
        <v>0</v>
      </c>
      <c r="Y253" s="203">
        <f>(Y94+Y95)*'Data - P&amp;L'!$C$29</f>
        <v>-0.31</v>
      </c>
      <c r="Z253" s="203">
        <f>(Z94+Z95)*'Data - P&amp;L'!$C$29</f>
        <v>0</v>
      </c>
      <c r="AA253" s="203">
        <f>(AA94+AA95)*'Data - P&amp;L'!$C$29</f>
        <v>0</v>
      </c>
      <c r="AB253" s="203">
        <f>(AB94+AB95)*'Data - P&amp;L'!$C$29</f>
        <v>0</v>
      </c>
      <c r="AC253" s="203">
        <f>(AC94+AC95)*'Data - P&amp;L'!$C$29</f>
        <v>0</v>
      </c>
      <c r="AD253" s="203">
        <f>(AD94+AD95)*'Data - P&amp;L'!$C$29</f>
        <v>0</v>
      </c>
      <c r="AE253" s="203">
        <f>(AE94+AE95)*'Data - P&amp;L'!$C$29</f>
        <v>0</v>
      </c>
      <c r="AF253" s="203">
        <f>(AF94+AF95)*'Data - P&amp;L'!$C$29</f>
        <v>0</v>
      </c>
      <c r="AG253" s="817">
        <f t="shared" si="81"/>
        <v>36.27</v>
      </c>
    </row>
    <row r="254" hidden="1" outlineLevel="1">
      <c r="A254" s="392" t="s">
        <v>1327</v>
      </c>
      <c r="B254" s="203">
        <f>(B94+B95)*'Data - P&amp;L'!$C$30</f>
        <v>0</v>
      </c>
      <c r="C254" s="203">
        <f>(C94+C95)*'Data - P&amp;L'!$C$30</f>
        <v>0</v>
      </c>
      <c r="D254" s="203">
        <f>(D94+D95)*'Data - P&amp;L'!$C$30</f>
        <v>0</v>
      </c>
      <c r="E254" s="203">
        <f>(E94+E95)*'Data - P&amp;L'!$C$30</f>
        <v>0</v>
      </c>
      <c r="F254" s="203">
        <f>(F94+F95)*'Data - P&amp;L'!$C$30</f>
        <v>0</v>
      </c>
      <c r="G254" s="203">
        <f>(G94+G95)*'Data - P&amp;L'!$C$30</f>
        <v>0</v>
      </c>
      <c r="H254" s="203">
        <f>(H94+H95)*'Data - P&amp;L'!$C$30</f>
        <v>0</v>
      </c>
      <c r="I254" s="203">
        <f>(I94+I95)*'Data - P&amp;L'!$C$30</f>
        <v>0</v>
      </c>
      <c r="J254" s="203">
        <f>(J94+J95)*'Data - P&amp;L'!$C$30</f>
        <v>0</v>
      </c>
      <c r="K254" s="203">
        <f>(K94+K95)*'Data - P&amp;L'!$C$30</f>
        <v>0</v>
      </c>
      <c r="L254" s="203">
        <f>(L94+L95)*'Data - P&amp;L'!$C$30</f>
        <v>0</v>
      </c>
      <c r="M254" s="203">
        <f>(M94+M95)*'Data - P&amp;L'!$C$30</f>
        <v>0</v>
      </c>
      <c r="N254" s="203">
        <f>(N94+N95)*'Data - P&amp;L'!$C$30</f>
        <v>0</v>
      </c>
      <c r="O254" s="203">
        <f>(O94+O95)*'Data - P&amp;L'!$C$30</f>
        <v>0</v>
      </c>
      <c r="P254" s="203">
        <f>(P94+P95)*'Data - P&amp;L'!$C$30</f>
        <v>0</v>
      </c>
      <c r="Q254" s="203">
        <f>(Q94+Q95)*'Data - P&amp;L'!$C$30</f>
        <v>0</v>
      </c>
      <c r="R254" s="203">
        <f>(R94+R95)*'Data - P&amp;L'!$C$30</f>
        <v>0</v>
      </c>
      <c r="S254" s="203">
        <f>(S94+S95)*'Data - P&amp;L'!$C$30</f>
        <v>0</v>
      </c>
      <c r="T254" s="203">
        <f>(T94+T95)*'Data - P&amp;L'!$C$30</f>
        <v>0</v>
      </c>
      <c r="U254" s="203">
        <f>(U94+U95)*'Data - P&amp;L'!$C$30</f>
        <v>0</v>
      </c>
      <c r="V254" s="203">
        <f>(V94+V95)*'Data - P&amp;L'!$C$30</f>
        <v>0</v>
      </c>
      <c r="W254" s="203">
        <f>(W94+W95)*'Data - P&amp;L'!$C$30</f>
        <v>0</v>
      </c>
      <c r="X254" s="203">
        <f>(X94+X95)*'Data - P&amp;L'!$C$30</f>
        <v>0</v>
      </c>
      <c r="Y254" s="203">
        <f>(Y94+Y95)*'Data - P&amp;L'!$C$30</f>
        <v>0</v>
      </c>
      <c r="Z254" s="203">
        <f>(Z94+Z95)*'Data - P&amp;L'!$C$30</f>
        <v>0</v>
      </c>
      <c r="AA254" s="203">
        <f>(AA94+AA95)*'Data - P&amp;L'!$C$30</f>
        <v>0</v>
      </c>
      <c r="AB254" s="203">
        <f>(AB94+AB95)*'Data - P&amp;L'!$C$30</f>
        <v>0</v>
      </c>
      <c r="AC254" s="203">
        <f>(AC94+AC95)*'Data - P&amp;L'!$C$30</f>
        <v>0</v>
      </c>
      <c r="AD254" s="203">
        <f>(AD94+AD95)*'Data - P&amp;L'!$C$30</f>
        <v>0</v>
      </c>
      <c r="AE254" s="203">
        <f>(AE94+AE95)*'Data - P&amp;L'!$C$30</f>
        <v>0</v>
      </c>
      <c r="AF254" s="203">
        <f>(AF94+AF95)*'Data - P&amp;L'!$C$30</f>
        <v>0</v>
      </c>
      <c r="AG254" s="817">
        <f t="shared" si="81"/>
        <v>0</v>
      </c>
    </row>
    <row r="255" hidden="1" outlineLevel="1">
      <c r="A255" s="392" t="s">
        <v>1328</v>
      </c>
      <c r="B255" s="203">
        <f>(B94+B95)*'Data - P&amp;L'!$C$31</f>
        <v>1.05</v>
      </c>
      <c r="C255" s="203">
        <f>(C94+C95)*'Data - P&amp;L'!$C$31</f>
        <v>0</v>
      </c>
      <c r="D255" s="203">
        <f>(D94+D95)*'Data - P&amp;L'!$C$31</f>
        <v>0.7</v>
      </c>
      <c r="E255" s="203">
        <f>(E94+E95)*'Data - P&amp;L'!$C$31</f>
        <v>0.35</v>
      </c>
      <c r="F255" s="203">
        <f>(F94+F95)*'Data - P&amp;L'!$C$31</f>
        <v>0.35</v>
      </c>
      <c r="G255" s="203">
        <f>(G94+G95)*'Data - P&amp;L'!$C$31</f>
        <v>-0.7</v>
      </c>
      <c r="H255" s="203">
        <f>(H94+H95)*'Data - P&amp;L'!$C$31</f>
        <v>1.4</v>
      </c>
      <c r="I255" s="203">
        <f>(I94+I95)*'Data - P&amp;L'!$C$31</f>
        <v>3.85</v>
      </c>
      <c r="J255" s="203">
        <f>(J94+J95)*'Data - P&amp;L'!$C$31</f>
        <v>1.05</v>
      </c>
      <c r="K255" s="203">
        <f>(K94+K95)*'Data - P&amp;L'!$C$31</f>
        <v>0.7</v>
      </c>
      <c r="L255" s="203">
        <f>(L94+L95)*'Data - P&amp;L'!$C$31</f>
        <v>1.75</v>
      </c>
      <c r="M255" s="203">
        <f>(M94+M95)*'Data - P&amp;L'!$C$31</f>
        <v>23.8</v>
      </c>
      <c r="N255" s="203">
        <f>(N94+N95)*'Data - P&amp;L'!$C$31</f>
        <v>5.95</v>
      </c>
      <c r="O255" s="203">
        <f>(O94+O95)*'Data - P&amp;L'!$C$31</f>
        <v>0</v>
      </c>
      <c r="P255" s="203">
        <f>(P94+P95)*'Data - P&amp;L'!$C$31</f>
        <v>0</v>
      </c>
      <c r="Q255" s="203">
        <f>(Q94+Q95)*'Data - P&amp;L'!$C$31</f>
        <v>0</v>
      </c>
      <c r="R255" s="203">
        <f>(R94+R95)*'Data - P&amp;L'!$C$31</f>
        <v>0.7</v>
      </c>
      <c r="S255" s="203">
        <f>(S94+S95)*'Data - P&amp;L'!$C$31</f>
        <v>0.7</v>
      </c>
      <c r="T255" s="203">
        <f>(T94+T95)*'Data - P&amp;L'!$C$31</f>
        <v>0</v>
      </c>
      <c r="U255" s="203">
        <f>(U94+U95)*'Data - P&amp;L'!$C$31</f>
        <v>0</v>
      </c>
      <c r="V255" s="203">
        <f>(V94+V95)*'Data - P&amp;L'!$C$31</f>
        <v>-0.35</v>
      </c>
      <c r="W255" s="203">
        <f>(W94+W95)*'Data - P&amp;L'!$C$31</f>
        <v>0</v>
      </c>
      <c r="X255" s="203">
        <f>(X94+X95)*'Data - P&amp;L'!$C$31</f>
        <v>0</v>
      </c>
      <c r="Y255" s="203">
        <f>(Y94+Y95)*'Data - P&amp;L'!$C$31</f>
        <v>-0.35</v>
      </c>
      <c r="Z255" s="203">
        <f>(Z94+Z95)*'Data - P&amp;L'!$C$31</f>
        <v>0</v>
      </c>
      <c r="AA255" s="203">
        <f>(AA94+AA95)*'Data - P&amp;L'!$C$31</f>
        <v>0</v>
      </c>
      <c r="AB255" s="203">
        <f>(AB94+AB95)*'Data - P&amp;L'!$C$31</f>
        <v>0</v>
      </c>
      <c r="AC255" s="203">
        <f>(AC94+AC95)*'Data - P&amp;L'!$C$31</f>
        <v>0</v>
      </c>
      <c r="AD255" s="203">
        <f>(AD94+AD95)*'Data - P&amp;L'!$C$31</f>
        <v>0</v>
      </c>
      <c r="AE255" s="203">
        <f>(AE94+AE95)*'Data - P&amp;L'!$C$31</f>
        <v>0</v>
      </c>
      <c r="AF255" s="203">
        <f>(AF94+AF95)*'Data - P&amp;L'!$C$31</f>
        <v>0</v>
      </c>
      <c r="AG255" s="817">
        <f t="shared" si="81"/>
        <v>40.95</v>
      </c>
    </row>
    <row r="256" hidden="1" outlineLevel="1">
      <c r="A256" s="392" t="s">
        <v>1329</v>
      </c>
      <c r="B256" s="203">
        <f>(B94+B95)*'Data - P&amp;L'!$C$32</f>
        <v>0</v>
      </c>
      <c r="C256" s="203">
        <f>(C94+C95)*'Data - P&amp;L'!$C$32</f>
        <v>0</v>
      </c>
      <c r="D256" s="203">
        <f>(D94+D95)*'Data - P&amp;L'!$C$32</f>
        <v>0</v>
      </c>
      <c r="E256" s="203">
        <f>(E94+E95)*'Data - P&amp;L'!$C$32</f>
        <v>0</v>
      </c>
      <c r="F256" s="203">
        <f>(F94+F95)*'Data - P&amp;L'!$C$32</f>
        <v>0</v>
      </c>
      <c r="G256" s="203">
        <f>(G94+G95)*'Data - P&amp;L'!$C$32</f>
        <v>0</v>
      </c>
      <c r="H256" s="203">
        <f>(H94+H95)*'Data - P&amp;L'!$C$32</f>
        <v>0</v>
      </c>
      <c r="I256" s="203">
        <f>(I94+I95)*'Data - P&amp;L'!$C$32</f>
        <v>0</v>
      </c>
      <c r="J256" s="203">
        <f>(J94+J95)*'Data - P&amp;L'!$C$32</f>
        <v>0</v>
      </c>
      <c r="K256" s="203">
        <f>(K94+K95)*'Data - P&amp;L'!$C$32</f>
        <v>0</v>
      </c>
      <c r="L256" s="203">
        <f>(L94+L95)*'Data - P&amp;L'!$C$32</f>
        <v>0</v>
      </c>
      <c r="M256" s="203">
        <f>(M94+M95)*'Data - P&amp;L'!$C$32</f>
        <v>0</v>
      </c>
      <c r="N256" s="203">
        <f>(N94+N95)*'Data - P&amp;L'!$C$32</f>
        <v>0</v>
      </c>
      <c r="O256" s="203">
        <f>(O94+O95)*'Data - P&amp;L'!$C$32</f>
        <v>0</v>
      </c>
      <c r="P256" s="203">
        <f>(P94+P95)*'Data - P&amp;L'!$C$32</f>
        <v>0</v>
      </c>
      <c r="Q256" s="203">
        <f>(Q94+Q95)*'Data - P&amp;L'!$C$32</f>
        <v>0</v>
      </c>
      <c r="R256" s="203">
        <f>(R94+R95)*'Data - P&amp;L'!$C$32</f>
        <v>0</v>
      </c>
      <c r="S256" s="203">
        <f>(S94+S95)*'Data - P&amp;L'!$C$32</f>
        <v>0</v>
      </c>
      <c r="T256" s="203">
        <f>(T94+T95)*'Data - P&amp;L'!$C$32</f>
        <v>0</v>
      </c>
      <c r="U256" s="203">
        <f>(U94+U95)*'Data - P&amp;L'!$C$32</f>
        <v>0</v>
      </c>
      <c r="V256" s="203">
        <f>(V94+V95)*'Data - P&amp;L'!$C$32</f>
        <v>0</v>
      </c>
      <c r="W256" s="203">
        <f>(W94+W95)*'Data - P&amp;L'!$C$32</f>
        <v>0</v>
      </c>
      <c r="X256" s="203">
        <f>(X94+X95)*'Data - P&amp;L'!$C$32</f>
        <v>0</v>
      </c>
      <c r="Y256" s="203">
        <f>(Y94+Y95)*'Data - P&amp;L'!$C$32</f>
        <v>0</v>
      </c>
      <c r="Z256" s="203">
        <f>(Z94+Z95)*'Data - P&amp;L'!$C$32</f>
        <v>0</v>
      </c>
      <c r="AA256" s="203">
        <f>(AA94+AA95)*'Data - P&amp;L'!$C$32</f>
        <v>0</v>
      </c>
      <c r="AB256" s="203">
        <f>(AB94+AB95)*'Data - P&amp;L'!$C$32</f>
        <v>0</v>
      </c>
      <c r="AC256" s="203">
        <f>(AC94+AC95)*'Data - P&amp;L'!$C$32</f>
        <v>0</v>
      </c>
      <c r="AD256" s="203">
        <f>(AD94+AD95)*'Data - P&amp;L'!$C$32</f>
        <v>0</v>
      </c>
      <c r="AE256" s="203">
        <f>(AE94+AE95)*'Data - P&amp;L'!$C$32</f>
        <v>0</v>
      </c>
      <c r="AF256" s="203">
        <f>(AF94+AF95)*'Data - P&amp;L'!$C$32</f>
        <v>0</v>
      </c>
      <c r="AG256" s="817">
        <f t="shared" si="81"/>
        <v>0</v>
      </c>
    </row>
    <row r="257" hidden="1" outlineLevel="1">
      <c r="A257" s="392" t="s">
        <v>1330</v>
      </c>
      <c r="B257" s="203">
        <f>(B94+B95)*'Data - P&amp;L'!$C$33</f>
        <v>4.95</v>
      </c>
      <c r="C257" s="203">
        <f>(C94+C95)*'Data - P&amp;L'!$C$33</f>
        <v>0</v>
      </c>
      <c r="D257" s="203">
        <f>(D94+D95)*'Data - P&amp;L'!$C$33</f>
        <v>3.3</v>
      </c>
      <c r="E257" s="203">
        <f>(E94+E95)*'Data - P&amp;L'!$C$33</f>
        <v>1.65</v>
      </c>
      <c r="F257" s="203">
        <f>(F94+F95)*'Data - P&amp;L'!$C$33</f>
        <v>1.65</v>
      </c>
      <c r="G257" s="203">
        <f>(G94+G95)*'Data - P&amp;L'!$C$33</f>
        <v>-3.3</v>
      </c>
      <c r="H257" s="203">
        <f>(H94+H95)*'Data - P&amp;L'!$C$33</f>
        <v>6.6</v>
      </c>
      <c r="I257" s="203">
        <f>(I94+I95)*'Data - P&amp;L'!$C$33</f>
        <v>18.15</v>
      </c>
      <c r="J257" s="203">
        <f>(J94+J95)*'Data - P&amp;L'!$C$33</f>
        <v>4.95</v>
      </c>
      <c r="K257" s="203">
        <f>(K94+K95)*'Data - P&amp;L'!$C$33</f>
        <v>3.3</v>
      </c>
      <c r="L257" s="203">
        <f>(L94+L95)*'Data - P&amp;L'!$C$33</f>
        <v>8.25</v>
      </c>
      <c r="M257" s="203">
        <f>(M94+M95)*'Data - P&amp;L'!$C$33</f>
        <v>112.2</v>
      </c>
      <c r="N257" s="203">
        <f>(N94+N95)*'Data - P&amp;L'!$C$33</f>
        <v>28.05</v>
      </c>
      <c r="O257" s="203">
        <f>(O94+O95)*'Data - P&amp;L'!$C$33</f>
        <v>0</v>
      </c>
      <c r="P257" s="203">
        <f>(P94+P95)*'Data - P&amp;L'!$C$33</f>
        <v>0</v>
      </c>
      <c r="Q257" s="203">
        <f>(Q94+Q95)*'Data - P&amp;L'!$C$33</f>
        <v>0</v>
      </c>
      <c r="R257" s="203">
        <f>(R94+R95)*'Data - P&amp;L'!$C$33</f>
        <v>3.3</v>
      </c>
      <c r="S257" s="203">
        <f>(S94+S95)*'Data - P&amp;L'!$C$33</f>
        <v>3.3</v>
      </c>
      <c r="T257" s="203">
        <f>(T94+T95)*'Data - P&amp;L'!$C$33</f>
        <v>0</v>
      </c>
      <c r="U257" s="203">
        <f>(U94+U95)*'Data - P&amp;L'!$C$33</f>
        <v>0</v>
      </c>
      <c r="V257" s="203">
        <f>(V94+V95)*'Data - P&amp;L'!$C$33</f>
        <v>-1.65</v>
      </c>
      <c r="W257" s="203">
        <f>(W94+W95)*'Data - P&amp;L'!$C$33</f>
        <v>0</v>
      </c>
      <c r="X257" s="203">
        <f>(X94+X95)*'Data - P&amp;L'!$C$33</f>
        <v>0</v>
      </c>
      <c r="Y257" s="203">
        <f>(Y94+Y95)*'Data - P&amp;L'!$C$33</f>
        <v>-1.65</v>
      </c>
      <c r="Z257" s="203">
        <f>(Z94+Z95)*'Data - P&amp;L'!$C$33</f>
        <v>0</v>
      </c>
      <c r="AA257" s="203">
        <f>(AA94+AA95)*'Data - P&amp;L'!$C$33</f>
        <v>0</v>
      </c>
      <c r="AB257" s="203">
        <f>(AB94+AB95)*'Data - P&amp;L'!$C$33</f>
        <v>0</v>
      </c>
      <c r="AC257" s="203">
        <f>(AC94+AC95)*'Data - P&amp;L'!$C$33</f>
        <v>0</v>
      </c>
      <c r="AD257" s="203">
        <f>(AD94+AD95)*'Data - P&amp;L'!$C$33</f>
        <v>0</v>
      </c>
      <c r="AE257" s="203">
        <f>(AE94+AE95)*'Data - P&amp;L'!$C$33</f>
        <v>0</v>
      </c>
      <c r="AF257" s="203">
        <f>(AF94+AF95)*'Data - P&amp;L'!$C$33</f>
        <v>0</v>
      </c>
      <c r="AG257" s="817">
        <f t="shared" si="81"/>
        <v>193.05</v>
      </c>
    </row>
    <row r="258" hidden="1" outlineLevel="1">
      <c r="A258" s="392" t="s">
        <v>1332</v>
      </c>
      <c r="B258" s="83" t="str">
        <f>(B102+B110+#REF!)*'Data - P&amp;L'!$D$28</f>
        <v>#REF!</v>
      </c>
      <c r="C258" s="83" t="str">
        <f>(C102+C110+#REF!)*'Data - P&amp;L'!$D$28</f>
        <v>#REF!</v>
      </c>
      <c r="D258" s="83" t="str">
        <f>(D102+D110+#REF!)*'Data - P&amp;L'!$D$28</f>
        <v>#REF!</v>
      </c>
      <c r="E258" s="83" t="str">
        <f>(E102+E110+#REF!)*'Data - P&amp;L'!$D$28</f>
        <v>#REF!</v>
      </c>
      <c r="F258" s="83" t="str">
        <f>(F102+F110+#REF!)*'Data - P&amp;L'!$D$28</f>
        <v>#REF!</v>
      </c>
      <c r="G258" s="83" t="str">
        <f>(G102+G110+#REF!)*'Data - P&amp;L'!$D$28</f>
        <v>#REF!</v>
      </c>
      <c r="H258" s="83" t="str">
        <f>(H102+H110+#REF!)*'Data - P&amp;L'!$D$28</f>
        <v>#REF!</v>
      </c>
      <c r="I258" s="83" t="str">
        <f>(I102+I110+#REF!)*'Data - P&amp;L'!$D$28</f>
        <v>#REF!</v>
      </c>
      <c r="J258" s="83" t="str">
        <f>(J102+J110+#REF!)*'Data - P&amp;L'!$D$28</f>
        <v>#REF!</v>
      </c>
      <c r="K258" s="83" t="str">
        <f>(K102+K110+#REF!)*'Data - P&amp;L'!$D$28</f>
        <v>#REF!</v>
      </c>
      <c r="L258" s="83" t="str">
        <f>(L102+L110+#REF!)*'Data - P&amp;L'!$D$28</f>
        <v>#REF!</v>
      </c>
      <c r="M258" s="83" t="str">
        <f>(M102+M110+#REF!)*'Data - P&amp;L'!$D$28</f>
        <v>#REF!</v>
      </c>
      <c r="N258" s="83" t="str">
        <f>(N102+N110+#REF!)*'Data - P&amp;L'!$D$28</f>
        <v>#REF!</v>
      </c>
      <c r="O258" s="83" t="str">
        <f>(O102+O110+#REF!)*'Data - P&amp;L'!$D$28</f>
        <v>#REF!</v>
      </c>
      <c r="P258" s="83" t="str">
        <f>(P102+P110+#REF!)*'Data - P&amp;L'!$D$28</f>
        <v>#REF!</v>
      </c>
      <c r="Q258" s="83" t="str">
        <f>(Q102+Q110+#REF!)*'Data - P&amp;L'!$D$28</f>
        <v>#REF!</v>
      </c>
      <c r="R258" s="83" t="str">
        <f>(R102+R110+#REF!)*'Data - P&amp;L'!$D$28</f>
        <v>#REF!</v>
      </c>
      <c r="S258" s="83" t="str">
        <f>(S102+S110+#REF!)*'Data - P&amp;L'!$D$28</f>
        <v>#REF!</v>
      </c>
      <c r="T258" s="83" t="str">
        <f>(T102+T110+#REF!)*'Data - P&amp;L'!$D$28</f>
        <v>#REF!</v>
      </c>
      <c r="U258" s="83" t="str">
        <f>(U102+U110+#REF!)*'Data - P&amp;L'!$D$28</f>
        <v>#REF!</v>
      </c>
      <c r="V258" s="83" t="str">
        <f>(V102+V110+#REF!)*'Data - P&amp;L'!$D$28</f>
        <v>#REF!</v>
      </c>
      <c r="W258" s="83" t="str">
        <f>(W102+W110+#REF!)*'Data - P&amp;L'!$D$28</f>
        <v>#REF!</v>
      </c>
      <c r="X258" s="83" t="str">
        <f>(X102+X110+#REF!)*'Data - P&amp;L'!$D$28</f>
        <v>#REF!</v>
      </c>
      <c r="Y258" s="83" t="str">
        <f>(Y102+Y110+#REF!)*'Data - P&amp;L'!$D$28</f>
        <v>#REF!</v>
      </c>
      <c r="Z258" s="83" t="str">
        <f>(Z102+Z110+#REF!)*'Data - P&amp;L'!$D$28</f>
        <v>#REF!</v>
      </c>
      <c r="AA258" s="83" t="str">
        <f>(AA102+AA110+#REF!)*'Data - P&amp;L'!$D$28</f>
        <v>#REF!</v>
      </c>
      <c r="AB258" s="83" t="str">
        <f>(AB102+AB110+#REF!)*'Data - P&amp;L'!$D$28</f>
        <v>#REF!</v>
      </c>
      <c r="AC258" s="83" t="str">
        <f>(AC102+AC110+#REF!)*'Data - P&amp;L'!$D$28</f>
        <v>#REF!</v>
      </c>
      <c r="AD258" s="83" t="str">
        <f>(AD102+AD110+#REF!)*'Data - P&amp;L'!$D$28</f>
        <v>#REF!</v>
      </c>
      <c r="AE258" s="83" t="str">
        <f>(AE102+AE110+#REF!)*'Data - P&amp;L'!$D$28</f>
        <v>#REF!</v>
      </c>
      <c r="AF258" s="83" t="str">
        <f>(AF102+AF110+#REF!)*'Data - P&amp;L'!$D$28</f>
        <v>#REF!</v>
      </c>
      <c r="AG258" s="817" t="str">
        <f t="shared" si="81"/>
        <v>#REF!</v>
      </c>
    </row>
    <row r="259" hidden="1" outlineLevel="1">
      <c r="A259" s="392" t="s">
        <v>1333</v>
      </c>
      <c r="B259" s="83" t="str">
        <f>(B102+B110+#REF!)*'Data - P&amp;L'!$D$29</f>
        <v>#REF!</v>
      </c>
      <c r="C259" s="83" t="str">
        <f>(C102+C110+#REF!)*'Data - P&amp;L'!$D$29</f>
        <v>#REF!</v>
      </c>
      <c r="D259" s="83" t="str">
        <f>(D102+D110+#REF!)*'Data - P&amp;L'!$D$29</f>
        <v>#REF!</v>
      </c>
      <c r="E259" s="83" t="str">
        <f>(E102+E110+#REF!)*'Data - P&amp;L'!$D$29</f>
        <v>#REF!</v>
      </c>
      <c r="F259" s="83" t="str">
        <f>(F102+F110+#REF!)*'Data - P&amp;L'!$D$29</f>
        <v>#REF!</v>
      </c>
      <c r="G259" s="83" t="str">
        <f>(G102+G110+#REF!)*'Data - P&amp;L'!$D$29</f>
        <v>#REF!</v>
      </c>
      <c r="H259" s="83" t="str">
        <f>(H102+H110+#REF!)*'Data - P&amp;L'!$D$29</f>
        <v>#REF!</v>
      </c>
      <c r="I259" s="83" t="str">
        <f>(I102+I110+#REF!)*'Data - P&amp;L'!$D$29</f>
        <v>#REF!</v>
      </c>
      <c r="J259" s="83" t="str">
        <f>(J102+J110+#REF!)*'Data - P&amp;L'!$D$29</f>
        <v>#REF!</v>
      </c>
      <c r="K259" s="83" t="str">
        <f>(K102+K110+#REF!)*'Data - P&amp;L'!$D$29</f>
        <v>#REF!</v>
      </c>
      <c r="L259" s="83" t="str">
        <f>(L102+L110+#REF!)*'Data - P&amp;L'!$D$29</f>
        <v>#REF!</v>
      </c>
      <c r="M259" s="83" t="str">
        <f>(M102+M110+#REF!)*'Data - P&amp;L'!$D$29</f>
        <v>#REF!</v>
      </c>
      <c r="N259" s="83" t="str">
        <f>(N102+N110+#REF!)*'Data - P&amp;L'!$D$29</f>
        <v>#REF!</v>
      </c>
      <c r="O259" s="83" t="str">
        <f>(O102+O110+#REF!)*'Data - P&amp;L'!$D$29</f>
        <v>#REF!</v>
      </c>
      <c r="P259" s="83" t="str">
        <f>(P102+P110+#REF!)*'Data - P&amp;L'!$D$29</f>
        <v>#REF!</v>
      </c>
      <c r="Q259" s="83" t="str">
        <f>(Q102+Q110+#REF!)*'Data - P&amp;L'!$D$29</f>
        <v>#REF!</v>
      </c>
      <c r="R259" s="83" t="str">
        <f>(R102+R110+#REF!)*'Data - P&amp;L'!$D$29</f>
        <v>#REF!</v>
      </c>
      <c r="S259" s="83" t="str">
        <f>(S102+S110+#REF!)*'Data - P&amp;L'!$D$29</f>
        <v>#REF!</v>
      </c>
      <c r="T259" s="83" t="str">
        <f>(T102+T110+#REF!)*'Data - P&amp;L'!$D$29</f>
        <v>#REF!</v>
      </c>
      <c r="U259" s="83" t="str">
        <f>(U102+U110+#REF!)*'Data - P&amp;L'!$D$29</f>
        <v>#REF!</v>
      </c>
      <c r="V259" s="83" t="str">
        <f>(V102+V110+#REF!)*'Data - P&amp;L'!$D$29</f>
        <v>#REF!</v>
      </c>
      <c r="W259" s="83" t="str">
        <f>(W102+W110+#REF!)*'Data - P&amp;L'!$D$29</f>
        <v>#REF!</v>
      </c>
      <c r="X259" s="83" t="str">
        <f>(X102+X110+#REF!)*'Data - P&amp;L'!$D$29</f>
        <v>#REF!</v>
      </c>
      <c r="Y259" s="83" t="str">
        <f>(Y102+Y110+#REF!)*'Data - P&amp;L'!$D$29</f>
        <v>#REF!</v>
      </c>
      <c r="Z259" s="83" t="str">
        <f>(Z102+Z110+#REF!)*'Data - P&amp;L'!$D$29</f>
        <v>#REF!</v>
      </c>
      <c r="AA259" s="83" t="str">
        <f>(AA102+AA110+#REF!)*'Data - P&amp;L'!$D$29</f>
        <v>#REF!</v>
      </c>
      <c r="AB259" s="83" t="str">
        <f>(AB102+AB110+#REF!)*'Data - P&amp;L'!$D$29</f>
        <v>#REF!</v>
      </c>
      <c r="AC259" s="83" t="str">
        <f>(AC102+AC110+#REF!)*'Data - P&amp;L'!$D$29</f>
        <v>#REF!</v>
      </c>
      <c r="AD259" s="83" t="str">
        <f>(AD102+AD110+#REF!)*'Data - P&amp;L'!$D$29</f>
        <v>#REF!</v>
      </c>
      <c r="AE259" s="83" t="str">
        <f>(AE102+AE110+#REF!)*'Data - P&amp;L'!$D$29</f>
        <v>#REF!</v>
      </c>
      <c r="AF259" s="83" t="str">
        <f>(AF102+AF110+#REF!)*'Data - P&amp;L'!$D$29</f>
        <v>#REF!</v>
      </c>
      <c r="AG259" s="817" t="str">
        <f t="shared" si="81"/>
        <v>#REF!</v>
      </c>
    </row>
    <row r="260" hidden="1" outlineLevel="1">
      <c r="A260" s="392" t="s">
        <v>1334</v>
      </c>
      <c r="B260" s="83" t="str">
        <f>(B102+B110+#REF!)*'Data - P&amp;L'!$D$30</f>
        <v>#REF!</v>
      </c>
      <c r="C260" s="83" t="str">
        <f>(C102+C110+#REF!)*'Data - P&amp;L'!$D$30</f>
        <v>#REF!</v>
      </c>
      <c r="D260" s="83" t="str">
        <f>(D102+D110+#REF!)*'Data - P&amp;L'!$D$30</f>
        <v>#REF!</v>
      </c>
      <c r="E260" s="83" t="str">
        <f>(E102+E110+#REF!)*'Data - P&amp;L'!$D$30</f>
        <v>#REF!</v>
      </c>
      <c r="F260" s="83" t="str">
        <f>(F102+F110+#REF!)*'Data - P&amp;L'!$D$30</f>
        <v>#REF!</v>
      </c>
      <c r="G260" s="83" t="str">
        <f>(G102+G110+#REF!)*'Data - P&amp;L'!$D$30</f>
        <v>#REF!</v>
      </c>
      <c r="H260" s="83" t="str">
        <f>(H102+H110+#REF!)*'Data - P&amp;L'!$D$30</f>
        <v>#REF!</v>
      </c>
      <c r="I260" s="83" t="str">
        <f>(I102+I110+#REF!)*'Data - P&amp;L'!$D$30</f>
        <v>#REF!</v>
      </c>
      <c r="J260" s="83" t="str">
        <f>(J102+J110+#REF!)*'Data - P&amp;L'!$D$30</f>
        <v>#REF!</v>
      </c>
      <c r="K260" s="83" t="str">
        <f>(K102+K110+#REF!)*'Data - P&amp;L'!$D$30</f>
        <v>#REF!</v>
      </c>
      <c r="L260" s="83" t="str">
        <f>(L102+L110+#REF!)*'Data - P&amp;L'!$D$30</f>
        <v>#REF!</v>
      </c>
      <c r="M260" s="83" t="str">
        <f>(M102+M110+#REF!)*'Data - P&amp;L'!$D$30</f>
        <v>#REF!</v>
      </c>
      <c r="N260" s="83" t="str">
        <f>(N102+N110+#REF!)*'Data - P&amp;L'!$D$30</f>
        <v>#REF!</v>
      </c>
      <c r="O260" s="83" t="str">
        <f>(O102+O110+#REF!)*'Data - P&amp;L'!$D$30</f>
        <v>#REF!</v>
      </c>
      <c r="P260" s="83" t="str">
        <f>(P102+P110+#REF!)*'Data - P&amp;L'!$D$30</f>
        <v>#REF!</v>
      </c>
      <c r="Q260" s="83" t="str">
        <f>(Q102+Q110+#REF!)*'Data - P&amp;L'!$D$30</f>
        <v>#REF!</v>
      </c>
      <c r="R260" s="83" t="str">
        <f>(R102+R110+#REF!)*'Data - P&amp;L'!$D$30</f>
        <v>#REF!</v>
      </c>
      <c r="S260" s="83" t="str">
        <f>(S102+S110+#REF!)*'Data - P&amp;L'!$D$30</f>
        <v>#REF!</v>
      </c>
      <c r="T260" s="83" t="str">
        <f>(T102+T110+#REF!)*'Data - P&amp;L'!$D$30</f>
        <v>#REF!</v>
      </c>
      <c r="U260" s="83" t="str">
        <f>(U102+U110+#REF!)*'Data - P&amp;L'!$D$30</f>
        <v>#REF!</v>
      </c>
      <c r="V260" s="83" t="str">
        <f>(V102+V110+#REF!)*'Data - P&amp;L'!$D$30</f>
        <v>#REF!</v>
      </c>
      <c r="W260" s="83" t="str">
        <f>(W102+W110+#REF!)*'Data - P&amp;L'!$D$30</f>
        <v>#REF!</v>
      </c>
      <c r="X260" s="83" t="str">
        <f>(X102+X110+#REF!)*'Data - P&amp;L'!$D$30</f>
        <v>#REF!</v>
      </c>
      <c r="Y260" s="83" t="str">
        <f>(Y102+Y110+#REF!)*'Data - P&amp;L'!$D$30</f>
        <v>#REF!</v>
      </c>
      <c r="Z260" s="83" t="str">
        <f>(Z102+Z110+#REF!)*'Data - P&amp;L'!$D$30</f>
        <v>#REF!</v>
      </c>
      <c r="AA260" s="83" t="str">
        <f>(AA102+AA110+#REF!)*'Data - P&amp;L'!$D$30</f>
        <v>#REF!</v>
      </c>
      <c r="AB260" s="83" t="str">
        <f>(AB102+AB110+#REF!)*'Data - P&amp;L'!$D$30</f>
        <v>#REF!</v>
      </c>
      <c r="AC260" s="83" t="str">
        <f>(AC102+AC110+#REF!)*'Data - P&amp;L'!$D$30</f>
        <v>#REF!</v>
      </c>
      <c r="AD260" s="83" t="str">
        <f>(AD102+AD110+#REF!)*'Data - P&amp;L'!$D$30</f>
        <v>#REF!</v>
      </c>
      <c r="AE260" s="83" t="str">
        <f>(AE102+AE110+#REF!)*'Data - P&amp;L'!$D$30</f>
        <v>#REF!</v>
      </c>
      <c r="AF260" s="83" t="str">
        <f>(AF102+AF110+#REF!)*'Data - P&amp;L'!$D$30</f>
        <v>#REF!</v>
      </c>
      <c r="AG260" s="817" t="str">
        <f t="shared" si="81"/>
        <v>#REF!</v>
      </c>
    </row>
    <row r="261" hidden="1" outlineLevel="1">
      <c r="A261" s="392" t="s">
        <v>1335</v>
      </c>
      <c r="B261" s="83" t="str">
        <f>(B102+B110+#REF!)*'Data - P&amp;L'!$D$31</f>
        <v>#REF!</v>
      </c>
      <c r="C261" s="83" t="str">
        <f>(C102+C110+#REF!)*'Data - P&amp;L'!$D$31</f>
        <v>#REF!</v>
      </c>
      <c r="D261" s="83" t="str">
        <f>(D102+D110+#REF!)*'Data - P&amp;L'!$D$31</f>
        <v>#REF!</v>
      </c>
      <c r="E261" s="83" t="str">
        <f>(E102+E110+#REF!)*'Data - P&amp;L'!$D$31</f>
        <v>#REF!</v>
      </c>
      <c r="F261" s="83" t="str">
        <f>(F102+F110+#REF!)*'Data - P&amp;L'!$D$31</f>
        <v>#REF!</v>
      </c>
      <c r="G261" s="83" t="str">
        <f>(G102+G110+#REF!)*'Data - P&amp;L'!$D$31</f>
        <v>#REF!</v>
      </c>
      <c r="H261" s="83" t="str">
        <f>(H102+H110+#REF!)*'Data - P&amp;L'!$D$31</f>
        <v>#REF!</v>
      </c>
      <c r="I261" s="83" t="str">
        <f>(I102+I110+#REF!)*'Data - P&amp;L'!$D$31</f>
        <v>#REF!</v>
      </c>
      <c r="J261" s="83" t="str">
        <f>(J102+J110+#REF!)*'Data - P&amp;L'!$D$31</f>
        <v>#REF!</v>
      </c>
      <c r="K261" s="83" t="str">
        <f>(K102+K110+#REF!)*'Data - P&amp;L'!$D$31</f>
        <v>#REF!</v>
      </c>
      <c r="L261" s="83" t="str">
        <f>(L102+L110+#REF!)*'Data - P&amp;L'!$D$31</f>
        <v>#REF!</v>
      </c>
      <c r="M261" s="83" t="str">
        <f>(M102+M110+#REF!)*'Data - P&amp;L'!$D$31</f>
        <v>#REF!</v>
      </c>
      <c r="N261" s="83" t="str">
        <f>(N102+N110+#REF!)*'Data - P&amp;L'!$D$31</f>
        <v>#REF!</v>
      </c>
      <c r="O261" s="83" t="str">
        <f>(O102+O110+#REF!)*'Data - P&amp;L'!$D$31</f>
        <v>#REF!</v>
      </c>
      <c r="P261" s="83" t="str">
        <f>(P102+P110+#REF!)*'Data - P&amp;L'!$D$31</f>
        <v>#REF!</v>
      </c>
      <c r="Q261" s="83" t="str">
        <f>(Q102+Q110+#REF!)*'Data - P&amp;L'!$D$31</f>
        <v>#REF!</v>
      </c>
      <c r="R261" s="83" t="str">
        <f>(R102+R110+#REF!)*'Data - P&amp;L'!$D$31</f>
        <v>#REF!</v>
      </c>
      <c r="S261" s="83" t="str">
        <f>(S102+S110+#REF!)*'Data - P&amp;L'!$D$31</f>
        <v>#REF!</v>
      </c>
      <c r="T261" s="83" t="str">
        <f>(T102+T110+#REF!)*'Data - P&amp;L'!$D$31</f>
        <v>#REF!</v>
      </c>
      <c r="U261" s="83" t="str">
        <f>(U102+U110+#REF!)*'Data - P&amp;L'!$D$31</f>
        <v>#REF!</v>
      </c>
      <c r="V261" s="83" t="str">
        <f>(V102+V110+#REF!)*'Data - P&amp;L'!$D$31</f>
        <v>#REF!</v>
      </c>
      <c r="W261" s="83" t="str">
        <f>(W102+W110+#REF!)*'Data - P&amp;L'!$D$31</f>
        <v>#REF!</v>
      </c>
      <c r="X261" s="83" t="str">
        <f>(X102+X110+#REF!)*'Data - P&amp;L'!$D$31</f>
        <v>#REF!</v>
      </c>
      <c r="Y261" s="83" t="str">
        <f>(Y102+Y110+#REF!)*'Data - P&amp;L'!$D$31</f>
        <v>#REF!</v>
      </c>
      <c r="Z261" s="83" t="str">
        <f>(Z102+Z110+#REF!)*'Data - P&amp;L'!$D$31</f>
        <v>#REF!</v>
      </c>
      <c r="AA261" s="83" t="str">
        <f>(AA102+AA110+#REF!)*'Data - P&amp;L'!$D$31</f>
        <v>#REF!</v>
      </c>
      <c r="AB261" s="83" t="str">
        <f>(AB102+AB110+#REF!)*'Data - P&amp;L'!$D$31</f>
        <v>#REF!</v>
      </c>
      <c r="AC261" s="83" t="str">
        <f>(AC102+AC110+#REF!)*'Data - P&amp;L'!$D$31</f>
        <v>#REF!</v>
      </c>
      <c r="AD261" s="83" t="str">
        <f>(AD102+AD110+#REF!)*'Data - P&amp;L'!$D$31</f>
        <v>#REF!</v>
      </c>
      <c r="AE261" s="83" t="str">
        <f>(AE102+AE110+#REF!)*'Data - P&amp;L'!$D$31</f>
        <v>#REF!</v>
      </c>
      <c r="AF261" s="83" t="str">
        <f>(AF102+AF110+#REF!)*'Data - P&amp;L'!$D$31</f>
        <v>#REF!</v>
      </c>
      <c r="AG261" s="817" t="str">
        <f t="shared" si="81"/>
        <v>#REF!</v>
      </c>
    </row>
    <row r="262" hidden="1" outlineLevel="1">
      <c r="A262" s="392" t="s">
        <v>1336</v>
      </c>
      <c r="B262" s="83" t="str">
        <f>(B102+B110+#REF!)*'Data - P&amp;L'!$D$32</f>
        <v>#REF!</v>
      </c>
      <c r="C262" s="83" t="str">
        <f>(C102+C110+#REF!)*'Data - P&amp;L'!$D$32</f>
        <v>#REF!</v>
      </c>
      <c r="D262" s="83" t="str">
        <f>(D102+D110+#REF!)*'Data - P&amp;L'!$D$32</f>
        <v>#REF!</v>
      </c>
      <c r="E262" s="83" t="str">
        <f>(E102+E110+#REF!)*'Data - P&amp;L'!$D$32</f>
        <v>#REF!</v>
      </c>
      <c r="F262" s="83" t="str">
        <f>(F102+F110+#REF!)*'Data - P&amp;L'!$D$32</f>
        <v>#REF!</v>
      </c>
      <c r="G262" s="83" t="str">
        <f>(G102+G110+#REF!)*'Data - P&amp;L'!$D$32</f>
        <v>#REF!</v>
      </c>
      <c r="H262" s="83" t="str">
        <f>(H102+H110+#REF!)*'Data - P&amp;L'!$D$32</f>
        <v>#REF!</v>
      </c>
      <c r="I262" s="83" t="str">
        <f>(I102+I110+#REF!)*'Data - P&amp;L'!$D$32</f>
        <v>#REF!</v>
      </c>
      <c r="J262" s="83" t="str">
        <f>(J102+J110+#REF!)*'Data - P&amp;L'!$D$32</f>
        <v>#REF!</v>
      </c>
      <c r="K262" s="83" t="str">
        <f>(K102+K110+#REF!)*'Data - P&amp;L'!$D$32</f>
        <v>#REF!</v>
      </c>
      <c r="L262" s="83" t="str">
        <f>(L102+L110+#REF!)*'Data - P&amp;L'!$D$32</f>
        <v>#REF!</v>
      </c>
      <c r="M262" s="83" t="str">
        <f>(M102+M110+#REF!)*'Data - P&amp;L'!$D$32</f>
        <v>#REF!</v>
      </c>
      <c r="N262" s="83" t="str">
        <f>(N102+N110+#REF!)*'Data - P&amp;L'!$D$32</f>
        <v>#REF!</v>
      </c>
      <c r="O262" s="83" t="str">
        <f>(O102+O110+#REF!)*'Data - P&amp;L'!$D$32</f>
        <v>#REF!</v>
      </c>
      <c r="P262" s="83" t="str">
        <f>(P102+P110+#REF!)*'Data - P&amp;L'!$D$32</f>
        <v>#REF!</v>
      </c>
      <c r="Q262" s="83" t="str">
        <f>(Q102+Q110+#REF!)*'Data - P&amp;L'!$D$32</f>
        <v>#REF!</v>
      </c>
      <c r="R262" s="83" t="str">
        <f>(R102+R110+#REF!)*'Data - P&amp;L'!$D$32</f>
        <v>#REF!</v>
      </c>
      <c r="S262" s="83" t="str">
        <f>(S102+S110+#REF!)*'Data - P&amp;L'!$D$32</f>
        <v>#REF!</v>
      </c>
      <c r="T262" s="83" t="str">
        <f>(T102+T110+#REF!)*'Data - P&amp;L'!$D$32</f>
        <v>#REF!</v>
      </c>
      <c r="U262" s="83" t="str">
        <f>(U102+U110+#REF!)*'Data - P&amp;L'!$D$32</f>
        <v>#REF!</v>
      </c>
      <c r="V262" s="83" t="str">
        <f>(V102+V110+#REF!)*'Data - P&amp;L'!$D$32</f>
        <v>#REF!</v>
      </c>
      <c r="W262" s="83" t="str">
        <f>(W102+W110+#REF!)*'Data - P&amp;L'!$D$32</f>
        <v>#REF!</v>
      </c>
      <c r="X262" s="83" t="str">
        <f>(X102+X110+#REF!)*'Data - P&amp;L'!$D$32</f>
        <v>#REF!</v>
      </c>
      <c r="Y262" s="83" t="str">
        <f>(Y102+Y110+#REF!)*'Data - P&amp;L'!$D$32</f>
        <v>#REF!</v>
      </c>
      <c r="Z262" s="83" t="str">
        <f>(Z102+Z110+#REF!)*'Data - P&amp;L'!$D$32</f>
        <v>#REF!</v>
      </c>
      <c r="AA262" s="83" t="str">
        <f>(AA102+AA110+#REF!)*'Data - P&amp;L'!$D$32</f>
        <v>#REF!</v>
      </c>
      <c r="AB262" s="83" t="str">
        <f>(AB102+AB110+#REF!)*'Data - P&amp;L'!$D$32</f>
        <v>#REF!</v>
      </c>
      <c r="AC262" s="83" t="str">
        <f>(AC102+AC110+#REF!)*'Data - P&amp;L'!$D$32</f>
        <v>#REF!</v>
      </c>
      <c r="AD262" s="83" t="str">
        <f>(AD102+AD110+#REF!)*'Data - P&amp;L'!$D$32</f>
        <v>#REF!</v>
      </c>
      <c r="AE262" s="83" t="str">
        <f>(AE102+AE110+#REF!)*'Data - P&amp;L'!$D$32</f>
        <v>#REF!</v>
      </c>
      <c r="AF262" s="83" t="str">
        <f>(AF102+AF110+#REF!)*'Data - P&amp;L'!$D$32</f>
        <v>#REF!</v>
      </c>
      <c r="AG262" s="817" t="str">
        <f t="shared" si="81"/>
        <v>#REF!</v>
      </c>
    </row>
    <row r="263" hidden="1" outlineLevel="1">
      <c r="A263" s="835" t="s">
        <v>1337</v>
      </c>
      <c r="B263" s="300" t="str">
        <f>(B102+B110+#REF!)*'Data - P&amp;L'!$D$33</f>
        <v>#REF!</v>
      </c>
      <c r="C263" s="300" t="str">
        <f>(C102+C110+#REF!)*'Data - P&amp;L'!$D$33</f>
        <v>#REF!</v>
      </c>
      <c r="D263" s="300" t="str">
        <f>(D102+D110+#REF!)*'Data - P&amp;L'!$D$33</f>
        <v>#REF!</v>
      </c>
      <c r="E263" s="300" t="str">
        <f>(E102+E110+#REF!)*'Data - P&amp;L'!$D$33</f>
        <v>#REF!</v>
      </c>
      <c r="F263" s="300" t="str">
        <f>(F102+F110+#REF!)*'Data - P&amp;L'!$D$33</f>
        <v>#REF!</v>
      </c>
      <c r="G263" s="300" t="str">
        <f>(G102+G110+#REF!)*'Data - P&amp;L'!$D$33</f>
        <v>#REF!</v>
      </c>
      <c r="H263" s="300" t="str">
        <f>(H102+H110+#REF!)*'Data - P&amp;L'!$D$33</f>
        <v>#REF!</v>
      </c>
      <c r="I263" s="300" t="str">
        <f>(I102+I110+#REF!)*'Data - P&amp;L'!$D$33</f>
        <v>#REF!</v>
      </c>
      <c r="J263" s="300" t="str">
        <f>(J102+J110+#REF!)*'Data - P&amp;L'!$D$33</f>
        <v>#REF!</v>
      </c>
      <c r="K263" s="300" t="str">
        <f>(K102+K110+#REF!)*'Data - P&amp;L'!$D$33</f>
        <v>#REF!</v>
      </c>
      <c r="L263" s="300" t="str">
        <f>(L102+L110+#REF!)*'Data - P&amp;L'!$D$33</f>
        <v>#REF!</v>
      </c>
      <c r="M263" s="300" t="str">
        <f>(M102+M110+#REF!)*'Data - P&amp;L'!$D$33</f>
        <v>#REF!</v>
      </c>
      <c r="N263" s="300" t="str">
        <f>(N102+N110+#REF!)*'Data - P&amp;L'!$D$33</f>
        <v>#REF!</v>
      </c>
      <c r="O263" s="300" t="str">
        <f>(O102+O110+#REF!)*'Data - P&amp;L'!$D$33</f>
        <v>#REF!</v>
      </c>
      <c r="P263" s="300" t="str">
        <f>(P102+P110+#REF!)*'Data - P&amp;L'!$D$33</f>
        <v>#REF!</v>
      </c>
      <c r="Q263" s="300" t="str">
        <f>(Q102+Q110+#REF!)*'Data - P&amp;L'!$D$33</f>
        <v>#REF!</v>
      </c>
      <c r="R263" s="300" t="str">
        <f>(R102+R110+#REF!)*'Data - P&amp;L'!$D$33</f>
        <v>#REF!</v>
      </c>
      <c r="S263" s="300" t="str">
        <f>(S102+S110+#REF!)*'Data - P&amp;L'!$D$33</f>
        <v>#REF!</v>
      </c>
      <c r="T263" s="300" t="str">
        <f>(T102+T110+#REF!)*'Data - P&amp;L'!$D$33</f>
        <v>#REF!</v>
      </c>
      <c r="U263" s="300" t="str">
        <f>(U102+U110+#REF!)*'Data - P&amp;L'!$D$33</f>
        <v>#REF!</v>
      </c>
      <c r="V263" s="300" t="str">
        <f>(V102+V110+#REF!)*'Data - P&amp;L'!$D$33</f>
        <v>#REF!</v>
      </c>
      <c r="W263" s="300" t="str">
        <f>(W102+W110+#REF!)*'Data - P&amp;L'!$D$33</f>
        <v>#REF!</v>
      </c>
      <c r="X263" s="300" t="str">
        <f>(X102+X110+#REF!)*'Data - P&amp;L'!$D$33</f>
        <v>#REF!</v>
      </c>
      <c r="Y263" s="300" t="str">
        <f>(Y102+Y110+#REF!)*'Data - P&amp;L'!$D$33</f>
        <v>#REF!</v>
      </c>
      <c r="Z263" s="300" t="str">
        <f>(Z102+Z110+#REF!)*'Data - P&amp;L'!$D$33</f>
        <v>#REF!</v>
      </c>
      <c r="AA263" s="300" t="str">
        <f>(AA102+AA110+#REF!)*'Data - P&amp;L'!$D$33</f>
        <v>#REF!</v>
      </c>
      <c r="AB263" s="300" t="str">
        <f>(AB102+AB110+#REF!)*'Data - P&amp;L'!$D$33</f>
        <v>#REF!</v>
      </c>
      <c r="AC263" s="300" t="str">
        <f>(AC102+AC110+#REF!)*'Data - P&amp;L'!$D$33</f>
        <v>#REF!</v>
      </c>
      <c r="AD263" s="300" t="str">
        <f>(AD102+AD110+#REF!)*'Data - P&amp;L'!$D$33</f>
        <v>#REF!</v>
      </c>
      <c r="AE263" s="300" t="str">
        <f>(AE102+AE110+#REF!)*'Data - P&amp;L'!$D$33</f>
        <v>#REF!</v>
      </c>
      <c r="AF263" s="300" t="str">
        <f>(AF102+AF110+#REF!)*'Data - P&amp;L'!$D$33</f>
        <v>#REF!</v>
      </c>
      <c r="AG263" s="817" t="str">
        <f t="shared" si="81"/>
        <v>#REF!</v>
      </c>
    </row>
    <row r="264">
      <c r="A264" s="105" t="s">
        <v>414</v>
      </c>
      <c r="B264" s="83" t="str">
        <f t="shared" ref="B264:AF264" si="82">sum(B230:B263)</f>
        <v>#REF!</v>
      </c>
      <c r="C264" s="83" t="str">
        <f t="shared" si="82"/>
        <v>#REF!</v>
      </c>
      <c r="D264" s="83" t="str">
        <f t="shared" si="82"/>
        <v>#REF!</v>
      </c>
      <c r="E264" s="83" t="str">
        <f t="shared" si="82"/>
        <v>#REF!</v>
      </c>
      <c r="F264" s="83" t="str">
        <f t="shared" si="82"/>
        <v>#REF!</v>
      </c>
      <c r="G264" s="83" t="str">
        <f t="shared" si="82"/>
        <v>#REF!</v>
      </c>
      <c r="H264" s="83" t="str">
        <f t="shared" si="82"/>
        <v>#REF!</v>
      </c>
      <c r="I264" s="83" t="str">
        <f t="shared" si="82"/>
        <v>#REF!</v>
      </c>
      <c r="J264" s="83" t="str">
        <f t="shared" si="82"/>
        <v>#REF!</v>
      </c>
      <c r="K264" s="83" t="str">
        <f t="shared" si="82"/>
        <v>#REF!</v>
      </c>
      <c r="L264" s="83" t="str">
        <f t="shared" si="82"/>
        <v>#REF!</v>
      </c>
      <c r="M264" s="83" t="str">
        <f t="shared" si="82"/>
        <v>#REF!</v>
      </c>
      <c r="N264" s="83" t="str">
        <f t="shared" si="82"/>
        <v>#REF!</v>
      </c>
      <c r="O264" s="83" t="str">
        <f t="shared" si="82"/>
        <v>#REF!</v>
      </c>
      <c r="P264" s="83" t="str">
        <f t="shared" si="82"/>
        <v>#REF!</v>
      </c>
      <c r="Q264" s="83" t="str">
        <f t="shared" si="82"/>
        <v>#REF!</v>
      </c>
      <c r="R264" s="83" t="str">
        <f t="shared" si="82"/>
        <v>#REF!</v>
      </c>
      <c r="S264" s="83" t="str">
        <f t="shared" si="82"/>
        <v>#REF!</v>
      </c>
      <c r="T264" s="83" t="str">
        <f t="shared" si="82"/>
        <v>#REF!</v>
      </c>
      <c r="U264" s="83" t="str">
        <f t="shared" si="82"/>
        <v>#REF!</v>
      </c>
      <c r="V264" s="83" t="str">
        <f t="shared" si="82"/>
        <v>#REF!</v>
      </c>
      <c r="W264" s="83" t="str">
        <f t="shared" si="82"/>
        <v>#REF!</v>
      </c>
      <c r="X264" s="83" t="str">
        <f t="shared" si="82"/>
        <v>#REF!</v>
      </c>
      <c r="Y264" s="83" t="str">
        <f t="shared" si="82"/>
        <v>#REF!</v>
      </c>
      <c r="Z264" s="83" t="str">
        <f t="shared" si="82"/>
        <v>#REF!</v>
      </c>
      <c r="AA264" s="83" t="str">
        <f t="shared" si="82"/>
        <v>#REF!</v>
      </c>
      <c r="AB264" s="83" t="str">
        <f t="shared" si="82"/>
        <v>#REF!</v>
      </c>
      <c r="AC264" s="83" t="str">
        <f t="shared" si="82"/>
        <v>#REF!</v>
      </c>
      <c r="AD264" s="83" t="str">
        <f t="shared" si="82"/>
        <v>#REF!</v>
      </c>
      <c r="AE264" s="83" t="str">
        <f t="shared" si="82"/>
        <v>#REF!</v>
      </c>
      <c r="AF264" s="83" t="str">
        <f t="shared" si="82"/>
        <v>#REF!</v>
      </c>
      <c r="AG264" s="817"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837" t="s">
        <v>1340</v>
      </c>
      <c r="H1" s="838"/>
      <c r="I1" s="838"/>
      <c r="J1" s="838"/>
      <c r="K1" s="838"/>
      <c r="L1" s="838"/>
      <c r="M1" s="838"/>
      <c r="N1" s="838"/>
      <c r="O1" s="838"/>
      <c r="P1" s="838"/>
      <c r="Q1" s="838"/>
      <c r="R1" s="838"/>
      <c r="S1" s="838"/>
      <c r="T1" s="838"/>
      <c r="U1" s="838"/>
      <c r="V1" s="838"/>
      <c r="W1" s="838"/>
      <c r="X1" s="838"/>
      <c r="Y1" s="838"/>
      <c r="Z1" s="838"/>
      <c r="AA1" s="838"/>
      <c r="AB1" s="838"/>
      <c r="AC1" s="838"/>
      <c r="AD1" s="838"/>
      <c r="AE1" s="838"/>
      <c r="AF1" s="838"/>
      <c r="AG1" s="838"/>
      <c r="AH1" s="838"/>
      <c r="AI1" s="838"/>
      <c r="AJ1" s="838"/>
      <c r="AK1" s="838"/>
      <c r="AL1" s="602"/>
      <c r="AM1" s="602"/>
      <c r="AN1" s="602"/>
      <c r="AO1" s="8"/>
      <c r="AP1" s="4"/>
      <c r="AQ1" s="4"/>
      <c r="AR1" s="4"/>
      <c r="AS1" s="4"/>
      <c r="AT1" s="4"/>
      <c r="AU1" s="4"/>
      <c r="AV1" s="4"/>
      <c r="AW1" s="4"/>
      <c r="AX1" s="4"/>
      <c r="AY1" s="4"/>
      <c r="AZ1" s="4"/>
      <c r="BA1" s="4"/>
      <c r="BB1" s="4"/>
      <c r="BC1" s="4"/>
    </row>
    <row r="2">
      <c r="A2" s="837" t="s">
        <v>1341</v>
      </c>
      <c r="H2" s="838"/>
      <c r="I2" s="838"/>
      <c r="J2" s="838"/>
      <c r="K2" s="838"/>
      <c r="L2" s="838"/>
      <c r="M2" s="838"/>
      <c r="N2" s="838"/>
      <c r="O2" s="838"/>
      <c r="P2" s="838"/>
      <c r="Q2" s="838"/>
      <c r="R2" s="838"/>
      <c r="S2" s="838"/>
      <c r="T2" s="838"/>
      <c r="U2" s="838"/>
      <c r="V2" s="838"/>
      <c r="W2" s="838"/>
      <c r="X2" s="838"/>
      <c r="Y2" s="838"/>
      <c r="Z2" s="838"/>
      <c r="AA2" s="838"/>
      <c r="AB2" s="838"/>
      <c r="AC2" s="838"/>
      <c r="AD2" s="838"/>
      <c r="AE2" s="838"/>
      <c r="AF2" s="838"/>
      <c r="AG2" s="838"/>
      <c r="AH2" s="838"/>
      <c r="AI2" s="838"/>
      <c r="AJ2" s="838"/>
      <c r="AK2" s="838"/>
      <c r="AL2" s="602"/>
      <c r="AM2" s="602"/>
      <c r="AN2" s="602"/>
      <c r="AO2" s="8"/>
      <c r="AP2" s="4"/>
      <c r="AQ2" s="4"/>
      <c r="AR2" s="4"/>
      <c r="AS2" s="4"/>
      <c r="AT2" s="4"/>
      <c r="AU2" s="4"/>
      <c r="AV2" s="4"/>
      <c r="AW2" s="4"/>
      <c r="AX2" s="4"/>
      <c r="AY2" s="4"/>
      <c r="AZ2" s="4"/>
      <c r="BA2" s="4"/>
      <c r="BB2" s="4"/>
      <c r="BC2" s="4"/>
    </row>
    <row r="3">
      <c r="A3" s="837" t="s">
        <v>1342</v>
      </c>
      <c r="H3" s="838"/>
      <c r="I3" s="838"/>
      <c r="J3" s="838"/>
      <c r="K3" s="838"/>
      <c r="L3" s="838"/>
      <c r="M3" s="838"/>
      <c r="N3" s="838"/>
      <c r="O3" s="838"/>
      <c r="P3" s="838"/>
      <c r="Q3" s="838"/>
      <c r="R3" s="838"/>
      <c r="S3" s="838"/>
      <c r="T3" s="838"/>
      <c r="U3" s="838"/>
      <c r="V3" s="838"/>
      <c r="W3" s="838"/>
      <c r="X3" s="838"/>
      <c r="Y3" s="838"/>
      <c r="Z3" s="838"/>
      <c r="AA3" s="838"/>
      <c r="AB3" s="838"/>
      <c r="AC3" s="838"/>
      <c r="AD3" s="838"/>
      <c r="AE3" s="838"/>
      <c r="AF3" s="838"/>
      <c r="AG3" s="838"/>
      <c r="AH3" s="838"/>
      <c r="AI3" s="838"/>
      <c r="AJ3" s="838"/>
      <c r="AK3" s="838"/>
      <c r="AL3" s="602"/>
      <c r="AM3" s="602"/>
      <c r="AN3" s="602"/>
      <c r="AO3" s="8"/>
      <c r="AP3" s="4"/>
      <c r="AQ3" s="4"/>
      <c r="AR3" s="4"/>
      <c r="AS3" s="4"/>
      <c r="AT3" s="4"/>
      <c r="AU3" s="4"/>
      <c r="AV3" s="4"/>
      <c r="AW3" s="4"/>
      <c r="AX3" s="4"/>
      <c r="AY3" s="4"/>
      <c r="AZ3" s="4"/>
      <c r="BA3" s="4"/>
      <c r="BB3" s="4"/>
      <c r="BC3" s="4"/>
    </row>
    <row r="4">
      <c r="A4" s="837" t="s">
        <v>1343</v>
      </c>
      <c r="H4" s="838"/>
      <c r="I4" s="838"/>
      <c r="J4" s="838"/>
      <c r="K4" s="838"/>
      <c r="L4" s="838"/>
      <c r="M4" s="838"/>
      <c r="N4" s="838"/>
      <c r="O4" s="838"/>
      <c r="P4" s="838"/>
      <c r="Q4" s="838"/>
      <c r="R4" s="838"/>
      <c r="S4" s="838"/>
      <c r="T4" s="838"/>
      <c r="U4" s="838"/>
      <c r="V4" s="838"/>
      <c r="W4" s="838"/>
      <c r="X4" s="838"/>
      <c r="Y4" s="838"/>
      <c r="Z4" s="838"/>
      <c r="AA4" s="838"/>
      <c r="AB4" s="838"/>
      <c r="AC4" s="838"/>
      <c r="AD4" s="838"/>
      <c r="AE4" s="838"/>
      <c r="AF4" s="838"/>
      <c r="AG4" s="838"/>
      <c r="AH4" s="838"/>
      <c r="AI4" s="838"/>
      <c r="AJ4" s="838"/>
      <c r="AK4" s="838"/>
      <c r="AL4" s="602"/>
      <c r="AM4" s="839"/>
      <c r="AN4" s="602"/>
      <c r="AO4" s="8"/>
      <c r="AP4" s="4"/>
      <c r="AQ4" s="4"/>
      <c r="AR4" s="4"/>
      <c r="AS4" s="4"/>
      <c r="AT4" s="4"/>
      <c r="AU4" s="4"/>
      <c r="AV4" s="4"/>
      <c r="AW4" s="4"/>
      <c r="AX4" s="4"/>
      <c r="AY4" s="4"/>
      <c r="AZ4" s="4"/>
      <c r="BA4" s="4"/>
      <c r="BB4" s="4"/>
      <c r="BC4" s="4"/>
    </row>
    <row r="5">
      <c r="A5" s="837" t="s">
        <v>1344</v>
      </c>
      <c r="AL5" s="602"/>
      <c r="AM5" s="602"/>
      <c r="AN5" s="602"/>
      <c r="AO5" s="8"/>
      <c r="AP5" s="4"/>
      <c r="AQ5" s="4"/>
      <c r="AR5" s="4"/>
      <c r="AS5" s="4"/>
      <c r="AT5" s="4"/>
      <c r="AU5" s="4"/>
      <c r="AV5" s="4"/>
      <c r="AW5" s="4"/>
      <c r="AX5" s="4"/>
      <c r="AY5" s="4"/>
      <c r="AZ5" s="4"/>
      <c r="BA5" s="4"/>
      <c r="BB5" s="4"/>
      <c r="BC5" s="4"/>
    </row>
    <row r="6">
      <c r="A6" s="837" t="s">
        <v>1345</v>
      </c>
      <c r="AO6" s="8"/>
      <c r="AP6" s="4"/>
      <c r="AQ6" s="4"/>
      <c r="AR6" s="4"/>
      <c r="AS6" s="4"/>
      <c r="AT6" s="4"/>
      <c r="AU6" s="4"/>
      <c r="AV6" s="4"/>
      <c r="AW6" s="4"/>
      <c r="AX6" s="4"/>
      <c r="AY6" s="4"/>
      <c r="AZ6" s="4"/>
      <c r="BA6" s="4"/>
      <c r="BB6" s="4"/>
      <c r="BC6" s="4"/>
    </row>
    <row r="7">
      <c r="A7" s="837" t="s">
        <v>1346</v>
      </c>
      <c r="AN7" s="602"/>
      <c r="AO7" s="8"/>
      <c r="AP7" s="4"/>
      <c r="AQ7" s="4"/>
      <c r="AR7" s="4"/>
      <c r="AS7" s="4"/>
      <c r="AT7" s="4"/>
      <c r="AU7" s="4"/>
      <c r="AV7" s="4"/>
      <c r="AW7" s="4"/>
      <c r="AX7" s="4"/>
      <c r="AY7" s="4"/>
      <c r="AZ7" s="4"/>
      <c r="BA7" s="4"/>
      <c r="BB7" s="4"/>
      <c r="BC7" s="4"/>
    </row>
    <row r="8">
      <c r="A8" s="837" t="s">
        <v>1347</v>
      </c>
      <c r="H8" s="838"/>
      <c r="I8" s="838"/>
      <c r="J8" s="838"/>
      <c r="K8" s="838"/>
      <c r="L8" s="838"/>
      <c r="M8" s="838"/>
      <c r="N8" s="838"/>
      <c r="O8" s="838"/>
      <c r="P8" s="838"/>
      <c r="Q8" s="838"/>
      <c r="R8" s="838"/>
      <c r="S8" s="838"/>
      <c r="T8" s="838"/>
      <c r="U8" s="838"/>
      <c r="V8" s="838"/>
      <c r="W8" s="838"/>
      <c r="X8" s="838"/>
      <c r="Y8" s="838"/>
      <c r="Z8" s="838"/>
      <c r="AA8" s="838"/>
      <c r="AB8" s="838"/>
      <c r="AC8" s="838"/>
      <c r="AD8" s="838"/>
      <c r="AE8" s="838"/>
      <c r="AF8" s="838"/>
      <c r="AG8" s="838"/>
      <c r="AH8" s="838"/>
      <c r="AI8" s="838"/>
      <c r="AJ8" s="838"/>
      <c r="AK8" s="838"/>
      <c r="AL8" s="602"/>
      <c r="AM8" s="602"/>
      <c r="AN8" s="602"/>
      <c r="AO8" s="8"/>
      <c r="AP8" s="4"/>
      <c r="AQ8" s="4"/>
      <c r="AR8" s="4"/>
      <c r="AS8" s="4"/>
      <c r="AT8" s="4"/>
      <c r="AU8" s="4"/>
      <c r="AV8" s="4"/>
      <c r="AW8" s="4"/>
      <c r="AX8" s="4"/>
      <c r="AY8" s="4"/>
      <c r="AZ8" s="4"/>
      <c r="BA8" s="4"/>
      <c r="BB8" s="4"/>
      <c r="BC8" s="4"/>
    </row>
    <row r="9">
      <c r="A9" s="840"/>
      <c r="B9" s="840"/>
      <c r="C9" s="4"/>
      <c r="D9" s="4"/>
      <c r="E9" s="4"/>
      <c r="F9" s="4"/>
      <c r="G9" s="841"/>
      <c r="H9" s="841"/>
      <c r="I9" s="841"/>
      <c r="J9" s="841"/>
      <c r="K9" s="841"/>
      <c r="L9" s="841"/>
      <c r="M9" s="841"/>
      <c r="N9" s="841"/>
      <c r="O9" s="841"/>
      <c r="P9" s="841"/>
      <c r="Q9" s="841"/>
      <c r="R9" s="841"/>
      <c r="S9" s="841"/>
      <c r="T9" s="841"/>
      <c r="U9" s="841"/>
      <c r="V9" s="841"/>
      <c r="W9" s="841"/>
      <c r="X9" s="841"/>
      <c r="Y9" s="841"/>
      <c r="Z9" s="841"/>
      <c r="AA9" s="841"/>
      <c r="AB9" s="841"/>
      <c r="AC9" s="841"/>
      <c r="AD9" s="841"/>
      <c r="AE9" s="841"/>
      <c r="AF9" s="841"/>
      <c r="AG9" s="841"/>
      <c r="AH9" s="841"/>
      <c r="AI9" s="841"/>
      <c r="AJ9" s="841"/>
      <c r="AK9" s="841"/>
      <c r="AL9" s="8"/>
      <c r="AM9" s="8"/>
      <c r="AN9" s="8"/>
      <c r="AO9" s="8"/>
      <c r="AP9" s="4"/>
      <c r="AQ9" s="4"/>
      <c r="AR9" s="4"/>
      <c r="AS9" s="4"/>
      <c r="AT9" s="4"/>
      <c r="AU9" s="4"/>
      <c r="AV9" s="4"/>
      <c r="AW9" s="4"/>
      <c r="AX9" s="4"/>
      <c r="AY9" s="4"/>
      <c r="AZ9" s="4"/>
      <c r="BA9" s="4"/>
      <c r="BB9" s="4"/>
      <c r="BC9" s="4"/>
    </row>
    <row r="10">
      <c r="A10" s="842" t="s">
        <v>1348</v>
      </c>
      <c r="B10" s="650"/>
      <c r="C10" s="843" t="s">
        <v>1349</v>
      </c>
      <c r="D10" s="843" t="s">
        <v>1350</v>
      </c>
      <c r="E10" s="843" t="s">
        <v>1351</v>
      </c>
      <c r="F10" s="843" t="s">
        <v>1352</v>
      </c>
      <c r="G10" s="844" t="s">
        <v>1353</v>
      </c>
      <c r="H10" s="844" t="s">
        <v>1354</v>
      </c>
      <c r="I10" s="844" t="s">
        <v>1355</v>
      </c>
      <c r="J10" s="844" t="s">
        <v>1356</v>
      </c>
      <c r="K10" s="844" t="s">
        <v>1357</v>
      </c>
      <c r="L10" s="844" t="s">
        <v>1358</v>
      </c>
      <c r="M10" s="844" t="s">
        <v>1359</v>
      </c>
      <c r="N10" s="844" t="s">
        <v>1360</v>
      </c>
      <c r="O10" s="844" t="s">
        <v>1361</v>
      </c>
      <c r="P10" s="844" t="s">
        <v>1362</v>
      </c>
      <c r="Q10" s="844" t="s">
        <v>1363</v>
      </c>
      <c r="R10" s="844" t="s">
        <v>1364</v>
      </c>
      <c r="S10" s="844" t="s">
        <v>1365</v>
      </c>
      <c r="T10" s="844" t="s">
        <v>1366</v>
      </c>
      <c r="U10" s="844" t="s">
        <v>1367</v>
      </c>
      <c r="V10" s="844" t="s">
        <v>1368</v>
      </c>
      <c r="W10" s="844" t="s">
        <v>1369</v>
      </c>
      <c r="X10" s="844" t="s">
        <v>1370</v>
      </c>
      <c r="Y10" s="844" t="s">
        <v>1371</v>
      </c>
      <c r="Z10" s="844" t="s">
        <v>1372</v>
      </c>
      <c r="AA10" s="844" t="s">
        <v>1373</v>
      </c>
      <c r="AB10" s="844" t="s">
        <v>1374</v>
      </c>
      <c r="AC10" s="844" t="s">
        <v>1375</v>
      </c>
      <c r="AD10" s="844" t="s">
        <v>1376</v>
      </c>
      <c r="AE10" s="844" t="s">
        <v>1377</v>
      </c>
      <c r="AF10" s="844" t="s">
        <v>1378</v>
      </c>
      <c r="AG10" s="844" t="s">
        <v>1379</v>
      </c>
      <c r="AH10" s="844" t="s">
        <v>1380</v>
      </c>
      <c r="AI10" s="844" t="s">
        <v>1381</v>
      </c>
      <c r="AJ10" s="844" t="s">
        <v>1382</v>
      </c>
      <c r="AK10" s="844" t="s">
        <v>1383</v>
      </c>
      <c r="AL10" s="8" t="s">
        <v>1384</v>
      </c>
      <c r="AM10" s="8" t="s">
        <v>1385</v>
      </c>
      <c r="AN10" s="8" t="s">
        <v>1386</v>
      </c>
      <c r="AO10" s="8" t="s">
        <v>1387</v>
      </c>
      <c r="AP10" s="4"/>
      <c r="AQ10" s="4"/>
      <c r="AR10" s="4"/>
      <c r="AS10" s="4"/>
      <c r="AT10" s="4"/>
      <c r="AU10" s="4"/>
      <c r="AV10" s="4"/>
      <c r="AW10" s="4"/>
      <c r="AX10" s="4"/>
      <c r="AY10" s="4"/>
      <c r="AZ10" s="4"/>
      <c r="BA10" s="4"/>
      <c r="BB10" s="4"/>
      <c r="BC10" s="4"/>
    </row>
    <row r="11">
      <c r="A11" s="845" t="s">
        <v>1388</v>
      </c>
      <c r="B11" s="846" t="s">
        <v>1389</v>
      </c>
      <c r="G11" s="548"/>
      <c r="H11" s="548"/>
      <c r="I11" s="548"/>
      <c r="J11" s="548"/>
      <c r="K11" s="548"/>
      <c r="L11" s="548"/>
      <c r="M11" s="548"/>
      <c r="N11" s="548"/>
      <c r="O11" s="548"/>
      <c r="P11" s="548"/>
      <c r="Q11" s="548"/>
      <c r="R11" s="548"/>
      <c r="S11" s="548"/>
      <c r="T11" s="548"/>
      <c r="U11" s="548"/>
      <c r="V11" s="548"/>
      <c r="W11" s="548"/>
      <c r="X11" s="548"/>
      <c r="Y11" s="548"/>
      <c r="Z11" s="548"/>
      <c r="AA11" s="548"/>
      <c r="AB11" s="548"/>
      <c r="AC11" s="548"/>
      <c r="AD11" s="548"/>
      <c r="AE11" s="548"/>
      <c r="AF11" s="548"/>
      <c r="AG11" s="548"/>
      <c r="AH11" s="548"/>
      <c r="AI11" s="548"/>
      <c r="AJ11" s="548"/>
      <c r="AK11" s="548"/>
      <c r="AL11" s="548"/>
      <c r="AM11" s="548"/>
      <c r="AN11" s="548"/>
      <c r="AO11" s="548"/>
    </row>
    <row r="12">
      <c r="B12" s="847" t="s">
        <v>1390</v>
      </c>
      <c r="G12" s="548"/>
      <c r="H12" s="548"/>
      <c r="I12" s="548"/>
      <c r="J12" s="548"/>
      <c r="K12" s="548"/>
      <c r="L12" s="548"/>
      <c r="M12" s="548"/>
      <c r="N12" s="548"/>
      <c r="O12" s="548"/>
      <c r="P12" s="548"/>
      <c r="Q12" s="548"/>
      <c r="R12" s="548"/>
      <c r="S12" s="548"/>
      <c r="T12" s="548"/>
      <c r="U12" s="548"/>
      <c r="V12" s="548"/>
      <c r="W12" s="548"/>
      <c r="X12" s="548"/>
      <c r="Y12" s="548"/>
      <c r="Z12" s="548"/>
      <c r="AA12" s="548"/>
      <c r="AB12" s="548"/>
      <c r="AC12" s="548"/>
      <c r="AD12" s="548"/>
      <c r="AE12" s="548"/>
      <c r="AF12" s="548"/>
      <c r="AG12" s="548"/>
      <c r="AH12" s="548"/>
      <c r="AI12" s="548"/>
      <c r="AJ12" s="548"/>
      <c r="AK12" s="548"/>
      <c r="AL12" s="548"/>
      <c r="AM12" s="548"/>
      <c r="AN12" s="548"/>
      <c r="AO12" s="548"/>
    </row>
    <row r="13">
      <c r="B13" s="847" t="s">
        <v>1391</v>
      </c>
      <c r="G13" s="848">
        <v>0.3098949992935971</v>
      </c>
      <c r="H13" s="548"/>
      <c r="I13" s="548"/>
      <c r="J13" s="548"/>
      <c r="K13" s="548"/>
      <c r="L13" s="848">
        <v>0.31192169759475546</v>
      </c>
      <c r="M13" s="548"/>
      <c r="N13" s="548"/>
      <c r="O13" s="548"/>
      <c r="P13" s="548"/>
      <c r="Q13" s="848">
        <v>0.29415803897988385</v>
      </c>
      <c r="R13" s="548"/>
      <c r="S13" s="548"/>
      <c r="T13" s="548"/>
      <c r="U13" s="548"/>
      <c r="V13" s="848">
        <v>0.3086533518418032</v>
      </c>
      <c r="W13" s="548"/>
      <c r="X13" s="548"/>
      <c r="Y13" s="548"/>
      <c r="Z13" s="548"/>
      <c r="AA13" s="848">
        <v>0.31000241750316254</v>
      </c>
      <c r="AB13" s="548"/>
      <c r="AC13" s="548"/>
      <c r="AD13" s="548"/>
      <c r="AE13" s="548"/>
      <c r="AF13" s="848">
        <v>0.2798240892753884</v>
      </c>
      <c r="AG13" s="849">
        <v>0.2785</v>
      </c>
      <c r="AH13" s="849">
        <v>0.2856</v>
      </c>
      <c r="AI13" s="849">
        <v>0.3275</v>
      </c>
      <c r="AJ13" s="849">
        <v>0.18</v>
      </c>
      <c r="AK13" s="548"/>
      <c r="AL13" s="548"/>
      <c r="AM13" s="548"/>
      <c r="AN13" s="548"/>
      <c r="AO13" s="548"/>
    </row>
    <row r="14">
      <c r="B14" s="847" t="s">
        <v>1392</v>
      </c>
      <c r="G14" s="848">
        <v>0.250980812076589</v>
      </c>
      <c r="H14" s="548"/>
      <c r="I14" s="548"/>
      <c r="J14" s="548"/>
      <c r="K14" s="548"/>
      <c r="L14" s="848">
        <v>0.16544529700030713</v>
      </c>
      <c r="M14" s="548"/>
      <c r="N14" s="548"/>
      <c r="O14" s="548"/>
      <c r="P14" s="548"/>
      <c r="Q14" s="848">
        <v>0.16328349033786654</v>
      </c>
      <c r="R14" s="548"/>
      <c r="S14" s="548"/>
      <c r="T14" s="548"/>
      <c r="U14" s="548"/>
      <c r="V14" s="848">
        <v>0.23704978506865568</v>
      </c>
      <c r="W14" s="548"/>
      <c r="X14" s="548"/>
      <c r="Y14" s="548"/>
      <c r="Z14" s="548"/>
      <c r="AA14" s="848">
        <v>0.2729430944338703</v>
      </c>
      <c r="AB14" s="548"/>
      <c r="AC14" s="548"/>
      <c r="AD14" s="548"/>
      <c r="AE14" s="548"/>
      <c r="AF14" s="848">
        <v>0.2523527452422593</v>
      </c>
      <c r="AG14" s="849">
        <v>0.2384</v>
      </c>
      <c r="AH14" s="849">
        <v>0.2648</v>
      </c>
      <c r="AI14" s="849">
        <v>0.2539</v>
      </c>
      <c r="AJ14" s="849">
        <v>0.2468</v>
      </c>
      <c r="AK14" s="548"/>
      <c r="AL14" s="548"/>
      <c r="AM14" s="548"/>
      <c r="AN14" s="548"/>
      <c r="AO14" s="548"/>
    </row>
    <row r="15">
      <c r="B15" s="850" t="s">
        <v>1393</v>
      </c>
      <c r="H15" s="548"/>
      <c r="I15" s="548"/>
      <c r="J15" s="548"/>
      <c r="K15" s="548"/>
      <c r="L15" s="548"/>
      <c r="M15" s="548"/>
      <c r="N15" s="548"/>
      <c r="O15" s="548"/>
      <c r="P15" s="548"/>
      <c r="Q15" s="548"/>
      <c r="R15" s="548"/>
      <c r="S15" s="548"/>
      <c r="T15" s="548"/>
      <c r="U15" s="548"/>
      <c r="V15" s="548"/>
      <c r="W15" s="548"/>
      <c r="X15" s="548"/>
      <c r="Y15" s="548"/>
      <c r="Z15" s="548"/>
      <c r="AA15" s="548"/>
      <c r="AB15" s="548"/>
      <c r="AC15" s="548"/>
      <c r="AD15" s="548"/>
      <c r="AE15" s="548"/>
      <c r="AF15" s="548"/>
      <c r="AG15" s="548"/>
      <c r="AH15" s="548"/>
      <c r="AI15" s="548"/>
      <c r="AJ15" s="548"/>
      <c r="AK15" s="548"/>
      <c r="AL15" s="548"/>
      <c r="AM15" s="548"/>
      <c r="AN15" s="548"/>
      <c r="AO15" s="548"/>
    </row>
    <row r="16">
      <c r="B16" s="850" t="s">
        <v>1394</v>
      </c>
      <c r="G16" s="548"/>
      <c r="H16" s="548"/>
      <c r="I16" s="548"/>
      <c r="J16" s="548"/>
      <c r="K16" s="548"/>
      <c r="L16" s="548"/>
      <c r="M16" s="548"/>
      <c r="N16" s="548"/>
      <c r="O16" s="548"/>
      <c r="P16" s="548"/>
      <c r="Q16" s="548"/>
      <c r="R16" s="548"/>
      <c r="S16" s="548"/>
      <c r="T16" s="548"/>
      <c r="U16" s="548"/>
      <c r="V16" s="548"/>
      <c r="W16" s="548"/>
      <c r="X16" s="548"/>
      <c r="Y16" s="548"/>
      <c r="Z16" s="548"/>
      <c r="AA16" s="548"/>
      <c r="AB16" s="548"/>
      <c r="AC16" s="548"/>
      <c r="AD16" s="548"/>
      <c r="AE16" s="548"/>
      <c r="AF16" s="548"/>
      <c r="AG16" s="548"/>
      <c r="AH16" s="548"/>
      <c r="AI16" s="548"/>
      <c r="AJ16" s="548"/>
      <c r="AK16" s="548"/>
      <c r="AL16" s="548"/>
      <c r="AM16" s="548"/>
      <c r="AN16" s="548"/>
      <c r="AO16" s="548"/>
    </row>
    <row r="17">
      <c r="B17" s="847" t="s">
        <v>1395</v>
      </c>
      <c r="G17" s="548"/>
      <c r="H17" s="548"/>
      <c r="I17" s="548"/>
      <c r="J17" s="548"/>
      <c r="K17" s="548"/>
      <c r="L17" s="548"/>
      <c r="M17" s="548"/>
      <c r="N17" s="548"/>
      <c r="O17" s="548"/>
      <c r="P17" s="548"/>
      <c r="Q17" s="548"/>
      <c r="R17" s="548"/>
      <c r="S17" s="548"/>
      <c r="T17" s="548"/>
      <c r="U17" s="548"/>
      <c r="V17" s="548"/>
      <c r="W17" s="548"/>
      <c r="X17" s="548"/>
      <c r="Y17" s="548"/>
      <c r="Z17" s="548"/>
      <c r="AA17" s="548"/>
      <c r="AB17" s="548"/>
      <c r="AC17" s="548"/>
      <c r="AD17" s="548"/>
      <c r="AE17" s="548"/>
      <c r="AF17" s="548"/>
      <c r="AG17" s="548"/>
      <c r="AH17" s="548"/>
      <c r="AI17" s="548"/>
      <c r="AJ17" s="548"/>
      <c r="AK17" s="548"/>
      <c r="AL17" s="548"/>
      <c r="AM17" s="548"/>
      <c r="AN17" s="548"/>
      <c r="AO17" s="548"/>
    </row>
    <row r="18">
      <c r="B18" s="847" t="s">
        <v>1396</v>
      </c>
      <c r="G18" s="851">
        <v>321134.03</v>
      </c>
      <c r="H18" s="548"/>
      <c r="I18" s="548"/>
      <c r="J18" s="548"/>
      <c r="K18" s="548"/>
      <c r="L18" s="603">
        <v>230184.5</v>
      </c>
      <c r="M18" s="548"/>
      <c r="N18" s="548"/>
      <c r="O18" s="548"/>
      <c r="P18" s="548"/>
      <c r="Q18" s="851">
        <v>286763.81</v>
      </c>
      <c r="R18" s="548"/>
      <c r="S18" s="548"/>
      <c r="T18" s="548"/>
      <c r="U18" s="548"/>
      <c r="V18" s="851">
        <v>504547.38</v>
      </c>
      <c r="W18" s="548"/>
      <c r="X18" s="548"/>
      <c r="Y18" s="548"/>
      <c r="Z18" s="548"/>
      <c r="AA18" s="851">
        <v>682315.55</v>
      </c>
      <c r="AB18" s="548"/>
      <c r="AC18" s="548"/>
      <c r="AD18" s="548"/>
      <c r="AE18" s="548"/>
      <c r="AF18" s="851">
        <v>314811.96</v>
      </c>
      <c r="AG18" s="603">
        <v>67360.26</v>
      </c>
      <c r="AH18" s="603">
        <v>95833.95</v>
      </c>
      <c r="AI18" s="603">
        <v>99499.82</v>
      </c>
      <c r="AJ18" s="603">
        <v>52117.93</v>
      </c>
      <c r="AK18" s="548"/>
      <c r="AL18" s="548"/>
      <c r="AM18" s="548"/>
      <c r="AN18" s="548"/>
      <c r="AO18" s="548"/>
    </row>
    <row r="19">
      <c r="B19" s="847" t="s">
        <v>1397</v>
      </c>
      <c r="G19" s="852" t="s">
        <v>1398</v>
      </c>
      <c r="H19" s="853"/>
      <c r="I19" s="853"/>
      <c r="J19" s="853"/>
      <c r="K19" s="853"/>
      <c r="L19" s="852" t="s">
        <v>1398</v>
      </c>
      <c r="M19" s="853"/>
      <c r="N19" s="853"/>
      <c r="O19" s="853"/>
      <c r="P19" s="853"/>
      <c r="Q19" s="852" t="s">
        <v>1398</v>
      </c>
      <c r="R19" s="853"/>
      <c r="S19" s="853"/>
      <c r="T19" s="853"/>
      <c r="U19" s="853"/>
      <c r="V19" s="852" t="s">
        <v>1398</v>
      </c>
      <c r="W19" s="853"/>
      <c r="X19" s="853"/>
      <c r="Y19" s="853"/>
      <c r="Z19" s="853"/>
      <c r="AA19" s="852" t="s">
        <v>1398</v>
      </c>
      <c r="AB19" s="853"/>
      <c r="AC19" s="853"/>
      <c r="AD19" s="853"/>
      <c r="AE19" s="853"/>
      <c r="AF19" s="852" t="s">
        <v>1398</v>
      </c>
      <c r="AG19" s="853"/>
      <c r="AH19" s="853"/>
      <c r="AI19" s="853"/>
      <c r="AJ19" s="853"/>
      <c r="AK19" s="853"/>
      <c r="AL19" s="548"/>
      <c r="AM19" s="548"/>
      <c r="AN19" s="548"/>
      <c r="AO19" s="548"/>
    </row>
    <row r="20">
      <c r="A20" s="845" t="s">
        <v>1399</v>
      </c>
      <c r="B20" s="846" t="s">
        <v>1389</v>
      </c>
      <c r="G20" s="548"/>
      <c r="H20" s="548"/>
      <c r="I20" s="548"/>
      <c r="J20" s="548"/>
      <c r="K20" s="548"/>
      <c r="L20" s="548"/>
      <c r="M20" s="548"/>
      <c r="N20" s="548"/>
      <c r="O20" s="548"/>
      <c r="P20" s="548"/>
      <c r="Q20" s="548"/>
      <c r="R20" s="548"/>
      <c r="S20" s="548"/>
      <c r="T20" s="548"/>
      <c r="U20" s="548"/>
      <c r="V20" s="548"/>
      <c r="W20" s="548"/>
      <c r="X20" s="548"/>
      <c r="Y20" s="548"/>
      <c r="Z20" s="548"/>
      <c r="AA20" s="548"/>
      <c r="AB20" s="548"/>
      <c r="AC20" s="548"/>
      <c r="AD20" s="548"/>
      <c r="AE20" s="548"/>
      <c r="AF20" s="548"/>
      <c r="AG20" s="548"/>
      <c r="AH20" s="548"/>
      <c r="AI20" s="548"/>
      <c r="AJ20" s="548"/>
      <c r="AK20" s="548"/>
      <c r="AL20" s="548"/>
      <c r="AM20" s="548"/>
      <c r="AN20" s="548"/>
      <c r="AO20" s="548"/>
    </row>
    <row r="21">
      <c r="B21" s="847" t="s">
        <v>1390</v>
      </c>
      <c r="G21" s="548"/>
      <c r="H21" s="548"/>
      <c r="I21" s="548"/>
      <c r="J21" s="548"/>
      <c r="K21" s="548"/>
      <c r="L21" s="548"/>
      <c r="M21" s="548"/>
      <c r="N21" s="548"/>
      <c r="O21" s="548"/>
      <c r="P21" s="548"/>
      <c r="Q21" s="548"/>
      <c r="R21" s="548"/>
      <c r="S21" s="548"/>
      <c r="T21" s="548"/>
      <c r="U21" s="548"/>
      <c r="V21" s="548"/>
      <c r="W21" s="548"/>
      <c r="X21" s="548"/>
      <c r="Y21" s="548"/>
      <c r="Z21" s="548"/>
      <c r="AA21" s="548"/>
      <c r="AB21" s="548"/>
      <c r="AC21" s="548"/>
      <c r="AD21" s="548"/>
      <c r="AE21" s="548"/>
      <c r="AF21" s="548"/>
      <c r="AG21" s="548"/>
      <c r="AH21" s="548"/>
      <c r="AI21" s="548"/>
      <c r="AJ21" s="548"/>
      <c r="AK21" s="548"/>
      <c r="AL21" s="548"/>
      <c r="AM21" s="548"/>
      <c r="AN21" s="548"/>
      <c r="AO21" s="548"/>
    </row>
    <row r="22">
      <c r="B22" s="847" t="s">
        <v>1391</v>
      </c>
      <c r="G22" s="848">
        <v>0.281197586693855</v>
      </c>
      <c r="H22" s="548"/>
      <c r="I22" s="548"/>
      <c r="J22" s="548"/>
      <c r="K22" s="548"/>
      <c r="L22" s="848">
        <v>0.3004094299375702</v>
      </c>
      <c r="M22" s="548"/>
      <c r="N22" s="548"/>
      <c r="O22" s="548"/>
      <c r="P22" s="548"/>
      <c r="Q22" s="848">
        <v>0.2985524909055659</v>
      </c>
      <c r="R22" s="548"/>
      <c r="S22" s="548"/>
      <c r="T22" s="548"/>
      <c r="U22" s="548"/>
      <c r="V22" s="848">
        <v>0.29444208467489486</v>
      </c>
      <c r="W22" s="548"/>
      <c r="X22" s="548"/>
      <c r="Y22" s="548"/>
      <c r="Z22" s="548"/>
      <c r="AA22" s="848">
        <v>0.3023120156778905</v>
      </c>
      <c r="AB22" s="548"/>
      <c r="AC22" s="548"/>
      <c r="AD22" s="548"/>
      <c r="AE22" s="548"/>
      <c r="AF22" s="848">
        <v>0.28239229548198597</v>
      </c>
      <c r="AG22" s="849">
        <v>0.2712</v>
      </c>
      <c r="AH22" s="849">
        <v>0.2781</v>
      </c>
      <c r="AI22" s="849">
        <v>0.3018</v>
      </c>
      <c r="AJ22" s="849">
        <v>0.2709</v>
      </c>
      <c r="AK22" s="548"/>
      <c r="AL22" s="548"/>
      <c r="AM22" s="548"/>
      <c r="AN22" s="548"/>
      <c r="AO22" s="548"/>
    </row>
    <row r="23">
      <c r="B23" s="847" t="s">
        <v>1392</v>
      </c>
      <c r="G23" s="848">
        <v>0.4609425127586889</v>
      </c>
      <c r="H23" s="548"/>
      <c r="I23" s="548"/>
      <c r="J23" s="548"/>
      <c r="K23" s="548"/>
      <c r="L23" s="848">
        <v>0.6050635333673633</v>
      </c>
      <c r="M23" s="548"/>
      <c r="N23" s="548"/>
      <c r="O23" s="548"/>
      <c r="P23" s="548"/>
      <c r="Q23" s="848">
        <v>0.6405451172749753</v>
      </c>
      <c r="R23" s="548"/>
      <c r="S23" s="548"/>
      <c r="T23" s="548"/>
      <c r="U23" s="548"/>
      <c r="V23" s="848">
        <v>0.5955810815276068</v>
      </c>
      <c r="W23" s="548"/>
      <c r="X23" s="548"/>
      <c r="Y23" s="548"/>
      <c r="Z23" s="548"/>
      <c r="AA23" s="848">
        <v>0.5708243266431704</v>
      </c>
      <c r="AB23" s="548"/>
      <c r="AC23" s="548"/>
      <c r="AD23" s="548"/>
      <c r="AE23" s="548"/>
      <c r="AF23" s="848">
        <v>0.5773800154174615</v>
      </c>
      <c r="AG23" s="849">
        <v>0.6018</v>
      </c>
      <c r="AH23" s="849">
        <v>0.5506</v>
      </c>
      <c r="AI23" s="849">
        <v>0.56</v>
      </c>
      <c r="AJ23" s="849">
        <v>0.6229</v>
      </c>
      <c r="AK23" s="548"/>
      <c r="AL23" s="548"/>
      <c r="AM23" s="548"/>
      <c r="AN23" s="548"/>
      <c r="AO23" s="548"/>
    </row>
    <row r="24">
      <c r="B24" s="850" t="s">
        <v>1393</v>
      </c>
      <c r="G24" s="548"/>
      <c r="H24" s="548"/>
      <c r="I24" s="548"/>
      <c r="J24" s="548"/>
      <c r="K24" s="548"/>
      <c r="L24" s="548"/>
      <c r="M24" s="548"/>
      <c r="N24" s="548"/>
      <c r="O24" s="548"/>
      <c r="P24" s="548"/>
      <c r="Q24" s="548"/>
      <c r="R24" s="548"/>
      <c r="S24" s="548"/>
      <c r="T24" s="548"/>
      <c r="U24" s="548"/>
      <c r="V24" s="548"/>
      <c r="W24" s="548"/>
      <c r="X24" s="548"/>
      <c r="Y24" s="548"/>
      <c r="Z24" s="548"/>
      <c r="AA24" s="548"/>
      <c r="AB24" s="548"/>
      <c r="AC24" s="548"/>
      <c r="AD24" s="548"/>
      <c r="AE24" s="548"/>
      <c r="AF24" s="548"/>
      <c r="AG24" s="548"/>
      <c r="AH24" s="548"/>
      <c r="AI24" s="548"/>
      <c r="AJ24" s="548"/>
      <c r="AK24" s="548"/>
      <c r="AL24" s="548"/>
      <c r="AM24" s="548"/>
      <c r="AN24" s="548"/>
      <c r="AO24" s="548"/>
    </row>
    <row r="25">
      <c r="B25" s="850" t="s">
        <v>1394</v>
      </c>
      <c r="G25" s="548"/>
      <c r="H25" s="548"/>
      <c r="I25" s="548"/>
      <c r="J25" s="548"/>
      <c r="K25" s="548"/>
      <c r="L25" s="548"/>
      <c r="M25" s="548"/>
      <c r="N25" s="548"/>
      <c r="O25" s="548"/>
      <c r="P25" s="548"/>
      <c r="Q25" s="548"/>
      <c r="R25" s="548"/>
      <c r="S25" s="548"/>
      <c r="T25" s="548"/>
      <c r="U25" s="548"/>
      <c r="V25" s="548"/>
      <c r="W25" s="548"/>
      <c r="X25" s="548"/>
      <c r="Y25" s="548"/>
      <c r="Z25" s="548"/>
      <c r="AA25" s="548"/>
      <c r="AB25" s="548"/>
      <c r="AC25" s="548"/>
      <c r="AD25" s="548"/>
      <c r="AE25" s="548"/>
      <c r="AF25" s="548"/>
      <c r="AG25" s="548"/>
      <c r="AH25" s="548"/>
      <c r="AI25" s="548"/>
      <c r="AJ25" s="548"/>
      <c r="AK25" s="548"/>
      <c r="AL25" s="548"/>
      <c r="AM25" s="548"/>
      <c r="AN25" s="548"/>
      <c r="AO25" s="548"/>
    </row>
    <row r="26">
      <c r="B26" s="847" t="s">
        <v>1395</v>
      </c>
      <c r="G26" s="548"/>
      <c r="H26" s="548"/>
      <c r="I26" s="548"/>
      <c r="J26" s="548"/>
      <c r="K26" s="548"/>
      <c r="L26" s="548"/>
      <c r="M26" s="548"/>
      <c r="N26" s="548"/>
      <c r="O26" s="548"/>
      <c r="P26" s="548"/>
      <c r="Q26" s="548"/>
      <c r="R26" s="548"/>
      <c r="S26" s="548"/>
      <c r="T26" s="548"/>
      <c r="U26" s="548"/>
      <c r="V26" s="548"/>
      <c r="W26" s="548"/>
      <c r="X26" s="548"/>
      <c r="Y26" s="548"/>
      <c r="Z26" s="548"/>
      <c r="AA26" s="548"/>
      <c r="AB26" s="548"/>
      <c r="AC26" s="548"/>
      <c r="AD26" s="548"/>
      <c r="AE26" s="548"/>
      <c r="AF26" s="548"/>
      <c r="AG26" s="548"/>
      <c r="AH26" s="548"/>
      <c r="AI26" s="548"/>
      <c r="AJ26" s="548"/>
      <c r="AK26" s="548"/>
      <c r="AL26" s="548"/>
      <c r="AM26" s="548"/>
      <c r="AN26" s="548"/>
      <c r="AO26" s="548"/>
    </row>
    <row r="27">
      <c r="B27" s="847" t="s">
        <v>1396</v>
      </c>
      <c r="G27" s="851">
        <v>589783.44</v>
      </c>
      <c r="H27" s="548"/>
      <c r="I27" s="548"/>
      <c r="J27" s="548"/>
      <c r="K27" s="548"/>
      <c r="L27" s="603">
        <v>841826.57</v>
      </c>
      <c r="M27" s="548"/>
      <c r="N27" s="548"/>
      <c r="O27" s="548"/>
      <c r="P27" s="548"/>
      <c r="Q27" s="851">
        <v>1124946.3</v>
      </c>
      <c r="R27" s="548"/>
      <c r="S27" s="548"/>
      <c r="T27" s="548"/>
      <c r="U27" s="548"/>
      <c r="V27" s="851">
        <v>1267661.45</v>
      </c>
      <c r="W27" s="548"/>
      <c r="X27" s="548"/>
      <c r="Y27" s="548"/>
      <c r="Z27" s="548"/>
      <c r="AA27" s="851">
        <v>1426972.59</v>
      </c>
      <c r="AB27" s="548"/>
      <c r="AC27" s="548"/>
      <c r="AD27" s="548"/>
      <c r="AE27" s="548"/>
      <c r="AF27" s="851">
        <v>720285.94</v>
      </c>
      <c r="AG27" s="603">
        <v>170067.38</v>
      </c>
      <c r="AH27" s="603">
        <v>199232.97</v>
      </c>
      <c r="AI27" s="603">
        <v>219454.83</v>
      </c>
      <c r="AJ27" s="603">
        <v>131530.76</v>
      </c>
      <c r="AK27" s="548"/>
      <c r="AL27" s="548"/>
      <c r="AM27" s="548"/>
      <c r="AN27" s="548"/>
      <c r="AO27" s="548"/>
    </row>
    <row r="28">
      <c r="B28" s="847" t="s">
        <v>1397</v>
      </c>
      <c r="G28" s="852" t="s">
        <v>1398</v>
      </c>
      <c r="H28" s="853"/>
      <c r="I28" s="853"/>
      <c r="J28" s="853"/>
      <c r="K28" s="853"/>
      <c r="L28" s="852" t="s">
        <v>1398</v>
      </c>
      <c r="M28" s="853"/>
      <c r="N28" s="853"/>
      <c r="O28" s="853"/>
      <c r="P28" s="853"/>
      <c r="Q28" s="852" t="s">
        <v>1398</v>
      </c>
      <c r="R28" s="853"/>
      <c r="S28" s="853"/>
      <c r="T28" s="853"/>
      <c r="U28" s="853"/>
      <c r="V28" s="852" t="s">
        <v>1398</v>
      </c>
      <c r="W28" s="853"/>
      <c r="X28" s="853"/>
      <c r="Y28" s="853"/>
      <c r="Z28" s="853"/>
      <c r="AA28" s="852" t="s">
        <v>1398</v>
      </c>
      <c r="AB28" s="853"/>
      <c r="AC28" s="853"/>
      <c r="AD28" s="853"/>
      <c r="AE28" s="853"/>
      <c r="AF28" s="852" t="s">
        <v>1398</v>
      </c>
      <c r="AG28" s="853"/>
      <c r="AH28" s="853"/>
      <c r="AI28" s="853"/>
      <c r="AJ28" s="853"/>
      <c r="AK28" s="853"/>
      <c r="AL28" s="548"/>
      <c r="AM28" s="548"/>
      <c r="AN28" s="548"/>
      <c r="AO28" s="548"/>
    </row>
    <row r="29">
      <c r="A29" s="845" t="s">
        <v>1400</v>
      </c>
      <c r="B29" s="846" t="s">
        <v>1389</v>
      </c>
      <c r="G29" s="548"/>
      <c r="H29" s="548"/>
      <c r="I29" s="548"/>
      <c r="J29" s="548"/>
      <c r="K29" s="548"/>
      <c r="L29" s="548"/>
      <c r="M29" s="548"/>
      <c r="N29" s="548"/>
      <c r="O29" s="548"/>
      <c r="P29" s="548"/>
      <c r="Q29" s="548"/>
      <c r="R29" s="548"/>
      <c r="S29" s="548"/>
      <c r="T29" s="548"/>
      <c r="U29" s="548"/>
      <c r="V29" s="548"/>
      <c r="W29" s="548"/>
      <c r="X29" s="548"/>
      <c r="Y29" s="548"/>
      <c r="Z29" s="548"/>
      <c r="AA29" s="548"/>
      <c r="AB29" s="548"/>
      <c r="AC29" s="548"/>
      <c r="AD29" s="548"/>
      <c r="AE29" s="548"/>
      <c r="AF29" s="548"/>
      <c r="AG29" s="548"/>
      <c r="AH29" s="548"/>
      <c r="AI29" s="548"/>
      <c r="AJ29" s="548"/>
      <c r="AK29" s="548"/>
      <c r="AL29" s="548"/>
      <c r="AM29" s="548"/>
      <c r="AN29" s="548"/>
      <c r="AO29" s="548"/>
    </row>
    <row r="30">
      <c r="B30" s="847" t="s">
        <v>1390</v>
      </c>
      <c r="G30" s="548"/>
      <c r="H30" s="548"/>
      <c r="I30" s="548"/>
      <c r="J30" s="548"/>
      <c r="K30" s="548"/>
      <c r="L30" s="548"/>
      <c r="M30" s="548"/>
      <c r="N30" s="548"/>
      <c r="O30" s="548"/>
      <c r="P30" s="548"/>
      <c r="Q30" s="548"/>
      <c r="R30" s="548"/>
      <c r="S30" s="548"/>
      <c r="T30" s="548"/>
      <c r="U30" s="548"/>
      <c r="V30" s="548"/>
      <c r="W30" s="548"/>
      <c r="X30" s="548"/>
      <c r="Y30" s="548"/>
      <c r="Z30" s="548"/>
      <c r="AA30" s="548"/>
      <c r="AB30" s="548"/>
      <c r="AC30" s="548"/>
      <c r="AD30" s="548"/>
      <c r="AE30" s="548"/>
      <c r="AF30" s="548"/>
      <c r="AG30" s="548"/>
      <c r="AH30" s="548"/>
      <c r="AI30" s="548"/>
      <c r="AJ30" s="548"/>
      <c r="AK30" s="548"/>
      <c r="AL30" s="548"/>
      <c r="AM30" s="548"/>
      <c r="AN30" s="548"/>
      <c r="AO30" s="548"/>
    </row>
    <row r="31">
      <c r="B31" s="847" t="s">
        <v>1391</v>
      </c>
      <c r="G31" s="848">
        <v>0.13876090927890722</v>
      </c>
      <c r="H31" s="548"/>
      <c r="I31" s="548"/>
      <c r="J31" s="548"/>
      <c r="K31" s="548"/>
      <c r="L31" s="848">
        <v>0.13102871003538327</v>
      </c>
      <c r="M31" s="548"/>
      <c r="N31" s="548"/>
      <c r="O31" s="548"/>
      <c r="P31" s="548"/>
      <c r="Q31" s="848">
        <v>0.13358531776556035</v>
      </c>
      <c r="R31" s="548"/>
      <c r="S31" s="548"/>
      <c r="T31" s="548"/>
      <c r="U31" s="548"/>
      <c r="V31" s="848">
        <v>0.1425910408679177</v>
      </c>
      <c r="W31" s="548"/>
      <c r="X31" s="548"/>
      <c r="Y31" s="548"/>
      <c r="Z31" s="548"/>
      <c r="AA31" s="848">
        <v>0.13550836386199203</v>
      </c>
      <c r="AB31" s="548"/>
      <c r="AC31" s="548"/>
      <c r="AD31" s="548"/>
      <c r="AE31" s="548"/>
      <c r="AF31" s="848">
        <v>0.14426752029141737</v>
      </c>
      <c r="AG31" s="849">
        <v>0.1701</v>
      </c>
      <c r="AH31" s="849">
        <v>0.1362</v>
      </c>
      <c r="AI31" s="849">
        <v>0.1424</v>
      </c>
      <c r="AJ31" s="849">
        <v>0.129</v>
      </c>
      <c r="AK31" s="548"/>
      <c r="AL31" s="548"/>
      <c r="AM31" s="548"/>
      <c r="AN31" s="548"/>
      <c r="AO31" s="548"/>
    </row>
    <row r="32">
      <c r="B32" s="847" t="s">
        <v>1392</v>
      </c>
      <c r="G32" s="848">
        <v>0.09100483021606931</v>
      </c>
      <c r="H32" s="548"/>
      <c r="I32" s="548"/>
      <c r="J32" s="548"/>
      <c r="K32" s="548"/>
      <c r="L32" s="848">
        <v>0.028576756157827527</v>
      </c>
      <c r="M32" s="548"/>
      <c r="N32" s="548"/>
      <c r="O32" s="548"/>
      <c r="P32" s="548"/>
      <c r="Q32" s="848">
        <v>0.022503259007136258</v>
      </c>
      <c r="R32" s="548"/>
      <c r="S32" s="548"/>
      <c r="T32" s="548"/>
      <c r="U32" s="548"/>
      <c r="V32" s="848">
        <v>0.02916752188812941</v>
      </c>
      <c r="W32" s="548"/>
      <c r="X32" s="548"/>
      <c r="Y32" s="548"/>
      <c r="Z32" s="548"/>
      <c r="AA32" s="848">
        <v>0.019856887632220974</v>
      </c>
      <c r="AB32" s="548"/>
      <c r="AC32" s="548"/>
      <c r="AD32" s="548"/>
      <c r="AE32" s="548"/>
      <c r="AF32" s="848">
        <v>0.02922330964292265</v>
      </c>
      <c r="AG32" s="849">
        <v>0.0295</v>
      </c>
      <c r="AH32" s="849">
        <v>0.0306</v>
      </c>
      <c r="AI32" s="849">
        <v>0.0256</v>
      </c>
      <c r="AJ32" s="849">
        <v>0.0333</v>
      </c>
      <c r="AK32" s="548"/>
      <c r="AL32" s="548"/>
      <c r="AM32" s="548"/>
      <c r="AN32" s="548"/>
      <c r="AO32" s="548"/>
    </row>
    <row r="33">
      <c r="B33" s="850" t="s">
        <v>1393</v>
      </c>
      <c r="G33" s="548"/>
      <c r="H33" s="548"/>
      <c r="I33" s="548"/>
      <c r="J33" s="548"/>
      <c r="K33" s="548"/>
      <c r="L33" s="548"/>
      <c r="M33" s="548"/>
      <c r="N33" s="548"/>
      <c r="O33" s="548"/>
      <c r="P33" s="548"/>
      <c r="Q33" s="548"/>
      <c r="R33" s="548"/>
      <c r="S33" s="548"/>
      <c r="T33" s="548"/>
      <c r="U33" s="548"/>
      <c r="V33" s="548"/>
      <c r="W33" s="548"/>
      <c r="X33" s="548"/>
      <c r="Y33" s="548"/>
      <c r="Z33" s="548"/>
      <c r="AA33" s="548"/>
      <c r="AB33" s="548"/>
      <c r="AC33" s="548"/>
      <c r="AD33" s="548"/>
      <c r="AE33" s="548"/>
      <c r="AF33" s="548"/>
      <c r="AG33" s="548"/>
      <c r="AH33" s="548"/>
      <c r="AI33" s="548"/>
      <c r="AJ33" s="548"/>
      <c r="AK33" s="548"/>
      <c r="AL33" s="548"/>
      <c r="AM33" s="548"/>
      <c r="AN33" s="548"/>
      <c r="AO33" s="548"/>
    </row>
    <row r="34">
      <c r="B34" s="850" t="s">
        <v>1394</v>
      </c>
      <c r="G34" s="548"/>
      <c r="H34" s="548"/>
      <c r="I34" s="548"/>
      <c r="J34" s="548"/>
      <c r="K34" s="548"/>
      <c r="L34" s="548"/>
      <c r="M34" s="548"/>
      <c r="N34" s="548"/>
      <c r="O34" s="548"/>
      <c r="P34" s="548"/>
      <c r="Q34" s="548"/>
      <c r="R34" s="548"/>
      <c r="S34" s="548"/>
      <c r="T34" s="548"/>
      <c r="U34" s="548"/>
      <c r="V34" s="548"/>
      <c r="W34" s="548"/>
      <c r="X34" s="548"/>
      <c r="Y34" s="548"/>
      <c r="Z34" s="548"/>
      <c r="AA34" s="548"/>
      <c r="AB34" s="548"/>
      <c r="AC34" s="548"/>
      <c r="AD34" s="548"/>
      <c r="AE34" s="548"/>
      <c r="AF34" s="548"/>
      <c r="AG34" s="548"/>
      <c r="AH34" s="548"/>
      <c r="AI34" s="548"/>
      <c r="AJ34" s="548"/>
      <c r="AK34" s="548"/>
      <c r="AL34" s="548"/>
      <c r="AM34" s="548"/>
      <c r="AN34" s="548"/>
      <c r="AO34" s="548"/>
    </row>
    <row r="35">
      <c r="B35" s="847" t="s">
        <v>1395</v>
      </c>
      <c r="G35" s="548"/>
      <c r="H35" s="548"/>
      <c r="I35" s="548"/>
      <c r="J35" s="548"/>
      <c r="K35" s="548"/>
      <c r="L35" s="548"/>
      <c r="M35" s="548"/>
      <c r="N35" s="548"/>
      <c r="O35" s="548"/>
      <c r="P35" s="548"/>
      <c r="Q35" s="548"/>
      <c r="R35" s="548"/>
      <c r="S35" s="548"/>
      <c r="T35" s="548"/>
      <c r="U35" s="548"/>
      <c r="V35" s="548"/>
      <c r="W35" s="548"/>
      <c r="X35" s="548"/>
      <c r="Y35" s="548"/>
      <c r="Z35" s="548"/>
      <c r="AA35" s="548"/>
      <c r="AB35" s="548"/>
      <c r="AC35" s="548"/>
      <c r="AD35" s="548"/>
      <c r="AE35" s="548"/>
      <c r="AF35" s="548"/>
      <c r="AG35" s="548"/>
      <c r="AH35" s="548"/>
      <c r="AI35" s="548"/>
      <c r="AJ35" s="548"/>
      <c r="AK35" s="548"/>
      <c r="AL35" s="548"/>
      <c r="AM35" s="548"/>
      <c r="AN35" s="548"/>
      <c r="AO35" s="548"/>
    </row>
    <row r="36">
      <c r="B36" s="847" t="s">
        <v>1396</v>
      </c>
      <c r="G36" s="854">
        <v>116442.16</v>
      </c>
      <c r="H36" s="548"/>
      <c r="I36" s="548"/>
      <c r="J36" s="548"/>
      <c r="K36" s="548"/>
      <c r="L36" s="854">
        <v>39758.92</v>
      </c>
      <c r="M36" s="548"/>
      <c r="N36" s="548"/>
      <c r="O36" s="548"/>
      <c r="P36" s="548"/>
      <c r="Q36" s="854">
        <v>39520.96</v>
      </c>
      <c r="R36" s="548"/>
      <c r="S36" s="548"/>
      <c r="T36" s="548"/>
      <c r="U36" s="548"/>
      <c r="V36" s="854">
        <v>62081.46000000001</v>
      </c>
      <c r="W36" s="548"/>
      <c r="X36" s="548"/>
      <c r="Y36" s="548"/>
      <c r="Z36" s="548"/>
      <c r="AA36" s="854">
        <v>49639.149999999994</v>
      </c>
      <c r="AB36" s="548"/>
      <c r="AC36" s="548"/>
      <c r="AD36" s="548"/>
      <c r="AE36" s="548"/>
      <c r="AF36" s="854">
        <v>36456.3</v>
      </c>
      <c r="AG36" s="603">
        <v>8333.11</v>
      </c>
      <c r="AH36" s="603">
        <v>11062.28</v>
      </c>
      <c r="AI36" s="603">
        <v>10023.0</v>
      </c>
      <c r="AJ36" s="603">
        <v>7037.91</v>
      </c>
      <c r="AK36" s="548"/>
      <c r="AL36" s="548"/>
      <c r="AM36" s="548"/>
      <c r="AN36" s="548"/>
      <c r="AO36" s="548"/>
    </row>
    <row r="37">
      <c r="B37" s="847" t="s">
        <v>1397</v>
      </c>
      <c r="C37" s="855"/>
      <c r="D37" s="855"/>
      <c r="E37" s="855"/>
      <c r="F37" s="855"/>
      <c r="G37" s="852" t="s">
        <v>1398</v>
      </c>
      <c r="H37" s="853"/>
      <c r="I37" s="853"/>
      <c r="J37" s="853"/>
      <c r="K37" s="853"/>
      <c r="L37" s="852" t="s">
        <v>1398</v>
      </c>
      <c r="M37" s="853"/>
      <c r="N37" s="853"/>
      <c r="O37" s="853"/>
      <c r="P37" s="853"/>
      <c r="Q37" s="852" t="s">
        <v>1398</v>
      </c>
      <c r="R37" s="853"/>
      <c r="S37" s="853"/>
      <c r="T37" s="853"/>
      <c r="U37" s="853"/>
      <c r="V37" s="852" t="s">
        <v>1398</v>
      </c>
      <c r="W37" s="853"/>
      <c r="X37" s="853"/>
      <c r="Y37" s="853"/>
      <c r="Z37" s="853"/>
      <c r="AA37" s="852" t="s">
        <v>1398</v>
      </c>
      <c r="AB37" s="853"/>
      <c r="AC37" s="853"/>
      <c r="AD37" s="853"/>
      <c r="AE37" s="853"/>
      <c r="AF37" s="852" t="s">
        <v>1398</v>
      </c>
      <c r="AG37" s="853"/>
      <c r="AH37" s="853"/>
      <c r="AI37" s="853"/>
      <c r="AJ37" s="853"/>
      <c r="AK37" s="853"/>
      <c r="AL37" s="548"/>
      <c r="AM37" s="548"/>
      <c r="AN37" s="548"/>
      <c r="AO37" s="548"/>
    </row>
    <row r="38">
      <c r="A38" s="840" t="s">
        <v>1401</v>
      </c>
      <c r="G38" s="548"/>
      <c r="H38" s="548"/>
      <c r="I38" s="548"/>
      <c r="J38" s="548"/>
      <c r="K38" s="548"/>
      <c r="L38" s="548"/>
      <c r="M38" s="548"/>
      <c r="N38" s="548"/>
      <c r="O38" s="548"/>
      <c r="P38" s="548"/>
      <c r="Q38" s="548"/>
      <c r="R38" s="548"/>
      <c r="S38" s="548"/>
      <c r="T38" s="548"/>
      <c r="U38" s="548"/>
      <c r="V38" s="548"/>
      <c r="W38" s="548"/>
      <c r="X38" s="548"/>
      <c r="Y38" s="548"/>
      <c r="Z38" s="548"/>
      <c r="AA38" s="548"/>
      <c r="AB38" s="548"/>
      <c r="AC38" s="548"/>
      <c r="AD38" s="548"/>
      <c r="AE38" s="548"/>
      <c r="AF38" s="548"/>
      <c r="AG38" s="548"/>
      <c r="AH38" s="548"/>
      <c r="AI38" s="548"/>
      <c r="AJ38" s="548"/>
      <c r="AK38" s="548"/>
      <c r="AL38" s="548"/>
      <c r="AM38" s="548"/>
      <c r="AN38" s="548"/>
      <c r="AO38" s="548"/>
    </row>
    <row r="39">
      <c r="A39" s="856" t="s">
        <v>1402</v>
      </c>
      <c r="B39" s="846" t="s">
        <v>1389</v>
      </c>
      <c r="G39" s="548"/>
      <c r="H39" s="548"/>
      <c r="I39" s="548"/>
      <c r="J39" s="548"/>
      <c r="K39" s="548"/>
      <c r="L39" s="548"/>
      <c r="M39" s="548"/>
      <c r="N39" s="548"/>
      <c r="O39" s="548"/>
      <c r="P39" s="548"/>
      <c r="Q39" s="548"/>
      <c r="R39" s="548"/>
      <c r="S39" s="548"/>
      <c r="T39" s="548"/>
      <c r="U39" s="548"/>
      <c r="V39" s="548"/>
      <c r="W39" s="548"/>
      <c r="X39" s="548"/>
      <c r="Y39" s="548"/>
      <c r="Z39" s="548"/>
      <c r="AA39" s="548"/>
      <c r="AB39" s="548"/>
      <c r="AC39" s="548"/>
      <c r="AD39" s="548"/>
      <c r="AE39" s="548"/>
      <c r="AF39" s="548"/>
      <c r="AG39" s="548"/>
      <c r="AH39" s="548"/>
      <c r="AI39" s="548"/>
      <c r="AJ39" s="548"/>
      <c r="AK39" s="548"/>
      <c r="AL39" s="548"/>
      <c r="AM39" s="548"/>
      <c r="AN39" s="548"/>
      <c r="AO39" s="548"/>
    </row>
    <row r="40">
      <c r="B40" s="847" t="s">
        <v>1390</v>
      </c>
      <c r="G40" s="548"/>
      <c r="H40" s="548"/>
      <c r="I40" s="548"/>
      <c r="J40" s="548"/>
      <c r="K40" s="548"/>
      <c r="L40" s="548"/>
      <c r="M40" s="548"/>
      <c r="N40" s="548"/>
      <c r="O40" s="548"/>
      <c r="P40" s="548"/>
      <c r="Q40" s="548"/>
      <c r="R40" s="548"/>
      <c r="S40" s="548"/>
      <c r="T40" s="548"/>
      <c r="U40" s="548"/>
      <c r="V40" s="548"/>
      <c r="W40" s="548"/>
      <c r="X40" s="548"/>
      <c r="Y40" s="548"/>
      <c r="Z40" s="548"/>
      <c r="AA40" s="548"/>
      <c r="AB40" s="548"/>
      <c r="AC40" s="548"/>
      <c r="AD40" s="548"/>
      <c r="AE40" s="548"/>
      <c r="AF40" s="548"/>
      <c r="AG40" s="548"/>
      <c r="AH40" s="548"/>
      <c r="AI40" s="548"/>
      <c r="AJ40" s="548"/>
      <c r="AK40" s="548"/>
      <c r="AL40" s="548"/>
      <c r="AM40" s="548"/>
      <c r="AN40" s="548"/>
      <c r="AO40" s="548"/>
    </row>
    <row r="41">
      <c r="B41" s="847" t="s">
        <v>1391</v>
      </c>
      <c r="G41" s="548"/>
      <c r="H41" s="548"/>
      <c r="I41" s="548"/>
      <c r="J41" s="548"/>
      <c r="K41" s="548"/>
      <c r="L41" s="548"/>
      <c r="M41" s="548"/>
      <c r="N41" s="548"/>
      <c r="O41" s="548"/>
      <c r="P41" s="548"/>
      <c r="Q41" s="548"/>
      <c r="R41" s="548"/>
      <c r="S41" s="548"/>
      <c r="T41" s="548"/>
      <c r="U41" s="548"/>
      <c r="V41" s="548"/>
      <c r="W41" s="548"/>
      <c r="X41" s="548"/>
      <c r="Y41" s="548"/>
      <c r="Z41" s="548"/>
      <c r="AA41" s="548"/>
      <c r="AB41" s="548"/>
      <c r="AC41" s="548"/>
      <c r="AD41" s="548"/>
      <c r="AE41" s="548"/>
      <c r="AF41" s="548"/>
      <c r="AG41" s="548"/>
      <c r="AH41" s="548"/>
      <c r="AI41" s="548"/>
      <c r="AJ41" s="548"/>
      <c r="AK41" s="548"/>
      <c r="AL41" s="548"/>
      <c r="AM41" s="548"/>
      <c r="AN41" s="548"/>
      <c r="AO41" s="548"/>
    </row>
    <row r="42">
      <c r="B42" s="847" t="s">
        <v>1392</v>
      </c>
      <c r="G42" s="548"/>
      <c r="H42" s="548"/>
      <c r="I42" s="548"/>
      <c r="J42" s="548"/>
      <c r="K42" s="548"/>
      <c r="L42" s="548"/>
      <c r="M42" s="548"/>
      <c r="N42" s="548"/>
      <c r="O42" s="548"/>
      <c r="P42" s="548"/>
      <c r="Q42" s="548"/>
      <c r="R42" s="548"/>
      <c r="S42" s="548"/>
      <c r="T42" s="548"/>
      <c r="U42" s="548"/>
      <c r="V42" s="548"/>
      <c r="W42" s="548"/>
      <c r="X42" s="548"/>
      <c r="Y42" s="548"/>
      <c r="Z42" s="548"/>
      <c r="AA42" s="548"/>
      <c r="AB42" s="548"/>
      <c r="AC42" s="548"/>
      <c r="AD42" s="548"/>
      <c r="AE42" s="548"/>
      <c r="AF42" s="548"/>
      <c r="AG42" s="548"/>
      <c r="AH42" s="548"/>
      <c r="AI42" s="548"/>
      <c r="AJ42" s="548"/>
      <c r="AK42" s="548"/>
      <c r="AL42" s="548"/>
      <c r="AM42" s="548"/>
      <c r="AN42" s="548"/>
      <c r="AO42" s="548"/>
    </row>
    <row r="43">
      <c r="B43" s="850" t="s">
        <v>1393</v>
      </c>
      <c r="G43" s="548"/>
      <c r="H43" s="548"/>
      <c r="I43" s="548"/>
      <c r="J43" s="548"/>
      <c r="K43" s="548"/>
      <c r="L43" s="548"/>
      <c r="M43" s="548"/>
      <c r="N43" s="548"/>
      <c r="O43" s="548"/>
      <c r="P43" s="548"/>
      <c r="Q43" s="548"/>
      <c r="R43" s="548"/>
      <c r="S43" s="548"/>
      <c r="T43" s="548"/>
      <c r="U43" s="548"/>
      <c r="V43" s="548"/>
      <c r="W43" s="548"/>
      <c r="X43" s="548"/>
      <c r="Y43" s="548"/>
      <c r="Z43" s="548"/>
      <c r="AA43" s="548"/>
      <c r="AB43" s="548"/>
      <c r="AC43" s="548"/>
      <c r="AD43" s="548"/>
      <c r="AE43" s="548"/>
      <c r="AF43" s="548"/>
      <c r="AG43" s="548"/>
      <c r="AH43" s="548"/>
      <c r="AI43" s="548"/>
      <c r="AJ43" s="548"/>
      <c r="AK43" s="548"/>
      <c r="AL43" s="548"/>
      <c r="AM43" s="548"/>
      <c r="AN43" s="548"/>
      <c r="AO43" s="548"/>
    </row>
    <row r="44">
      <c r="B44" s="850" t="s">
        <v>1394</v>
      </c>
      <c r="G44" s="548"/>
      <c r="H44" s="548"/>
      <c r="I44" s="548"/>
      <c r="J44" s="548"/>
      <c r="K44" s="548"/>
      <c r="L44" s="548"/>
      <c r="M44" s="548"/>
      <c r="N44" s="548"/>
      <c r="O44" s="548"/>
      <c r="P44" s="548"/>
      <c r="Q44" s="548"/>
      <c r="R44" s="548"/>
      <c r="S44" s="548"/>
      <c r="T44" s="548"/>
      <c r="U44" s="548"/>
      <c r="V44" s="548"/>
      <c r="W44" s="548"/>
      <c r="X44" s="548"/>
      <c r="Y44" s="548"/>
      <c r="Z44" s="548"/>
      <c r="AA44" s="548"/>
      <c r="AB44" s="548"/>
      <c r="AC44" s="548"/>
      <c r="AD44" s="548"/>
      <c r="AE44" s="548"/>
      <c r="AF44" s="548"/>
      <c r="AG44" s="548"/>
      <c r="AH44" s="548"/>
      <c r="AI44" s="548"/>
      <c r="AJ44" s="548"/>
      <c r="AK44" s="548"/>
      <c r="AL44" s="548"/>
      <c r="AM44" s="548"/>
      <c r="AN44" s="548"/>
      <c r="AO44" s="548"/>
    </row>
    <row r="45">
      <c r="B45" s="847" t="s">
        <v>1395</v>
      </c>
      <c r="G45" s="548"/>
      <c r="H45" s="548"/>
      <c r="I45" s="548"/>
      <c r="J45" s="548"/>
      <c r="K45" s="548"/>
      <c r="L45" s="548"/>
      <c r="M45" s="548"/>
      <c r="N45" s="548"/>
      <c r="O45" s="548"/>
      <c r="P45" s="548"/>
      <c r="Q45" s="548"/>
      <c r="R45" s="548"/>
      <c r="S45" s="548"/>
      <c r="T45" s="548"/>
      <c r="U45" s="548"/>
      <c r="V45" s="548"/>
      <c r="W45" s="548"/>
      <c r="X45" s="548"/>
      <c r="Y45" s="548"/>
      <c r="Z45" s="548"/>
      <c r="AA45" s="548"/>
      <c r="AB45" s="548"/>
      <c r="AC45" s="548"/>
      <c r="AD45" s="548"/>
      <c r="AE45" s="548"/>
      <c r="AF45" s="548"/>
      <c r="AG45" s="548"/>
      <c r="AH45" s="548"/>
      <c r="AI45" s="548"/>
      <c r="AJ45" s="548"/>
      <c r="AK45" s="548"/>
      <c r="AL45" s="548"/>
      <c r="AM45" s="548"/>
      <c r="AN45" s="548"/>
      <c r="AO45" s="548"/>
    </row>
    <row r="46">
      <c r="B46" s="847" t="s">
        <v>1396</v>
      </c>
      <c r="G46" s="548"/>
      <c r="H46" s="548"/>
      <c r="I46" s="548"/>
      <c r="J46" s="548"/>
      <c r="K46" s="548"/>
      <c r="L46" s="548"/>
      <c r="M46" s="548"/>
      <c r="N46" s="548"/>
      <c r="O46" s="548"/>
      <c r="P46" s="548"/>
      <c r="Q46" s="548"/>
      <c r="R46" s="548"/>
      <c r="S46" s="548"/>
      <c r="T46" s="548"/>
      <c r="U46" s="548"/>
      <c r="V46" s="548"/>
      <c r="W46" s="548"/>
      <c r="X46" s="548"/>
      <c r="Y46" s="548"/>
      <c r="Z46" s="548"/>
      <c r="AA46" s="548"/>
      <c r="AB46" s="548"/>
      <c r="AC46" s="548"/>
      <c r="AD46" s="548"/>
      <c r="AE46" s="548"/>
      <c r="AF46" s="548"/>
      <c r="AG46" s="548"/>
      <c r="AH46" s="548"/>
      <c r="AI46" s="548"/>
      <c r="AJ46" s="548"/>
      <c r="AK46" s="548"/>
      <c r="AL46" s="548"/>
      <c r="AM46" s="548"/>
      <c r="AN46" s="548"/>
      <c r="AO46" s="548"/>
    </row>
    <row r="47">
      <c r="B47" s="847" t="s">
        <v>1397</v>
      </c>
      <c r="G47" s="548"/>
      <c r="H47" s="548"/>
      <c r="I47" s="548"/>
      <c r="J47" s="548"/>
      <c r="K47" s="548"/>
      <c r="L47" s="548"/>
      <c r="M47" s="548"/>
      <c r="N47" s="548"/>
      <c r="O47" s="548"/>
      <c r="P47" s="548"/>
      <c r="Q47" s="548"/>
      <c r="R47" s="548"/>
      <c r="S47" s="548"/>
      <c r="T47" s="548"/>
      <c r="U47" s="548"/>
      <c r="V47" s="548"/>
      <c r="W47" s="548"/>
      <c r="X47" s="548"/>
      <c r="Y47" s="548"/>
      <c r="Z47" s="548"/>
      <c r="AA47" s="548"/>
      <c r="AB47" s="548"/>
      <c r="AC47" s="548"/>
      <c r="AD47" s="548"/>
      <c r="AE47" s="548"/>
      <c r="AF47" s="548"/>
      <c r="AG47" s="548"/>
      <c r="AH47" s="548"/>
      <c r="AI47" s="548"/>
      <c r="AJ47" s="548"/>
      <c r="AK47" s="548"/>
      <c r="AL47" s="548"/>
      <c r="AM47" s="548"/>
      <c r="AN47" s="548"/>
      <c r="AO47" s="548"/>
    </row>
    <row r="48">
      <c r="A48" s="845" t="s">
        <v>1403</v>
      </c>
      <c r="B48" s="846" t="s">
        <v>1389</v>
      </c>
      <c r="G48" s="548"/>
      <c r="H48" s="548"/>
      <c r="I48" s="548"/>
      <c r="J48" s="548"/>
      <c r="K48" s="548"/>
      <c r="L48" s="548"/>
      <c r="M48" s="548"/>
      <c r="N48" s="548"/>
      <c r="O48" s="548"/>
      <c r="P48" s="548"/>
      <c r="Q48" s="548"/>
      <c r="R48" s="548"/>
      <c r="S48" s="548"/>
      <c r="T48" s="548"/>
      <c r="U48" s="548"/>
      <c r="V48" s="548"/>
      <c r="W48" s="548"/>
      <c r="X48" s="548"/>
      <c r="Y48" s="548"/>
      <c r="Z48" s="548"/>
      <c r="AA48" s="548"/>
      <c r="AB48" s="548"/>
      <c r="AC48" s="548"/>
      <c r="AD48" s="548"/>
      <c r="AE48" s="548"/>
      <c r="AF48" s="548"/>
      <c r="AG48" s="548"/>
      <c r="AH48" s="548"/>
      <c r="AI48" s="548"/>
      <c r="AJ48" s="548"/>
      <c r="AK48" s="548"/>
      <c r="AL48" s="548"/>
      <c r="AM48" s="548"/>
      <c r="AN48" s="548"/>
      <c r="AO48" s="548"/>
    </row>
    <row r="49">
      <c r="B49" s="847" t="s">
        <v>1390</v>
      </c>
      <c r="G49" s="548"/>
      <c r="H49" s="548"/>
      <c r="I49" s="548"/>
      <c r="J49" s="548"/>
      <c r="K49" s="548"/>
      <c r="L49" s="548"/>
      <c r="M49" s="548"/>
      <c r="N49" s="548"/>
      <c r="O49" s="548"/>
      <c r="P49" s="548"/>
      <c r="Q49" s="548"/>
      <c r="R49" s="548"/>
      <c r="S49" s="548"/>
      <c r="T49" s="548"/>
      <c r="U49" s="548"/>
      <c r="V49" s="548"/>
      <c r="W49" s="548"/>
      <c r="X49" s="548"/>
      <c r="Y49" s="548"/>
      <c r="Z49" s="548"/>
      <c r="AA49" s="548"/>
      <c r="AB49" s="548"/>
      <c r="AC49" s="548"/>
      <c r="AD49" s="548"/>
      <c r="AE49" s="548"/>
      <c r="AF49" s="548"/>
      <c r="AG49" s="548"/>
      <c r="AH49" s="548"/>
      <c r="AI49" s="548"/>
      <c r="AJ49" s="548"/>
      <c r="AK49" s="548"/>
      <c r="AL49" s="548"/>
      <c r="AM49" s="548"/>
      <c r="AN49" s="548"/>
      <c r="AO49" s="548"/>
    </row>
    <row r="50">
      <c r="B50" s="847" t="s">
        <v>1391</v>
      </c>
      <c r="G50" s="548"/>
      <c r="H50" s="548"/>
      <c r="I50" s="548"/>
      <c r="J50" s="548"/>
      <c r="K50" s="548"/>
      <c r="L50" s="548"/>
      <c r="M50" s="548"/>
      <c r="N50" s="548"/>
      <c r="O50" s="548"/>
      <c r="P50" s="548"/>
      <c r="Q50" s="548"/>
      <c r="R50" s="548"/>
      <c r="S50" s="548"/>
      <c r="T50" s="548"/>
      <c r="U50" s="548"/>
      <c r="V50" s="548"/>
      <c r="W50" s="548"/>
      <c r="X50" s="548"/>
      <c r="Y50" s="548"/>
      <c r="Z50" s="548"/>
      <c r="AA50" s="548"/>
      <c r="AB50" s="548"/>
      <c r="AC50" s="548"/>
      <c r="AD50" s="548"/>
      <c r="AE50" s="548"/>
      <c r="AF50" s="548"/>
      <c r="AG50" s="548"/>
      <c r="AH50" s="548"/>
      <c r="AI50" s="548"/>
      <c r="AJ50" s="548"/>
      <c r="AK50" s="548"/>
      <c r="AL50" s="548"/>
      <c r="AM50" s="548"/>
      <c r="AN50" s="548"/>
      <c r="AO50" s="548"/>
    </row>
    <row r="51">
      <c r="B51" s="847" t="s">
        <v>1392</v>
      </c>
      <c r="G51" s="548"/>
      <c r="H51" s="548"/>
      <c r="I51" s="548"/>
      <c r="J51" s="548"/>
      <c r="K51" s="548"/>
      <c r="L51" s="548"/>
      <c r="M51" s="548"/>
      <c r="N51" s="548"/>
      <c r="O51" s="548"/>
      <c r="P51" s="548"/>
      <c r="Q51" s="548"/>
      <c r="R51" s="548"/>
      <c r="S51" s="548"/>
      <c r="T51" s="548"/>
      <c r="U51" s="548"/>
      <c r="V51" s="548"/>
      <c r="W51" s="548"/>
      <c r="X51" s="548"/>
      <c r="Y51" s="548"/>
      <c r="Z51" s="548"/>
      <c r="AA51" s="548"/>
      <c r="AB51" s="548"/>
      <c r="AC51" s="548"/>
      <c r="AD51" s="548"/>
      <c r="AE51" s="548"/>
      <c r="AF51" s="548"/>
      <c r="AG51" s="548"/>
      <c r="AH51" s="548"/>
      <c r="AI51" s="548"/>
      <c r="AJ51" s="548"/>
      <c r="AK51" s="548"/>
      <c r="AL51" s="548"/>
      <c r="AM51" s="548"/>
      <c r="AN51" s="548"/>
      <c r="AO51" s="548"/>
    </row>
    <row r="52">
      <c r="B52" s="850" t="s">
        <v>1393</v>
      </c>
      <c r="G52" s="548"/>
      <c r="H52" s="548"/>
      <c r="I52" s="548"/>
      <c r="J52" s="548"/>
      <c r="K52" s="548"/>
      <c r="L52" s="548"/>
      <c r="M52" s="548"/>
      <c r="N52" s="548"/>
      <c r="O52" s="548"/>
      <c r="P52" s="548"/>
      <c r="Q52" s="548"/>
      <c r="R52" s="548"/>
      <c r="S52" s="548"/>
      <c r="T52" s="548"/>
      <c r="U52" s="548"/>
      <c r="V52" s="548"/>
      <c r="W52" s="548"/>
      <c r="X52" s="548"/>
      <c r="Y52" s="548"/>
      <c r="Z52" s="548"/>
      <c r="AA52" s="548"/>
      <c r="AB52" s="548"/>
      <c r="AC52" s="548"/>
      <c r="AD52" s="548"/>
      <c r="AE52" s="548"/>
      <c r="AF52" s="548"/>
      <c r="AG52" s="548"/>
      <c r="AH52" s="548"/>
      <c r="AI52" s="548"/>
      <c r="AJ52" s="548"/>
      <c r="AK52" s="548"/>
      <c r="AL52" s="548"/>
      <c r="AM52" s="548"/>
      <c r="AN52" s="548"/>
      <c r="AO52" s="548"/>
    </row>
    <row r="53">
      <c r="B53" s="850" t="s">
        <v>1394</v>
      </c>
      <c r="G53" s="548"/>
      <c r="H53" s="548"/>
      <c r="I53" s="548"/>
      <c r="J53" s="548"/>
      <c r="K53" s="548"/>
      <c r="L53" s="548"/>
      <c r="M53" s="548"/>
      <c r="N53" s="548"/>
      <c r="O53" s="548"/>
      <c r="P53" s="548"/>
      <c r="Q53" s="548"/>
      <c r="R53" s="548"/>
      <c r="S53" s="548"/>
      <c r="T53" s="548"/>
      <c r="U53" s="548"/>
      <c r="V53" s="548"/>
      <c r="W53" s="548"/>
      <c r="X53" s="548"/>
      <c r="Y53" s="548"/>
      <c r="Z53" s="548"/>
      <c r="AA53" s="548"/>
      <c r="AB53" s="548"/>
      <c r="AC53" s="548"/>
      <c r="AD53" s="548"/>
      <c r="AE53" s="548"/>
      <c r="AF53" s="548"/>
      <c r="AG53" s="548"/>
      <c r="AH53" s="548"/>
      <c r="AI53" s="548"/>
      <c r="AJ53" s="548"/>
      <c r="AK53" s="548"/>
      <c r="AL53" s="548"/>
      <c r="AM53" s="548"/>
      <c r="AN53" s="548"/>
      <c r="AO53" s="548"/>
    </row>
    <row r="54">
      <c r="B54" s="847" t="s">
        <v>1395</v>
      </c>
      <c r="G54" s="548"/>
      <c r="H54" s="548"/>
      <c r="I54" s="548"/>
      <c r="J54" s="548"/>
      <c r="K54" s="548"/>
      <c r="L54" s="548"/>
      <c r="M54" s="548"/>
      <c r="N54" s="548"/>
      <c r="O54" s="548"/>
      <c r="P54" s="548"/>
      <c r="Q54" s="548"/>
      <c r="R54" s="548"/>
      <c r="S54" s="548"/>
      <c r="T54" s="548"/>
      <c r="U54" s="548"/>
      <c r="V54" s="548"/>
      <c r="W54" s="548"/>
      <c r="X54" s="548"/>
      <c r="Y54" s="548"/>
      <c r="Z54" s="548"/>
      <c r="AA54" s="548"/>
      <c r="AB54" s="548"/>
      <c r="AC54" s="548"/>
      <c r="AD54" s="548"/>
      <c r="AE54" s="548"/>
      <c r="AF54" s="548"/>
      <c r="AG54" s="548"/>
      <c r="AH54" s="548"/>
      <c r="AI54" s="548"/>
      <c r="AJ54" s="548"/>
      <c r="AK54" s="548"/>
      <c r="AL54" s="548"/>
      <c r="AM54" s="548"/>
      <c r="AN54" s="548"/>
      <c r="AO54" s="548"/>
    </row>
    <row r="55">
      <c r="B55" s="847" t="s">
        <v>1396</v>
      </c>
      <c r="G55" s="548"/>
      <c r="H55" s="548"/>
      <c r="I55" s="548"/>
      <c r="J55" s="548"/>
      <c r="K55" s="548"/>
      <c r="L55" s="548"/>
      <c r="M55" s="548"/>
      <c r="N55" s="548"/>
      <c r="O55" s="548"/>
      <c r="P55" s="548"/>
      <c r="Q55" s="548"/>
      <c r="R55" s="548"/>
      <c r="S55" s="548"/>
      <c r="T55" s="548"/>
      <c r="U55" s="548"/>
      <c r="V55" s="548"/>
      <c r="W55" s="548"/>
      <c r="X55" s="548"/>
      <c r="Y55" s="548"/>
      <c r="Z55" s="548"/>
      <c r="AA55" s="548"/>
      <c r="AB55" s="548"/>
      <c r="AC55" s="548"/>
      <c r="AD55" s="548"/>
      <c r="AE55" s="548"/>
      <c r="AF55" s="548"/>
      <c r="AG55" s="548"/>
      <c r="AH55" s="548"/>
      <c r="AI55" s="548"/>
      <c r="AJ55" s="548"/>
      <c r="AK55" s="548"/>
      <c r="AL55" s="548"/>
      <c r="AM55" s="548"/>
      <c r="AN55" s="548"/>
      <c r="AO55" s="548"/>
    </row>
    <row r="56">
      <c r="B56" s="847" t="s">
        <v>1397</v>
      </c>
      <c r="G56" s="548"/>
      <c r="H56" s="548"/>
      <c r="I56" s="548"/>
      <c r="J56" s="548"/>
      <c r="K56" s="548"/>
      <c r="L56" s="548"/>
      <c r="M56" s="548"/>
      <c r="N56" s="548"/>
      <c r="O56" s="548"/>
      <c r="P56" s="548"/>
      <c r="Q56" s="548"/>
      <c r="R56" s="548"/>
      <c r="S56" s="548"/>
      <c r="T56" s="548"/>
      <c r="U56" s="548"/>
      <c r="V56" s="548"/>
      <c r="W56" s="548"/>
      <c r="X56" s="548"/>
      <c r="Y56" s="548"/>
      <c r="Z56" s="548"/>
      <c r="AA56" s="548"/>
      <c r="AB56" s="548"/>
      <c r="AC56" s="548"/>
      <c r="AD56" s="548"/>
      <c r="AE56" s="548"/>
      <c r="AF56" s="548"/>
      <c r="AG56" s="548"/>
      <c r="AH56" s="548"/>
      <c r="AI56" s="548"/>
      <c r="AJ56" s="548"/>
      <c r="AK56" s="548"/>
      <c r="AL56" s="548"/>
      <c r="AM56" s="548"/>
      <c r="AN56" s="548"/>
      <c r="AO56" s="548"/>
    </row>
    <row r="57">
      <c r="A57" s="845" t="s">
        <v>1404</v>
      </c>
      <c r="B57" s="846" t="s">
        <v>1389</v>
      </c>
      <c r="G57" s="548"/>
      <c r="H57" s="548"/>
      <c r="I57" s="548"/>
      <c r="J57" s="548"/>
      <c r="K57" s="548"/>
      <c r="L57" s="548"/>
      <c r="M57" s="548"/>
      <c r="N57" s="548"/>
      <c r="O57" s="548"/>
      <c r="P57" s="548"/>
      <c r="Q57" s="548"/>
      <c r="R57" s="548"/>
      <c r="S57" s="548"/>
      <c r="T57" s="548"/>
      <c r="U57" s="548"/>
      <c r="V57" s="548"/>
      <c r="W57" s="548"/>
      <c r="X57" s="548"/>
      <c r="Y57" s="548"/>
      <c r="Z57" s="548"/>
      <c r="AA57" s="548"/>
      <c r="AB57" s="548"/>
      <c r="AC57" s="548"/>
      <c r="AD57" s="548"/>
      <c r="AE57" s="548"/>
      <c r="AF57" s="548"/>
      <c r="AG57" s="548"/>
      <c r="AH57" s="548"/>
      <c r="AI57" s="548"/>
      <c r="AJ57" s="548"/>
      <c r="AK57" s="548"/>
      <c r="AL57" s="548"/>
      <c r="AM57" s="548"/>
      <c r="AN57" s="548"/>
      <c r="AO57" s="548"/>
    </row>
    <row r="58">
      <c r="B58" s="847" t="s">
        <v>1390</v>
      </c>
      <c r="G58" s="548"/>
      <c r="H58" s="548"/>
      <c r="I58" s="548"/>
      <c r="J58" s="548"/>
      <c r="K58" s="548"/>
      <c r="L58" s="548"/>
      <c r="M58" s="548"/>
      <c r="N58" s="548"/>
      <c r="O58" s="548"/>
      <c r="P58" s="548"/>
      <c r="Q58" s="548"/>
      <c r="R58" s="548"/>
      <c r="S58" s="548"/>
      <c r="T58" s="548"/>
      <c r="U58" s="548"/>
      <c r="V58" s="548"/>
      <c r="W58" s="548"/>
      <c r="X58" s="548"/>
      <c r="Y58" s="548"/>
      <c r="Z58" s="548"/>
      <c r="AA58" s="548"/>
      <c r="AB58" s="548"/>
      <c r="AC58" s="548"/>
      <c r="AD58" s="548"/>
      <c r="AE58" s="548"/>
      <c r="AF58" s="548"/>
      <c r="AG58" s="548"/>
      <c r="AH58" s="548"/>
      <c r="AI58" s="548"/>
      <c r="AJ58" s="548"/>
      <c r="AK58" s="548"/>
      <c r="AL58" s="548"/>
      <c r="AM58" s="548"/>
      <c r="AN58" s="548"/>
      <c r="AO58" s="548"/>
    </row>
    <row r="59">
      <c r="B59" s="847" t="s">
        <v>1391</v>
      </c>
      <c r="G59" s="548"/>
      <c r="H59" s="548"/>
      <c r="I59" s="548"/>
      <c r="J59" s="548"/>
      <c r="K59" s="548"/>
      <c r="L59" s="548"/>
      <c r="M59" s="548"/>
      <c r="N59" s="548"/>
      <c r="O59" s="548"/>
      <c r="P59" s="548"/>
      <c r="Q59" s="548"/>
      <c r="R59" s="548"/>
      <c r="S59" s="548"/>
      <c r="T59" s="548"/>
      <c r="U59" s="548"/>
      <c r="V59" s="548"/>
      <c r="W59" s="548"/>
      <c r="X59" s="548"/>
      <c r="Y59" s="548"/>
      <c r="Z59" s="548"/>
      <c r="AA59" s="548"/>
      <c r="AB59" s="548"/>
      <c r="AC59" s="548"/>
      <c r="AD59" s="548"/>
      <c r="AE59" s="548"/>
      <c r="AF59" s="548"/>
      <c r="AG59" s="548"/>
      <c r="AH59" s="548"/>
      <c r="AI59" s="548"/>
      <c r="AJ59" s="548"/>
      <c r="AK59" s="548"/>
      <c r="AL59" s="548"/>
      <c r="AM59" s="548"/>
      <c r="AN59" s="548"/>
      <c r="AO59" s="548"/>
    </row>
    <row r="60">
      <c r="B60" s="847" t="s">
        <v>1392</v>
      </c>
      <c r="G60" s="548"/>
      <c r="H60" s="548"/>
      <c r="I60" s="548"/>
      <c r="J60" s="548"/>
      <c r="K60" s="548"/>
      <c r="L60" s="548"/>
      <c r="M60" s="548"/>
      <c r="N60" s="548"/>
      <c r="O60" s="548"/>
      <c r="P60" s="548"/>
      <c r="Q60" s="548"/>
      <c r="R60" s="548"/>
      <c r="S60" s="548"/>
      <c r="T60" s="548"/>
      <c r="U60" s="548"/>
      <c r="V60" s="548"/>
      <c r="W60" s="548"/>
      <c r="X60" s="548"/>
      <c r="Y60" s="548"/>
      <c r="Z60" s="548"/>
      <c r="AA60" s="548"/>
      <c r="AB60" s="548"/>
      <c r="AC60" s="548"/>
      <c r="AD60" s="548"/>
      <c r="AE60" s="548"/>
      <c r="AF60" s="548"/>
      <c r="AG60" s="548"/>
      <c r="AH60" s="548"/>
      <c r="AI60" s="548"/>
      <c r="AJ60" s="548"/>
      <c r="AK60" s="548"/>
      <c r="AL60" s="548"/>
      <c r="AM60" s="548"/>
      <c r="AN60" s="548"/>
      <c r="AO60" s="548"/>
    </row>
    <row r="61">
      <c r="B61" s="850" t="s">
        <v>1393</v>
      </c>
      <c r="G61" s="548"/>
      <c r="H61" s="548"/>
      <c r="I61" s="548"/>
      <c r="J61" s="548"/>
      <c r="K61" s="548"/>
      <c r="L61" s="548"/>
      <c r="M61" s="548"/>
      <c r="N61" s="548"/>
      <c r="O61" s="548"/>
      <c r="P61" s="548"/>
      <c r="Q61" s="548"/>
      <c r="R61" s="548"/>
      <c r="S61" s="548"/>
      <c r="T61" s="548"/>
      <c r="U61" s="548"/>
      <c r="V61" s="548"/>
      <c r="W61" s="548"/>
      <c r="X61" s="548"/>
      <c r="Y61" s="548"/>
      <c r="Z61" s="548"/>
      <c r="AA61" s="548"/>
      <c r="AB61" s="548"/>
      <c r="AC61" s="548"/>
      <c r="AD61" s="548"/>
      <c r="AE61" s="548"/>
      <c r="AF61" s="548"/>
      <c r="AG61" s="548"/>
      <c r="AH61" s="548"/>
      <c r="AI61" s="548"/>
      <c r="AJ61" s="548"/>
      <c r="AK61" s="548"/>
      <c r="AL61" s="548"/>
      <c r="AM61" s="548"/>
      <c r="AN61" s="548"/>
      <c r="AO61" s="548"/>
    </row>
    <row r="62">
      <c r="B62" s="850" t="s">
        <v>1394</v>
      </c>
      <c r="G62" s="548"/>
      <c r="H62" s="548"/>
      <c r="I62" s="548"/>
      <c r="J62" s="548"/>
      <c r="K62" s="548"/>
      <c r="L62" s="548"/>
      <c r="M62" s="548"/>
      <c r="N62" s="548"/>
      <c r="O62" s="548"/>
      <c r="P62" s="548"/>
      <c r="Q62" s="548"/>
      <c r="R62" s="548"/>
      <c r="S62" s="548"/>
      <c r="T62" s="548"/>
      <c r="U62" s="548"/>
      <c r="V62" s="548"/>
      <c r="W62" s="548"/>
      <c r="X62" s="548"/>
      <c r="Y62" s="548"/>
      <c r="Z62" s="548"/>
      <c r="AA62" s="548"/>
      <c r="AB62" s="548"/>
      <c r="AC62" s="548"/>
      <c r="AD62" s="548"/>
      <c r="AE62" s="548"/>
      <c r="AF62" s="548"/>
      <c r="AG62" s="548"/>
      <c r="AH62" s="548"/>
      <c r="AI62" s="548"/>
      <c r="AJ62" s="548"/>
      <c r="AK62" s="548"/>
      <c r="AL62" s="548"/>
      <c r="AM62" s="548"/>
      <c r="AN62" s="548"/>
      <c r="AO62" s="548"/>
    </row>
    <row r="63">
      <c r="B63" s="847" t="s">
        <v>1395</v>
      </c>
      <c r="G63" s="548"/>
      <c r="H63" s="548"/>
      <c r="I63" s="548"/>
      <c r="J63" s="548"/>
      <c r="K63" s="548"/>
      <c r="L63" s="548"/>
      <c r="M63" s="548"/>
      <c r="N63" s="548"/>
      <c r="O63" s="548"/>
      <c r="P63" s="548"/>
      <c r="Q63" s="548"/>
      <c r="R63" s="548"/>
      <c r="S63" s="548"/>
      <c r="T63" s="548"/>
      <c r="U63" s="548"/>
      <c r="V63" s="548"/>
      <c r="W63" s="548"/>
      <c r="X63" s="548"/>
      <c r="Y63" s="548"/>
      <c r="Z63" s="548"/>
      <c r="AA63" s="548"/>
      <c r="AB63" s="548"/>
      <c r="AC63" s="548"/>
      <c r="AD63" s="548"/>
      <c r="AE63" s="548"/>
      <c r="AF63" s="548"/>
      <c r="AG63" s="548"/>
      <c r="AH63" s="548"/>
      <c r="AI63" s="548"/>
      <c r="AJ63" s="548"/>
      <c r="AK63" s="548"/>
      <c r="AL63" s="548"/>
      <c r="AM63" s="548"/>
      <c r="AN63" s="548"/>
      <c r="AO63" s="548"/>
    </row>
    <row r="64">
      <c r="B64" s="847" t="s">
        <v>1396</v>
      </c>
      <c r="G64" s="548"/>
      <c r="H64" s="548"/>
      <c r="I64" s="548"/>
      <c r="J64" s="548"/>
      <c r="K64" s="548"/>
      <c r="L64" s="548"/>
      <c r="M64" s="548"/>
      <c r="N64" s="548"/>
      <c r="O64" s="548"/>
      <c r="P64" s="548"/>
      <c r="Q64" s="548"/>
      <c r="R64" s="548"/>
      <c r="S64" s="548"/>
      <c r="T64" s="548"/>
      <c r="U64" s="548"/>
      <c r="V64" s="548"/>
      <c r="W64" s="548"/>
      <c r="X64" s="548"/>
      <c r="Y64" s="548"/>
      <c r="Z64" s="548"/>
      <c r="AA64" s="548"/>
      <c r="AB64" s="548"/>
      <c r="AC64" s="548"/>
      <c r="AD64" s="548"/>
      <c r="AE64" s="548"/>
      <c r="AF64" s="548"/>
      <c r="AG64" s="548"/>
      <c r="AH64" s="548"/>
      <c r="AI64" s="548"/>
      <c r="AJ64" s="548"/>
      <c r="AK64" s="548"/>
      <c r="AL64" s="548"/>
      <c r="AM64" s="548"/>
      <c r="AN64" s="548"/>
      <c r="AO64" s="548"/>
    </row>
    <row r="65">
      <c r="B65" s="847" t="s">
        <v>1397</v>
      </c>
      <c r="G65" s="548"/>
      <c r="H65" s="548"/>
      <c r="I65" s="548"/>
      <c r="J65" s="548"/>
      <c r="K65" s="548"/>
      <c r="L65" s="548"/>
      <c r="M65" s="548"/>
      <c r="N65" s="548"/>
      <c r="O65" s="548"/>
      <c r="P65" s="548"/>
      <c r="Q65" s="548"/>
      <c r="R65" s="548"/>
      <c r="S65" s="548"/>
      <c r="T65" s="548"/>
      <c r="U65" s="548"/>
      <c r="V65" s="548"/>
      <c r="W65" s="548"/>
      <c r="X65" s="548"/>
      <c r="Y65" s="548"/>
      <c r="Z65" s="548"/>
      <c r="AA65" s="548"/>
      <c r="AB65" s="548"/>
      <c r="AC65" s="548"/>
      <c r="AD65" s="548"/>
      <c r="AE65" s="548"/>
      <c r="AF65" s="548"/>
      <c r="AG65" s="548"/>
      <c r="AH65" s="548"/>
      <c r="AI65" s="548"/>
      <c r="AJ65" s="548"/>
      <c r="AK65" s="548"/>
      <c r="AL65" s="548"/>
      <c r="AM65" s="548"/>
      <c r="AN65" s="548"/>
      <c r="AO65" s="548"/>
    </row>
    <row r="66">
      <c r="A66" s="845" t="s">
        <v>1405</v>
      </c>
      <c r="B66" s="846" t="s">
        <v>1389</v>
      </c>
      <c r="G66" s="548"/>
      <c r="H66" s="548"/>
      <c r="I66" s="548"/>
      <c r="J66" s="548"/>
      <c r="K66" s="548"/>
      <c r="L66" s="548"/>
      <c r="M66" s="548"/>
      <c r="N66" s="548"/>
      <c r="O66" s="548"/>
      <c r="P66" s="548"/>
      <c r="Q66" s="548"/>
      <c r="R66" s="548"/>
      <c r="S66" s="548"/>
      <c r="T66" s="548"/>
      <c r="U66" s="548"/>
      <c r="V66" s="548"/>
      <c r="W66" s="548"/>
      <c r="X66" s="548"/>
      <c r="Y66" s="548"/>
      <c r="Z66" s="548"/>
      <c r="AA66" s="548"/>
      <c r="AB66" s="548"/>
      <c r="AC66" s="548"/>
      <c r="AD66" s="548"/>
      <c r="AE66" s="548"/>
      <c r="AF66" s="548"/>
      <c r="AG66" s="548"/>
      <c r="AH66" s="548"/>
      <c r="AI66" s="548"/>
      <c r="AJ66" s="548"/>
      <c r="AK66" s="548"/>
      <c r="AL66" s="548"/>
      <c r="AM66" s="548"/>
      <c r="AN66" s="548"/>
      <c r="AO66" s="548"/>
    </row>
    <row r="67">
      <c r="B67" s="847" t="s">
        <v>1390</v>
      </c>
      <c r="G67" s="548"/>
      <c r="H67" s="548"/>
      <c r="I67" s="548"/>
      <c r="J67" s="548"/>
      <c r="K67" s="548"/>
      <c r="L67" s="548"/>
      <c r="M67" s="548"/>
      <c r="N67" s="548"/>
      <c r="O67" s="548"/>
      <c r="P67" s="548"/>
      <c r="Q67" s="548"/>
      <c r="R67" s="548"/>
      <c r="S67" s="548"/>
      <c r="T67" s="548"/>
      <c r="U67" s="548"/>
      <c r="V67" s="548"/>
      <c r="W67" s="548"/>
      <c r="X67" s="548"/>
      <c r="Y67" s="548"/>
      <c r="Z67" s="548"/>
      <c r="AA67" s="548"/>
      <c r="AB67" s="548"/>
      <c r="AC67" s="548"/>
      <c r="AD67" s="548"/>
      <c r="AE67" s="548"/>
      <c r="AF67" s="548"/>
      <c r="AG67" s="548"/>
      <c r="AH67" s="548"/>
      <c r="AI67" s="548"/>
      <c r="AJ67" s="548"/>
      <c r="AK67" s="548"/>
      <c r="AL67" s="548"/>
      <c r="AM67" s="548"/>
      <c r="AN67" s="548"/>
      <c r="AO67" s="548"/>
    </row>
    <row r="68">
      <c r="B68" s="847" t="s">
        <v>1391</v>
      </c>
      <c r="G68" s="548"/>
      <c r="H68" s="548"/>
      <c r="I68" s="548"/>
      <c r="J68" s="548"/>
      <c r="K68" s="548"/>
      <c r="L68" s="548"/>
      <c r="M68" s="548"/>
      <c r="N68" s="548"/>
      <c r="O68" s="548"/>
      <c r="P68" s="548"/>
      <c r="Q68" s="548"/>
      <c r="R68" s="548"/>
      <c r="S68" s="548"/>
      <c r="T68" s="548"/>
      <c r="U68" s="548"/>
      <c r="V68" s="548"/>
      <c r="W68" s="548"/>
      <c r="X68" s="548"/>
      <c r="Y68" s="548"/>
      <c r="Z68" s="548"/>
      <c r="AA68" s="548"/>
      <c r="AB68" s="548"/>
      <c r="AC68" s="548"/>
      <c r="AD68" s="548"/>
      <c r="AE68" s="548"/>
      <c r="AF68" s="548"/>
      <c r="AG68" s="548"/>
      <c r="AH68" s="548"/>
      <c r="AI68" s="548"/>
      <c r="AJ68" s="548"/>
      <c r="AK68" s="548"/>
      <c r="AL68" s="548"/>
      <c r="AM68" s="548"/>
      <c r="AN68" s="548"/>
      <c r="AO68" s="548"/>
    </row>
    <row r="69">
      <c r="B69" s="847" t="s">
        <v>1392</v>
      </c>
      <c r="G69" s="548"/>
      <c r="H69" s="548"/>
      <c r="I69" s="548"/>
      <c r="J69" s="548"/>
      <c r="K69" s="548"/>
      <c r="L69" s="548"/>
      <c r="M69" s="548"/>
      <c r="N69" s="548"/>
      <c r="O69" s="548"/>
      <c r="P69" s="548"/>
      <c r="Q69" s="548"/>
      <c r="R69" s="548"/>
      <c r="S69" s="548"/>
      <c r="T69" s="548"/>
      <c r="U69" s="548"/>
      <c r="V69" s="548"/>
      <c r="W69" s="548"/>
      <c r="X69" s="548"/>
      <c r="Y69" s="548"/>
      <c r="Z69" s="548"/>
      <c r="AA69" s="548"/>
      <c r="AB69" s="548"/>
      <c r="AC69" s="548"/>
      <c r="AD69" s="548"/>
      <c r="AE69" s="548"/>
      <c r="AF69" s="548"/>
      <c r="AG69" s="548"/>
      <c r="AH69" s="548"/>
      <c r="AI69" s="548"/>
      <c r="AJ69" s="548"/>
      <c r="AK69" s="548"/>
      <c r="AL69" s="548"/>
      <c r="AM69" s="548"/>
      <c r="AN69" s="548"/>
      <c r="AO69" s="548"/>
    </row>
    <row r="70">
      <c r="B70" s="850" t="s">
        <v>1393</v>
      </c>
      <c r="G70" s="548"/>
      <c r="H70" s="548"/>
      <c r="I70" s="548"/>
      <c r="J70" s="548"/>
      <c r="K70" s="548"/>
      <c r="L70" s="548"/>
      <c r="M70" s="548"/>
      <c r="N70" s="548"/>
      <c r="O70" s="548"/>
      <c r="P70" s="548"/>
      <c r="Q70" s="548"/>
      <c r="R70" s="548"/>
      <c r="S70" s="548"/>
      <c r="T70" s="548"/>
      <c r="U70" s="548"/>
      <c r="V70" s="548"/>
      <c r="W70" s="548"/>
      <c r="X70" s="548"/>
      <c r="Y70" s="548"/>
      <c r="Z70" s="548"/>
      <c r="AA70" s="548"/>
      <c r="AB70" s="548"/>
      <c r="AC70" s="548"/>
      <c r="AD70" s="548"/>
      <c r="AE70" s="548"/>
      <c r="AF70" s="548"/>
      <c r="AG70" s="548"/>
      <c r="AH70" s="548"/>
      <c r="AI70" s="548"/>
      <c r="AJ70" s="548"/>
      <c r="AK70" s="548"/>
      <c r="AL70" s="548"/>
      <c r="AM70" s="548"/>
      <c r="AN70" s="548"/>
      <c r="AO70" s="548"/>
    </row>
    <row r="71">
      <c r="B71" s="850" t="s">
        <v>1394</v>
      </c>
      <c r="G71" s="548"/>
      <c r="H71" s="548"/>
      <c r="I71" s="548"/>
      <c r="J71" s="548"/>
      <c r="K71" s="548"/>
      <c r="L71" s="548"/>
      <c r="M71" s="548"/>
      <c r="N71" s="548"/>
      <c r="O71" s="548"/>
      <c r="P71" s="548"/>
      <c r="Q71" s="548"/>
      <c r="R71" s="548"/>
      <c r="S71" s="548"/>
      <c r="T71" s="548"/>
      <c r="U71" s="548"/>
      <c r="V71" s="548"/>
      <c r="W71" s="548"/>
      <c r="X71" s="548"/>
      <c r="Y71" s="548"/>
      <c r="Z71" s="548"/>
      <c r="AA71" s="548"/>
      <c r="AB71" s="548"/>
      <c r="AC71" s="548"/>
      <c r="AD71" s="548"/>
      <c r="AE71" s="548"/>
      <c r="AF71" s="548"/>
      <c r="AG71" s="548"/>
      <c r="AH71" s="548"/>
      <c r="AI71" s="548"/>
      <c r="AJ71" s="548"/>
      <c r="AK71" s="548"/>
      <c r="AL71" s="548"/>
      <c r="AM71" s="548"/>
      <c r="AN71" s="548"/>
      <c r="AO71" s="548"/>
    </row>
    <row r="72">
      <c r="B72" s="847" t="s">
        <v>1395</v>
      </c>
      <c r="G72" s="548"/>
      <c r="H72" s="548"/>
      <c r="I72" s="548"/>
      <c r="J72" s="548"/>
      <c r="K72" s="548"/>
      <c r="L72" s="548"/>
      <c r="M72" s="548"/>
      <c r="N72" s="548"/>
      <c r="O72" s="548"/>
      <c r="P72" s="548"/>
      <c r="Q72" s="548"/>
      <c r="R72" s="548"/>
      <c r="S72" s="548"/>
      <c r="T72" s="548"/>
      <c r="U72" s="548"/>
      <c r="V72" s="548"/>
      <c r="W72" s="548"/>
      <c r="X72" s="548"/>
      <c r="Y72" s="548"/>
      <c r="Z72" s="548"/>
      <c r="AA72" s="548"/>
      <c r="AB72" s="548"/>
      <c r="AC72" s="548"/>
      <c r="AD72" s="548"/>
      <c r="AE72" s="548"/>
      <c r="AF72" s="548"/>
      <c r="AG72" s="548"/>
      <c r="AH72" s="548"/>
      <c r="AI72" s="548"/>
      <c r="AJ72" s="548"/>
      <c r="AK72" s="548"/>
      <c r="AL72" s="548"/>
      <c r="AM72" s="548"/>
      <c r="AN72" s="548"/>
      <c r="AO72" s="548"/>
    </row>
    <row r="73">
      <c r="B73" s="847" t="s">
        <v>1396</v>
      </c>
      <c r="G73" s="548"/>
      <c r="H73" s="548"/>
      <c r="I73" s="548"/>
      <c r="J73" s="548"/>
      <c r="K73" s="548"/>
      <c r="L73" s="548"/>
      <c r="M73" s="548"/>
      <c r="N73" s="548"/>
      <c r="O73" s="548"/>
      <c r="P73" s="548"/>
      <c r="Q73" s="548"/>
      <c r="R73" s="548"/>
      <c r="S73" s="548"/>
      <c r="T73" s="548"/>
      <c r="U73" s="548"/>
      <c r="V73" s="548"/>
      <c r="W73" s="548"/>
      <c r="X73" s="548"/>
      <c r="Y73" s="548"/>
      <c r="Z73" s="548"/>
      <c r="AA73" s="548"/>
      <c r="AB73" s="548"/>
      <c r="AC73" s="548"/>
      <c r="AD73" s="548"/>
      <c r="AE73" s="548"/>
      <c r="AF73" s="548"/>
      <c r="AG73" s="548"/>
      <c r="AH73" s="548"/>
      <c r="AI73" s="548"/>
      <c r="AJ73" s="548"/>
      <c r="AK73" s="548"/>
      <c r="AL73" s="548"/>
      <c r="AM73" s="548"/>
      <c r="AN73" s="548"/>
      <c r="AO73" s="548"/>
    </row>
    <row r="74">
      <c r="B74" s="847" t="s">
        <v>1397</v>
      </c>
      <c r="G74" s="548"/>
      <c r="H74" s="548"/>
      <c r="I74" s="548"/>
      <c r="J74" s="548"/>
      <c r="K74" s="548"/>
      <c r="L74" s="548"/>
      <c r="M74" s="548"/>
      <c r="N74" s="548"/>
      <c r="O74" s="548"/>
      <c r="P74" s="548"/>
      <c r="Q74" s="548"/>
      <c r="R74" s="548"/>
      <c r="S74" s="548"/>
      <c r="T74" s="548"/>
      <c r="U74" s="548"/>
      <c r="V74" s="548"/>
      <c r="W74" s="548"/>
      <c r="X74" s="548"/>
      <c r="Y74" s="548"/>
      <c r="Z74" s="548"/>
      <c r="AA74" s="548"/>
      <c r="AB74" s="548"/>
      <c r="AC74" s="548"/>
      <c r="AD74" s="548"/>
      <c r="AE74" s="548"/>
      <c r="AF74" s="548"/>
      <c r="AG74" s="548"/>
      <c r="AH74" s="548"/>
      <c r="AI74" s="548"/>
      <c r="AJ74" s="548"/>
      <c r="AK74" s="548"/>
      <c r="AL74" s="548"/>
      <c r="AM74" s="548"/>
      <c r="AN74" s="548"/>
      <c r="AO74" s="548"/>
    </row>
    <row r="75">
      <c r="A75" s="845" t="s">
        <v>1406</v>
      </c>
      <c r="B75" s="846" t="s">
        <v>1389</v>
      </c>
      <c r="G75" s="548"/>
      <c r="H75" s="548"/>
      <c r="I75" s="548"/>
      <c r="J75" s="548"/>
      <c r="K75" s="548"/>
      <c r="L75" s="548"/>
      <c r="M75" s="548"/>
      <c r="N75" s="548"/>
      <c r="O75" s="548"/>
      <c r="P75" s="548"/>
      <c r="Q75" s="548"/>
      <c r="R75" s="548"/>
      <c r="S75" s="548"/>
      <c r="T75" s="548"/>
      <c r="U75" s="548"/>
      <c r="V75" s="548"/>
      <c r="W75" s="548"/>
      <c r="X75" s="548"/>
      <c r="Y75" s="548"/>
      <c r="Z75" s="548"/>
      <c r="AA75" s="548"/>
      <c r="AB75" s="548"/>
      <c r="AC75" s="548"/>
      <c r="AD75" s="548"/>
      <c r="AE75" s="548"/>
      <c r="AF75" s="548"/>
      <c r="AG75" s="548"/>
      <c r="AH75" s="548"/>
      <c r="AI75" s="548"/>
      <c r="AJ75" s="548"/>
      <c r="AK75" s="548"/>
      <c r="AL75" s="548"/>
      <c r="AM75" s="548"/>
      <c r="AN75" s="548"/>
      <c r="AO75" s="548"/>
    </row>
    <row r="76">
      <c r="B76" s="847" t="s">
        <v>1390</v>
      </c>
      <c r="G76" s="548"/>
      <c r="H76" s="548"/>
      <c r="I76" s="548"/>
      <c r="J76" s="548"/>
      <c r="K76" s="548"/>
      <c r="L76" s="548"/>
      <c r="M76" s="548"/>
      <c r="N76" s="548"/>
      <c r="O76" s="548"/>
      <c r="P76" s="548"/>
      <c r="Q76" s="548"/>
      <c r="R76" s="548"/>
      <c r="S76" s="548"/>
      <c r="T76" s="548"/>
      <c r="U76" s="548"/>
      <c r="V76" s="548"/>
      <c r="W76" s="548"/>
      <c r="X76" s="548"/>
      <c r="Y76" s="548"/>
      <c r="Z76" s="548"/>
      <c r="AA76" s="548"/>
      <c r="AB76" s="548"/>
      <c r="AC76" s="548"/>
      <c r="AD76" s="548"/>
      <c r="AE76" s="548"/>
      <c r="AF76" s="548"/>
      <c r="AG76" s="548"/>
      <c r="AH76" s="548"/>
      <c r="AI76" s="548"/>
      <c r="AJ76" s="548"/>
      <c r="AK76" s="548"/>
      <c r="AL76" s="548"/>
      <c r="AM76" s="548"/>
      <c r="AN76" s="548"/>
      <c r="AO76" s="548"/>
    </row>
    <row r="77">
      <c r="B77" s="847" t="s">
        <v>1391</v>
      </c>
      <c r="G77" s="548"/>
      <c r="H77" s="548"/>
      <c r="I77" s="548"/>
      <c r="J77" s="548"/>
      <c r="K77" s="548"/>
      <c r="L77" s="548"/>
      <c r="M77" s="548"/>
      <c r="N77" s="548"/>
      <c r="O77" s="548"/>
      <c r="P77" s="548"/>
      <c r="Q77" s="548"/>
      <c r="R77" s="548"/>
      <c r="S77" s="548"/>
      <c r="T77" s="548"/>
      <c r="U77" s="548"/>
      <c r="V77" s="548"/>
      <c r="W77" s="548"/>
      <c r="X77" s="548"/>
      <c r="Y77" s="548"/>
      <c r="Z77" s="548"/>
      <c r="AA77" s="548"/>
      <c r="AB77" s="548"/>
      <c r="AC77" s="548"/>
      <c r="AD77" s="548"/>
      <c r="AE77" s="548"/>
      <c r="AF77" s="548"/>
      <c r="AG77" s="548"/>
      <c r="AH77" s="548"/>
      <c r="AI77" s="548"/>
      <c r="AJ77" s="548"/>
      <c r="AK77" s="548"/>
      <c r="AL77" s="548"/>
      <c r="AM77" s="548"/>
      <c r="AN77" s="548"/>
      <c r="AO77" s="548"/>
    </row>
    <row r="78">
      <c r="B78" s="847" t="s">
        <v>1392</v>
      </c>
      <c r="G78" s="548"/>
      <c r="H78" s="548"/>
      <c r="I78" s="548"/>
      <c r="J78" s="548"/>
      <c r="K78" s="548"/>
      <c r="L78" s="548"/>
      <c r="M78" s="548"/>
      <c r="N78" s="548"/>
      <c r="O78" s="548"/>
      <c r="P78" s="548"/>
      <c r="Q78" s="548"/>
      <c r="R78" s="548"/>
      <c r="S78" s="548"/>
      <c r="T78" s="548"/>
      <c r="U78" s="548"/>
      <c r="V78" s="548"/>
      <c r="W78" s="548"/>
      <c r="X78" s="548"/>
      <c r="Y78" s="548"/>
      <c r="Z78" s="548"/>
      <c r="AA78" s="548"/>
      <c r="AB78" s="548"/>
      <c r="AC78" s="548"/>
      <c r="AD78" s="548"/>
      <c r="AE78" s="548"/>
      <c r="AF78" s="548"/>
      <c r="AG78" s="548"/>
      <c r="AH78" s="548"/>
      <c r="AI78" s="548"/>
      <c r="AJ78" s="548"/>
      <c r="AK78" s="548"/>
      <c r="AL78" s="548"/>
      <c r="AM78" s="548"/>
      <c r="AN78" s="548"/>
      <c r="AO78" s="548"/>
    </row>
    <row r="79">
      <c r="B79" s="850" t="s">
        <v>1393</v>
      </c>
      <c r="G79" s="548"/>
      <c r="H79" s="548"/>
      <c r="I79" s="548"/>
      <c r="J79" s="548"/>
      <c r="K79" s="548"/>
      <c r="L79" s="548"/>
      <c r="M79" s="548"/>
      <c r="N79" s="548"/>
      <c r="O79" s="548"/>
      <c r="P79" s="548"/>
      <c r="Q79" s="548"/>
      <c r="R79" s="548"/>
      <c r="S79" s="548"/>
      <c r="T79" s="548"/>
      <c r="U79" s="548"/>
      <c r="V79" s="548"/>
      <c r="W79" s="548"/>
      <c r="X79" s="548"/>
      <c r="Y79" s="548"/>
      <c r="Z79" s="548"/>
      <c r="AA79" s="548"/>
      <c r="AB79" s="548"/>
      <c r="AC79" s="548"/>
      <c r="AD79" s="548"/>
      <c r="AE79" s="548"/>
      <c r="AF79" s="548"/>
      <c r="AG79" s="548"/>
      <c r="AH79" s="548"/>
      <c r="AI79" s="548"/>
      <c r="AJ79" s="548"/>
      <c r="AK79" s="548"/>
      <c r="AL79" s="548"/>
      <c r="AM79" s="548"/>
      <c r="AN79" s="548"/>
      <c r="AO79" s="548"/>
    </row>
    <row r="80">
      <c r="B80" s="850" t="s">
        <v>1394</v>
      </c>
      <c r="G80" s="548"/>
      <c r="H80" s="548"/>
      <c r="I80" s="548"/>
      <c r="J80" s="548"/>
      <c r="K80" s="548"/>
      <c r="L80" s="548"/>
      <c r="M80" s="548"/>
      <c r="N80" s="548"/>
      <c r="O80" s="548"/>
      <c r="P80" s="548"/>
      <c r="Q80" s="548"/>
      <c r="R80" s="548"/>
      <c r="S80" s="548"/>
      <c r="T80" s="548"/>
      <c r="U80" s="548"/>
      <c r="V80" s="548"/>
      <c r="W80" s="548"/>
      <c r="X80" s="548"/>
      <c r="Y80" s="548"/>
      <c r="Z80" s="548"/>
      <c r="AA80" s="548"/>
      <c r="AB80" s="548"/>
      <c r="AC80" s="548"/>
      <c r="AD80" s="548"/>
      <c r="AE80" s="548"/>
      <c r="AF80" s="548"/>
      <c r="AG80" s="548"/>
      <c r="AH80" s="548"/>
      <c r="AI80" s="548"/>
      <c r="AJ80" s="548"/>
      <c r="AK80" s="548"/>
      <c r="AL80" s="548"/>
      <c r="AM80" s="548"/>
      <c r="AN80" s="548"/>
      <c r="AO80" s="548"/>
    </row>
    <row r="81">
      <c r="B81" s="847" t="s">
        <v>1395</v>
      </c>
      <c r="G81" s="548"/>
      <c r="H81" s="548"/>
      <c r="I81" s="548"/>
      <c r="J81" s="548"/>
      <c r="K81" s="548"/>
      <c r="L81" s="548"/>
      <c r="M81" s="548"/>
      <c r="N81" s="548"/>
      <c r="O81" s="548"/>
      <c r="P81" s="548"/>
      <c r="Q81" s="548"/>
      <c r="R81" s="548"/>
      <c r="S81" s="548"/>
      <c r="T81" s="548"/>
      <c r="U81" s="548"/>
      <c r="V81" s="548"/>
      <c r="W81" s="548"/>
      <c r="X81" s="548"/>
      <c r="Y81" s="548"/>
      <c r="Z81" s="548"/>
      <c r="AA81" s="548"/>
      <c r="AB81" s="548"/>
      <c r="AC81" s="548"/>
      <c r="AD81" s="548"/>
      <c r="AE81" s="548"/>
      <c r="AF81" s="548"/>
      <c r="AG81" s="548"/>
      <c r="AH81" s="548"/>
      <c r="AI81" s="548"/>
      <c r="AJ81" s="548"/>
      <c r="AK81" s="548"/>
      <c r="AL81" s="548"/>
      <c r="AM81" s="548"/>
      <c r="AN81" s="548"/>
      <c r="AO81" s="548"/>
    </row>
    <row r="82">
      <c r="B82" s="847" t="s">
        <v>1396</v>
      </c>
      <c r="G82" s="548"/>
      <c r="H82" s="548"/>
      <c r="I82" s="548"/>
      <c r="J82" s="548"/>
      <c r="K82" s="548"/>
      <c r="L82" s="548"/>
      <c r="M82" s="548"/>
      <c r="N82" s="548"/>
      <c r="O82" s="548"/>
      <c r="P82" s="548"/>
      <c r="Q82" s="548"/>
      <c r="R82" s="548"/>
      <c r="S82" s="548"/>
      <c r="T82" s="548"/>
      <c r="U82" s="548"/>
      <c r="V82" s="548"/>
      <c r="W82" s="548"/>
      <c r="X82" s="548"/>
      <c r="Y82" s="548"/>
      <c r="Z82" s="548"/>
      <c r="AA82" s="548"/>
      <c r="AB82" s="548"/>
      <c r="AC82" s="548"/>
      <c r="AD82" s="548"/>
      <c r="AE82" s="548"/>
      <c r="AF82" s="548"/>
      <c r="AG82" s="548"/>
      <c r="AH82" s="548"/>
      <c r="AI82" s="548"/>
      <c r="AJ82" s="548"/>
      <c r="AK82" s="548"/>
      <c r="AL82" s="548"/>
      <c r="AM82" s="548"/>
      <c r="AN82" s="548"/>
      <c r="AO82" s="548"/>
    </row>
    <row r="83">
      <c r="B83" s="847" t="s">
        <v>1397</v>
      </c>
      <c r="G83" s="548"/>
      <c r="H83" s="548"/>
      <c r="I83" s="548"/>
      <c r="J83" s="548"/>
      <c r="K83" s="548"/>
      <c r="L83" s="548"/>
      <c r="M83" s="548"/>
      <c r="N83" s="548"/>
      <c r="O83" s="548"/>
      <c r="P83" s="548"/>
      <c r="Q83" s="548"/>
      <c r="R83" s="548"/>
      <c r="S83" s="548"/>
      <c r="T83" s="548"/>
      <c r="U83" s="548"/>
      <c r="V83" s="548"/>
      <c r="W83" s="548"/>
      <c r="X83" s="548"/>
      <c r="Y83" s="548"/>
      <c r="Z83" s="548"/>
      <c r="AA83" s="548"/>
      <c r="AB83" s="548"/>
      <c r="AC83" s="548"/>
      <c r="AD83" s="548"/>
      <c r="AE83" s="548"/>
      <c r="AF83" s="548"/>
      <c r="AG83" s="548"/>
      <c r="AH83" s="548"/>
      <c r="AI83" s="548"/>
      <c r="AJ83" s="548"/>
      <c r="AK83" s="548"/>
      <c r="AL83" s="548"/>
      <c r="AM83" s="548"/>
      <c r="AN83" s="548"/>
      <c r="AO83" s="548"/>
    </row>
    <row r="84">
      <c r="A84" s="845" t="s">
        <v>1407</v>
      </c>
      <c r="B84" s="846" t="s">
        <v>1389</v>
      </c>
      <c r="G84" s="548"/>
      <c r="H84" s="548"/>
      <c r="I84" s="548"/>
      <c r="J84" s="548"/>
      <c r="K84" s="548"/>
      <c r="L84" s="548"/>
      <c r="M84" s="548"/>
      <c r="N84" s="548"/>
      <c r="O84" s="548"/>
      <c r="P84" s="548"/>
      <c r="Q84" s="548"/>
      <c r="R84" s="548"/>
      <c r="S84" s="548"/>
      <c r="T84" s="548"/>
      <c r="U84" s="548"/>
      <c r="V84" s="548"/>
      <c r="W84" s="548"/>
      <c r="X84" s="548"/>
      <c r="Y84" s="548"/>
      <c r="Z84" s="548"/>
      <c r="AA84" s="548"/>
      <c r="AB84" s="548"/>
      <c r="AC84" s="548"/>
      <c r="AD84" s="548"/>
      <c r="AE84" s="548"/>
      <c r="AF84" s="548"/>
      <c r="AG84" s="548"/>
      <c r="AH84" s="548"/>
      <c r="AI84" s="548"/>
      <c r="AJ84" s="548"/>
      <c r="AK84" s="548"/>
      <c r="AL84" s="548"/>
      <c r="AM84" s="548"/>
      <c r="AN84" s="548"/>
      <c r="AO84" s="548"/>
    </row>
    <row r="85">
      <c r="B85" s="847" t="s">
        <v>1390</v>
      </c>
      <c r="G85" s="548"/>
      <c r="H85" s="548"/>
      <c r="I85" s="548"/>
      <c r="J85" s="548"/>
      <c r="K85" s="548"/>
      <c r="L85" s="548"/>
      <c r="M85" s="548"/>
      <c r="N85" s="548"/>
      <c r="O85" s="548"/>
      <c r="P85" s="548"/>
      <c r="Q85" s="548"/>
      <c r="R85" s="548"/>
      <c r="S85" s="548"/>
      <c r="T85" s="548"/>
      <c r="U85" s="548"/>
      <c r="V85" s="548"/>
      <c r="W85" s="548"/>
      <c r="X85" s="548"/>
      <c r="Y85" s="548"/>
      <c r="Z85" s="548"/>
      <c r="AA85" s="548"/>
      <c r="AB85" s="548"/>
      <c r="AC85" s="548"/>
      <c r="AD85" s="548"/>
      <c r="AE85" s="548"/>
      <c r="AF85" s="548"/>
      <c r="AG85" s="548"/>
      <c r="AH85" s="548"/>
      <c r="AI85" s="548"/>
      <c r="AJ85" s="548"/>
      <c r="AK85" s="548"/>
      <c r="AL85" s="548"/>
      <c r="AM85" s="548"/>
      <c r="AN85" s="548"/>
      <c r="AO85" s="548"/>
    </row>
    <row r="86">
      <c r="B86" s="847" t="s">
        <v>1391</v>
      </c>
      <c r="G86" s="548"/>
      <c r="H86" s="548"/>
      <c r="I86" s="548"/>
      <c r="J86" s="548"/>
      <c r="K86" s="548"/>
      <c r="L86" s="548"/>
      <c r="M86" s="548"/>
      <c r="N86" s="548"/>
      <c r="O86" s="548"/>
      <c r="P86" s="548"/>
      <c r="Q86" s="548"/>
      <c r="R86" s="548"/>
      <c r="S86" s="548"/>
      <c r="T86" s="548"/>
      <c r="U86" s="548"/>
      <c r="V86" s="548"/>
      <c r="W86" s="548"/>
      <c r="X86" s="548"/>
      <c r="Y86" s="548"/>
      <c r="Z86" s="548"/>
      <c r="AA86" s="548"/>
      <c r="AB86" s="548"/>
      <c r="AC86" s="548"/>
      <c r="AD86" s="548"/>
      <c r="AE86" s="548"/>
      <c r="AF86" s="548"/>
      <c r="AG86" s="548"/>
      <c r="AH86" s="548"/>
      <c r="AI86" s="548"/>
      <c r="AJ86" s="548"/>
      <c r="AK86" s="548"/>
      <c r="AL86" s="548"/>
      <c r="AM86" s="548"/>
      <c r="AN86" s="548"/>
      <c r="AO86" s="548"/>
    </row>
    <row r="87">
      <c r="B87" s="847" t="s">
        <v>1392</v>
      </c>
      <c r="G87" s="548"/>
      <c r="H87" s="548"/>
      <c r="I87" s="548"/>
      <c r="J87" s="548"/>
      <c r="K87" s="548"/>
      <c r="L87" s="548"/>
      <c r="M87" s="548"/>
      <c r="N87" s="548"/>
      <c r="O87" s="548"/>
      <c r="P87" s="548"/>
      <c r="Q87" s="548"/>
      <c r="R87" s="548"/>
      <c r="S87" s="548"/>
      <c r="T87" s="548"/>
      <c r="U87" s="548"/>
      <c r="V87" s="548"/>
      <c r="W87" s="548"/>
      <c r="X87" s="548"/>
      <c r="Y87" s="548"/>
      <c r="Z87" s="548"/>
      <c r="AA87" s="548"/>
      <c r="AB87" s="548"/>
      <c r="AC87" s="548"/>
      <c r="AD87" s="548"/>
      <c r="AE87" s="548"/>
      <c r="AF87" s="548"/>
      <c r="AG87" s="548"/>
      <c r="AH87" s="548"/>
      <c r="AI87" s="548"/>
      <c r="AJ87" s="548"/>
      <c r="AK87" s="548"/>
      <c r="AL87" s="548"/>
      <c r="AM87" s="548"/>
      <c r="AN87" s="548"/>
      <c r="AO87" s="548"/>
    </row>
    <row r="88">
      <c r="B88" s="850" t="s">
        <v>1393</v>
      </c>
      <c r="G88" s="548"/>
      <c r="H88" s="548"/>
      <c r="I88" s="548"/>
      <c r="J88" s="548"/>
      <c r="K88" s="548"/>
      <c r="L88" s="548"/>
      <c r="M88" s="548"/>
      <c r="N88" s="548"/>
      <c r="O88" s="548"/>
      <c r="P88" s="548"/>
      <c r="Q88" s="548"/>
      <c r="R88" s="548"/>
      <c r="S88" s="548"/>
      <c r="T88" s="548"/>
      <c r="U88" s="548"/>
      <c r="V88" s="548"/>
      <c r="W88" s="548"/>
      <c r="X88" s="548"/>
      <c r="Y88" s="548"/>
      <c r="Z88" s="548"/>
      <c r="AA88" s="548"/>
      <c r="AB88" s="548"/>
      <c r="AC88" s="548"/>
      <c r="AD88" s="548"/>
      <c r="AE88" s="548"/>
      <c r="AF88" s="548"/>
      <c r="AG88" s="548"/>
      <c r="AH88" s="548"/>
      <c r="AI88" s="548"/>
      <c r="AJ88" s="548"/>
      <c r="AK88" s="548"/>
      <c r="AL88" s="548"/>
      <c r="AM88" s="548"/>
      <c r="AN88" s="548"/>
      <c r="AO88" s="548"/>
    </row>
    <row r="89">
      <c r="B89" s="850" t="s">
        <v>1394</v>
      </c>
      <c r="G89" s="548"/>
      <c r="H89" s="548"/>
      <c r="I89" s="548"/>
      <c r="J89" s="548"/>
      <c r="K89" s="548"/>
      <c r="L89" s="548"/>
      <c r="M89" s="548"/>
      <c r="N89" s="548"/>
      <c r="O89" s="548"/>
      <c r="P89" s="548"/>
      <c r="Q89" s="548"/>
      <c r="R89" s="548"/>
      <c r="S89" s="548"/>
      <c r="T89" s="548"/>
      <c r="U89" s="548"/>
      <c r="V89" s="548"/>
      <c r="W89" s="548"/>
      <c r="X89" s="548"/>
      <c r="Y89" s="548"/>
      <c r="Z89" s="548"/>
      <c r="AA89" s="548"/>
      <c r="AB89" s="548"/>
      <c r="AC89" s="548"/>
      <c r="AD89" s="548"/>
      <c r="AE89" s="548"/>
      <c r="AF89" s="548"/>
      <c r="AG89" s="548"/>
      <c r="AH89" s="548"/>
      <c r="AI89" s="548"/>
      <c r="AJ89" s="548"/>
      <c r="AK89" s="548"/>
      <c r="AL89" s="548"/>
      <c r="AM89" s="548"/>
      <c r="AN89" s="548"/>
      <c r="AO89" s="548"/>
    </row>
    <row r="90">
      <c r="B90" s="847" t="s">
        <v>1395</v>
      </c>
      <c r="G90" s="548"/>
      <c r="H90" s="548"/>
      <c r="I90" s="548"/>
      <c r="J90" s="548"/>
      <c r="K90" s="548"/>
      <c r="L90" s="548"/>
      <c r="M90" s="548"/>
      <c r="N90" s="548"/>
      <c r="O90" s="548"/>
      <c r="P90" s="548"/>
      <c r="Q90" s="548"/>
      <c r="R90" s="548"/>
      <c r="S90" s="548"/>
      <c r="T90" s="548"/>
      <c r="U90" s="548"/>
      <c r="V90" s="548"/>
      <c r="W90" s="548"/>
      <c r="X90" s="548"/>
      <c r="Y90" s="548"/>
      <c r="Z90" s="548"/>
      <c r="AA90" s="548"/>
      <c r="AB90" s="548"/>
      <c r="AC90" s="548"/>
      <c r="AD90" s="548"/>
      <c r="AE90" s="548"/>
      <c r="AF90" s="548"/>
      <c r="AG90" s="548"/>
      <c r="AH90" s="548"/>
      <c r="AI90" s="548"/>
      <c r="AJ90" s="548"/>
      <c r="AK90" s="548"/>
      <c r="AL90" s="548"/>
      <c r="AM90" s="548"/>
      <c r="AN90" s="548"/>
      <c r="AO90" s="548"/>
    </row>
    <row r="91">
      <c r="B91" s="847" t="s">
        <v>1396</v>
      </c>
      <c r="G91" s="548"/>
      <c r="H91" s="548"/>
      <c r="I91" s="548"/>
      <c r="J91" s="548"/>
      <c r="K91" s="548"/>
      <c r="L91" s="548"/>
      <c r="M91" s="548"/>
      <c r="N91" s="548"/>
      <c r="O91" s="548"/>
      <c r="P91" s="548"/>
      <c r="Q91" s="548"/>
      <c r="R91" s="548"/>
      <c r="S91" s="548"/>
      <c r="T91" s="548"/>
      <c r="U91" s="548"/>
      <c r="V91" s="548"/>
      <c r="W91" s="548"/>
      <c r="X91" s="548"/>
      <c r="Y91" s="548"/>
      <c r="Z91" s="548"/>
      <c r="AA91" s="548"/>
      <c r="AB91" s="548"/>
      <c r="AC91" s="548"/>
      <c r="AD91" s="548"/>
      <c r="AE91" s="548"/>
      <c r="AF91" s="548"/>
      <c r="AG91" s="548"/>
      <c r="AH91" s="548"/>
      <c r="AI91" s="548"/>
      <c r="AJ91" s="548"/>
      <c r="AK91" s="548"/>
      <c r="AL91" s="548"/>
      <c r="AM91" s="548"/>
      <c r="AN91" s="548"/>
      <c r="AO91" s="548"/>
    </row>
    <row r="92">
      <c r="B92" s="847" t="s">
        <v>1397</v>
      </c>
      <c r="G92" s="548"/>
      <c r="H92" s="548"/>
      <c r="I92" s="548"/>
      <c r="J92" s="548"/>
      <c r="K92" s="548"/>
      <c r="L92" s="548"/>
      <c r="M92" s="548"/>
      <c r="N92" s="548"/>
      <c r="O92" s="548"/>
      <c r="P92" s="548"/>
      <c r="Q92" s="548"/>
      <c r="R92" s="548"/>
      <c r="S92" s="548"/>
      <c r="T92" s="548"/>
      <c r="U92" s="548"/>
      <c r="V92" s="548"/>
      <c r="W92" s="548"/>
      <c r="X92" s="548"/>
      <c r="Y92" s="548"/>
      <c r="Z92" s="548"/>
      <c r="AA92" s="548"/>
      <c r="AB92" s="548"/>
      <c r="AC92" s="548"/>
      <c r="AD92" s="548"/>
      <c r="AE92" s="548"/>
      <c r="AF92" s="548"/>
      <c r="AG92" s="548"/>
      <c r="AH92" s="548"/>
      <c r="AI92" s="548"/>
      <c r="AJ92" s="548"/>
      <c r="AK92" s="548"/>
      <c r="AL92" s="548"/>
      <c r="AM92" s="548"/>
      <c r="AN92" s="548"/>
      <c r="AO92" s="548"/>
    </row>
    <row r="93">
      <c r="A93" s="845" t="s">
        <v>1408</v>
      </c>
      <c r="B93" s="846" t="s">
        <v>1389</v>
      </c>
      <c r="G93" s="548"/>
      <c r="H93" s="548"/>
      <c r="I93" s="548"/>
      <c r="J93" s="548"/>
      <c r="K93" s="548"/>
      <c r="L93" s="548"/>
      <c r="M93" s="548"/>
      <c r="N93" s="548"/>
      <c r="O93" s="548"/>
      <c r="P93" s="548"/>
      <c r="Q93" s="548"/>
      <c r="R93" s="548"/>
      <c r="S93" s="548"/>
      <c r="T93" s="548"/>
      <c r="U93" s="548"/>
      <c r="V93" s="548"/>
      <c r="W93" s="548"/>
      <c r="X93" s="548"/>
      <c r="Y93" s="548"/>
      <c r="Z93" s="548"/>
      <c r="AA93" s="548"/>
      <c r="AB93" s="548"/>
      <c r="AC93" s="548"/>
      <c r="AD93" s="548"/>
      <c r="AE93" s="548"/>
      <c r="AF93" s="548"/>
      <c r="AG93" s="548"/>
      <c r="AH93" s="548"/>
      <c r="AI93" s="548"/>
      <c r="AJ93" s="548"/>
      <c r="AK93" s="548"/>
      <c r="AL93" s="548"/>
      <c r="AM93" s="548"/>
      <c r="AN93" s="548"/>
      <c r="AO93" s="548"/>
    </row>
    <row r="94">
      <c r="B94" s="847" t="s">
        <v>1390</v>
      </c>
      <c r="G94" s="548"/>
      <c r="H94" s="548"/>
      <c r="I94" s="548"/>
      <c r="J94" s="548"/>
      <c r="K94" s="548"/>
      <c r="L94" s="548"/>
      <c r="M94" s="548"/>
      <c r="N94" s="548"/>
      <c r="O94" s="548"/>
      <c r="P94" s="548"/>
      <c r="Q94" s="548"/>
      <c r="R94" s="548"/>
      <c r="S94" s="548"/>
      <c r="T94" s="548"/>
      <c r="U94" s="548"/>
      <c r="V94" s="548"/>
      <c r="W94" s="548"/>
      <c r="X94" s="548"/>
      <c r="Y94" s="548"/>
      <c r="Z94" s="548"/>
      <c r="AA94" s="548"/>
      <c r="AB94" s="548"/>
      <c r="AC94" s="548"/>
      <c r="AD94" s="548"/>
      <c r="AE94" s="548"/>
      <c r="AF94" s="548"/>
      <c r="AG94" s="548"/>
      <c r="AH94" s="548"/>
      <c r="AI94" s="548"/>
      <c r="AJ94" s="548"/>
      <c r="AK94" s="548"/>
      <c r="AL94" s="548"/>
      <c r="AM94" s="548"/>
      <c r="AN94" s="548"/>
      <c r="AO94" s="548"/>
    </row>
    <row r="95">
      <c r="B95" s="847" t="s">
        <v>1391</v>
      </c>
      <c r="G95" s="548"/>
      <c r="H95" s="548"/>
      <c r="I95" s="548"/>
      <c r="J95" s="548"/>
      <c r="K95" s="548"/>
      <c r="L95" s="548"/>
      <c r="M95" s="548"/>
      <c r="N95" s="548"/>
      <c r="O95" s="548"/>
      <c r="P95" s="548"/>
      <c r="Q95" s="548"/>
      <c r="R95" s="548"/>
      <c r="S95" s="548"/>
      <c r="T95" s="548"/>
      <c r="U95" s="548"/>
      <c r="V95" s="548"/>
      <c r="W95" s="548"/>
      <c r="X95" s="548"/>
      <c r="Y95" s="548"/>
      <c r="Z95" s="548"/>
      <c r="AA95" s="548"/>
      <c r="AB95" s="548"/>
      <c r="AC95" s="548"/>
      <c r="AD95" s="548"/>
      <c r="AE95" s="548"/>
      <c r="AF95" s="548"/>
      <c r="AG95" s="548"/>
      <c r="AH95" s="548"/>
      <c r="AI95" s="548"/>
      <c r="AJ95" s="548"/>
      <c r="AK95" s="548"/>
      <c r="AL95" s="548"/>
      <c r="AM95" s="548"/>
      <c r="AN95" s="548"/>
      <c r="AO95" s="548"/>
    </row>
    <row r="96">
      <c r="B96" s="847" t="s">
        <v>1392</v>
      </c>
      <c r="G96" s="548"/>
      <c r="H96" s="548"/>
      <c r="I96" s="548"/>
      <c r="J96" s="548"/>
      <c r="K96" s="548"/>
      <c r="L96" s="548"/>
      <c r="M96" s="548"/>
      <c r="N96" s="548"/>
      <c r="O96" s="548"/>
      <c r="P96" s="548"/>
      <c r="Q96" s="548"/>
      <c r="R96" s="548"/>
      <c r="S96" s="548"/>
      <c r="T96" s="548"/>
      <c r="U96" s="548"/>
      <c r="V96" s="548"/>
      <c r="W96" s="548"/>
      <c r="X96" s="548"/>
      <c r="Y96" s="548"/>
      <c r="Z96" s="548"/>
      <c r="AA96" s="548"/>
      <c r="AB96" s="548"/>
      <c r="AC96" s="548"/>
      <c r="AD96" s="548"/>
      <c r="AE96" s="548"/>
      <c r="AF96" s="548"/>
      <c r="AG96" s="548"/>
      <c r="AH96" s="548"/>
      <c r="AI96" s="548"/>
      <c r="AJ96" s="548"/>
      <c r="AK96" s="548"/>
      <c r="AL96" s="548"/>
      <c r="AM96" s="548"/>
      <c r="AN96" s="548"/>
      <c r="AO96" s="548"/>
    </row>
    <row r="97">
      <c r="B97" s="850" t="s">
        <v>1393</v>
      </c>
      <c r="G97" s="548"/>
      <c r="H97" s="548"/>
      <c r="I97" s="548"/>
      <c r="J97" s="548"/>
      <c r="K97" s="548"/>
      <c r="L97" s="548"/>
      <c r="M97" s="548"/>
      <c r="N97" s="548"/>
      <c r="O97" s="548"/>
      <c r="P97" s="548"/>
      <c r="Q97" s="548"/>
      <c r="R97" s="548"/>
      <c r="S97" s="548"/>
      <c r="T97" s="548"/>
      <c r="U97" s="548"/>
      <c r="V97" s="548"/>
      <c r="W97" s="548"/>
      <c r="X97" s="548"/>
      <c r="Y97" s="548"/>
      <c r="Z97" s="548"/>
      <c r="AA97" s="548"/>
      <c r="AB97" s="548"/>
      <c r="AC97" s="548"/>
      <c r="AD97" s="548"/>
      <c r="AE97" s="548"/>
      <c r="AF97" s="548"/>
      <c r="AG97" s="548"/>
      <c r="AH97" s="548"/>
      <c r="AI97" s="548"/>
      <c r="AJ97" s="548"/>
      <c r="AK97" s="548"/>
      <c r="AL97" s="548"/>
      <c r="AM97" s="548"/>
      <c r="AN97" s="548"/>
      <c r="AO97" s="548"/>
    </row>
    <row r="98">
      <c r="B98" s="850" t="s">
        <v>1394</v>
      </c>
      <c r="G98" s="548"/>
      <c r="H98" s="548"/>
      <c r="I98" s="548"/>
      <c r="J98" s="548"/>
      <c r="K98" s="548"/>
      <c r="L98" s="548"/>
      <c r="M98" s="548"/>
      <c r="N98" s="548"/>
      <c r="O98" s="548"/>
      <c r="P98" s="548"/>
      <c r="Q98" s="548"/>
      <c r="R98" s="548"/>
      <c r="S98" s="548"/>
      <c r="T98" s="548"/>
      <c r="U98" s="548"/>
      <c r="V98" s="548"/>
      <c r="W98" s="548"/>
      <c r="X98" s="548"/>
      <c r="Y98" s="548"/>
      <c r="Z98" s="548"/>
      <c r="AA98" s="548"/>
      <c r="AB98" s="548"/>
      <c r="AC98" s="548"/>
      <c r="AD98" s="548"/>
      <c r="AE98" s="548"/>
      <c r="AF98" s="548"/>
      <c r="AG98" s="548"/>
      <c r="AH98" s="548"/>
      <c r="AI98" s="548"/>
      <c r="AJ98" s="548"/>
      <c r="AK98" s="548"/>
      <c r="AL98" s="548"/>
      <c r="AM98" s="548"/>
      <c r="AN98" s="548"/>
      <c r="AO98" s="548"/>
    </row>
    <row r="99">
      <c r="B99" s="847" t="s">
        <v>1395</v>
      </c>
      <c r="G99" s="548"/>
      <c r="H99" s="548"/>
      <c r="I99" s="548"/>
      <c r="J99" s="548"/>
      <c r="K99" s="548"/>
      <c r="L99" s="548"/>
      <c r="M99" s="548"/>
      <c r="N99" s="548"/>
      <c r="O99" s="548"/>
      <c r="P99" s="548"/>
      <c r="Q99" s="548"/>
      <c r="R99" s="548"/>
      <c r="S99" s="548"/>
      <c r="T99" s="548"/>
      <c r="U99" s="548"/>
      <c r="V99" s="548"/>
      <c r="W99" s="548"/>
      <c r="X99" s="548"/>
      <c r="Y99" s="548"/>
      <c r="Z99" s="548"/>
      <c r="AA99" s="548"/>
      <c r="AB99" s="548"/>
      <c r="AC99" s="548"/>
      <c r="AD99" s="548"/>
      <c r="AE99" s="548"/>
      <c r="AF99" s="548"/>
      <c r="AG99" s="548"/>
      <c r="AH99" s="548"/>
      <c r="AI99" s="548"/>
      <c r="AJ99" s="548"/>
      <c r="AK99" s="548"/>
      <c r="AL99" s="548"/>
      <c r="AM99" s="548"/>
      <c r="AN99" s="548"/>
      <c r="AO99" s="548"/>
    </row>
    <row r="100">
      <c r="B100" s="847" t="s">
        <v>1396</v>
      </c>
      <c r="G100" s="548"/>
      <c r="H100" s="548"/>
      <c r="I100" s="548"/>
      <c r="J100" s="548"/>
      <c r="K100" s="548"/>
      <c r="L100" s="548"/>
      <c r="M100" s="548"/>
      <c r="N100" s="548"/>
      <c r="O100" s="548"/>
      <c r="P100" s="548"/>
      <c r="Q100" s="548"/>
      <c r="R100" s="548"/>
      <c r="S100" s="548"/>
      <c r="T100" s="548"/>
      <c r="U100" s="548"/>
      <c r="V100" s="548"/>
      <c r="W100" s="548"/>
      <c r="X100" s="548"/>
      <c r="Y100" s="548"/>
      <c r="Z100" s="548"/>
      <c r="AA100" s="548"/>
      <c r="AB100" s="548"/>
      <c r="AC100" s="548"/>
      <c r="AD100" s="548"/>
      <c r="AE100" s="548"/>
      <c r="AF100" s="548"/>
      <c r="AG100" s="548"/>
      <c r="AH100" s="548"/>
      <c r="AI100" s="548"/>
      <c r="AJ100" s="548"/>
      <c r="AK100" s="548"/>
      <c r="AL100" s="548"/>
      <c r="AM100" s="548"/>
      <c r="AN100" s="548"/>
      <c r="AO100" s="548"/>
    </row>
    <row r="101">
      <c r="B101" s="847" t="s">
        <v>1397</v>
      </c>
      <c r="G101" s="548"/>
      <c r="H101" s="548"/>
      <c r="I101" s="548"/>
      <c r="J101" s="548"/>
      <c r="K101" s="548"/>
      <c r="L101" s="548"/>
      <c r="M101" s="548"/>
      <c r="N101" s="548"/>
      <c r="O101" s="548"/>
      <c r="P101" s="548"/>
      <c r="Q101" s="548"/>
      <c r="R101" s="548"/>
      <c r="S101" s="548"/>
      <c r="T101" s="548"/>
      <c r="U101" s="548"/>
      <c r="V101" s="548"/>
      <c r="W101" s="548"/>
      <c r="X101" s="548"/>
      <c r="Y101" s="548"/>
      <c r="Z101" s="548"/>
      <c r="AA101" s="548"/>
      <c r="AB101" s="548"/>
      <c r="AC101" s="548"/>
      <c r="AD101" s="548"/>
      <c r="AE101" s="548"/>
      <c r="AF101" s="548"/>
      <c r="AG101" s="548"/>
      <c r="AH101" s="548"/>
      <c r="AI101" s="548"/>
      <c r="AJ101" s="548"/>
      <c r="AK101" s="548"/>
      <c r="AL101" s="548"/>
      <c r="AM101" s="548"/>
      <c r="AN101" s="548"/>
      <c r="AO101" s="548"/>
    </row>
    <row r="102">
      <c r="A102" s="845" t="s">
        <v>1409</v>
      </c>
      <c r="B102" s="846" t="s">
        <v>1389</v>
      </c>
      <c r="G102" s="548"/>
      <c r="H102" s="548"/>
      <c r="I102" s="548"/>
      <c r="J102" s="548"/>
      <c r="K102" s="548"/>
      <c r="L102" s="548"/>
      <c r="M102" s="548"/>
      <c r="N102" s="548"/>
      <c r="O102" s="548"/>
      <c r="P102" s="548"/>
      <c r="Q102" s="548"/>
      <c r="R102" s="548"/>
      <c r="S102" s="548"/>
      <c r="T102" s="548"/>
      <c r="U102" s="548"/>
      <c r="V102" s="548"/>
      <c r="W102" s="548"/>
      <c r="X102" s="548"/>
      <c r="Y102" s="548"/>
      <c r="Z102" s="548"/>
      <c r="AA102" s="548"/>
      <c r="AB102" s="548"/>
      <c r="AC102" s="548"/>
      <c r="AD102" s="548"/>
      <c r="AE102" s="548"/>
      <c r="AF102" s="548"/>
      <c r="AG102" s="548"/>
      <c r="AH102" s="548"/>
      <c r="AI102" s="548"/>
      <c r="AJ102" s="548"/>
      <c r="AK102" s="548"/>
      <c r="AL102" s="548"/>
      <c r="AM102" s="548"/>
      <c r="AN102" s="548"/>
      <c r="AO102" s="548"/>
    </row>
    <row r="103">
      <c r="B103" s="847" t="s">
        <v>1390</v>
      </c>
      <c r="G103" s="548"/>
      <c r="H103" s="548"/>
      <c r="I103" s="548"/>
      <c r="J103" s="548"/>
      <c r="K103" s="548"/>
      <c r="L103" s="548"/>
      <c r="M103" s="548"/>
      <c r="N103" s="548"/>
      <c r="O103" s="548"/>
      <c r="P103" s="548"/>
      <c r="Q103" s="548"/>
      <c r="R103" s="548"/>
      <c r="S103" s="548"/>
      <c r="T103" s="548"/>
      <c r="U103" s="548"/>
      <c r="V103" s="548"/>
      <c r="W103" s="548"/>
      <c r="X103" s="548"/>
      <c r="Y103" s="548"/>
      <c r="Z103" s="548"/>
      <c r="AA103" s="548"/>
      <c r="AB103" s="548"/>
      <c r="AC103" s="548"/>
      <c r="AD103" s="548"/>
      <c r="AE103" s="548"/>
      <c r="AF103" s="548"/>
      <c r="AG103" s="548"/>
      <c r="AH103" s="548"/>
      <c r="AI103" s="548"/>
      <c r="AJ103" s="548"/>
      <c r="AK103" s="548"/>
      <c r="AL103" s="548"/>
      <c r="AM103" s="548"/>
      <c r="AN103" s="548"/>
      <c r="AO103" s="548"/>
    </row>
    <row r="104">
      <c r="B104" s="847" t="s">
        <v>1391</v>
      </c>
      <c r="G104" s="548"/>
      <c r="H104" s="548"/>
      <c r="I104" s="548"/>
      <c r="J104" s="548"/>
      <c r="K104" s="548"/>
      <c r="L104" s="548"/>
      <c r="M104" s="548"/>
      <c r="N104" s="548"/>
      <c r="O104" s="548"/>
      <c r="P104" s="548"/>
      <c r="Q104" s="548"/>
      <c r="R104" s="548"/>
      <c r="S104" s="548"/>
      <c r="T104" s="548"/>
      <c r="U104" s="548"/>
      <c r="V104" s="548"/>
      <c r="W104" s="548"/>
      <c r="X104" s="548"/>
      <c r="Y104" s="548"/>
      <c r="Z104" s="548"/>
      <c r="AA104" s="548"/>
      <c r="AB104" s="548"/>
      <c r="AC104" s="548"/>
      <c r="AD104" s="548"/>
      <c r="AE104" s="548"/>
      <c r="AF104" s="548"/>
      <c r="AG104" s="548"/>
      <c r="AH104" s="548"/>
      <c r="AI104" s="548"/>
      <c r="AJ104" s="548"/>
      <c r="AK104" s="548"/>
      <c r="AL104" s="548"/>
      <c r="AM104" s="548"/>
      <c r="AN104" s="548"/>
      <c r="AO104" s="548"/>
    </row>
    <row r="105">
      <c r="B105" s="847" t="s">
        <v>1392</v>
      </c>
      <c r="G105" s="548"/>
      <c r="H105" s="548"/>
      <c r="I105" s="548"/>
      <c r="J105" s="548"/>
      <c r="K105" s="548"/>
      <c r="L105" s="548"/>
      <c r="M105" s="548"/>
      <c r="N105" s="548"/>
      <c r="O105" s="548"/>
      <c r="P105" s="548"/>
      <c r="Q105" s="548"/>
      <c r="R105" s="548"/>
      <c r="S105" s="548"/>
      <c r="T105" s="548"/>
      <c r="U105" s="548"/>
      <c r="V105" s="548"/>
      <c r="W105" s="548"/>
      <c r="X105" s="548"/>
      <c r="Y105" s="548"/>
      <c r="Z105" s="548"/>
      <c r="AA105" s="548"/>
      <c r="AB105" s="548"/>
      <c r="AC105" s="548"/>
      <c r="AD105" s="548"/>
      <c r="AE105" s="548"/>
      <c r="AF105" s="548"/>
      <c r="AG105" s="548"/>
      <c r="AH105" s="548"/>
      <c r="AI105" s="548"/>
      <c r="AJ105" s="548"/>
      <c r="AK105" s="548"/>
      <c r="AL105" s="548"/>
      <c r="AM105" s="548"/>
      <c r="AN105" s="548"/>
      <c r="AO105" s="548"/>
    </row>
    <row r="106">
      <c r="B106" s="850" t="s">
        <v>1393</v>
      </c>
      <c r="G106" s="548"/>
      <c r="H106" s="548"/>
      <c r="I106" s="548"/>
      <c r="J106" s="548"/>
      <c r="K106" s="548"/>
      <c r="L106" s="548"/>
      <c r="M106" s="548"/>
      <c r="N106" s="548"/>
      <c r="O106" s="548"/>
      <c r="P106" s="548"/>
      <c r="Q106" s="548"/>
      <c r="R106" s="548"/>
      <c r="S106" s="548"/>
      <c r="T106" s="548"/>
      <c r="U106" s="548"/>
      <c r="V106" s="548"/>
      <c r="W106" s="548"/>
      <c r="X106" s="548"/>
      <c r="Y106" s="548"/>
      <c r="Z106" s="548"/>
      <c r="AA106" s="548"/>
      <c r="AB106" s="548"/>
      <c r="AC106" s="548"/>
      <c r="AD106" s="548"/>
      <c r="AE106" s="548"/>
      <c r="AF106" s="548"/>
      <c r="AG106" s="548"/>
      <c r="AH106" s="548"/>
      <c r="AI106" s="548"/>
      <c r="AJ106" s="548"/>
      <c r="AK106" s="548"/>
      <c r="AL106" s="548"/>
      <c r="AM106" s="548"/>
      <c r="AN106" s="548"/>
      <c r="AO106" s="548"/>
    </row>
    <row r="107">
      <c r="B107" s="850" t="s">
        <v>1394</v>
      </c>
      <c r="G107" s="548"/>
      <c r="H107" s="548"/>
      <c r="I107" s="548"/>
      <c r="J107" s="548"/>
      <c r="K107" s="548"/>
      <c r="L107" s="548"/>
      <c r="M107" s="548"/>
      <c r="N107" s="548"/>
      <c r="O107" s="548"/>
      <c r="P107" s="548"/>
      <c r="Q107" s="548"/>
      <c r="R107" s="548"/>
      <c r="S107" s="548"/>
      <c r="T107" s="548"/>
      <c r="U107" s="548"/>
      <c r="V107" s="548"/>
      <c r="W107" s="548"/>
      <c r="X107" s="548"/>
      <c r="Y107" s="548"/>
      <c r="Z107" s="548"/>
      <c r="AA107" s="548"/>
      <c r="AB107" s="548"/>
      <c r="AC107" s="548"/>
      <c r="AD107" s="548"/>
      <c r="AE107" s="548"/>
      <c r="AF107" s="548"/>
      <c r="AG107" s="548"/>
      <c r="AH107" s="548"/>
      <c r="AI107" s="548"/>
      <c r="AJ107" s="548"/>
      <c r="AK107" s="548"/>
      <c r="AL107" s="548"/>
      <c r="AM107" s="548"/>
      <c r="AN107" s="548"/>
      <c r="AO107" s="548"/>
    </row>
    <row r="108">
      <c r="B108" s="847" t="s">
        <v>1395</v>
      </c>
      <c r="G108" s="548"/>
      <c r="H108" s="548"/>
      <c r="I108" s="548"/>
      <c r="J108" s="548"/>
      <c r="K108" s="548"/>
      <c r="L108" s="548"/>
      <c r="M108" s="548"/>
      <c r="N108" s="548"/>
      <c r="O108" s="548"/>
      <c r="P108" s="548"/>
      <c r="Q108" s="548"/>
      <c r="R108" s="548"/>
      <c r="S108" s="548"/>
      <c r="T108" s="548"/>
      <c r="U108" s="548"/>
      <c r="V108" s="548"/>
      <c r="W108" s="548"/>
      <c r="X108" s="548"/>
      <c r="Y108" s="548"/>
      <c r="Z108" s="548"/>
      <c r="AA108" s="548"/>
      <c r="AB108" s="548"/>
      <c r="AC108" s="548"/>
      <c r="AD108" s="548"/>
      <c r="AE108" s="548"/>
      <c r="AF108" s="548"/>
      <c r="AG108" s="548"/>
      <c r="AH108" s="548"/>
      <c r="AI108" s="548"/>
      <c r="AJ108" s="548"/>
      <c r="AK108" s="548"/>
      <c r="AL108" s="548"/>
      <c r="AM108" s="548"/>
      <c r="AN108" s="548"/>
      <c r="AO108" s="548"/>
    </row>
    <row r="109">
      <c r="B109" s="847" t="s">
        <v>1396</v>
      </c>
      <c r="G109" s="548"/>
      <c r="H109" s="548"/>
      <c r="I109" s="548"/>
      <c r="J109" s="548"/>
      <c r="K109" s="548"/>
      <c r="L109" s="548"/>
      <c r="M109" s="548"/>
      <c r="N109" s="548"/>
      <c r="O109" s="548"/>
      <c r="P109" s="548"/>
      <c r="Q109" s="548"/>
      <c r="R109" s="548"/>
      <c r="S109" s="548"/>
      <c r="T109" s="548"/>
      <c r="U109" s="548"/>
      <c r="V109" s="548"/>
      <c r="W109" s="548"/>
      <c r="X109" s="548"/>
      <c r="Y109" s="548"/>
      <c r="Z109" s="548"/>
      <c r="AA109" s="548"/>
      <c r="AB109" s="548"/>
      <c r="AC109" s="548"/>
      <c r="AD109" s="548"/>
      <c r="AE109" s="548"/>
      <c r="AF109" s="548"/>
      <c r="AG109" s="548"/>
      <c r="AH109" s="548"/>
      <c r="AI109" s="548"/>
      <c r="AJ109" s="548"/>
      <c r="AK109" s="548"/>
      <c r="AL109" s="548"/>
      <c r="AM109" s="548"/>
      <c r="AN109" s="548"/>
      <c r="AO109" s="548"/>
    </row>
    <row r="110">
      <c r="B110" s="847" t="s">
        <v>1397</v>
      </c>
      <c r="G110" s="548"/>
      <c r="H110" s="548"/>
      <c r="I110" s="548"/>
      <c r="J110" s="548"/>
      <c r="K110" s="548"/>
      <c r="L110" s="548"/>
      <c r="M110" s="548"/>
      <c r="N110" s="548"/>
      <c r="O110" s="548"/>
      <c r="P110" s="548"/>
      <c r="Q110" s="548"/>
      <c r="R110" s="548"/>
      <c r="S110" s="548"/>
      <c r="T110" s="548"/>
      <c r="U110" s="548"/>
      <c r="V110" s="548"/>
      <c r="W110" s="548"/>
      <c r="X110" s="548"/>
      <c r="Y110" s="548"/>
      <c r="Z110" s="548"/>
      <c r="AA110" s="548"/>
      <c r="AB110" s="548"/>
      <c r="AC110" s="548"/>
      <c r="AD110" s="548"/>
      <c r="AE110" s="548"/>
      <c r="AF110" s="548"/>
      <c r="AG110" s="548"/>
      <c r="AH110" s="548"/>
      <c r="AI110" s="548"/>
      <c r="AJ110" s="548"/>
      <c r="AK110" s="548"/>
      <c r="AL110" s="548"/>
      <c r="AM110" s="548"/>
      <c r="AN110" s="548"/>
      <c r="AO110" s="548"/>
    </row>
    <row r="111">
      <c r="A111" s="845" t="s">
        <v>1410</v>
      </c>
      <c r="B111" s="846" t="s">
        <v>1389</v>
      </c>
      <c r="G111" s="548"/>
      <c r="H111" s="548"/>
      <c r="I111" s="548"/>
      <c r="J111" s="548"/>
      <c r="K111" s="548"/>
      <c r="L111" s="548"/>
      <c r="M111" s="548"/>
      <c r="N111" s="548"/>
      <c r="O111" s="548"/>
      <c r="P111" s="548"/>
      <c r="Q111" s="548"/>
      <c r="R111" s="548"/>
      <c r="S111" s="548"/>
      <c r="T111" s="548"/>
      <c r="U111" s="548"/>
      <c r="V111" s="548"/>
      <c r="W111" s="548"/>
      <c r="X111" s="548"/>
      <c r="Y111" s="548"/>
      <c r="Z111" s="548"/>
      <c r="AA111" s="548"/>
      <c r="AB111" s="548"/>
      <c r="AC111" s="548"/>
      <c r="AD111" s="548"/>
      <c r="AE111" s="548"/>
      <c r="AF111" s="548"/>
      <c r="AG111" s="548"/>
      <c r="AH111" s="548"/>
      <c r="AI111" s="548"/>
      <c r="AJ111" s="548"/>
      <c r="AK111" s="548"/>
      <c r="AL111" s="548"/>
      <c r="AM111" s="548"/>
      <c r="AN111" s="548"/>
      <c r="AO111" s="548"/>
    </row>
    <row r="112">
      <c r="B112" s="847" t="s">
        <v>1390</v>
      </c>
      <c r="G112" s="548"/>
      <c r="H112" s="548"/>
      <c r="I112" s="548"/>
      <c r="J112" s="548"/>
      <c r="K112" s="548"/>
      <c r="L112" s="548"/>
      <c r="M112" s="548"/>
      <c r="N112" s="548"/>
      <c r="O112" s="548"/>
      <c r="P112" s="548"/>
      <c r="Q112" s="548"/>
      <c r="R112" s="548"/>
      <c r="S112" s="548"/>
      <c r="T112" s="548"/>
      <c r="U112" s="548"/>
      <c r="V112" s="548"/>
      <c r="W112" s="548"/>
      <c r="X112" s="548"/>
      <c r="Y112" s="548"/>
      <c r="Z112" s="548"/>
      <c r="AA112" s="548"/>
      <c r="AB112" s="548"/>
      <c r="AC112" s="548"/>
      <c r="AD112" s="548"/>
      <c r="AE112" s="548"/>
      <c r="AF112" s="548"/>
      <c r="AG112" s="548"/>
      <c r="AH112" s="548"/>
      <c r="AI112" s="548"/>
      <c r="AJ112" s="548"/>
      <c r="AK112" s="548"/>
      <c r="AL112" s="548"/>
      <c r="AM112" s="548"/>
      <c r="AN112" s="548"/>
      <c r="AO112" s="548"/>
    </row>
    <row r="113">
      <c r="B113" s="847" t="s">
        <v>1391</v>
      </c>
      <c r="G113" s="548"/>
      <c r="H113" s="548"/>
      <c r="I113" s="548"/>
      <c r="J113" s="548"/>
      <c r="K113" s="548"/>
      <c r="L113" s="548"/>
      <c r="M113" s="548"/>
      <c r="N113" s="548"/>
      <c r="O113" s="548"/>
      <c r="P113" s="548"/>
      <c r="Q113" s="548"/>
      <c r="R113" s="548"/>
      <c r="S113" s="548"/>
      <c r="T113" s="548"/>
      <c r="U113" s="548"/>
      <c r="V113" s="548"/>
      <c r="W113" s="548"/>
      <c r="X113" s="548"/>
      <c r="Y113" s="548"/>
      <c r="Z113" s="548"/>
      <c r="AA113" s="548"/>
      <c r="AB113" s="548"/>
      <c r="AC113" s="548"/>
      <c r="AD113" s="548"/>
      <c r="AE113" s="548"/>
      <c r="AF113" s="548"/>
      <c r="AG113" s="548"/>
      <c r="AH113" s="548"/>
      <c r="AI113" s="548"/>
      <c r="AJ113" s="548"/>
      <c r="AK113" s="548"/>
      <c r="AL113" s="548"/>
      <c r="AM113" s="548"/>
      <c r="AN113" s="548"/>
      <c r="AO113" s="548"/>
    </row>
    <row r="114">
      <c r="B114" s="847" t="s">
        <v>1392</v>
      </c>
      <c r="G114" s="548"/>
      <c r="H114" s="548"/>
      <c r="I114" s="548"/>
      <c r="J114" s="548"/>
      <c r="K114" s="548"/>
      <c r="L114" s="548"/>
      <c r="M114" s="548"/>
      <c r="N114" s="548"/>
      <c r="O114" s="548"/>
      <c r="P114" s="548"/>
      <c r="Q114" s="548"/>
      <c r="R114" s="548"/>
      <c r="S114" s="548"/>
      <c r="T114" s="548"/>
      <c r="U114" s="548"/>
      <c r="V114" s="548"/>
      <c r="W114" s="548"/>
      <c r="X114" s="548"/>
      <c r="Y114" s="548"/>
      <c r="Z114" s="548"/>
      <c r="AA114" s="548"/>
      <c r="AB114" s="548"/>
      <c r="AC114" s="548"/>
      <c r="AD114" s="548"/>
      <c r="AE114" s="548"/>
      <c r="AF114" s="548"/>
      <c r="AG114" s="548"/>
      <c r="AH114" s="548"/>
      <c r="AI114" s="548"/>
      <c r="AJ114" s="548"/>
      <c r="AK114" s="548"/>
      <c r="AL114" s="548"/>
      <c r="AM114" s="548"/>
      <c r="AN114" s="548"/>
      <c r="AO114" s="548"/>
    </row>
    <row r="115">
      <c r="B115" s="850" t="s">
        <v>1393</v>
      </c>
      <c r="G115" s="548"/>
      <c r="H115" s="548"/>
      <c r="I115" s="548"/>
      <c r="J115" s="548"/>
      <c r="K115" s="548"/>
      <c r="L115" s="548"/>
      <c r="M115" s="548"/>
      <c r="N115" s="548"/>
      <c r="O115" s="548"/>
      <c r="P115" s="548"/>
      <c r="Q115" s="548"/>
      <c r="R115" s="548"/>
      <c r="S115" s="548"/>
      <c r="T115" s="548"/>
      <c r="U115" s="548"/>
      <c r="V115" s="548"/>
      <c r="W115" s="548"/>
      <c r="X115" s="548"/>
      <c r="Y115" s="548"/>
      <c r="Z115" s="548"/>
      <c r="AA115" s="548"/>
      <c r="AB115" s="548"/>
      <c r="AC115" s="548"/>
      <c r="AD115" s="548"/>
      <c r="AE115" s="548"/>
      <c r="AF115" s="548"/>
      <c r="AG115" s="548"/>
      <c r="AH115" s="548"/>
      <c r="AI115" s="548"/>
      <c r="AJ115" s="548"/>
      <c r="AK115" s="548"/>
      <c r="AL115" s="548"/>
      <c r="AM115" s="548"/>
      <c r="AN115" s="548"/>
      <c r="AO115" s="548"/>
    </row>
    <row r="116">
      <c r="B116" s="850" t="s">
        <v>1394</v>
      </c>
      <c r="G116" s="548"/>
      <c r="H116" s="548"/>
      <c r="I116" s="548"/>
      <c r="J116" s="548"/>
      <c r="K116" s="548"/>
      <c r="L116" s="548"/>
      <c r="M116" s="548"/>
      <c r="N116" s="548"/>
      <c r="O116" s="548"/>
      <c r="P116" s="548"/>
      <c r="Q116" s="548"/>
      <c r="R116" s="548"/>
      <c r="S116" s="548"/>
      <c r="T116" s="548"/>
      <c r="U116" s="548"/>
      <c r="V116" s="548"/>
      <c r="W116" s="548"/>
      <c r="X116" s="548"/>
      <c r="Y116" s="548"/>
      <c r="Z116" s="548"/>
      <c r="AA116" s="548"/>
      <c r="AB116" s="548"/>
      <c r="AC116" s="548"/>
      <c r="AD116" s="548"/>
      <c r="AE116" s="548"/>
      <c r="AF116" s="548"/>
      <c r="AG116" s="548"/>
      <c r="AH116" s="548"/>
      <c r="AI116" s="548"/>
      <c r="AJ116" s="548"/>
      <c r="AK116" s="548"/>
      <c r="AL116" s="548"/>
      <c r="AM116" s="548"/>
      <c r="AN116" s="548"/>
      <c r="AO116" s="548"/>
    </row>
    <row r="117">
      <c r="B117" s="847" t="s">
        <v>1395</v>
      </c>
      <c r="G117" s="548"/>
      <c r="H117" s="548"/>
      <c r="I117" s="548"/>
      <c r="J117" s="548"/>
      <c r="K117" s="548"/>
      <c r="L117" s="548"/>
      <c r="M117" s="548"/>
      <c r="N117" s="548"/>
      <c r="O117" s="548"/>
      <c r="P117" s="548"/>
      <c r="Q117" s="548"/>
      <c r="R117" s="548"/>
      <c r="S117" s="548"/>
      <c r="T117" s="548"/>
      <c r="U117" s="548"/>
      <c r="V117" s="548"/>
      <c r="W117" s="548"/>
      <c r="X117" s="548"/>
      <c r="Y117" s="548"/>
      <c r="Z117" s="548"/>
      <c r="AA117" s="548"/>
      <c r="AB117" s="548"/>
      <c r="AC117" s="548"/>
      <c r="AD117" s="548"/>
      <c r="AE117" s="548"/>
      <c r="AF117" s="548"/>
      <c r="AG117" s="548"/>
      <c r="AH117" s="548"/>
      <c r="AI117" s="548"/>
      <c r="AJ117" s="548"/>
      <c r="AK117" s="548"/>
      <c r="AL117" s="548"/>
      <c r="AM117" s="548"/>
      <c r="AN117" s="548"/>
      <c r="AO117" s="548"/>
    </row>
    <row r="118">
      <c r="B118" s="847" t="s">
        <v>1396</v>
      </c>
      <c r="G118" s="548"/>
      <c r="H118" s="548"/>
      <c r="I118" s="548"/>
      <c r="J118" s="548"/>
      <c r="K118" s="548"/>
      <c r="L118" s="548"/>
      <c r="M118" s="548"/>
      <c r="N118" s="548"/>
      <c r="O118" s="548"/>
      <c r="P118" s="548"/>
      <c r="Q118" s="548"/>
      <c r="R118" s="548"/>
      <c r="S118" s="548"/>
      <c r="T118" s="548"/>
      <c r="U118" s="548"/>
      <c r="V118" s="548"/>
      <c r="W118" s="548"/>
      <c r="X118" s="548"/>
      <c r="Y118" s="548"/>
      <c r="Z118" s="548"/>
      <c r="AA118" s="548"/>
      <c r="AB118" s="548"/>
      <c r="AC118" s="548"/>
      <c r="AD118" s="548"/>
      <c r="AE118" s="548"/>
      <c r="AF118" s="548"/>
      <c r="AG118" s="548"/>
      <c r="AH118" s="548"/>
      <c r="AI118" s="548"/>
      <c r="AJ118" s="548"/>
      <c r="AK118" s="548"/>
      <c r="AL118" s="548"/>
      <c r="AM118" s="548"/>
      <c r="AN118" s="548"/>
      <c r="AO118" s="548"/>
    </row>
    <row r="119">
      <c r="B119" s="847" t="s">
        <v>1397</v>
      </c>
      <c r="G119" s="548"/>
      <c r="H119" s="548"/>
      <c r="I119" s="548"/>
      <c r="J119" s="548"/>
      <c r="K119" s="548"/>
      <c r="L119" s="548"/>
      <c r="M119" s="548"/>
      <c r="N119" s="548"/>
      <c r="O119" s="548"/>
      <c r="P119" s="548"/>
      <c r="Q119" s="548"/>
      <c r="R119" s="548"/>
      <c r="S119" s="548"/>
      <c r="T119" s="548"/>
      <c r="U119" s="548"/>
      <c r="V119" s="548"/>
      <c r="W119" s="548"/>
      <c r="X119" s="548"/>
      <c r="Y119" s="548"/>
      <c r="Z119" s="548"/>
      <c r="AA119" s="548"/>
      <c r="AB119" s="548"/>
      <c r="AC119" s="548"/>
      <c r="AD119" s="548"/>
      <c r="AE119" s="548"/>
      <c r="AF119" s="548"/>
      <c r="AG119" s="548"/>
      <c r="AH119" s="548"/>
      <c r="AI119" s="548"/>
      <c r="AJ119" s="548"/>
      <c r="AK119" s="548"/>
      <c r="AL119" s="548"/>
      <c r="AM119" s="548"/>
      <c r="AN119" s="548"/>
      <c r="AO119" s="548"/>
    </row>
    <row r="120">
      <c r="A120" s="845" t="s">
        <v>1411</v>
      </c>
      <c r="B120" s="846" t="s">
        <v>1389</v>
      </c>
      <c r="G120" s="548"/>
      <c r="H120" s="548"/>
      <c r="I120" s="548"/>
      <c r="J120" s="548"/>
      <c r="K120" s="548"/>
      <c r="L120" s="548"/>
      <c r="M120" s="548"/>
      <c r="N120" s="548"/>
      <c r="O120" s="548"/>
      <c r="P120" s="548"/>
      <c r="Q120" s="548"/>
      <c r="R120" s="548"/>
      <c r="S120" s="548"/>
      <c r="T120" s="548"/>
      <c r="U120" s="548"/>
      <c r="V120" s="548"/>
      <c r="W120" s="548"/>
      <c r="X120" s="548"/>
      <c r="Y120" s="548"/>
      <c r="Z120" s="548"/>
      <c r="AA120" s="548"/>
      <c r="AB120" s="548"/>
      <c r="AC120" s="548"/>
      <c r="AD120" s="548"/>
      <c r="AE120" s="548"/>
      <c r="AF120" s="548"/>
      <c r="AG120" s="548"/>
      <c r="AH120" s="548"/>
      <c r="AI120" s="548"/>
      <c r="AJ120" s="548"/>
      <c r="AK120" s="548"/>
      <c r="AL120" s="548"/>
      <c r="AM120" s="548"/>
      <c r="AN120" s="548"/>
      <c r="AO120" s="548"/>
    </row>
    <row r="121">
      <c r="B121" s="847" t="s">
        <v>1390</v>
      </c>
      <c r="G121" s="548"/>
      <c r="H121" s="548"/>
      <c r="I121" s="548"/>
      <c r="J121" s="548"/>
      <c r="K121" s="548"/>
      <c r="L121" s="548"/>
      <c r="M121" s="548"/>
      <c r="N121" s="548"/>
      <c r="O121" s="548"/>
      <c r="P121" s="548"/>
      <c r="Q121" s="548"/>
      <c r="R121" s="548"/>
      <c r="S121" s="548"/>
      <c r="T121" s="548"/>
      <c r="U121" s="548"/>
      <c r="V121" s="548"/>
      <c r="W121" s="548"/>
      <c r="X121" s="548"/>
      <c r="Y121" s="548"/>
      <c r="Z121" s="548"/>
      <c r="AA121" s="548"/>
      <c r="AB121" s="548"/>
      <c r="AC121" s="548"/>
      <c r="AD121" s="548"/>
      <c r="AE121" s="548"/>
      <c r="AF121" s="548"/>
      <c r="AG121" s="548"/>
      <c r="AH121" s="548"/>
      <c r="AI121" s="548"/>
      <c r="AJ121" s="548"/>
      <c r="AK121" s="548"/>
      <c r="AL121" s="548"/>
      <c r="AM121" s="548"/>
      <c r="AN121" s="548"/>
      <c r="AO121" s="548"/>
    </row>
    <row r="122">
      <c r="B122" s="847" t="s">
        <v>1391</v>
      </c>
      <c r="G122" s="548"/>
      <c r="H122" s="548"/>
      <c r="I122" s="548"/>
      <c r="J122" s="548"/>
      <c r="K122" s="548"/>
      <c r="L122" s="548"/>
      <c r="M122" s="548"/>
      <c r="N122" s="548"/>
      <c r="O122" s="548"/>
      <c r="P122" s="548"/>
      <c r="Q122" s="548"/>
      <c r="R122" s="548"/>
      <c r="S122" s="548"/>
      <c r="T122" s="548"/>
      <c r="U122" s="548"/>
      <c r="V122" s="548"/>
      <c r="W122" s="548"/>
      <c r="X122" s="548"/>
      <c r="Y122" s="548"/>
      <c r="Z122" s="548"/>
      <c r="AA122" s="548"/>
      <c r="AB122" s="548"/>
      <c r="AC122" s="548"/>
      <c r="AD122" s="548"/>
      <c r="AE122" s="548"/>
      <c r="AF122" s="548"/>
      <c r="AG122" s="548"/>
      <c r="AH122" s="548"/>
      <c r="AI122" s="548"/>
      <c r="AJ122" s="548"/>
      <c r="AK122" s="548"/>
      <c r="AL122" s="548"/>
      <c r="AM122" s="548"/>
      <c r="AN122" s="548"/>
      <c r="AO122" s="548"/>
    </row>
    <row r="123">
      <c r="B123" s="847" t="s">
        <v>1392</v>
      </c>
      <c r="G123" s="548"/>
      <c r="H123" s="548"/>
      <c r="I123" s="548"/>
      <c r="J123" s="548"/>
      <c r="K123" s="548"/>
      <c r="L123" s="548"/>
      <c r="M123" s="548"/>
      <c r="N123" s="548"/>
      <c r="O123" s="548"/>
      <c r="P123" s="548"/>
      <c r="Q123" s="548"/>
      <c r="R123" s="548"/>
      <c r="S123" s="548"/>
      <c r="T123" s="548"/>
      <c r="U123" s="548"/>
      <c r="V123" s="548"/>
      <c r="W123" s="548"/>
      <c r="X123" s="548"/>
      <c r="Y123" s="548"/>
      <c r="Z123" s="548"/>
      <c r="AA123" s="548"/>
      <c r="AB123" s="548"/>
      <c r="AC123" s="548"/>
      <c r="AD123" s="548"/>
      <c r="AE123" s="548"/>
      <c r="AF123" s="548"/>
      <c r="AG123" s="548"/>
      <c r="AH123" s="548"/>
      <c r="AI123" s="548"/>
      <c r="AJ123" s="548"/>
      <c r="AK123" s="548"/>
      <c r="AL123" s="548"/>
      <c r="AM123" s="548"/>
      <c r="AN123" s="548"/>
      <c r="AO123" s="548"/>
    </row>
    <row r="124">
      <c r="B124" s="850" t="s">
        <v>1393</v>
      </c>
      <c r="G124" s="548"/>
      <c r="H124" s="548"/>
      <c r="I124" s="548"/>
      <c r="J124" s="548"/>
      <c r="K124" s="548"/>
      <c r="L124" s="548"/>
      <c r="M124" s="548"/>
      <c r="N124" s="548"/>
      <c r="O124" s="548"/>
      <c r="P124" s="548"/>
      <c r="Q124" s="548"/>
      <c r="R124" s="548"/>
      <c r="S124" s="548"/>
      <c r="T124" s="548"/>
      <c r="U124" s="548"/>
      <c r="V124" s="548"/>
      <c r="W124" s="548"/>
      <c r="X124" s="548"/>
      <c r="Y124" s="548"/>
      <c r="Z124" s="548"/>
      <c r="AA124" s="548"/>
      <c r="AB124" s="548"/>
      <c r="AC124" s="548"/>
      <c r="AD124" s="548"/>
      <c r="AE124" s="548"/>
      <c r="AF124" s="548"/>
      <c r="AG124" s="548"/>
      <c r="AH124" s="548"/>
      <c r="AI124" s="548"/>
      <c r="AJ124" s="548"/>
      <c r="AK124" s="548"/>
      <c r="AL124" s="548"/>
      <c r="AM124" s="548"/>
      <c r="AN124" s="548"/>
      <c r="AO124" s="548"/>
    </row>
    <row r="125">
      <c r="B125" s="850" t="s">
        <v>1394</v>
      </c>
      <c r="G125" s="548"/>
      <c r="H125" s="548"/>
      <c r="I125" s="548"/>
      <c r="J125" s="548"/>
      <c r="K125" s="548"/>
      <c r="L125" s="548"/>
      <c r="M125" s="548"/>
      <c r="N125" s="548"/>
      <c r="O125" s="548"/>
      <c r="P125" s="548"/>
      <c r="Q125" s="548"/>
      <c r="R125" s="548"/>
      <c r="S125" s="548"/>
      <c r="T125" s="548"/>
      <c r="U125" s="548"/>
      <c r="V125" s="548"/>
      <c r="W125" s="548"/>
      <c r="X125" s="548"/>
      <c r="Y125" s="548"/>
      <c r="Z125" s="548"/>
      <c r="AA125" s="548"/>
      <c r="AB125" s="548"/>
      <c r="AC125" s="548"/>
      <c r="AD125" s="548"/>
      <c r="AE125" s="548"/>
      <c r="AF125" s="548"/>
      <c r="AG125" s="548"/>
      <c r="AH125" s="548"/>
      <c r="AI125" s="548"/>
      <c r="AJ125" s="548"/>
      <c r="AK125" s="548"/>
      <c r="AL125" s="548"/>
      <c r="AM125" s="548"/>
      <c r="AN125" s="548"/>
      <c r="AO125" s="548"/>
    </row>
    <row r="126">
      <c r="B126" s="847" t="s">
        <v>1395</v>
      </c>
      <c r="G126" s="548"/>
      <c r="H126" s="548"/>
      <c r="I126" s="548"/>
      <c r="J126" s="548"/>
      <c r="K126" s="548"/>
      <c r="L126" s="548"/>
      <c r="M126" s="548"/>
      <c r="N126" s="548"/>
      <c r="O126" s="548"/>
      <c r="P126" s="548"/>
      <c r="Q126" s="548"/>
      <c r="R126" s="548"/>
      <c r="S126" s="548"/>
      <c r="T126" s="548"/>
      <c r="U126" s="548"/>
      <c r="V126" s="548"/>
      <c r="W126" s="548"/>
      <c r="X126" s="548"/>
      <c r="Y126" s="548"/>
      <c r="Z126" s="548"/>
      <c r="AA126" s="548"/>
      <c r="AB126" s="548"/>
      <c r="AC126" s="548"/>
      <c r="AD126" s="548"/>
      <c r="AE126" s="548"/>
      <c r="AF126" s="548"/>
      <c r="AG126" s="548"/>
      <c r="AH126" s="548"/>
      <c r="AI126" s="548"/>
      <c r="AJ126" s="548"/>
      <c r="AK126" s="548"/>
      <c r="AL126" s="548"/>
      <c r="AM126" s="548"/>
      <c r="AN126" s="548"/>
      <c r="AO126" s="548"/>
    </row>
    <row r="127">
      <c r="B127" s="847" t="s">
        <v>1396</v>
      </c>
      <c r="G127" s="548"/>
      <c r="H127" s="548"/>
      <c r="I127" s="548"/>
      <c r="J127" s="548"/>
      <c r="K127" s="548"/>
      <c r="L127" s="548"/>
      <c r="M127" s="548"/>
      <c r="N127" s="548"/>
      <c r="O127" s="548"/>
      <c r="P127" s="548"/>
      <c r="Q127" s="548"/>
      <c r="R127" s="548"/>
      <c r="S127" s="548"/>
      <c r="T127" s="548"/>
      <c r="U127" s="548"/>
      <c r="V127" s="548"/>
      <c r="W127" s="548"/>
      <c r="X127" s="548"/>
      <c r="Y127" s="548"/>
      <c r="Z127" s="548"/>
      <c r="AA127" s="548"/>
      <c r="AB127" s="548"/>
      <c r="AC127" s="548"/>
      <c r="AD127" s="548"/>
      <c r="AE127" s="548"/>
      <c r="AF127" s="548"/>
      <c r="AG127" s="548"/>
      <c r="AH127" s="548"/>
      <c r="AI127" s="548"/>
      <c r="AJ127" s="548"/>
      <c r="AK127" s="548"/>
      <c r="AL127" s="548"/>
      <c r="AM127" s="548"/>
      <c r="AN127" s="548"/>
      <c r="AO127" s="548"/>
    </row>
    <row r="128">
      <c r="B128" s="847" t="s">
        <v>1397</v>
      </c>
      <c r="G128" s="548"/>
      <c r="H128" s="548"/>
      <c r="I128" s="548"/>
      <c r="J128" s="548"/>
      <c r="K128" s="548"/>
      <c r="L128" s="548"/>
      <c r="M128" s="548"/>
      <c r="N128" s="548"/>
      <c r="O128" s="548"/>
      <c r="P128" s="548"/>
      <c r="Q128" s="548"/>
      <c r="R128" s="548"/>
      <c r="S128" s="548"/>
      <c r="T128" s="548"/>
      <c r="U128" s="548"/>
      <c r="V128" s="548"/>
      <c r="W128" s="548"/>
      <c r="X128" s="548"/>
      <c r="Y128" s="548"/>
      <c r="Z128" s="548"/>
      <c r="AA128" s="548"/>
      <c r="AB128" s="548"/>
      <c r="AC128" s="548"/>
      <c r="AD128" s="548"/>
      <c r="AE128" s="548"/>
      <c r="AF128" s="548"/>
      <c r="AG128" s="548"/>
      <c r="AH128" s="548"/>
      <c r="AI128" s="548"/>
      <c r="AJ128" s="548"/>
      <c r="AK128" s="548"/>
      <c r="AL128" s="548"/>
      <c r="AM128" s="548"/>
      <c r="AN128" s="548"/>
      <c r="AO128" s="548"/>
    </row>
    <row r="129">
      <c r="A129" s="845" t="s">
        <v>1412</v>
      </c>
      <c r="B129" s="846" t="s">
        <v>1389</v>
      </c>
      <c r="G129" s="548"/>
      <c r="H129" s="548"/>
      <c r="I129" s="548"/>
      <c r="J129" s="548"/>
      <c r="K129" s="548"/>
      <c r="L129" s="548"/>
      <c r="M129" s="548"/>
      <c r="N129" s="548"/>
      <c r="O129" s="548"/>
      <c r="P129" s="548"/>
      <c r="Q129" s="548"/>
      <c r="R129" s="548"/>
      <c r="S129" s="548"/>
      <c r="T129" s="548"/>
      <c r="U129" s="548"/>
      <c r="V129" s="548"/>
      <c r="W129" s="548"/>
      <c r="X129" s="548"/>
      <c r="Y129" s="548"/>
      <c r="Z129" s="548"/>
      <c r="AA129" s="548"/>
      <c r="AB129" s="548"/>
      <c r="AC129" s="548"/>
      <c r="AD129" s="548"/>
      <c r="AE129" s="548"/>
      <c r="AF129" s="548"/>
      <c r="AG129" s="548"/>
      <c r="AH129" s="548"/>
      <c r="AI129" s="548"/>
      <c r="AJ129" s="548"/>
      <c r="AK129" s="548"/>
      <c r="AL129" s="548"/>
      <c r="AM129" s="548"/>
      <c r="AN129" s="548"/>
      <c r="AO129" s="548"/>
    </row>
    <row r="130">
      <c r="B130" s="847" t="s">
        <v>1390</v>
      </c>
      <c r="G130" s="548"/>
      <c r="H130" s="548"/>
      <c r="I130" s="548"/>
      <c r="J130" s="548"/>
      <c r="K130" s="548"/>
      <c r="L130" s="548"/>
      <c r="M130" s="548"/>
      <c r="N130" s="548"/>
      <c r="O130" s="548"/>
      <c r="P130" s="548"/>
      <c r="Q130" s="548"/>
      <c r="R130" s="548"/>
      <c r="S130" s="548"/>
      <c r="T130" s="548"/>
      <c r="U130" s="548"/>
      <c r="V130" s="548"/>
      <c r="W130" s="548"/>
      <c r="X130" s="548"/>
      <c r="Y130" s="548"/>
      <c r="Z130" s="548"/>
      <c r="AA130" s="548"/>
      <c r="AB130" s="548"/>
      <c r="AC130" s="548"/>
      <c r="AD130" s="548"/>
      <c r="AE130" s="548"/>
      <c r="AF130" s="548"/>
      <c r="AG130" s="548"/>
      <c r="AH130" s="548"/>
      <c r="AI130" s="548"/>
      <c r="AJ130" s="548"/>
      <c r="AK130" s="548"/>
      <c r="AL130" s="548"/>
      <c r="AM130" s="548"/>
      <c r="AN130" s="548"/>
      <c r="AO130" s="548"/>
    </row>
    <row r="131">
      <c r="B131" s="847" t="s">
        <v>1391</v>
      </c>
      <c r="G131" s="548"/>
      <c r="H131" s="548"/>
      <c r="I131" s="548"/>
      <c r="J131" s="548"/>
      <c r="K131" s="548"/>
      <c r="L131" s="548"/>
      <c r="M131" s="548"/>
      <c r="N131" s="548"/>
      <c r="O131" s="548"/>
      <c r="P131" s="548"/>
      <c r="Q131" s="548"/>
      <c r="R131" s="548"/>
      <c r="S131" s="548"/>
      <c r="T131" s="548"/>
      <c r="U131" s="548"/>
      <c r="V131" s="548"/>
      <c r="W131" s="548"/>
      <c r="X131" s="548"/>
      <c r="Y131" s="548"/>
      <c r="Z131" s="548"/>
      <c r="AA131" s="548"/>
      <c r="AB131" s="548"/>
      <c r="AC131" s="548"/>
      <c r="AD131" s="548"/>
      <c r="AE131" s="548"/>
      <c r="AF131" s="548"/>
      <c r="AG131" s="548"/>
      <c r="AH131" s="548"/>
      <c r="AI131" s="548"/>
      <c r="AJ131" s="548"/>
      <c r="AK131" s="548"/>
      <c r="AL131" s="548"/>
      <c r="AM131" s="548"/>
      <c r="AN131" s="548"/>
      <c r="AO131" s="548"/>
    </row>
    <row r="132">
      <c r="B132" s="847" t="s">
        <v>1392</v>
      </c>
      <c r="G132" s="548"/>
      <c r="H132" s="548"/>
      <c r="I132" s="548"/>
      <c r="J132" s="548"/>
      <c r="K132" s="548"/>
      <c r="L132" s="548"/>
      <c r="M132" s="548"/>
      <c r="N132" s="548"/>
      <c r="O132" s="548"/>
      <c r="P132" s="548"/>
      <c r="Q132" s="548"/>
      <c r="R132" s="548"/>
      <c r="S132" s="548"/>
      <c r="T132" s="548"/>
      <c r="U132" s="548"/>
      <c r="V132" s="548"/>
      <c r="W132" s="548"/>
      <c r="X132" s="548"/>
      <c r="Y132" s="548"/>
      <c r="Z132" s="548"/>
      <c r="AA132" s="548"/>
      <c r="AB132" s="548"/>
      <c r="AC132" s="548"/>
      <c r="AD132" s="548"/>
      <c r="AE132" s="548"/>
      <c r="AF132" s="548"/>
      <c r="AG132" s="548"/>
      <c r="AH132" s="548"/>
      <c r="AI132" s="548"/>
      <c r="AJ132" s="548"/>
      <c r="AK132" s="548"/>
      <c r="AL132" s="548"/>
      <c r="AM132" s="548"/>
      <c r="AN132" s="548"/>
      <c r="AO132" s="548"/>
    </row>
    <row r="133">
      <c r="B133" s="850" t="s">
        <v>1393</v>
      </c>
      <c r="G133" s="548"/>
      <c r="H133" s="548"/>
      <c r="I133" s="548"/>
      <c r="J133" s="548"/>
      <c r="K133" s="548"/>
      <c r="L133" s="548"/>
      <c r="M133" s="548"/>
      <c r="N133" s="548"/>
      <c r="O133" s="548"/>
      <c r="P133" s="548"/>
      <c r="Q133" s="548"/>
      <c r="R133" s="548"/>
      <c r="S133" s="548"/>
      <c r="T133" s="548"/>
      <c r="U133" s="548"/>
      <c r="V133" s="548"/>
      <c r="W133" s="548"/>
      <c r="X133" s="548"/>
      <c r="Y133" s="548"/>
      <c r="Z133" s="548"/>
      <c r="AA133" s="548"/>
      <c r="AB133" s="548"/>
      <c r="AC133" s="548"/>
      <c r="AD133" s="548"/>
      <c r="AE133" s="548"/>
      <c r="AF133" s="548"/>
      <c r="AG133" s="548"/>
      <c r="AH133" s="548"/>
      <c r="AI133" s="548"/>
      <c r="AJ133" s="548"/>
      <c r="AK133" s="548"/>
      <c r="AL133" s="548"/>
      <c r="AM133" s="548"/>
      <c r="AN133" s="548"/>
      <c r="AO133" s="548"/>
    </row>
    <row r="134">
      <c r="B134" s="850" t="s">
        <v>1394</v>
      </c>
      <c r="G134" s="548"/>
      <c r="H134" s="548"/>
      <c r="I134" s="548"/>
      <c r="J134" s="548"/>
      <c r="K134" s="548"/>
      <c r="L134" s="548"/>
      <c r="M134" s="548"/>
      <c r="N134" s="548"/>
      <c r="O134" s="548"/>
      <c r="P134" s="548"/>
      <c r="Q134" s="548"/>
      <c r="R134" s="548"/>
      <c r="S134" s="548"/>
      <c r="T134" s="548"/>
      <c r="U134" s="548"/>
      <c r="V134" s="548"/>
      <c r="W134" s="548"/>
      <c r="X134" s="548"/>
      <c r="Y134" s="548"/>
      <c r="Z134" s="548"/>
      <c r="AA134" s="548"/>
      <c r="AB134" s="548"/>
      <c r="AC134" s="548"/>
      <c r="AD134" s="548"/>
      <c r="AE134" s="548"/>
      <c r="AF134" s="548"/>
      <c r="AG134" s="548"/>
      <c r="AH134" s="548"/>
      <c r="AI134" s="548"/>
      <c r="AJ134" s="548"/>
      <c r="AK134" s="548"/>
      <c r="AL134" s="548"/>
      <c r="AM134" s="548"/>
      <c r="AN134" s="548"/>
      <c r="AO134" s="548"/>
    </row>
    <row r="135">
      <c r="B135" s="847" t="s">
        <v>1395</v>
      </c>
      <c r="G135" s="548"/>
      <c r="H135" s="548"/>
      <c r="I135" s="548"/>
      <c r="J135" s="548"/>
      <c r="K135" s="548"/>
      <c r="L135" s="548"/>
      <c r="M135" s="548"/>
      <c r="N135" s="548"/>
      <c r="O135" s="548"/>
      <c r="P135" s="548"/>
      <c r="Q135" s="548"/>
      <c r="R135" s="548"/>
      <c r="S135" s="548"/>
      <c r="T135" s="548"/>
      <c r="U135" s="548"/>
      <c r="V135" s="548"/>
      <c r="W135" s="548"/>
      <c r="X135" s="548"/>
      <c r="Y135" s="548"/>
      <c r="Z135" s="548"/>
      <c r="AA135" s="548"/>
      <c r="AB135" s="548"/>
      <c r="AC135" s="548"/>
      <c r="AD135" s="548"/>
      <c r="AE135" s="548"/>
      <c r="AF135" s="548"/>
      <c r="AG135" s="548"/>
      <c r="AH135" s="548"/>
      <c r="AI135" s="548"/>
      <c r="AJ135" s="548"/>
      <c r="AK135" s="548"/>
      <c r="AL135" s="548"/>
      <c r="AM135" s="548"/>
      <c r="AN135" s="548"/>
      <c r="AO135" s="548"/>
    </row>
    <row r="136">
      <c r="B136" s="847" t="s">
        <v>1396</v>
      </c>
      <c r="G136" s="548"/>
      <c r="H136" s="548"/>
      <c r="I136" s="548"/>
      <c r="J136" s="548"/>
      <c r="K136" s="548"/>
      <c r="L136" s="548"/>
      <c r="M136" s="548"/>
      <c r="N136" s="548"/>
      <c r="O136" s="548"/>
      <c r="P136" s="548"/>
      <c r="Q136" s="548"/>
      <c r="R136" s="548"/>
      <c r="S136" s="548"/>
      <c r="T136" s="548"/>
      <c r="U136" s="548"/>
      <c r="V136" s="548"/>
      <c r="W136" s="548"/>
      <c r="X136" s="548"/>
      <c r="Y136" s="548"/>
      <c r="Z136" s="548"/>
      <c r="AA136" s="548"/>
      <c r="AB136" s="548"/>
      <c r="AC136" s="548"/>
      <c r="AD136" s="548"/>
      <c r="AE136" s="548"/>
      <c r="AF136" s="548"/>
      <c r="AG136" s="548"/>
      <c r="AH136" s="548"/>
      <c r="AI136" s="548"/>
      <c r="AJ136" s="548"/>
      <c r="AK136" s="548"/>
      <c r="AL136" s="548"/>
      <c r="AM136" s="548"/>
      <c r="AN136" s="548"/>
      <c r="AO136" s="548"/>
    </row>
    <row r="137">
      <c r="B137" s="847" t="s">
        <v>1397</v>
      </c>
      <c r="G137" s="548"/>
      <c r="H137" s="548"/>
      <c r="I137" s="548"/>
      <c r="J137" s="548"/>
      <c r="K137" s="548"/>
      <c r="L137" s="548"/>
      <c r="M137" s="548"/>
      <c r="N137" s="548"/>
      <c r="O137" s="548"/>
      <c r="P137" s="548"/>
      <c r="Q137" s="548"/>
      <c r="R137" s="548"/>
      <c r="S137" s="548"/>
      <c r="T137" s="548"/>
      <c r="U137" s="548"/>
      <c r="V137" s="548"/>
      <c r="W137" s="548"/>
      <c r="X137" s="548"/>
      <c r="Y137" s="548"/>
      <c r="Z137" s="548"/>
      <c r="AA137" s="548"/>
      <c r="AB137" s="548"/>
      <c r="AC137" s="548"/>
      <c r="AD137" s="548"/>
      <c r="AE137" s="548"/>
      <c r="AF137" s="548"/>
      <c r="AG137" s="548"/>
      <c r="AH137" s="548"/>
      <c r="AI137" s="548"/>
      <c r="AJ137" s="548"/>
      <c r="AK137" s="548"/>
      <c r="AL137" s="548"/>
      <c r="AM137" s="548"/>
      <c r="AN137" s="548"/>
      <c r="AO137" s="548"/>
    </row>
    <row r="138">
      <c r="A138" s="840" t="s">
        <v>1413</v>
      </c>
      <c r="G138" s="548"/>
      <c r="H138" s="548"/>
      <c r="I138" s="548"/>
      <c r="J138" s="548"/>
      <c r="K138" s="548"/>
      <c r="L138" s="548"/>
      <c r="M138" s="548"/>
      <c r="N138" s="548"/>
      <c r="O138" s="548"/>
      <c r="P138" s="548"/>
      <c r="Q138" s="548"/>
      <c r="R138" s="548"/>
      <c r="S138" s="548"/>
      <c r="T138" s="548"/>
      <c r="U138" s="548"/>
      <c r="V138" s="548"/>
      <c r="W138" s="548"/>
      <c r="X138" s="548"/>
      <c r="Y138" s="548"/>
      <c r="Z138" s="548"/>
      <c r="AA138" s="548"/>
      <c r="AB138" s="548"/>
      <c r="AC138" s="548"/>
      <c r="AD138" s="548"/>
      <c r="AE138" s="548"/>
      <c r="AF138" s="548"/>
      <c r="AG138" s="548"/>
      <c r="AH138" s="548"/>
      <c r="AI138" s="548"/>
      <c r="AJ138" s="548"/>
      <c r="AK138" s="548"/>
      <c r="AL138" s="548"/>
      <c r="AM138" s="548"/>
      <c r="AN138" s="548"/>
      <c r="AO138" s="548"/>
    </row>
    <row r="139">
      <c r="A139" s="856" t="s">
        <v>1402</v>
      </c>
      <c r="B139" s="846" t="s">
        <v>1389</v>
      </c>
      <c r="G139" s="548"/>
      <c r="H139" s="548"/>
      <c r="I139" s="548"/>
      <c r="J139" s="548"/>
      <c r="K139" s="548"/>
      <c r="L139" s="548"/>
      <c r="M139" s="548"/>
      <c r="N139" s="548"/>
      <c r="O139" s="548"/>
      <c r="P139" s="548"/>
      <c r="Q139" s="548"/>
      <c r="R139" s="548"/>
      <c r="S139" s="548"/>
      <c r="T139" s="548"/>
      <c r="U139" s="548"/>
      <c r="V139" s="548"/>
      <c r="W139" s="548"/>
      <c r="X139" s="548"/>
      <c r="Y139" s="548"/>
      <c r="Z139" s="548"/>
      <c r="AA139" s="548"/>
      <c r="AB139" s="548"/>
      <c r="AC139" s="548"/>
      <c r="AD139" s="548"/>
      <c r="AE139" s="548"/>
      <c r="AF139" s="548"/>
      <c r="AG139" s="548"/>
      <c r="AH139" s="548"/>
      <c r="AI139" s="548"/>
      <c r="AJ139" s="548"/>
      <c r="AK139" s="548"/>
      <c r="AL139" s="548"/>
      <c r="AM139" s="548"/>
      <c r="AN139" s="548"/>
      <c r="AO139" s="548"/>
    </row>
    <row r="140">
      <c r="B140" s="847" t="s">
        <v>1390</v>
      </c>
      <c r="G140" s="548"/>
      <c r="H140" s="548"/>
      <c r="I140" s="548"/>
      <c r="J140" s="548"/>
      <c r="K140" s="548"/>
      <c r="L140" s="548"/>
      <c r="M140" s="548"/>
      <c r="N140" s="548"/>
      <c r="O140" s="548"/>
      <c r="P140" s="548"/>
      <c r="Q140" s="548"/>
      <c r="R140" s="548"/>
      <c r="S140" s="548"/>
      <c r="T140" s="548"/>
      <c r="U140" s="548"/>
      <c r="V140" s="548"/>
      <c r="W140" s="548"/>
      <c r="X140" s="548"/>
      <c r="Y140" s="548"/>
      <c r="Z140" s="548"/>
      <c r="AA140" s="548"/>
      <c r="AB140" s="548"/>
      <c r="AC140" s="548"/>
      <c r="AD140" s="548"/>
      <c r="AE140" s="548"/>
      <c r="AF140" s="548"/>
      <c r="AG140" s="548"/>
      <c r="AH140" s="548"/>
      <c r="AI140" s="548"/>
      <c r="AJ140" s="548"/>
      <c r="AK140" s="548"/>
      <c r="AL140" s="548"/>
      <c r="AM140" s="548"/>
      <c r="AN140" s="548"/>
      <c r="AO140" s="548"/>
    </row>
    <row r="141">
      <c r="B141" s="847" t="s">
        <v>1391</v>
      </c>
      <c r="G141" s="548"/>
      <c r="H141" s="548"/>
      <c r="I141" s="548"/>
      <c r="J141" s="548"/>
      <c r="K141" s="548"/>
      <c r="L141" s="548"/>
      <c r="M141" s="548"/>
      <c r="N141" s="548"/>
      <c r="O141" s="548"/>
      <c r="P141" s="548"/>
      <c r="Q141" s="548"/>
      <c r="R141" s="548"/>
      <c r="S141" s="548"/>
      <c r="T141" s="548"/>
      <c r="U141" s="548"/>
      <c r="V141" s="548"/>
      <c r="W141" s="548"/>
      <c r="X141" s="548"/>
      <c r="Y141" s="548"/>
      <c r="Z141" s="548"/>
      <c r="AA141" s="548"/>
      <c r="AB141" s="548"/>
      <c r="AC141" s="548"/>
      <c r="AD141" s="548"/>
      <c r="AE141" s="548"/>
      <c r="AF141" s="548"/>
      <c r="AG141" s="548"/>
      <c r="AH141" s="548"/>
      <c r="AI141" s="548"/>
      <c r="AJ141" s="548"/>
      <c r="AK141" s="548"/>
      <c r="AL141" s="548"/>
      <c r="AM141" s="548"/>
      <c r="AN141" s="548"/>
      <c r="AO141" s="548"/>
    </row>
    <row r="142">
      <c r="B142" s="847" t="s">
        <v>1392</v>
      </c>
      <c r="G142" s="548"/>
      <c r="H142" s="548"/>
      <c r="I142" s="548"/>
      <c r="J142" s="548"/>
      <c r="K142" s="548"/>
      <c r="L142" s="548"/>
      <c r="M142" s="548"/>
      <c r="N142" s="548"/>
      <c r="O142" s="548"/>
      <c r="P142" s="548"/>
      <c r="Q142" s="548"/>
      <c r="R142" s="548"/>
      <c r="S142" s="548"/>
      <c r="T142" s="548"/>
      <c r="U142" s="548"/>
      <c r="V142" s="548"/>
      <c r="W142" s="548"/>
      <c r="X142" s="548"/>
      <c r="Y142" s="548"/>
      <c r="Z142" s="548"/>
      <c r="AA142" s="548"/>
      <c r="AB142" s="548"/>
      <c r="AC142" s="548"/>
      <c r="AD142" s="548"/>
      <c r="AE142" s="548"/>
      <c r="AF142" s="548"/>
      <c r="AG142" s="548"/>
      <c r="AH142" s="548"/>
      <c r="AI142" s="548"/>
      <c r="AJ142" s="548"/>
      <c r="AK142" s="548"/>
      <c r="AL142" s="548"/>
      <c r="AM142" s="548"/>
      <c r="AN142" s="548"/>
      <c r="AO142" s="548"/>
    </row>
    <row r="143">
      <c r="B143" s="850" t="s">
        <v>1393</v>
      </c>
      <c r="G143" s="548"/>
      <c r="H143" s="548"/>
      <c r="I143" s="548"/>
      <c r="J143" s="548"/>
      <c r="K143" s="548"/>
      <c r="L143" s="548"/>
      <c r="M143" s="548"/>
      <c r="N143" s="548"/>
      <c r="O143" s="548"/>
      <c r="P143" s="548"/>
      <c r="Q143" s="548"/>
      <c r="R143" s="548"/>
      <c r="S143" s="548"/>
      <c r="T143" s="548"/>
      <c r="U143" s="548"/>
      <c r="V143" s="548"/>
      <c r="W143" s="548"/>
      <c r="X143" s="548"/>
      <c r="Y143" s="548"/>
      <c r="Z143" s="548"/>
      <c r="AA143" s="548"/>
      <c r="AB143" s="548"/>
      <c r="AC143" s="548"/>
      <c r="AD143" s="548"/>
      <c r="AE143" s="548"/>
      <c r="AF143" s="548"/>
      <c r="AG143" s="548"/>
      <c r="AH143" s="548"/>
      <c r="AI143" s="548"/>
      <c r="AJ143" s="548"/>
      <c r="AK143" s="548"/>
      <c r="AL143" s="548"/>
      <c r="AM143" s="548"/>
      <c r="AN143" s="548"/>
      <c r="AO143" s="548"/>
    </row>
    <row r="144">
      <c r="B144" s="850" t="s">
        <v>1394</v>
      </c>
      <c r="G144" s="548"/>
      <c r="H144" s="548"/>
      <c r="I144" s="548"/>
      <c r="J144" s="548"/>
      <c r="K144" s="548"/>
      <c r="L144" s="548"/>
      <c r="M144" s="548"/>
      <c r="N144" s="548"/>
      <c r="O144" s="548"/>
      <c r="P144" s="548"/>
      <c r="Q144" s="548"/>
      <c r="R144" s="548"/>
      <c r="S144" s="548"/>
      <c r="T144" s="548"/>
      <c r="U144" s="548"/>
      <c r="V144" s="548"/>
      <c r="W144" s="548"/>
      <c r="X144" s="548"/>
      <c r="Y144" s="548"/>
      <c r="Z144" s="548"/>
      <c r="AA144" s="548"/>
      <c r="AB144" s="548"/>
      <c r="AC144" s="548"/>
      <c r="AD144" s="548"/>
      <c r="AE144" s="548"/>
      <c r="AF144" s="548"/>
      <c r="AG144" s="548"/>
      <c r="AH144" s="548"/>
      <c r="AI144" s="548"/>
      <c r="AJ144" s="548"/>
      <c r="AK144" s="548"/>
      <c r="AL144" s="548"/>
      <c r="AM144" s="548"/>
      <c r="AN144" s="548"/>
      <c r="AO144" s="548"/>
    </row>
    <row r="145">
      <c r="B145" s="847" t="s">
        <v>1395</v>
      </c>
      <c r="G145" s="548"/>
      <c r="H145" s="548"/>
      <c r="I145" s="548"/>
      <c r="J145" s="548"/>
      <c r="K145" s="548"/>
      <c r="L145" s="548"/>
      <c r="M145" s="548"/>
      <c r="N145" s="548"/>
      <c r="O145" s="548"/>
      <c r="P145" s="548"/>
      <c r="Q145" s="548"/>
      <c r="R145" s="548"/>
      <c r="S145" s="548"/>
      <c r="T145" s="548"/>
      <c r="U145" s="548"/>
      <c r="V145" s="548"/>
      <c r="W145" s="548"/>
      <c r="X145" s="548"/>
      <c r="Y145" s="548"/>
      <c r="Z145" s="548"/>
      <c r="AA145" s="548"/>
      <c r="AB145" s="548"/>
      <c r="AC145" s="548"/>
      <c r="AD145" s="548"/>
      <c r="AE145" s="548"/>
      <c r="AF145" s="548"/>
      <c r="AG145" s="548"/>
      <c r="AH145" s="548"/>
      <c r="AI145" s="548"/>
      <c r="AJ145" s="548"/>
      <c r="AK145" s="548"/>
      <c r="AL145" s="548"/>
      <c r="AM145" s="548"/>
      <c r="AN145" s="548"/>
      <c r="AO145" s="548"/>
    </row>
    <row r="146">
      <c r="B146" s="847" t="s">
        <v>1396</v>
      </c>
      <c r="G146" s="548"/>
      <c r="H146" s="548"/>
      <c r="I146" s="548"/>
      <c r="J146" s="548"/>
      <c r="K146" s="548"/>
      <c r="L146" s="548"/>
      <c r="M146" s="548"/>
      <c r="N146" s="548"/>
      <c r="O146" s="548"/>
      <c r="P146" s="548"/>
      <c r="Q146" s="548"/>
      <c r="R146" s="548"/>
      <c r="S146" s="548"/>
      <c r="T146" s="548"/>
      <c r="U146" s="548"/>
      <c r="V146" s="548"/>
      <c r="W146" s="548"/>
      <c r="X146" s="548"/>
      <c r="Y146" s="548"/>
      <c r="Z146" s="548"/>
      <c r="AA146" s="548"/>
      <c r="AB146" s="548"/>
      <c r="AC146" s="548"/>
      <c r="AD146" s="548"/>
      <c r="AE146" s="548"/>
      <c r="AF146" s="548"/>
      <c r="AG146" s="548"/>
      <c r="AH146" s="548"/>
      <c r="AI146" s="548"/>
      <c r="AJ146" s="548"/>
      <c r="AK146" s="548"/>
      <c r="AL146" s="548"/>
      <c r="AM146" s="548"/>
      <c r="AN146" s="548"/>
      <c r="AO146" s="548"/>
    </row>
    <row r="147">
      <c r="B147" s="847" t="s">
        <v>1397</v>
      </c>
      <c r="G147" s="548"/>
      <c r="H147" s="548"/>
      <c r="I147" s="548"/>
      <c r="J147" s="548"/>
      <c r="K147" s="548"/>
      <c r="L147" s="548"/>
      <c r="M147" s="548"/>
      <c r="N147" s="548"/>
      <c r="O147" s="548"/>
      <c r="P147" s="548"/>
      <c r="Q147" s="548"/>
      <c r="R147" s="548"/>
      <c r="S147" s="548"/>
      <c r="T147" s="548"/>
      <c r="U147" s="548"/>
      <c r="V147" s="548"/>
      <c r="W147" s="548"/>
      <c r="X147" s="548"/>
      <c r="Y147" s="548"/>
      <c r="Z147" s="548"/>
      <c r="AA147" s="548"/>
      <c r="AB147" s="548"/>
      <c r="AC147" s="548"/>
      <c r="AD147" s="548"/>
      <c r="AE147" s="548"/>
      <c r="AF147" s="548"/>
      <c r="AG147" s="548"/>
      <c r="AH147" s="548"/>
      <c r="AI147" s="548"/>
      <c r="AJ147" s="548"/>
      <c r="AK147" s="548"/>
      <c r="AL147" s="548"/>
      <c r="AM147" s="548"/>
      <c r="AN147" s="548"/>
      <c r="AO147" s="548"/>
    </row>
    <row r="148">
      <c r="A148" s="845" t="s">
        <v>1403</v>
      </c>
      <c r="B148" s="846" t="s">
        <v>1389</v>
      </c>
      <c r="G148" s="548"/>
      <c r="H148" s="548"/>
      <c r="I148" s="548"/>
      <c r="J148" s="548"/>
      <c r="K148" s="548"/>
      <c r="L148" s="548"/>
      <c r="M148" s="548"/>
      <c r="N148" s="548"/>
      <c r="O148" s="548"/>
      <c r="P148" s="548"/>
      <c r="Q148" s="548"/>
      <c r="R148" s="548"/>
      <c r="S148" s="548"/>
      <c r="T148" s="548"/>
      <c r="U148" s="548"/>
      <c r="V148" s="548"/>
      <c r="W148" s="548"/>
      <c r="X148" s="548"/>
      <c r="Y148" s="548"/>
      <c r="Z148" s="548"/>
      <c r="AA148" s="548"/>
      <c r="AB148" s="548"/>
      <c r="AC148" s="548"/>
      <c r="AD148" s="548"/>
      <c r="AE148" s="548"/>
      <c r="AF148" s="548"/>
      <c r="AG148" s="548"/>
      <c r="AH148" s="548"/>
      <c r="AI148" s="548"/>
      <c r="AJ148" s="548"/>
      <c r="AK148" s="548"/>
      <c r="AL148" s="548"/>
      <c r="AM148" s="548"/>
      <c r="AN148" s="548"/>
      <c r="AO148" s="548"/>
    </row>
    <row r="149">
      <c r="B149" s="847" t="s">
        <v>1390</v>
      </c>
      <c r="G149" s="548"/>
      <c r="H149" s="548"/>
      <c r="I149" s="548"/>
      <c r="J149" s="548"/>
      <c r="K149" s="548"/>
      <c r="L149" s="548"/>
      <c r="M149" s="548"/>
      <c r="N149" s="548"/>
      <c r="O149" s="548"/>
      <c r="P149" s="548"/>
      <c r="Q149" s="548"/>
      <c r="R149" s="548"/>
      <c r="S149" s="548"/>
      <c r="T149" s="548"/>
      <c r="U149" s="548"/>
      <c r="V149" s="548"/>
      <c r="W149" s="548"/>
      <c r="X149" s="548"/>
      <c r="Y149" s="548"/>
      <c r="Z149" s="548"/>
      <c r="AA149" s="548"/>
      <c r="AB149" s="548"/>
      <c r="AC149" s="548"/>
      <c r="AD149" s="548"/>
      <c r="AE149" s="548"/>
      <c r="AF149" s="548"/>
      <c r="AG149" s="548"/>
      <c r="AH149" s="548"/>
      <c r="AI149" s="548"/>
      <c r="AJ149" s="548"/>
      <c r="AK149" s="548"/>
      <c r="AL149" s="548"/>
      <c r="AM149" s="548"/>
      <c r="AN149" s="548"/>
      <c r="AO149" s="548"/>
    </row>
    <row r="150">
      <c r="B150" s="847" t="s">
        <v>1391</v>
      </c>
      <c r="G150" s="548"/>
      <c r="H150" s="548"/>
      <c r="I150" s="548"/>
      <c r="J150" s="548"/>
      <c r="K150" s="548"/>
      <c r="L150" s="548"/>
      <c r="M150" s="548"/>
      <c r="N150" s="548"/>
      <c r="O150" s="548"/>
      <c r="P150" s="548"/>
      <c r="Q150" s="548"/>
      <c r="R150" s="548"/>
      <c r="S150" s="548"/>
      <c r="T150" s="548"/>
      <c r="U150" s="548"/>
      <c r="V150" s="548"/>
      <c r="W150" s="548"/>
      <c r="X150" s="548"/>
      <c r="Y150" s="548"/>
      <c r="Z150" s="548"/>
      <c r="AA150" s="548"/>
      <c r="AB150" s="548"/>
      <c r="AC150" s="548"/>
      <c r="AD150" s="548"/>
      <c r="AE150" s="548"/>
      <c r="AF150" s="548"/>
      <c r="AG150" s="548"/>
      <c r="AH150" s="548"/>
      <c r="AI150" s="548"/>
      <c r="AJ150" s="548"/>
      <c r="AK150" s="548"/>
      <c r="AL150" s="548"/>
      <c r="AM150" s="548"/>
      <c r="AN150" s="548"/>
      <c r="AO150" s="548"/>
    </row>
    <row r="151">
      <c r="B151" s="847" t="s">
        <v>1392</v>
      </c>
      <c r="G151" s="548"/>
      <c r="H151" s="548"/>
      <c r="I151" s="548"/>
      <c r="J151" s="548"/>
      <c r="K151" s="548"/>
      <c r="L151" s="548"/>
      <c r="M151" s="548"/>
      <c r="N151" s="548"/>
      <c r="O151" s="548"/>
      <c r="P151" s="548"/>
      <c r="Q151" s="548"/>
      <c r="R151" s="548"/>
      <c r="S151" s="548"/>
      <c r="T151" s="548"/>
      <c r="U151" s="548"/>
      <c r="V151" s="548"/>
      <c r="W151" s="548"/>
      <c r="X151" s="548"/>
      <c r="Y151" s="548"/>
      <c r="Z151" s="548"/>
      <c r="AA151" s="548"/>
      <c r="AB151" s="548"/>
      <c r="AC151" s="548"/>
      <c r="AD151" s="548"/>
      <c r="AE151" s="548"/>
      <c r="AF151" s="548"/>
      <c r="AG151" s="548"/>
      <c r="AH151" s="548"/>
      <c r="AI151" s="548"/>
      <c r="AJ151" s="548"/>
      <c r="AK151" s="548"/>
      <c r="AL151" s="548"/>
      <c r="AM151" s="548"/>
      <c r="AN151" s="548"/>
      <c r="AO151" s="548"/>
    </row>
    <row r="152">
      <c r="B152" s="850" t="s">
        <v>1393</v>
      </c>
      <c r="G152" s="548"/>
      <c r="H152" s="548"/>
      <c r="I152" s="548"/>
      <c r="J152" s="548"/>
      <c r="K152" s="548"/>
      <c r="L152" s="548"/>
      <c r="M152" s="548"/>
      <c r="N152" s="548"/>
      <c r="O152" s="548"/>
      <c r="P152" s="548"/>
      <c r="Q152" s="548"/>
      <c r="R152" s="548"/>
      <c r="S152" s="548"/>
      <c r="T152" s="548"/>
      <c r="U152" s="548"/>
      <c r="V152" s="548"/>
      <c r="W152" s="548"/>
      <c r="X152" s="548"/>
      <c r="Y152" s="548"/>
      <c r="Z152" s="548"/>
      <c r="AA152" s="548"/>
      <c r="AB152" s="548"/>
      <c r="AC152" s="548"/>
      <c r="AD152" s="548"/>
      <c r="AE152" s="548"/>
      <c r="AF152" s="548"/>
      <c r="AG152" s="548"/>
      <c r="AH152" s="548"/>
      <c r="AI152" s="548"/>
      <c r="AJ152" s="548"/>
      <c r="AK152" s="548"/>
      <c r="AL152" s="548"/>
      <c r="AM152" s="548"/>
      <c r="AN152" s="548"/>
      <c r="AO152" s="548"/>
    </row>
    <row r="153">
      <c r="B153" s="850" t="s">
        <v>1394</v>
      </c>
      <c r="G153" s="548"/>
      <c r="H153" s="548"/>
      <c r="I153" s="548"/>
      <c r="J153" s="548"/>
      <c r="K153" s="548"/>
      <c r="L153" s="548"/>
      <c r="M153" s="548"/>
      <c r="N153" s="548"/>
      <c r="O153" s="548"/>
      <c r="P153" s="548"/>
      <c r="Q153" s="548"/>
      <c r="R153" s="548"/>
      <c r="S153" s="548"/>
      <c r="T153" s="548"/>
      <c r="U153" s="548"/>
      <c r="V153" s="548"/>
      <c r="W153" s="548"/>
      <c r="X153" s="548"/>
      <c r="Y153" s="548"/>
      <c r="Z153" s="548"/>
      <c r="AA153" s="548"/>
      <c r="AB153" s="548"/>
      <c r="AC153" s="548"/>
      <c r="AD153" s="548"/>
      <c r="AE153" s="548"/>
      <c r="AF153" s="548"/>
      <c r="AG153" s="548"/>
      <c r="AH153" s="548"/>
      <c r="AI153" s="548"/>
      <c r="AJ153" s="548"/>
      <c r="AK153" s="548"/>
      <c r="AL153" s="548"/>
      <c r="AM153" s="548"/>
      <c r="AN153" s="548"/>
      <c r="AO153" s="548"/>
    </row>
    <row r="154">
      <c r="B154" s="847" t="s">
        <v>1395</v>
      </c>
      <c r="G154" s="548"/>
      <c r="H154" s="548"/>
      <c r="I154" s="548"/>
      <c r="J154" s="548"/>
      <c r="K154" s="548"/>
      <c r="L154" s="548"/>
      <c r="M154" s="548"/>
      <c r="N154" s="548"/>
      <c r="O154" s="548"/>
      <c r="P154" s="548"/>
      <c r="Q154" s="548"/>
      <c r="R154" s="548"/>
      <c r="S154" s="548"/>
      <c r="T154" s="548"/>
      <c r="U154" s="548"/>
      <c r="V154" s="548"/>
      <c r="W154" s="548"/>
      <c r="X154" s="548"/>
      <c r="Y154" s="548"/>
      <c r="Z154" s="548"/>
      <c r="AA154" s="548"/>
      <c r="AB154" s="548"/>
      <c r="AC154" s="548"/>
      <c r="AD154" s="548"/>
      <c r="AE154" s="548"/>
      <c r="AF154" s="548"/>
      <c r="AG154" s="548"/>
      <c r="AH154" s="548"/>
      <c r="AI154" s="548"/>
      <c r="AJ154" s="548"/>
      <c r="AK154" s="548"/>
      <c r="AL154" s="548"/>
      <c r="AM154" s="548"/>
      <c r="AN154" s="548"/>
      <c r="AO154" s="548"/>
    </row>
    <row r="155">
      <c r="B155" s="847" t="s">
        <v>1396</v>
      </c>
      <c r="G155" s="548"/>
      <c r="H155" s="548"/>
      <c r="I155" s="548"/>
      <c r="J155" s="548"/>
      <c r="K155" s="548"/>
      <c r="L155" s="548"/>
      <c r="M155" s="548"/>
      <c r="N155" s="548"/>
      <c r="O155" s="548"/>
      <c r="P155" s="548"/>
      <c r="Q155" s="548"/>
      <c r="R155" s="548"/>
      <c r="S155" s="548"/>
      <c r="T155" s="548"/>
      <c r="U155" s="548"/>
      <c r="V155" s="548"/>
      <c r="W155" s="548"/>
      <c r="X155" s="548"/>
      <c r="Y155" s="548"/>
      <c r="Z155" s="548"/>
      <c r="AA155" s="548"/>
      <c r="AB155" s="548"/>
      <c r="AC155" s="548"/>
      <c r="AD155" s="548"/>
      <c r="AE155" s="548"/>
      <c r="AF155" s="548"/>
      <c r="AG155" s="548"/>
      <c r="AH155" s="548"/>
      <c r="AI155" s="548"/>
      <c r="AJ155" s="548"/>
      <c r="AK155" s="548"/>
      <c r="AL155" s="548"/>
      <c r="AM155" s="548"/>
      <c r="AN155" s="548"/>
      <c r="AO155" s="548"/>
    </row>
    <row r="156">
      <c r="B156" s="847" t="s">
        <v>1397</v>
      </c>
      <c r="G156" s="548"/>
      <c r="H156" s="548"/>
      <c r="I156" s="548"/>
      <c r="J156" s="548"/>
      <c r="K156" s="548"/>
      <c r="L156" s="548"/>
      <c r="M156" s="548"/>
      <c r="N156" s="548"/>
      <c r="O156" s="548"/>
      <c r="P156" s="548"/>
      <c r="Q156" s="548"/>
      <c r="R156" s="548"/>
      <c r="S156" s="548"/>
      <c r="T156" s="548"/>
      <c r="U156" s="548"/>
      <c r="V156" s="548"/>
      <c r="W156" s="548"/>
      <c r="X156" s="548"/>
      <c r="Y156" s="548"/>
      <c r="Z156" s="548"/>
      <c r="AA156" s="548"/>
      <c r="AB156" s="548"/>
      <c r="AC156" s="548"/>
      <c r="AD156" s="548"/>
      <c r="AE156" s="548"/>
      <c r="AF156" s="548"/>
      <c r="AG156" s="548"/>
      <c r="AH156" s="548"/>
      <c r="AI156" s="548"/>
      <c r="AJ156" s="548"/>
      <c r="AK156" s="548"/>
      <c r="AL156" s="548"/>
      <c r="AM156" s="548"/>
      <c r="AN156" s="548"/>
      <c r="AO156" s="548"/>
    </row>
    <row r="157">
      <c r="A157" s="845" t="s">
        <v>1404</v>
      </c>
      <c r="B157" s="846" t="s">
        <v>1389</v>
      </c>
      <c r="G157" s="548"/>
      <c r="H157" s="548"/>
      <c r="I157" s="548"/>
      <c r="J157" s="548"/>
      <c r="K157" s="548"/>
      <c r="L157" s="548"/>
      <c r="M157" s="548"/>
      <c r="N157" s="548"/>
      <c r="O157" s="548"/>
      <c r="P157" s="548"/>
      <c r="Q157" s="548"/>
      <c r="R157" s="548"/>
      <c r="S157" s="548"/>
      <c r="T157" s="548"/>
      <c r="U157" s="548"/>
      <c r="V157" s="548"/>
      <c r="W157" s="548"/>
      <c r="X157" s="548"/>
      <c r="Y157" s="548"/>
      <c r="Z157" s="548"/>
      <c r="AA157" s="548"/>
      <c r="AB157" s="548"/>
      <c r="AC157" s="548"/>
      <c r="AD157" s="548"/>
      <c r="AE157" s="548"/>
      <c r="AF157" s="548"/>
      <c r="AG157" s="548"/>
      <c r="AH157" s="548"/>
      <c r="AI157" s="548"/>
      <c r="AJ157" s="548"/>
      <c r="AK157" s="548"/>
      <c r="AL157" s="548"/>
      <c r="AM157" s="548"/>
      <c r="AN157" s="548"/>
      <c r="AO157" s="548"/>
    </row>
    <row r="158">
      <c r="B158" s="847" t="s">
        <v>1390</v>
      </c>
      <c r="G158" s="548"/>
      <c r="H158" s="548"/>
      <c r="I158" s="548"/>
      <c r="J158" s="548"/>
      <c r="K158" s="548"/>
      <c r="L158" s="548"/>
      <c r="M158" s="548"/>
      <c r="N158" s="548"/>
      <c r="O158" s="548"/>
      <c r="P158" s="548"/>
      <c r="Q158" s="548"/>
      <c r="R158" s="548"/>
      <c r="S158" s="548"/>
      <c r="T158" s="548"/>
      <c r="U158" s="548"/>
      <c r="V158" s="548"/>
      <c r="W158" s="548"/>
      <c r="X158" s="548"/>
      <c r="Y158" s="548"/>
      <c r="Z158" s="548"/>
      <c r="AA158" s="548"/>
      <c r="AB158" s="548"/>
      <c r="AC158" s="548"/>
      <c r="AD158" s="548"/>
      <c r="AE158" s="548"/>
      <c r="AF158" s="548"/>
      <c r="AG158" s="548"/>
      <c r="AH158" s="548"/>
      <c r="AI158" s="548"/>
      <c r="AJ158" s="548"/>
      <c r="AK158" s="548"/>
      <c r="AL158" s="548"/>
      <c r="AM158" s="548"/>
      <c r="AN158" s="548"/>
      <c r="AO158" s="548"/>
    </row>
    <row r="159">
      <c r="B159" s="847" t="s">
        <v>1391</v>
      </c>
      <c r="G159" s="548"/>
      <c r="H159" s="548"/>
      <c r="I159" s="548"/>
      <c r="J159" s="548"/>
      <c r="K159" s="548"/>
      <c r="L159" s="548"/>
      <c r="M159" s="548"/>
      <c r="N159" s="548"/>
      <c r="O159" s="548"/>
      <c r="P159" s="548"/>
      <c r="Q159" s="548"/>
      <c r="R159" s="548"/>
      <c r="S159" s="548"/>
      <c r="T159" s="548"/>
      <c r="U159" s="548"/>
      <c r="V159" s="548"/>
      <c r="W159" s="548"/>
      <c r="X159" s="548"/>
      <c r="Y159" s="548"/>
      <c r="Z159" s="548"/>
      <c r="AA159" s="548"/>
      <c r="AB159" s="548"/>
      <c r="AC159" s="548"/>
      <c r="AD159" s="548"/>
      <c r="AE159" s="548"/>
      <c r="AF159" s="548"/>
      <c r="AG159" s="548"/>
      <c r="AH159" s="548"/>
      <c r="AI159" s="548"/>
      <c r="AJ159" s="548"/>
      <c r="AK159" s="548"/>
      <c r="AL159" s="548"/>
      <c r="AM159" s="548"/>
      <c r="AN159" s="548"/>
      <c r="AO159" s="548"/>
    </row>
    <row r="160">
      <c r="B160" s="847" t="s">
        <v>1392</v>
      </c>
      <c r="G160" s="548"/>
      <c r="H160" s="548"/>
      <c r="I160" s="548"/>
      <c r="J160" s="548"/>
      <c r="K160" s="548"/>
      <c r="L160" s="548"/>
      <c r="M160" s="548"/>
      <c r="N160" s="548"/>
      <c r="O160" s="548"/>
      <c r="P160" s="548"/>
      <c r="Q160" s="548"/>
      <c r="R160" s="548"/>
      <c r="S160" s="548"/>
      <c r="T160" s="548"/>
      <c r="U160" s="548"/>
      <c r="V160" s="548"/>
      <c r="W160" s="548"/>
      <c r="X160" s="548"/>
      <c r="Y160" s="548"/>
      <c r="Z160" s="548"/>
      <c r="AA160" s="548"/>
      <c r="AB160" s="548"/>
      <c r="AC160" s="548"/>
      <c r="AD160" s="548"/>
      <c r="AE160" s="548"/>
      <c r="AF160" s="548"/>
      <c r="AG160" s="548"/>
      <c r="AH160" s="548"/>
      <c r="AI160" s="548"/>
      <c r="AJ160" s="548"/>
      <c r="AK160" s="548"/>
      <c r="AL160" s="548"/>
      <c r="AM160" s="548"/>
      <c r="AN160" s="548"/>
      <c r="AO160" s="548"/>
    </row>
    <row r="161">
      <c r="B161" s="850" t="s">
        <v>1393</v>
      </c>
      <c r="G161" s="548"/>
      <c r="H161" s="548"/>
      <c r="I161" s="548"/>
      <c r="J161" s="548"/>
      <c r="K161" s="548"/>
      <c r="L161" s="548"/>
      <c r="M161" s="548"/>
      <c r="N161" s="548"/>
      <c r="O161" s="548"/>
      <c r="P161" s="548"/>
      <c r="Q161" s="548"/>
      <c r="R161" s="548"/>
      <c r="S161" s="548"/>
      <c r="T161" s="548"/>
      <c r="U161" s="548"/>
      <c r="V161" s="548"/>
      <c r="W161" s="548"/>
      <c r="X161" s="548"/>
      <c r="Y161" s="548"/>
      <c r="Z161" s="548"/>
      <c r="AA161" s="548"/>
      <c r="AB161" s="548"/>
      <c r="AC161" s="548"/>
      <c r="AD161" s="548"/>
      <c r="AE161" s="548"/>
      <c r="AF161" s="548"/>
      <c r="AG161" s="548"/>
      <c r="AH161" s="548"/>
      <c r="AI161" s="548"/>
      <c r="AJ161" s="548"/>
      <c r="AK161" s="548"/>
      <c r="AL161" s="548"/>
      <c r="AM161" s="548"/>
      <c r="AN161" s="548"/>
      <c r="AO161" s="548"/>
    </row>
    <row r="162">
      <c r="B162" s="850" t="s">
        <v>1394</v>
      </c>
      <c r="G162" s="548"/>
      <c r="H162" s="548"/>
      <c r="I162" s="548"/>
      <c r="J162" s="548"/>
      <c r="K162" s="548"/>
      <c r="L162" s="548"/>
      <c r="M162" s="548"/>
      <c r="N162" s="548"/>
      <c r="O162" s="548"/>
      <c r="P162" s="548"/>
      <c r="Q162" s="548"/>
      <c r="R162" s="548"/>
      <c r="S162" s="548"/>
      <c r="T162" s="548"/>
      <c r="U162" s="548"/>
      <c r="V162" s="548"/>
      <c r="W162" s="548"/>
      <c r="X162" s="548"/>
      <c r="Y162" s="548"/>
      <c r="Z162" s="548"/>
      <c r="AA162" s="548"/>
      <c r="AB162" s="548"/>
      <c r="AC162" s="548"/>
      <c r="AD162" s="548"/>
      <c r="AE162" s="548"/>
      <c r="AF162" s="548"/>
      <c r="AG162" s="548"/>
      <c r="AH162" s="548"/>
      <c r="AI162" s="548"/>
      <c r="AJ162" s="548"/>
      <c r="AK162" s="548"/>
      <c r="AL162" s="548"/>
      <c r="AM162" s="548"/>
      <c r="AN162" s="548"/>
      <c r="AO162" s="548"/>
    </row>
    <row r="163">
      <c r="B163" s="847" t="s">
        <v>1395</v>
      </c>
      <c r="G163" s="548"/>
      <c r="H163" s="548"/>
      <c r="I163" s="548"/>
      <c r="J163" s="548"/>
      <c r="K163" s="548"/>
      <c r="L163" s="548"/>
      <c r="M163" s="548"/>
      <c r="N163" s="548"/>
      <c r="O163" s="548"/>
      <c r="P163" s="548"/>
      <c r="Q163" s="548"/>
      <c r="R163" s="548"/>
      <c r="S163" s="548"/>
      <c r="T163" s="548"/>
      <c r="U163" s="548"/>
      <c r="V163" s="548"/>
      <c r="W163" s="548"/>
      <c r="X163" s="548"/>
      <c r="Y163" s="548"/>
      <c r="Z163" s="548"/>
      <c r="AA163" s="548"/>
      <c r="AB163" s="548"/>
      <c r="AC163" s="548"/>
      <c r="AD163" s="548"/>
      <c r="AE163" s="548"/>
      <c r="AF163" s="548"/>
      <c r="AG163" s="548"/>
      <c r="AH163" s="548"/>
      <c r="AI163" s="548"/>
      <c r="AJ163" s="548"/>
      <c r="AK163" s="548"/>
      <c r="AL163" s="548"/>
      <c r="AM163" s="548"/>
      <c r="AN163" s="548"/>
      <c r="AO163" s="548"/>
    </row>
    <row r="164">
      <c r="B164" s="847" t="s">
        <v>1396</v>
      </c>
      <c r="G164" s="548"/>
      <c r="H164" s="548"/>
      <c r="I164" s="548"/>
      <c r="J164" s="548"/>
      <c r="K164" s="548"/>
      <c r="L164" s="548"/>
      <c r="M164" s="548"/>
      <c r="N164" s="548"/>
      <c r="O164" s="548"/>
      <c r="P164" s="548"/>
      <c r="Q164" s="548"/>
      <c r="R164" s="548"/>
      <c r="S164" s="548"/>
      <c r="T164" s="548"/>
      <c r="U164" s="548"/>
      <c r="V164" s="548"/>
      <c r="W164" s="548"/>
      <c r="X164" s="548"/>
      <c r="Y164" s="548"/>
      <c r="Z164" s="548"/>
      <c r="AA164" s="548"/>
      <c r="AB164" s="548"/>
      <c r="AC164" s="548"/>
      <c r="AD164" s="548"/>
      <c r="AE164" s="548"/>
      <c r="AF164" s="548"/>
      <c r="AG164" s="548"/>
      <c r="AH164" s="548"/>
      <c r="AI164" s="548"/>
      <c r="AJ164" s="548"/>
      <c r="AK164" s="548"/>
      <c r="AL164" s="548"/>
      <c r="AM164" s="548"/>
      <c r="AN164" s="548"/>
      <c r="AO164" s="548"/>
    </row>
    <row r="165">
      <c r="B165" s="847" t="s">
        <v>1397</v>
      </c>
      <c r="G165" s="548"/>
      <c r="H165" s="548"/>
      <c r="I165" s="548"/>
      <c r="J165" s="548"/>
      <c r="K165" s="548"/>
      <c r="L165" s="548"/>
      <c r="M165" s="548"/>
      <c r="N165" s="548"/>
      <c r="O165" s="548"/>
      <c r="P165" s="548"/>
      <c r="Q165" s="548"/>
      <c r="R165" s="548"/>
      <c r="S165" s="548"/>
      <c r="T165" s="548"/>
      <c r="U165" s="548"/>
      <c r="V165" s="548"/>
      <c r="W165" s="548"/>
      <c r="X165" s="548"/>
      <c r="Y165" s="548"/>
      <c r="Z165" s="548"/>
      <c r="AA165" s="548"/>
      <c r="AB165" s="548"/>
      <c r="AC165" s="548"/>
      <c r="AD165" s="548"/>
      <c r="AE165" s="548"/>
      <c r="AF165" s="548"/>
      <c r="AG165" s="548"/>
      <c r="AH165" s="548"/>
      <c r="AI165" s="548"/>
      <c r="AJ165" s="548"/>
      <c r="AK165" s="548"/>
      <c r="AL165" s="548"/>
      <c r="AM165" s="548"/>
      <c r="AN165" s="548"/>
      <c r="AO165" s="548"/>
    </row>
    <row r="166">
      <c r="A166" s="845" t="s">
        <v>1405</v>
      </c>
      <c r="B166" s="846" t="s">
        <v>1389</v>
      </c>
      <c r="G166" s="548"/>
      <c r="H166" s="548"/>
      <c r="I166" s="548"/>
      <c r="J166" s="548"/>
      <c r="K166" s="548"/>
      <c r="L166" s="548"/>
      <c r="M166" s="548"/>
      <c r="N166" s="548"/>
      <c r="O166" s="548"/>
      <c r="P166" s="548"/>
      <c r="Q166" s="548"/>
      <c r="R166" s="548"/>
      <c r="S166" s="548"/>
      <c r="T166" s="548"/>
      <c r="U166" s="548"/>
      <c r="V166" s="548"/>
      <c r="W166" s="548"/>
      <c r="X166" s="548"/>
      <c r="Y166" s="548"/>
      <c r="Z166" s="548"/>
      <c r="AA166" s="548"/>
      <c r="AB166" s="548"/>
      <c r="AC166" s="548"/>
      <c r="AD166" s="548"/>
      <c r="AE166" s="548"/>
      <c r="AF166" s="548"/>
      <c r="AG166" s="548"/>
      <c r="AH166" s="548"/>
      <c r="AI166" s="548"/>
      <c r="AJ166" s="548"/>
      <c r="AK166" s="548"/>
      <c r="AL166" s="548"/>
      <c r="AM166" s="548"/>
      <c r="AN166" s="548"/>
      <c r="AO166" s="548"/>
    </row>
    <row r="167">
      <c r="B167" s="847" t="s">
        <v>1390</v>
      </c>
      <c r="G167" s="548"/>
      <c r="H167" s="548"/>
      <c r="I167" s="548"/>
      <c r="J167" s="548"/>
      <c r="K167" s="548"/>
      <c r="L167" s="548"/>
      <c r="M167" s="548"/>
      <c r="N167" s="548"/>
      <c r="O167" s="548"/>
      <c r="P167" s="548"/>
      <c r="Q167" s="548"/>
      <c r="R167" s="548"/>
      <c r="S167" s="548"/>
      <c r="T167" s="548"/>
      <c r="U167" s="548"/>
      <c r="V167" s="548"/>
      <c r="W167" s="548"/>
      <c r="X167" s="548"/>
      <c r="Y167" s="548"/>
      <c r="Z167" s="548"/>
      <c r="AA167" s="548"/>
      <c r="AB167" s="548"/>
      <c r="AC167" s="548"/>
      <c r="AD167" s="548"/>
      <c r="AE167" s="548"/>
      <c r="AF167" s="548"/>
      <c r="AG167" s="548"/>
      <c r="AH167" s="548"/>
      <c r="AI167" s="548"/>
      <c r="AJ167" s="548"/>
      <c r="AK167" s="548"/>
      <c r="AL167" s="548"/>
      <c r="AM167" s="548"/>
      <c r="AN167" s="548"/>
      <c r="AO167" s="548"/>
    </row>
    <row r="168">
      <c r="B168" s="847" t="s">
        <v>1391</v>
      </c>
      <c r="G168" s="548"/>
      <c r="H168" s="548"/>
      <c r="I168" s="548"/>
      <c r="J168" s="548"/>
      <c r="K168" s="548"/>
      <c r="L168" s="548"/>
      <c r="M168" s="548"/>
      <c r="N168" s="548"/>
      <c r="O168" s="548"/>
      <c r="P168" s="548"/>
      <c r="Q168" s="548"/>
      <c r="R168" s="548"/>
      <c r="S168" s="548"/>
      <c r="T168" s="548"/>
      <c r="U168" s="548"/>
      <c r="V168" s="548"/>
      <c r="W168" s="548"/>
      <c r="X168" s="548"/>
      <c r="Y168" s="548"/>
      <c r="Z168" s="548"/>
      <c r="AA168" s="548"/>
      <c r="AB168" s="548"/>
      <c r="AC168" s="548"/>
      <c r="AD168" s="548"/>
      <c r="AE168" s="548"/>
      <c r="AF168" s="548"/>
      <c r="AG168" s="548"/>
      <c r="AH168" s="548"/>
      <c r="AI168" s="548"/>
      <c r="AJ168" s="548"/>
      <c r="AK168" s="548"/>
      <c r="AL168" s="548"/>
      <c r="AM168" s="548"/>
      <c r="AN168" s="548"/>
      <c r="AO168" s="548"/>
    </row>
    <row r="169">
      <c r="B169" s="847" t="s">
        <v>1392</v>
      </c>
      <c r="G169" s="548"/>
      <c r="H169" s="548"/>
      <c r="I169" s="548"/>
      <c r="J169" s="548"/>
      <c r="K169" s="548"/>
      <c r="L169" s="548"/>
      <c r="M169" s="548"/>
      <c r="N169" s="548"/>
      <c r="O169" s="548"/>
      <c r="P169" s="548"/>
      <c r="Q169" s="548"/>
      <c r="R169" s="548"/>
      <c r="S169" s="548"/>
      <c r="T169" s="548"/>
      <c r="U169" s="548"/>
      <c r="V169" s="548"/>
      <c r="W169" s="548"/>
      <c r="X169" s="548"/>
      <c r="Y169" s="548"/>
      <c r="Z169" s="548"/>
      <c r="AA169" s="548"/>
      <c r="AB169" s="548"/>
      <c r="AC169" s="548"/>
      <c r="AD169" s="548"/>
      <c r="AE169" s="548"/>
      <c r="AF169" s="548"/>
      <c r="AG169" s="548"/>
      <c r="AH169" s="548"/>
      <c r="AI169" s="548"/>
      <c r="AJ169" s="548"/>
      <c r="AK169" s="548"/>
      <c r="AL169" s="548"/>
      <c r="AM169" s="548"/>
      <c r="AN169" s="548"/>
      <c r="AO169" s="548"/>
    </row>
    <row r="170">
      <c r="B170" s="850" t="s">
        <v>1393</v>
      </c>
      <c r="G170" s="548"/>
      <c r="H170" s="548"/>
      <c r="I170" s="548"/>
      <c r="J170" s="548"/>
      <c r="K170" s="548"/>
      <c r="L170" s="548"/>
      <c r="M170" s="548"/>
      <c r="N170" s="548"/>
      <c r="O170" s="548"/>
      <c r="P170" s="548"/>
      <c r="Q170" s="548"/>
      <c r="R170" s="548"/>
      <c r="S170" s="548"/>
      <c r="T170" s="548"/>
      <c r="U170" s="548"/>
      <c r="V170" s="548"/>
      <c r="W170" s="548"/>
      <c r="X170" s="548"/>
      <c r="Y170" s="548"/>
      <c r="Z170" s="548"/>
      <c r="AA170" s="548"/>
      <c r="AB170" s="548"/>
      <c r="AC170" s="548"/>
      <c r="AD170" s="548"/>
      <c r="AE170" s="548"/>
      <c r="AF170" s="548"/>
      <c r="AG170" s="548"/>
      <c r="AH170" s="548"/>
      <c r="AI170" s="548"/>
      <c r="AJ170" s="548"/>
      <c r="AK170" s="548"/>
      <c r="AL170" s="548"/>
      <c r="AM170" s="548"/>
      <c r="AN170" s="548"/>
      <c r="AO170" s="548"/>
    </row>
    <row r="171">
      <c r="B171" s="850" t="s">
        <v>1394</v>
      </c>
      <c r="G171" s="548"/>
      <c r="H171" s="548"/>
      <c r="I171" s="548"/>
      <c r="J171" s="548"/>
      <c r="K171" s="548"/>
      <c r="L171" s="548"/>
      <c r="M171" s="548"/>
      <c r="N171" s="548"/>
      <c r="O171" s="548"/>
      <c r="P171" s="548"/>
      <c r="Q171" s="548"/>
      <c r="R171" s="548"/>
      <c r="S171" s="548"/>
      <c r="T171" s="548"/>
      <c r="U171" s="548"/>
      <c r="V171" s="548"/>
      <c r="W171" s="548"/>
      <c r="X171" s="548"/>
      <c r="Y171" s="548"/>
      <c r="Z171" s="548"/>
      <c r="AA171" s="548"/>
      <c r="AB171" s="548"/>
      <c r="AC171" s="548"/>
      <c r="AD171" s="548"/>
      <c r="AE171" s="548"/>
      <c r="AF171" s="548"/>
      <c r="AG171" s="548"/>
      <c r="AH171" s="548"/>
      <c r="AI171" s="548"/>
      <c r="AJ171" s="548"/>
      <c r="AK171" s="548"/>
      <c r="AL171" s="548"/>
      <c r="AM171" s="548"/>
      <c r="AN171" s="548"/>
      <c r="AO171" s="548"/>
    </row>
    <row r="172">
      <c r="B172" s="847" t="s">
        <v>1395</v>
      </c>
      <c r="G172" s="548"/>
      <c r="H172" s="548"/>
      <c r="I172" s="548"/>
      <c r="J172" s="548"/>
      <c r="K172" s="548"/>
      <c r="L172" s="548"/>
      <c r="M172" s="548"/>
      <c r="N172" s="548"/>
      <c r="O172" s="548"/>
      <c r="P172" s="548"/>
      <c r="Q172" s="548"/>
      <c r="R172" s="548"/>
      <c r="S172" s="548"/>
      <c r="T172" s="548"/>
      <c r="U172" s="548"/>
      <c r="V172" s="548"/>
      <c r="W172" s="548"/>
      <c r="X172" s="548"/>
      <c r="Y172" s="548"/>
      <c r="Z172" s="548"/>
      <c r="AA172" s="548"/>
      <c r="AB172" s="548"/>
      <c r="AC172" s="548"/>
      <c r="AD172" s="548"/>
      <c r="AE172" s="548"/>
      <c r="AF172" s="548"/>
      <c r="AG172" s="548"/>
      <c r="AH172" s="548"/>
      <c r="AI172" s="548"/>
      <c r="AJ172" s="548"/>
      <c r="AK172" s="548"/>
      <c r="AL172" s="548"/>
      <c r="AM172" s="548"/>
      <c r="AN172" s="548"/>
      <c r="AO172" s="548"/>
    </row>
    <row r="173">
      <c r="B173" s="847" t="s">
        <v>1396</v>
      </c>
      <c r="G173" s="548"/>
      <c r="H173" s="548"/>
      <c r="I173" s="548"/>
      <c r="J173" s="548"/>
      <c r="K173" s="548"/>
      <c r="L173" s="548"/>
      <c r="M173" s="548"/>
      <c r="N173" s="548"/>
      <c r="O173" s="548"/>
      <c r="P173" s="548"/>
      <c r="Q173" s="548"/>
      <c r="R173" s="548"/>
      <c r="S173" s="548"/>
      <c r="T173" s="548"/>
      <c r="U173" s="548"/>
      <c r="V173" s="548"/>
      <c r="W173" s="548"/>
      <c r="X173" s="548"/>
      <c r="Y173" s="548"/>
      <c r="Z173" s="548"/>
      <c r="AA173" s="548"/>
      <c r="AB173" s="548"/>
      <c r="AC173" s="548"/>
      <c r="AD173" s="548"/>
      <c r="AE173" s="548"/>
      <c r="AF173" s="548"/>
      <c r="AG173" s="548"/>
      <c r="AH173" s="548"/>
      <c r="AI173" s="548"/>
      <c r="AJ173" s="548"/>
      <c r="AK173" s="548"/>
      <c r="AL173" s="548"/>
      <c r="AM173" s="548"/>
      <c r="AN173" s="548"/>
      <c r="AO173" s="548"/>
    </row>
    <row r="174">
      <c r="B174" s="847" t="s">
        <v>1397</v>
      </c>
      <c r="G174" s="548"/>
      <c r="H174" s="548"/>
      <c r="I174" s="548"/>
      <c r="J174" s="548"/>
      <c r="K174" s="548"/>
      <c r="L174" s="548"/>
      <c r="M174" s="548"/>
      <c r="N174" s="548"/>
      <c r="O174" s="548"/>
      <c r="P174" s="548"/>
      <c r="Q174" s="548"/>
      <c r="R174" s="548"/>
      <c r="S174" s="548"/>
      <c r="T174" s="548"/>
      <c r="U174" s="548"/>
      <c r="V174" s="548"/>
      <c r="W174" s="548"/>
      <c r="X174" s="548"/>
      <c r="Y174" s="548"/>
      <c r="Z174" s="548"/>
      <c r="AA174" s="548"/>
      <c r="AB174" s="548"/>
      <c r="AC174" s="548"/>
      <c r="AD174" s="548"/>
      <c r="AE174" s="548"/>
      <c r="AF174" s="548"/>
      <c r="AG174" s="548"/>
      <c r="AH174" s="548"/>
      <c r="AI174" s="548"/>
      <c r="AJ174" s="548"/>
      <c r="AK174" s="548"/>
      <c r="AL174" s="548"/>
      <c r="AM174" s="548"/>
      <c r="AN174" s="548"/>
      <c r="AO174" s="548"/>
    </row>
    <row r="175">
      <c r="A175" s="845" t="s">
        <v>1406</v>
      </c>
      <c r="B175" s="846" t="s">
        <v>1389</v>
      </c>
      <c r="G175" s="548"/>
      <c r="H175" s="548"/>
      <c r="I175" s="548"/>
      <c r="J175" s="548"/>
      <c r="K175" s="548"/>
      <c r="L175" s="548"/>
      <c r="M175" s="548"/>
      <c r="N175" s="548"/>
      <c r="O175" s="548"/>
      <c r="P175" s="548"/>
      <c r="Q175" s="548"/>
      <c r="R175" s="548"/>
      <c r="S175" s="548"/>
      <c r="T175" s="548"/>
      <c r="U175" s="548"/>
      <c r="V175" s="548"/>
      <c r="W175" s="548"/>
      <c r="X175" s="548"/>
      <c r="Y175" s="548"/>
      <c r="Z175" s="548"/>
      <c r="AA175" s="548"/>
      <c r="AB175" s="548"/>
      <c r="AC175" s="548"/>
      <c r="AD175" s="548"/>
      <c r="AE175" s="548"/>
      <c r="AF175" s="548"/>
      <c r="AG175" s="548"/>
      <c r="AH175" s="548"/>
      <c r="AI175" s="548"/>
      <c r="AJ175" s="548"/>
      <c r="AK175" s="548"/>
      <c r="AL175" s="548"/>
      <c r="AM175" s="548"/>
      <c r="AN175" s="548"/>
      <c r="AO175" s="548"/>
    </row>
    <row r="176">
      <c r="B176" s="847" t="s">
        <v>1390</v>
      </c>
      <c r="G176" s="548"/>
      <c r="H176" s="548"/>
      <c r="I176" s="548"/>
      <c r="J176" s="548"/>
      <c r="K176" s="548"/>
      <c r="L176" s="548"/>
      <c r="M176" s="548"/>
      <c r="N176" s="548"/>
      <c r="O176" s="548"/>
      <c r="P176" s="548"/>
      <c r="Q176" s="548"/>
      <c r="R176" s="548"/>
      <c r="S176" s="548"/>
      <c r="T176" s="548"/>
      <c r="U176" s="548"/>
      <c r="V176" s="548"/>
      <c r="W176" s="548"/>
      <c r="X176" s="548"/>
      <c r="Y176" s="548"/>
      <c r="Z176" s="548"/>
      <c r="AA176" s="548"/>
      <c r="AB176" s="548"/>
      <c r="AC176" s="548"/>
      <c r="AD176" s="548"/>
      <c r="AE176" s="548"/>
      <c r="AF176" s="548"/>
      <c r="AG176" s="548"/>
      <c r="AH176" s="548"/>
      <c r="AI176" s="548"/>
      <c r="AJ176" s="548"/>
      <c r="AK176" s="548"/>
      <c r="AL176" s="548"/>
      <c r="AM176" s="548"/>
      <c r="AN176" s="548"/>
      <c r="AO176" s="548"/>
    </row>
    <row r="177">
      <c r="B177" s="847" t="s">
        <v>1391</v>
      </c>
      <c r="G177" s="548"/>
      <c r="H177" s="548"/>
      <c r="I177" s="548"/>
      <c r="J177" s="548"/>
      <c r="K177" s="548"/>
      <c r="L177" s="548"/>
      <c r="M177" s="548"/>
      <c r="N177" s="548"/>
      <c r="O177" s="548"/>
      <c r="P177" s="548"/>
      <c r="Q177" s="548"/>
      <c r="R177" s="548"/>
      <c r="S177" s="548"/>
      <c r="T177" s="548"/>
      <c r="U177" s="548"/>
      <c r="V177" s="548"/>
      <c r="W177" s="548"/>
      <c r="X177" s="548"/>
      <c r="Y177" s="548"/>
      <c r="Z177" s="548"/>
      <c r="AA177" s="548"/>
      <c r="AB177" s="548"/>
      <c r="AC177" s="548"/>
      <c r="AD177" s="548"/>
      <c r="AE177" s="548"/>
      <c r="AF177" s="548"/>
      <c r="AG177" s="548"/>
      <c r="AH177" s="548"/>
      <c r="AI177" s="548"/>
      <c r="AJ177" s="548"/>
      <c r="AK177" s="548"/>
      <c r="AL177" s="548"/>
      <c r="AM177" s="548"/>
      <c r="AN177" s="548"/>
      <c r="AO177" s="548"/>
    </row>
    <row r="178">
      <c r="B178" s="847" t="s">
        <v>1392</v>
      </c>
      <c r="G178" s="548"/>
      <c r="H178" s="548"/>
      <c r="I178" s="548"/>
      <c r="J178" s="548"/>
      <c r="K178" s="548"/>
      <c r="L178" s="548"/>
      <c r="M178" s="548"/>
      <c r="N178" s="548"/>
      <c r="O178" s="548"/>
      <c r="P178" s="548"/>
      <c r="Q178" s="548"/>
      <c r="R178" s="548"/>
      <c r="S178" s="548"/>
      <c r="T178" s="548"/>
      <c r="U178" s="548"/>
      <c r="V178" s="548"/>
      <c r="W178" s="548"/>
      <c r="X178" s="548"/>
      <c r="Y178" s="548"/>
      <c r="Z178" s="548"/>
      <c r="AA178" s="548"/>
      <c r="AB178" s="548"/>
      <c r="AC178" s="548"/>
      <c r="AD178" s="548"/>
      <c r="AE178" s="548"/>
      <c r="AF178" s="548"/>
      <c r="AG178" s="548"/>
      <c r="AH178" s="548"/>
      <c r="AI178" s="548"/>
      <c r="AJ178" s="548"/>
      <c r="AK178" s="548"/>
      <c r="AL178" s="548"/>
      <c r="AM178" s="548"/>
      <c r="AN178" s="548"/>
      <c r="AO178" s="548"/>
    </row>
    <row r="179">
      <c r="B179" s="850" t="s">
        <v>1393</v>
      </c>
      <c r="G179" s="548"/>
      <c r="H179" s="548"/>
      <c r="I179" s="548"/>
      <c r="J179" s="548"/>
      <c r="K179" s="548"/>
      <c r="L179" s="548"/>
      <c r="M179" s="548"/>
      <c r="N179" s="548"/>
      <c r="O179" s="548"/>
      <c r="P179" s="548"/>
      <c r="Q179" s="548"/>
      <c r="R179" s="548"/>
      <c r="S179" s="548"/>
      <c r="T179" s="548"/>
      <c r="U179" s="548"/>
      <c r="V179" s="548"/>
      <c r="W179" s="548"/>
      <c r="X179" s="548"/>
      <c r="Y179" s="548"/>
      <c r="Z179" s="548"/>
      <c r="AA179" s="548"/>
      <c r="AB179" s="548"/>
      <c r="AC179" s="548"/>
      <c r="AD179" s="548"/>
      <c r="AE179" s="548"/>
      <c r="AF179" s="548"/>
      <c r="AG179" s="548"/>
      <c r="AH179" s="548"/>
      <c r="AI179" s="548"/>
      <c r="AJ179" s="548"/>
      <c r="AK179" s="548"/>
      <c r="AL179" s="548"/>
      <c r="AM179" s="548"/>
      <c r="AN179" s="548"/>
      <c r="AO179" s="548"/>
    </row>
    <row r="180">
      <c r="B180" s="850" t="s">
        <v>1394</v>
      </c>
      <c r="G180" s="548"/>
      <c r="H180" s="548"/>
      <c r="I180" s="548"/>
      <c r="J180" s="548"/>
      <c r="K180" s="548"/>
      <c r="L180" s="548"/>
      <c r="M180" s="548"/>
      <c r="N180" s="548"/>
      <c r="O180" s="548"/>
      <c r="P180" s="548"/>
      <c r="Q180" s="548"/>
      <c r="R180" s="548"/>
      <c r="S180" s="548"/>
      <c r="T180" s="548"/>
      <c r="U180" s="548"/>
      <c r="V180" s="548"/>
      <c r="W180" s="548"/>
      <c r="X180" s="548"/>
      <c r="Y180" s="548"/>
      <c r="Z180" s="548"/>
      <c r="AA180" s="548"/>
      <c r="AB180" s="548"/>
      <c r="AC180" s="548"/>
      <c r="AD180" s="548"/>
      <c r="AE180" s="548"/>
      <c r="AF180" s="548"/>
      <c r="AG180" s="548"/>
      <c r="AH180" s="548"/>
      <c r="AI180" s="548"/>
      <c r="AJ180" s="548"/>
      <c r="AK180" s="548"/>
      <c r="AL180" s="548"/>
      <c r="AM180" s="548"/>
      <c r="AN180" s="548"/>
      <c r="AO180" s="548"/>
    </row>
    <row r="181">
      <c r="B181" s="847" t="s">
        <v>1395</v>
      </c>
      <c r="G181" s="548"/>
      <c r="H181" s="548"/>
      <c r="I181" s="548"/>
      <c r="J181" s="548"/>
      <c r="K181" s="548"/>
      <c r="L181" s="548"/>
      <c r="M181" s="548"/>
      <c r="N181" s="548"/>
      <c r="O181" s="548"/>
      <c r="P181" s="548"/>
      <c r="Q181" s="548"/>
      <c r="R181" s="548"/>
      <c r="S181" s="548"/>
      <c r="T181" s="548"/>
      <c r="U181" s="548"/>
      <c r="V181" s="548"/>
      <c r="W181" s="548"/>
      <c r="X181" s="548"/>
      <c r="Y181" s="548"/>
      <c r="Z181" s="548"/>
      <c r="AA181" s="548"/>
      <c r="AB181" s="548"/>
      <c r="AC181" s="548"/>
      <c r="AD181" s="548"/>
      <c r="AE181" s="548"/>
      <c r="AF181" s="548"/>
      <c r="AG181" s="548"/>
      <c r="AH181" s="548"/>
      <c r="AI181" s="548"/>
      <c r="AJ181" s="548"/>
      <c r="AK181" s="548"/>
      <c r="AL181" s="548"/>
      <c r="AM181" s="548"/>
      <c r="AN181" s="548"/>
      <c r="AO181" s="548"/>
    </row>
    <row r="182">
      <c r="B182" s="847" t="s">
        <v>1396</v>
      </c>
      <c r="G182" s="548"/>
      <c r="H182" s="548"/>
      <c r="I182" s="548"/>
      <c r="J182" s="548"/>
      <c r="K182" s="548"/>
      <c r="L182" s="548"/>
      <c r="M182" s="548"/>
      <c r="N182" s="548"/>
      <c r="O182" s="548"/>
      <c r="P182" s="548"/>
      <c r="Q182" s="548"/>
      <c r="R182" s="548"/>
      <c r="S182" s="548"/>
      <c r="T182" s="548"/>
      <c r="U182" s="548"/>
      <c r="V182" s="548"/>
      <c r="W182" s="548"/>
      <c r="X182" s="548"/>
      <c r="Y182" s="548"/>
      <c r="Z182" s="548"/>
      <c r="AA182" s="548"/>
      <c r="AB182" s="548"/>
      <c r="AC182" s="548"/>
      <c r="AD182" s="548"/>
      <c r="AE182" s="548"/>
      <c r="AF182" s="548"/>
      <c r="AG182" s="548"/>
      <c r="AH182" s="548"/>
      <c r="AI182" s="548"/>
      <c r="AJ182" s="548"/>
      <c r="AK182" s="548"/>
      <c r="AL182" s="548"/>
      <c r="AM182" s="548"/>
      <c r="AN182" s="548"/>
      <c r="AO182" s="548"/>
    </row>
    <row r="183">
      <c r="B183" s="847" t="s">
        <v>1397</v>
      </c>
      <c r="G183" s="548"/>
      <c r="H183" s="548"/>
      <c r="I183" s="548"/>
      <c r="J183" s="548"/>
      <c r="K183" s="548"/>
      <c r="L183" s="548"/>
      <c r="M183" s="548"/>
      <c r="N183" s="548"/>
      <c r="O183" s="548"/>
      <c r="P183" s="548"/>
      <c r="Q183" s="548"/>
      <c r="R183" s="548"/>
      <c r="S183" s="548"/>
      <c r="T183" s="548"/>
      <c r="U183" s="548"/>
      <c r="V183" s="548"/>
      <c r="W183" s="548"/>
      <c r="X183" s="548"/>
      <c r="Y183" s="548"/>
      <c r="Z183" s="548"/>
      <c r="AA183" s="548"/>
      <c r="AB183" s="548"/>
      <c r="AC183" s="548"/>
      <c r="AD183" s="548"/>
      <c r="AE183" s="548"/>
      <c r="AF183" s="548"/>
      <c r="AG183" s="548"/>
      <c r="AH183" s="548"/>
      <c r="AI183" s="548"/>
      <c r="AJ183" s="548"/>
      <c r="AK183" s="548"/>
      <c r="AL183" s="548"/>
      <c r="AM183" s="548"/>
      <c r="AN183" s="548"/>
      <c r="AO183" s="548"/>
    </row>
    <row r="184">
      <c r="A184" s="845" t="s">
        <v>1407</v>
      </c>
      <c r="B184" s="846" t="s">
        <v>1389</v>
      </c>
      <c r="G184" s="548"/>
      <c r="H184" s="548"/>
      <c r="I184" s="548"/>
      <c r="J184" s="548"/>
      <c r="K184" s="548"/>
      <c r="L184" s="548"/>
      <c r="M184" s="548"/>
      <c r="N184" s="548"/>
      <c r="O184" s="548"/>
      <c r="P184" s="548"/>
      <c r="Q184" s="548"/>
      <c r="R184" s="548"/>
      <c r="S184" s="548"/>
      <c r="T184" s="548"/>
      <c r="U184" s="548"/>
      <c r="V184" s="548"/>
      <c r="W184" s="548"/>
      <c r="X184" s="548"/>
      <c r="Y184" s="548"/>
      <c r="Z184" s="548"/>
      <c r="AA184" s="548"/>
      <c r="AB184" s="548"/>
      <c r="AC184" s="548"/>
      <c r="AD184" s="548"/>
      <c r="AE184" s="548"/>
      <c r="AF184" s="548"/>
      <c r="AG184" s="548"/>
      <c r="AH184" s="548"/>
      <c r="AI184" s="548"/>
      <c r="AJ184" s="548"/>
      <c r="AK184" s="548"/>
      <c r="AL184" s="548"/>
      <c r="AM184" s="548"/>
      <c r="AN184" s="548"/>
      <c r="AO184" s="548"/>
    </row>
    <row r="185">
      <c r="B185" s="847" t="s">
        <v>1390</v>
      </c>
      <c r="G185" s="548"/>
      <c r="H185" s="548"/>
      <c r="I185" s="548"/>
      <c r="J185" s="548"/>
      <c r="K185" s="548"/>
      <c r="L185" s="548"/>
      <c r="M185" s="548"/>
      <c r="N185" s="548"/>
      <c r="O185" s="548"/>
      <c r="P185" s="548"/>
      <c r="Q185" s="548"/>
      <c r="R185" s="548"/>
      <c r="S185" s="548"/>
      <c r="T185" s="548"/>
      <c r="U185" s="548"/>
      <c r="V185" s="548"/>
      <c r="W185" s="548"/>
      <c r="X185" s="548"/>
      <c r="Y185" s="548"/>
      <c r="Z185" s="548"/>
      <c r="AA185" s="548"/>
      <c r="AB185" s="548"/>
      <c r="AC185" s="548"/>
      <c r="AD185" s="548"/>
      <c r="AE185" s="548"/>
      <c r="AF185" s="548"/>
      <c r="AG185" s="548"/>
      <c r="AH185" s="548"/>
      <c r="AI185" s="548"/>
      <c r="AJ185" s="548"/>
      <c r="AK185" s="548"/>
      <c r="AL185" s="548"/>
      <c r="AM185" s="548"/>
      <c r="AN185" s="548"/>
      <c r="AO185" s="548"/>
    </row>
    <row r="186">
      <c r="B186" s="847" t="s">
        <v>1391</v>
      </c>
      <c r="G186" s="548"/>
      <c r="H186" s="548"/>
      <c r="I186" s="548"/>
      <c r="J186" s="548"/>
      <c r="K186" s="548"/>
      <c r="L186" s="548"/>
      <c r="M186" s="548"/>
      <c r="N186" s="548"/>
      <c r="O186" s="548"/>
      <c r="P186" s="548"/>
      <c r="Q186" s="548"/>
      <c r="R186" s="548"/>
      <c r="S186" s="548"/>
      <c r="T186" s="548"/>
      <c r="U186" s="548"/>
      <c r="V186" s="548"/>
      <c r="W186" s="548"/>
      <c r="X186" s="548"/>
      <c r="Y186" s="548"/>
      <c r="Z186" s="548"/>
      <c r="AA186" s="548"/>
      <c r="AB186" s="548"/>
      <c r="AC186" s="548"/>
      <c r="AD186" s="548"/>
      <c r="AE186" s="548"/>
      <c r="AF186" s="548"/>
      <c r="AG186" s="548"/>
      <c r="AH186" s="548"/>
      <c r="AI186" s="548"/>
      <c r="AJ186" s="548"/>
      <c r="AK186" s="548"/>
      <c r="AL186" s="548"/>
      <c r="AM186" s="548"/>
      <c r="AN186" s="548"/>
      <c r="AO186" s="548"/>
    </row>
    <row r="187">
      <c r="B187" s="847" t="s">
        <v>1392</v>
      </c>
      <c r="G187" s="548"/>
      <c r="H187" s="548"/>
      <c r="I187" s="548"/>
      <c r="J187" s="548"/>
      <c r="K187" s="548"/>
      <c r="L187" s="548"/>
      <c r="M187" s="548"/>
      <c r="N187" s="548"/>
      <c r="O187" s="548"/>
      <c r="P187" s="548"/>
      <c r="Q187" s="548"/>
      <c r="R187" s="548"/>
      <c r="S187" s="548"/>
      <c r="T187" s="548"/>
      <c r="U187" s="548"/>
      <c r="V187" s="548"/>
      <c r="W187" s="548"/>
      <c r="X187" s="548"/>
      <c r="Y187" s="548"/>
      <c r="Z187" s="548"/>
      <c r="AA187" s="548"/>
      <c r="AB187" s="548"/>
      <c r="AC187" s="548"/>
      <c r="AD187" s="548"/>
      <c r="AE187" s="548"/>
      <c r="AF187" s="548"/>
      <c r="AG187" s="548"/>
      <c r="AH187" s="548"/>
      <c r="AI187" s="548"/>
      <c r="AJ187" s="548"/>
      <c r="AK187" s="548"/>
      <c r="AL187" s="548"/>
      <c r="AM187" s="548"/>
      <c r="AN187" s="548"/>
      <c r="AO187" s="548"/>
    </row>
    <row r="188">
      <c r="B188" s="850" t="s">
        <v>1393</v>
      </c>
      <c r="G188" s="548"/>
      <c r="H188" s="548"/>
      <c r="I188" s="548"/>
      <c r="J188" s="548"/>
      <c r="K188" s="548"/>
      <c r="L188" s="548"/>
      <c r="M188" s="548"/>
      <c r="N188" s="548"/>
      <c r="O188" s="548"/>
      <c r="P188" s="548"/>
      <c r="Q188" s="548"/>
      <c r="R188" s="548"/>
      <c r="S188" s="548"/>
      <c r="T188" s="548"/>
      <c r="U188" s="548"/>
      <c r="V188" s="548"/>
      <c r="W188" s="548"/>
      <c r="X188" s="548"/>
      <c r="Y188" s="548"/>
      <c r="Z188" s="548"/>
      <c r="AA188" s="548"/>
      <c r="AB188" s="548"/>
      <c r="AC188" s="548"/>
      <c r="AD188" s="548"/>
      <c r="AE188" s="548"/>
      <c r="AF188" s="548"/>
      <c r="AG188" s="548"/>
      <c r="AH188" s="548"/>
      <c r="AI188" s="548"/>
      <c r="AJ188" s="548"/>
      <c r="AK188" s="548"/>
      <c r="AL188" s="548"/>
      <c r="AM188" s="548"/>
      <c r="AN188" s="548"/>
      <c r="AO188" s="548"/>
    </row>
    <row r="189">
      <c r="B189" s="850" t="s">
        <v>1394</v>
      </c>
      <c r="G189" s="548"/>
      <c r="H189" s="548"/>
      <c r="I189" s="548"/>
      <c r="J189" s="548"/>
      <c r="K189" s="548"/>
      <c r="L189" s="548"/>
      <c r="M189" s="548"/>
      <c r="N189" s="548"/>
      <c r="O189" s="548"/>
      <c r="P189" s="548"/>
      <c r="Q189" s="548"/>
      <c r="R189" s="548"/>
      <c r="S189" s="548"/>
      <c r="T189" s="548"/>
      <c r="U189" s="548"/>
      <c r="V189" s="548"/>
      <c r="W189" s="548"/>
      <c r="X189" s="548"/>
      <c r="Y189" s="548"/>
      <c r="Z189" s="548"/>
      <c r="AA189" s="548"/>
      <c r="AB189" s="548"/>
      <c r="AC189" s="548"/>
      <c r="AD189" s="548"/>
      <c r="AE189" s="548"/>
      <c r="AF189" s="548"/>
      <c r="AG189" s="548"/>
      <c r="AH189" s="548"/>
      <c r="AI189" s="548"/>
      <c r="AJ189" s="548"/>
      <c r="AK189" s="548"/>
      <c r="AL189" s="548"/>
      <c r="AM189" s="548"/>
      <c r="AN189" s="548"/>
      <c r="AO189" s="548"/>
    </row>
    <row r="190">
      <c r="B190" s="847" t="s">
        <v>1395</v>
      </c>
      <c r="G190" s="548"/>
      <c r="H190" s="548"/>
      <c r="I190" s="548"/>
      <c r="J190" s="548"/>
      <c r="K190" s="548"/>
      <c r="L190" s="548"/>
      <c r="M190" s="548"/>
      <c r="N190" s="548"/>
      <c r="O190" s="548"/>
      <c r="P190" s="548"/>
      <c r="Q190" s="548"/>
      <c r="R190" s="548"/>
      <c r="S190" s="548"/>
      <c r="T190" s="548"/>
      <c r="U190" s="548"/>
      <c r="V190" s="548"/>
      <c r="W190" s="548"/>
      <c r="X190" s="548"/>
      <c r="Y190" s="548"/>
      <c r="Z190" s="548"/>
      <c r="AA190" s="548"/>
      <c r="AB190" s="548"/>
      <c r="AC190" s="548"/>
      <c r="AD190" s="548"/>
      <c r="AE190" s="548"/>
      <c r="AF190" s="548"/>
      <c r="AG190" s="548"/>
      <c r="AH190" s="548"/>
      <c r="AI190" s="548"/>
      <c r="AJ190" s="548"/>
      <c r="AK190" s="548"/>
      <c r="AL190" s="548"/>
      <c r="AM190" s="548"/>
      <c r="AN190" s="548"/>
      <c r="AO190" s="548"/>
    </row>
    <row r="191">
      <c r="B191" s="847" t="s">
        <v>1396</v>
      </c>
      <c r="G191" s="548"/>
      <c r="H191" s="548"/>
      <c r="I191" s="548"/>
      <c r="J191" s="548"/>
      <c r="K191" s="548"/>
      <c r="L191" s="548"/>
      <c r="M191" s="548"/>
      <c r="N191" s="548"/>
      <c r="O191" s="548"/>
      <c r="P191" s="548"/>
      <c r="Q191" s="548"/>
      <c r="R191" s="548"/>
      <c r="S191" s="548"/>
      <c r="T191" s="548"/>
      <c r="U191" s="548"/>
      <c r="V191" s="548"/>
      <c r="W191" s="548"/>
      <c r="X191" s="548"/>
      <c r="Y191" s="548"/>
      <c r="Z191" s="548"/>
      <c r="AA191" s="548"/>
      <c r="AB191" s="548"/>
      <c r="AC191" s="548"/>
      <c r="AD191" s="548"/>
      <c r="AE191" s="548"/>
      <c r="AF191" s="548"/>
      <c r="AG191" s="548"/>
      <c r="AH191" s="548"/>
      <c r="AI191" s="548"/>
      <c r="AJ191" s="548"/>
      <c r="AK191" s="548"/>
      <c r="AL191" s="548"/>
      <c r="AM191" s="548"/>
      <c r="AN191" s="548"/>
      <c r="AO191" s="548"/>
    </row>
    <row r="192">
      <c r="B192" s="847" t="s">
        <v>1397</v>
      </c>
      <c r="G192" s="548"/>
      <c r="H192" s="548"/>
      <c r="I192" s="548"/>
      <c r="J192" s="548"/>
      <c r="K192" s="548"/>
      <c r="L192" s="548"/>
      <c r="M192" s="548"/>
      <c r="N192" s="548"/>
      <c r="O192" s="548"/>
      <c r="P192" s="548"/>
      <c r="Q192" s="548"/>
      <c r="R192" s="548"/>
      <c r="S192" s="548"/>
      <c r="T192" s="548"/>
      <c r="U192" s="548"/>
      <c r="V192" s="548"/>
      <c r="W192" s="548"/>
      <c r="X192" s="548"/>
      <c r="Y192" s="548"/>
      <c r="Z192" s="548"/>
      <c r="AA192" s="548"/>
      <c r="AB192" s="548"/>
      <c r="AC192" s="548"/>
      <c r="AD192" s="548"/>
      <c r="AE192" s="548"/>
      <c r="AF192" s="548"/>
      <c r="AG192" s="548"/>
      <c r="AH192" s="548"/>
      <c r="AI192" s="548"/>
      <c r="AJ192" s="548"/>
      <c r="AK192" s="548"/>
      <c r="AL192" s="548"/>
      <c r="AM192" s="548"/>
      <c r="AN192" s="548"/>
      <c r="AO192" s="548"/>
    </row>
    <row r="193">
      <c r="A193" s="845" t="s">
        <v>1408</v>
      </c>
      <c r="B193" s="846" t="s">
        <v>1389</v>
      </c>
      <c r="G193" s="548"/>
      <c r="H193" s="548"/>
      <c r="I193" s="548"/>
      <c r="J193" s="548"/>
      <c r="K193" s="548"/>
      <c r="L193" s="548"/>
      <c r="M193" s="548"/>
      <c r="N193" s="548"/>
      <c r="O193" s="548"/>
      <c r="P193" s="548"/>
      <c r="Q193" s="548"/>
      <c r="R193" s="548"/>
      <c r="S193" s="548"/>
      <c r="T193" s="548"/>
      <c r="U193" s="548"/>
      <c r="V193" s="548"/>
      <c r="W193" s="548"/>
      <c r="X193" s="548"/>
      <c r="Y193" s="548"/>
      <c r="Z193" s="548"/>
      <c r="AA193" s="548"/>
      <c r="AB193" s="548"/>
      <c r="AC193" s="548"/>
      <c r="AD193" s="548"/>
      <c r="AE193" s="548"/>
      <c r="AF193" s="548"/>
      <c r="AG193" s="548"/>
      <c r="AH193" s="548"/>
      <c r="AI193" s="548"/>
      <c r="AJ193" s="548"/>
      <c r="AK193" s="548"/>
      <c r="AL193" s="548"/>
      <c r="AM193" s="548"/>
      <c r="AN193" s="548"/>
      <c r="AO193" s="548"/>
    </row>
    <row r="194">
      <c r="B194" s="847" t="s">
        <v>1390</v>
      </c>
      <c r="G194" s="548"/>
      <c r="H194" s="548"/>
      <c r="I194" s="548"/>
      <c r="J194" s="548"/>
      <c r="K194" s="548"/>
      <c r="L194" s="548"/>
      <c r="M194" s="548"/>
      <c r="N194" s="548"/>
      <c r="O194" s="548"/>
      <c r="P194" s="548"/>
      <c r="Q194" s="548"/>
      <c r="R194" s="548"/>
      <c r="S194" s="548"/>
      <c r="T194" s="548"/>
      <c r="U194" s="548"/>
      <c r="V194" s="548"/>
      <c r="W194" s="548"/>
      <c r="X194" s="548"/>
      <c r="Y194" s="548"/>
      <c r="Z194" s="548"/>
      <c r="AA194" s="548"/>
      <c r="AB194" s="548"/>
      <c r="AC194" s="548"/>
      <c r="AD194" s="548"/>
      <c r="AE194" s="548"/>
      <c r="AF194" s="548"/>
      <c r="AG194" s="548"/>
      <c r="AH194" s="548"/>
      <c r="AI194" s="548"/>
      <c r="AJ194" s="548"/>
      <c r="AK194" s="548"/>
      <c r="AL194" s="548"/>
      <c r="AM194" s="548"/>
      <c r="AN194" s="548"/>
      <c r="AO194" s="548"/>
    </row>
    <row r="195">
      <c r="B195" s="847" t="s">
        <v>1391</v>
      </c>
      <c r="G195" s="548"/>
      <c r="H195" s="548"/>
      <c r="I195" s="548"/>
      <c r="J195" s="548"/>
      <c r="K195" s="548"/>
      <c r="L195" s="548"/>
      <c r="M195" s="548"/>
      <c r="N195" s="548"/>
      <c r="O195" s="548"/>
      <c r="P195" s="548"/>
      <c r="Q195" s="548"/>
      <c r="R195" s="548"/>
      <c r="S195" s="548"/>
      <c r="T195" s="548"/>
      <c r="U195" s="548"/>
      <c r="V195" s="548"/>
      <c r="W195" s="548"/>
      <c r="X195" s="548"/>
      <c r="Y195" s="548"/>
      <c r="Z195" s="548"/>
      <c r="AA195" s="548"/>
      <c r="AB195" s="548"/>
      <c r="AC195" s="548"/>
      <c r="AD195" s="548"/>
      <c r="AE195" s="548"/>
      <c r="AF195" s="548"/>
      <c r="AG195" s="548"/>
      <c r="AH195" s="548"/>
      <c r="AI195" s="548"/>
      <c r="AJ195" s="548"/>
      <c r="AK195" s="548"/>
      <c r="AL195" s="548"/>
      <c r="AM195" s="548"/>
      <c r="AN195" s="548"/>
      <c r="AO195" s="548"/>
    </row>
    <row r="196">
      <c r="B196" s="847" t="s">
        <v>1392</v>
      </c>
      <c r="G196" s="548"/>
      <c r="H196" s="548"/>
      <c r="I196" s="548"/>
      <c r="J196" s="548"/>
      <c r="K196" s="548"/>
      <c r="L196" s="548"/>
      <c r="M196" s="548"/>
      <c r="N196" s="548"/>
      <c r="O196" s="548"/>
      <c r="P196" s="548"/>
      <c r="Q196" s="548"/>
      <c r="R196" s="548"/>
      <c r="S196" s="548"/>
      <c r="T196" s="548"/>
      <c r="U196" s="548"/>
      <c r="V196" s="548"/>
      <c r="W196" s="548"/>
      <c r="X196" s="548"/>
      <c r="Y196" s="548"/>
      <c r="Z196" s="548"/>
      <c r="AA196" s="548"/>
      <c r="AB196" s="548"/>
      <c r="AC196" s="548"/>
      <c r="AD196" s="548"/>
      <c r="AE196" s="548"/>
      <c r="AF196" s="548"/>
      <c r="AG196" s="548"/>
      <c r="AH196" s="548"/>
      <c r="AI196" s="548"/>
      <c r="AJ196" s="548"/>
      <c r="AK196" s="548"/>
      <c r="AL196" s="548"/>
      <c r="AM196" s="548"/>
      <c r="AN196" s="548"/>
      <c r="AO196" s="548"/>
    </row>
    <row r="197">
      <c r="B197" s="850" t="s">
        <v>1393</v>
      </c>
      <c r="G197" s="548"/>
      <c r="H197" s="548"/>
      <c r="I197" s="548"/>
      <c r="J197" s="548"/>
      <c r="K197" s="548"/>
      <c r="L197" s="548"/>
      <c r="M197" s="548"/>
      <c r="N197" s="548"/>
      <c r="O197" s="548"/>
      <c r="P197" s="548"/>
      <c r="Q197" s="548"/>
      <c r="R197" s="548"/>
      <c r="S197" s="548"/>
      <c r="T197" s="548"/>
      <c r="U197" s="548"/>
      <c r="V197" s="548"/>
      <c r="W197" s="548"/>
      <c r="X197" s="548"/>
      <c r="Y197" s="548"/>
      <c r="Z197" s="548"/>
      <c r="AA197" s="548"/>
      <c r="AB197" s="548"/>
      <c r="AC197" s="548"/>
      <c r="AD197" s="548"/>
      <c r="AE197" s="548"/>
      <c r="AF197" s="548"/>
      <c r="AG197" s="548"/>
      <c r="AH197" s="548"/>
      <c r="AI197" s="548"/>
      <c r="AJ197" s="548"/>
      <c r="AK197" s="548"/>
      <c r="AL197" s="548"/>
      <c r="AM197" s="548"/>
      <c r="AN197" s="548"/>
      <c r="AO197" s="548"/>
    </row>
    <row r="198">
      <c r="B198" s="850" t="s">
        <v>1394</v>
      </c>
      <c r="G198" s="548"/>
      <c r="H198" s="548"/>
      <c r="I198" s="548"/>
      <c r="J198" s="548"/>
      <c r="K198" s="548"/>
      <c r="L198" s="548"/>
      <c r="M198" s="548"/>
      <c r="N198" s="548"/>
      <c r="O198" s="548"/>
      <c r="P198" s="548"/>
      <c r="Q198" s="548"/>
      <c r="R198" s="548"/>
      <c r="S198" s="548"/>
      <c r="T198" s="548"/>
      <c r="U198" s="548"/>
      <c r="V198" s="548"/>
      <c r="W198" s="548"/>
      <c r="X198" s="548"/>
      <c r="Y198" s="548"/>
      <c r="Z198" s="548"/>
      <c r="AA198" s="548"/>
      <c r="AB198" s="548"/>
      <c r="AC198" s="548"/>
      <c r="AD198" s="548"/>
      <c r="AE198" s="548"/>
      <c r="AF198" s="548"/>
      <c r="AG198" s="548"/>
      <c r="AH198" s="548"/>
      <c r="AI198" s="548"/>
      <c r="AJ198" s="548"/>
      <c r="AK198" s="548"/>
      <c r="AL198" s="548"/>
      <c r="AM198" s="548"/>
      <c r="AN198" s="548"/>
      <c r="AO198" s="548"/>
    </row>
    <row r="199">
      <c r="B199" s="847" t="s">
        <v>1395</v>
      </c>
      <c r="G199" s="548"/>
      <c r="H199" s="548"/>
      <c r="I199" s="548"/>
      <c r="J199" s="548"/>
      <c r="K199" s="548"/>
      <c r="L199" s="548"/>
      <c r="M199" s="548"/>
      <c r="N199" s="548"/>
      <c r="O199" s="548"/>
      <c r="P199" s="548"/>
      <c r="Q199" s="548"/>
      <c r="R199" s="548"/>
      <c r="S199" s="548"/>
      <c r="T199" s="548"/>
      <c r="U199" s="548"/>
      <c r="V199" s="548"/>
      <c r="W199" s="548"/>
      <c r="X199" s="548"/>
      <c r="Y199" s="548"/>
      <c r="Z199" s="548"/>
      <c r="AA199" s="548"/>
      <c r="AB199" s="548"/>
      <c r="AC199" s="548"/>
      <c r="AD199" s="548"/>
      <c r="AE199" s="548"/>
      <c r="AF199" s="548"/>
      <c r="AG199" s="548"/>
      <c r="AH199" s="548"/>
      <c r="AI199" s="548"/>
      <c r="AJ199" s="548"/>
      <c r="AK199" s="548"/>
      <c r="AL199" s="548"/>
      <c r="AM199" s="548"/>
      <c r="AN199" s="548"/>
      <c r="AO199" s="548"/>
    </row>
    <row r="200">
      <c r="B200" s="847" t="s">
        <v>1396</v>
      </c>
      <c r="G200" s="548"/>
      <c r="H200" s="548"/>
      <c r="I200" s="548"/>
      <c r="J200" s="548"/>
      <c r="K200" s="548"/>
      <c r="L200" s="548"/>
      <c r="M200" s="548"/>
      <c r="N200" s="548"/>
      <c r="O200" s="548"/>
      <c r="P200" s="548"/>
      <c r="Q200" s="548"/>
      <c r="R200" s="548"/>
      <c r="S200" s="548"/>
      <c r="T200" s="548"/>
      <c r="U200" s="548"/>
      <c r="V200" s="548"/>
      <c r="W200" s="548"/>
      <c r="X200" s="548"/>
      <c r="Y200" s="548"/>
      <c r="Z200" s="548"/>
      <c r="AA200" s="548"/>
      <c r="AB200" s="548"/>
      <c r="AC200" s="548"/>
      <c r="AD200" s="548"/>
      <c r="AE200" s="548"/>
      <c r="AF200" s="548"/>
      <c r="AG200" s="548"/>
      <c r="AH200" s="548"/>
      <c r="AI200" s="548"/>
      <c r="AJ200" s="548"/>
      <c r="AK200" s="548"/>
      <c r="AL200" s="548"/>
      <c r="AM200" s="548"/>
      <c r="AN200" s="548"/>
      <c r="AO200" s="548"/>
    </row>
    <row r="201">
      <c r="B201" s="847" t="s">
        <v>1397</v>
      </c>
      <c r="G201" s="548"/>
      <c r="H201" s="548"/>
      <c r="I201" s="548"/>
      <c r="J201" s="548"/>
      <c r="K201" s="548"/>
      <c r="L201" s="548"/>
      <c r="M201" s="548"/>
      <c r="N201" s="548"/>
      <c r="O201" s="548"/>
      <c r="P201" s="548"/>
      <c r="Q201" s="548"/>
      <c r="R201" s="548"/>
      <c r="S201" s="548"/>
      <c r="T201" s="548"/>
      <c r="U201" s="548"/>
      <c r="V201" s="548"/>
      <c r="W201" s="548"/>
      <c r="X201" s="548"/>
      <c r="Y201" s="548"/>
      <c r="Z201" s="548"/>
      <c r="AA201" s="548"/>
      <c r="AB201" s="548"/>
      <c r="AC201" s="548"/>
      <c r="AD201" s="548"/>
      <c r="AE201" s="548"/>
      <c r="AF201" s="548"/>
      <c r="AG201" s="548"/>
      <c r="AH201" s="548"/>
      <c r="AI201" s="548"/>
      <c r="AJ201" s="548"/>
      <c r="AK201" s="548"/>
      <c r="AL201" s="548"/>
      <c r="AM201" s="548"/>
      <c r="AN201" s="548"/>
      <c r="AO201" s="548"/>
    </row>
    <row r="202">
      <c r="A202" s="845" t="s">
        <v>1409</v>
      </c>
      <c r="B202" s="846" t="s">
        <v>1389</v>
      </c>
      <c r="G202" s="548"/>
      <c r="H202" s="548"/>
      <c r="I202" s="548"/>
      <c r="J202" s="548"/>
      <c r="K202" s="548"/>
      <c r="L202" s="548"/>
      <c r="M202" s="548"/>
      <c r="N202" s="548"/>
      <c r="O202" s="548"/>
      <c r="P202" s="548"/>
      <c r="Q202" s="548"/>
      <c r="R202" s="548"/>
      <c r="S202" s="548"/>
      <c r="T202" s="548"/>
      <c r="U202" s="548"/>
      <c r="V202" s="548"/>
      <c r="W202" s="548"/>
      <c r="X202" s="548"/>
      <c r="Y202" s="548"/>
      <c r="Z202" s="548"/>
      <c r="AA202" s="548"/>
      <c r="AB202" s="548"/>
      <c r="AC202" s="548"/>
      <c r="AD202" s="548"/>
      <c r="AE202" s="548"/>
      <c r="AF202" s="548"/>
      <c r="AG202" s="548"/>
      <c r="AH202" s="548"/>
      <c r="AI202" s="548"/>
      <c r="AJ202" s="548"/>
      <c r="AK202" s="548"/>
      <c r="AL202" s="548"/>
      <c r="AM202" s="548"/>
      <c r="AN202" s="548"/>
      <c r="AO202" s="548"/>
    </row>
    <row r="203">
      <c r="B203" s="847" t="s">
        <v>1390</v>
      </c>
      <c r="G203" s="548"/>
      <c r="H203" s="548"/>
      <c r="I203" s="548"/>
      <c r="J203" s="548"/>
      <c r="K203" s="548"/>
      <c r="L203" s="548"/>
      <c r="M203" s="548"/>
      <c r="N203" s="548"/>
      <c r="O203" s="548"/>
      <c r="P203" s="548"/>
      <c r="Q203" s="548"/>
      <c r="R203" s="548"/>
      <c r="S203" s="548"/>
      <c r="T203" s="548"/>
      <c r="U203" s="548"/>
      <c r="V203" s="548"/>
      <c r="W203" s="548"/>
      <c r="X203" s="548"/>
      <c r="Y203" s="548"/>
      <c r="Z203" s="548"/>
      <c r="AA203" s="548"/>
      <c r="AB203" s="548"/>
      <c r="AC203" s="548"/>
      <c r="AD203" s="548"/>
      <c r="AE203" s="548"/>
      <c r="AF203" s="548"/>
      <c r="AG203" s="548"/>
      <c r="AH203" s="548"/>
      <c r="AI203" s="548"/>
      <c r="AJ203" s="548"/>
      <c r="AK203" s="548"/>
      <c r="AL203" s="548"/>
      <c r="AM203" s="548"/>
      <c r="AN203" s="548"/>
      <c r="AO203" s="548"/>
    </row>
    <row r="204">
      <c r="B204" s="847" t="s">
        <v>1391</v>
      </c>
      <c r="G204" s="548"/>
      <c r="H204" s="548"/>
      <c r="I204" s="548"/>
      <c r="J204" s="548"/>
      <c r="K204" s="548"/>
      <c r="L204" s="548"/>
      <c r="M204" s="548"/>
      <c r="N204" s="548"/>
      <c r="O204" s="548"/>
      <c r="P204" s="548"/>
      <c r="Q204" s="548"/>
      <c r="R204" s="548"/>
      <c r="S204" s="548"/>
      <c r="T204" s="548"/>
      <c r="U204" s="548"/>
      <c r="V204" s="548"/>
      <c r="W204" s="548"/>
      <c r="X204" s="548"/>
      <c r="Y204" s="548"/>
      <c r="Z204" s="548"/>
      <c r="AA204" s="548"/>
      <c r="AB204" s="548"/>
      <c r="AC204" s="548"/>
      <c r="AD204" s="548"/>
      <c r="AE204" s="548"/>
      <c r="AF204" s="548"/>
      <c r="AG204" s="548"/>
      <c r="AH204" s="548"/>
      <c r="AI204" s="548"/>
      <c r="AJ204" s="548"/>
      <c r="AK204" s="548"/>
      <c r="AL204" s="548"/>
      <c r="AM204" s="548"/>
      <c r="AN204" s="548"/>
      <c r="AO204" s="548"/>
    </row>
    <row r="205">
      <c r="B205" s="847" t="s">
        <v>1392</v>
      </c>
      <c r="G205" s="548"/>
      <c r="H205" s="548"/>
      <c r="I205" s="548"/>
      <c r="J205" s="548"/>
      <c r="K205" s="548"/>
      <c r="L205" s="548"/>
      <c r="M205" s="548"/>
      <c r="N205" s="548"/>
      <c r="O205" s="548"/>
      <c r="P205" s="548"/>
      <c r="Q205" s="548"/>
      <c r="R205" s="548"/>
      <c r="S205" s="548"/>
      <c r="T205" s="548"/>
      <c r="U205" s="548"/>
      <c r="V205" s="548"/>
      <c r="W205" s="548"/>
      <c r="X205" s="548"/>
      <c r="Y205" s="548"/>
      <c r="Z205" s="548"/>
      <c r="AA205" s="548"/>
      <c r="AB205" s="548"/>
      <c r="AC205" s="548"/>
      <c r="AD205" s="548"/>
      <c r="AE205" s="548"/>
      <c r="AF205" s="548"/>
      <c r="AG205" s="548"/>
      <c r="AH205" s="548"/>
      <c r="AI205" s="548"/>
      <c r="AJ205" s="548"/>
      <c r="AK205" s="548"/>
      <c r="AL205" s="548"/>
      <c r="AM205" s="548"/>
      <c r="AN205" s="548"/>
      <c r="AO205" s="548"/>
    </row>
    <row r="206">
      <c r="B206" s="850" t="s">
        <v>1393</v>
      </c>
      <c r="G206" s="548"/>
      <c r="H206" s="548"/>
      <c r="I206" s="548"/>
      <c r="J206" s="548"/>
      <c r="K206" s="548"/>
      <c r="L206" s="548"/>
      <c r="M206" s="548"/>
      <c r="N206" s="548"/>
      <c r="O206" s="548"/>
      <c r="P206" s="548"/>
      <c r="Q206" s="548"/>
      <c r="R206" s="548"/>
      <c r="S206" s="548"/>
      <c r="T206" s="548"/>
      <c r="U206" s="548"/>
      <c r="V206" s="548"/>
      <c r="W206" s="548"/>
      <c r="X206" s="548"/>
      <c r="Y206" s="548"/>
      <c r="Z206" s="548"/>
      <c r="AA206" s="548"/>
      <c r="AB206" s="548"/>
      <c r="AC206" s="548"/>
      <c r="AD206" s="548"/>
      <c r="AE206" s="548"/>
      <c r="AF206" s="548"/>
      <c r="AG206" s="548"/>
      <c r="AH206" s="548"/>
      <c r="AI206" s="548"/>
      <c r="AJ206" s="548"/>
      <c r="AK206" s="548"/>
      <c r="AL206" s="548"/>
      <c r="AM206" s="548"/>
      <c r="AN206" s="548"/>
      <c r="AO206" s="548"/>
    </row>
    <row r="207">
      <c r="B207" s="850" t="s">
        <v>1394</v>
      </c>
      <c r="G207" s="548"/>
      <c r="H207" s="548"/>
      <c r="I207" s="548"/>
      <c r="J207" s="548"/>
      <c r="K207" s="548"/>
      <c r="L207" s="548"/>
      <c r="M207" s="548"/>
      <c r="N207" s="548"/>
      <c r="O207" s="548"/>
      <c r="P207" s="548"/>
      <c r="Q207" s="548"/>
      <c r="R207" s="548"/>
      <c r="S207" s="548"/>
      <c r="T207" s="548"/>
      <c r="U207" s="548"/>
      <c r="V207" s="548"/>
      <c r="W207" s="548"/>
      <c r="X207" s="548"/>
      <c r="Y207" s="548"/>
      <c r="Z207" s="548"/>
      <c r="AA207" s="548"/>
      <c r="AB207" s="548"/>
      <c r="AC207" s="548"/>
      <c r="AD207" s="548"/>
      <c r="AE207" s="548"/>
      <c r="AF207" s="548"/>
      <c r="AG207" s="548"/>
      <c r="AH207" s="548"/>
      <c r="AI207" s="548"/>
      <c r="AJ207" s="548"/>
      <c r="AK207" s="548"/>
      <c r="AL207" s="548"/>
      <c r="AM207" s="548"/>
      <c r="AN207" s="548"/>
      <c r="AO207" s="548"/>
    </row>
    <row r="208">
      <c r="B208" s="847" t="s">
        <v>1395</v>
      </c>
      <c r="G208" s="548"/>
      <c r="H208" s="548"/>
      <c r="I208" s="548"/>
      <c r="J208" s="548"/>
      <c r="K208" s="548"/>
      <c r="L208" s="548"/>
      <c r="M208" s="548"/>
      <c r="N208" s="548"/>
      <c r="O208" s="548"/>
      <c r="P208" s="548"/>
      <c r="Q208" s="548"/>
      <c r="R208" s="548"/>
      <c r="S208" s="548"/>
      <c r="T208" s="548"/>
      <c r="U208" s="548"/>
      <c r="V208" s="548"/>
      <c r="W208" s="548"/>
      <c r="X208" s="548"/>
      <c r="Y208" s="548"/>
      <c r="Z208" s="548"/>
      <c r="AA208" s="548"/>
      <c r="AB208" s="548"/>
      <c r="AC208" s="548"/>
      <c r="AD208" s="548"/>
      <c r="AE208" s="548"/>
      <c r="AF208" s="548"/>
      <c r="AG208" s="548"/>
      <c r="AH208" s="548"/>
      <c r="AI208" s="548"/>
      <c r="AJ208" s="548"/>
      <c r="AK208" s="548"/>
      <c r="AL208" s="548"/>
      <c r="AM208" s="548"/>
      <c r="AN208" s="548"/>
      <c r="AO208" s="548"/>
    </row>
    <row r="209">
      <c r="B209" s="847" t="s">
        <v>1396</v>
      </c>
      <c r="G209" s="548"/>
      <c r="H209" s="548"/>
      <c r="I209" s="548"/>
      <c r="J209" s="548"/>
      <c r="K209" s="548"/>
      <c r="L209" s="548"/>
      <c r="M209" s="548"/>
      <c r="N209" s="548"/>
      <c r="O209" s="548"/>
      <c r="P209" s="548"/>
      <c r="Q209" s="548"/>
      <c r="R209" s="548"/>
      <c r="S209" s="548"/>
      <c r="T209" s="548"/>
      <c r="U209" s="548"/>
      <c r="V209" s="548"/>
      <c r="W209" s="548"/>
      <c r="X209" s="548"/>
      <c r="Y209" s="548"/>
      <c r="Z209" s="548"/>
      <c r="AA209" s="548"/>
      <c r="AB209" s="548"/>
      <c r="AC209" s="548"/>
      <c r="AD209" s="548"/>
      <c r="AE209" s="548"/>
      <c r="AF209" s="548"/>
      <c r="AG209" s="548"/>
      <c r="AH209" s="548"/>
      <c r="AI209" s="548"/>
      <c r="AJ209" s="548"/>
      <c r="AK209" s="548"/>
      <c r="AL209" s="548"/>
      <c r="AM209" s="548"/>
      <c r="AN209" s="548"/>
      <c r="AO209" s="548"/>
    </row>
    <row r="210">
      <c r="B210" s="847" t="s">
        <v>1397</v>
      </c>
      <c r="G210" s="548"/>
      <c r="H210" s="548"/>
      <c r="I210" s="548"/>
      <c r="J210" s="548"/>
      <c r="K210" s="548"/>
      <c r="L210" s="548"/>
      <c r="M210" s="548"/>
      <c r="N210" s="548"/>
      <c r="O210" s="548"/>
      <c r="P210" s="548"/>
      <c r="Q210" s="548"/>
      <c r="R210" s="548"/>
      <c r="S210" s="548"/>
      <c r="T210" s="548"/>
      <c r="U210" s="548"/>
      <c r="V210" s="548"/>
      <c r="W210" s="548"/>
      <c r="X210" s="548"/>
      <c r="Y210" s="548"/>
      <c r="Z210" s="548"/>
      <c r="AA210" s="548"/>
      <c r="AB210" s="548"/>
      <c r="AC210" s="548"/>
      <c r="AD210" s="548"/>
      <c r="AE210" s="548"/>
      <c r="AF210" s="548"/>
      <c r="AG210" s="548"/>
      <c r="AH210" s="548"/>
      <c r="AI210" s="548"/>
      <c r="AJ210" s="548"/>
      <c r="AK210" s="548"/>
      <c r="AL210" s="548"/>
      <c r="AM210" s="548"/>
      <c r="AN210" s="548"/>
      <c r="AO210" s="548"/>
    </row>
    <row r="211">
      <c r="A211" s="845" t="s">
        <v>1410</v>
      </c>
      <c r="B211" s="846" t="s">
        <v>1389</v>
      </c>
      <c r="G211" s="548"/>
      <c r="H211" s="548"/>
      <c r="I211" s="548"/>
      <c r="J211" s="548"/>
      <c r="K211" s="548"/>
      <c r="L211" s="548"/>
      <c r="M211" s="548"/>
      <c r="N211" s="548"/>
      <c r="O211" s="548"/>
      <c r="P211" s="548"/>
      <c r="Q211" s="548"/>
      <c r="R211" s="548"/>
      <c r="S211" s="548"/>
      <c r="T211" s="548"/>
      <c r="U211" s="548"/>
      <c r="V211" s="548"/>
      <c r="W211" s="548"/>
      <c r="X211" s="548"/>
      <c r="Y211" s="548"/>
      <c r="Z211" s="548"/>
      <c r="AA211" s="548"/>
      <c r="AB211" s="548"/>
      <c r="AC211" s="548"/>
      <c r="AD211" s="548"/>
      <c r="AE211" s="548"/>
      <c r="AF211" s="548"/>
      <c r="AG211" s="548"/>
      <c r="AH211" s="548"/>
      <c r="AI211" s="548"/>
      <c r="AJ211" s="548"/>
      <c r="AK211" s="548"/>
      <c r="AL211" s="548"/>
      <c r="AM211" s="548"/>
      <c r="AN211" s="548"/>
      <c r="AO211" s="548"/>
    </row>
    <row r="212">
      <c r="B212" s="847" t="s">
        <v>1390</v>
      </c>
      <c r="G212" s="548"/>
      <c r="H212" s="548"/>
      <c r="I212" s="548"/>
      <c r="J212" s="548"/>
      <c r="K212" s="548"/>
      <c r="L212" s="548"/>
      <c r="M212" s="548"/>
      <c r="N212" s="548"/>
      <c r="O212" s="548"/>
      <c r="P212" s="548"/>
      <c r="Q212" s="548"/>
      <c r="R212" s="548"/>
      <c r="S212" s="548"/>
      <c r="T212" s="548"/>
      <c r="U212" s="548"/>
      <c r="V212" s="548"/>
      <c r="W212" s="548"/>
      <c r="X212" s="548"/>
      <c r="Y212" s="548"/>
      <c r="Z212" s="548"/>
      <c r="AA212" s="548"/>
      <c r="AB212" s="548"/>
      <c r="AC212" s="548"/>
      <c r="AD212" s="548"/>
      <c r="AE212" s="548"/>
      <c r="AF212" s="548"/>
      <c r="AG212" s="548"/>
      <c r="AH212" s="548"/>
      <c r="AI212" s="548"/>
      <c r="AJ212" s="548"/>
      <c r="AK212" s="548"/>
      <c r="AL212" s="548"/>
      <c r="AM212" s="548"/>
      <c r="AN212" s="548"/>
      <c r="AO212" s="548"/>
    </row>
    <row r="213">
      <c r="B213" s="847" t="s">
        <v>1391</v>
      </c>
      <c r="G213" s="548"/>
      <c r="H213" s="548"/>
      <c r="I213" s="548"/>
      <c r="J213" s="548"/>
      <c r="K213" s="548"/>
      <c r="L213" s="548"/>
      <c r="M213" s="548"/>
      <c r="N213" s="548"/>
      <c r="O213" s="548"/>
      <c r="P213" s="548"/>
      <c r="Q213" s="548"/>
      <c r="R213" s="548"/>
      <c r="S213" s="548"/>
      <c r="T213" s="548"/>
      <c r="U213" s="548"/>
      <c r="V213" s="548"/>
      <c r="W213" s="548"/>
      <c r="X213" s="548"/>
      <c r="Y213" s="548"/>
      <c r="Z213" s="548"/>
      <c r="AA213" s="548"/>
      <c r="AB213" s="548"/>
      <c r="AC213" s="548"/>
      <c r="AD213" s="548"/>
      <c r="AE213" s="548"/>
      <c r="AF213" s="548"/>
      <c r="AG213" s="548"/>
      <c r="AH213" s="548"/>
      <c r="AI213" s="548"/>
      <c r="AJ213" s="548"/>
      <c r="AK213" s="548"/>
      <c r="AL213" s="548"/>
      <c r="AM213" s="548"/>
      <c r="AN213" s="548"/>
      <c r="AO213" s="548"/>
    </row>
    <row r="214">
      <c r="B214" s="847" t="s">
        <v>1392</v>
      </c>
      <c r="G214" s="548"/>
      <c r="H214" s="548"/>
      <c r="I214" s="548"/>
      <c r="J214" s="548"/>
      <c r="K214" s="548"/>
      <c r="L214" s="548"/>
      <c r="M214" s="548"/>
      <c r="N214" s="548"/>
      <c r="O214" s="548"/>
      <c r="P214" s="548"/>
      <c r="Q214" s="548"/>
      <c r="R214" s="548"/>
      <c r="S214" s="548"/>
      <c r="T214" s="548"/>
      <c r="U214" s="548"/>
      <c r="V214" s="548"/>
      <c r="W214" s="548"/>
      <c r="X214" s="548"/>
      <c r="Y214" s="548"/>
      <c r="Z214" s="548"/>
      <c r="AA214" s="548"/>
      <c r="AB214" s="548"/>
      <c r="AC214" s="548"/>
      <c r="AD214" s="548"/>
      <c r="AE214" s="548"/>
      <c r="AF214" s="548"/>
      <c r="AG214" s="548"/>
      <c r="AH214" s="548"/>
      <c r="AI214" s="548"/>
      <c r="AJ214" s="548"/>
      <c r="AK214" s="548"/>
      <c r="AL214" s="548"/>
      <c r="AM214" s="548"/>
      <c r="AN214" s="548"/>
      <c r="AO214" s="548"/>
    </row>
    <row r="215">
      <c r="B215" s="850" t="s">
        <v>1393</v>
      </c>
      <c r="G215" s="548"/>
      <c r="H215" s="548"/>
      <c r="I215" s="548"/>
      <c r="J215" s="548"/>
      <c r="K215" s="548"/>
      <c r="L215" s="548"/>
      <c r="M215" s="548"/>
      <c r="N215" s="548"/>
      <c r="O215" s="548"/>
      <c r="P215" s="548"/>
      <c r="Q215" s="548"/>
      <c r="R215" s="548"/>
      <c r="S215" s="548"/>
      <c r="T215" s="548"/>
      <c r="U215" s="548"/>
      <c r="V215" s="548"/>
      <c r="W215" s="548"/>
      <c r="X215" s="548"/>
      <c r="Y215" s="548"/>
      <c r="Z215" s="548"/>
      <c r="AA215" s="548"/>
      <c r="AB215" s="548"/>
      <c r="AC215" s="548"/>
      <c r="AD215" s="548"/>
      <c r="AE215" s="548"/>
      <c r="AF215" s="548"/>
      <c r="AG215" s="548"/>
      <c r="AH215" s="548"/>
      <c r="AI215" s="548"/>
      <c r="AJ215" s="548"/>
      <c r="AK215" s="548"/>
      <c r="AL215" s="548"/>
      <c r="AM215" s="548"/>
      <c r="AN215" s="548"/>
      <c r="AO215" s="548"/>
    </row>
    <row r="216">
      <c r="B216" s="850" t="s">
        <v>1394</v>
      </c>
      <c r="G216" s="548"/>
      <c r="H216" s="548"/>
      <c r="I216" s="548"/>
      <c r="J216" s="548"/>
      <c r="K216" s="548"/>
      <c r="L216" s="548"/>
      <c r="M216" s="548"/>
      <c r="N216" s="548"/>
      <c r="O216" s="548"/>
      <c r="P216" s="548"/>
      <c r="Q216" s="548"/>
      <c r="R216" s="548"/>
      <c r="S216" s="548"/>
      <c r="T216" s="548"/>
      <c r="U216" s="548"/>
      <c r="V216" s="548"/>
      <c r="W216" s="548"/>
      <c r="X216" s="548"/>
      <c r="Y216" s="548"/>
      <c r="Z216" s="548"/>
      <c r="AA216" s="548"/>
      <c r="AB216" s="548"/>
      <c r="AC216" s="548"/>
      <c r="AD216" s="548"/>
      <c r="AE216" s="548"/>
      <c r="AF216" s="548"/>
      <c r="AG216" s="548"/>
      <c r="AH216" s="548"/>
      <c r="AI216" s="548"/>
      <c r="AJ216" s="548"/>
      <c r="AK216" s="548"/>
      <c r="AL216" s="548"/>
      <c r="AM216" s="548"/>
      <c r="AN216" s="548"/>
      <c r="AO216" s="548"/>
    </row>
    <row r="217">
      <c r="B217" s="847" t="s">
        <v>1395</v>
      </c>
      <c r="G217" s="548"/>
      <c r="H217" s="548"/>
      <c r="I217" s="548"/>
      <c r="J217" s="548"/>
      <c r="K217" s="548"/>
      <c r="L217" s="548"/>
      <c r="M217" s="548"/>
      <c r="N217" s="548"/>
      <c r="O217" s="548"/>
      <c r="P217" s="548"/>
      <c r="Q217" s="548"/>
      <c r="R217" s="548"/>
      <c r="S217" s="548"/>
      <c r="T217" s="548"/>
      <c r="U217" s="548"/>
      <c r="V217" s="548"/>
      <c r="W217" s="548"/>
      <c r="X217" s="548"/>
      <c r="Y217" s="548"/>
      <c r="Z217" s="548"/>
      <c r="AA217" s="548"/>
      <c r="AB217" s="548"/>
      <c r="AC217" s="548"/>
      <c r="AD217" s="548"/>
      <c r="AE217" s="548"/>
      <c r="AF217" s="548"/>
      <c r="AG217" s="548"/>
      <c r="AH217" s="548"/>
      <c r="AI217" s="548"/>
      <c r="AJ217" s="548"/>
      <c r="AK217" s="548"/>
      <c r="AL217" s="548"/>
      <c r="AM217" s="548"/>
      <c r="AN217" s="548"/>
      <c r="AO217" s="548"/>
    </row>
    <row r="218">
      <c r="B218" s="847" t="s">
        <v>1396</v>
      </c>
      <c r="G218" s="548"/>
      <c r="H218" s="548"/>
      <c r="I218" s="548"/>
      <c r="J218" s="548"/>
      <c r="K218" s="548"/>
      <c r="L218" s="548"/>
      <c r="M218" s="548"/>
      <c r="N218" s="548"/>
      <c r="O218" s="548"/>
      <c r="P218" s="548"/>
      <c r="Q218" s="548"/>
      <c r="R218" s="548"/>
      <c r="S218" s="548"/>
      <c r="T218" s="548"/>
      <c r="U218" s="548"/>
      <c r="V218" s="548"/>
      <c r="W218" s="548"/>
      <c r="X218" s="548"/>
      <c r="Y218" s="548"/>
      <c r="Z218" s="548"/>
      <c r="AA218" s="548"/>
      <c r="AB218" s="548"/>
      <c r="AC218" s="548"/>
      <c r="AD218" s="548"/>
      <c r="AE218" s="548"/>
      <c r="AF218" s="548"/>
      <c r="AG218" s="548"/>
      <c r="AH218" s="548"/>
      <c r="AI218" s="548"/>
      <c r="AJ218" s="548"/>
      <c r="AK218" s="548"/>
      <c r="AL218" s="548"/>
      <c r="AM218" s="548"/>
      <c r="AN218" s="548"/>
      <c r="AO218" s="548"/>
    </row>
    <row r="219">
      <c r="B219" s="847" t="s">
        <v>1397</v>
      </c>
      <c r="G219" s="548"/>
      <c r="H219" s="548"/>
      <c r="I219" s="548"/>
      <c r="J219" s="548"/>
      <c r="K219" s="548"/>
      <c r="L219" s="548"/>
      <c r="M219" s="548"/>
      <c r="N219" s="548"/>
      <c r="O219" s="548"/>
      <c r="P219" s="548"/>
      <c r="Q219" s="548"/>
      <c r="R219" s="548"/>
      <c r="S219" s="548"/>
      <c r="T219" s="548"/>
      <c r="U219" s="548"/>
      <c r="V219" s="548"/>
      <c r="W219" s="548"/>
      <c r="X219" s="548"/>
      <c r="Y219" s="548"/>
      <c r="Z219" s="548"/>
      <c r="AA219" s="548"/>
      <c r="AB219" s="548"/>
      <c r="AC219" s="548"/>
      <c r="AD219" s="548"/>
      <c r="AE219" s="548"/>
      <c r="AF219" s="548"/>
      <c r="AG219" s="548"/>
      <c r="AH219" s="548"/>
      <c r="AI219" s="548"/>
      <c r="AJ219" s="548"/>
      <c r="AK219" s="548"/>
      <c r="AL219" s="548"/>
      <c r="AM219" s="548"/>
      <c r="AN219" s="548"/>
      <c r="AO219" s="548"/>
    </row>
    <row r="220">
      <c r="A220" s="845" t="s">
        <v>1411</v>
      </c>
      <c r="B220" s="846" t="s">
        <v>1389</v>
      </c>
      <c r="G220" s="548"/>
      <c r="H220" s="548"/>
      <c r="I220" s="548"/>
      <c r="J220" s="548"/>
      <c r="K220" s="548"/>
      <c r="L220" s="548"/>
      <c r="M220" s="548"/>
      <c r="N220" s="548"/>
      <c r="O220" s="548"/>
      <c r="P220" s="548"/>
      <c r="Q220" s="548"/>
      <c r="R220" s="548"/>
      <c r="S220" s="548"/>
      <c r="T220" s="548"/>
      <c r="U220" s="548"/>
      <c r="V220" s="548"/>
      <c r="W220" s="548"/>
      <c r="X220" s="548"/>
      <c r="Y220" s="548"/>
      <c r="Z220" s="548"/>
      <c r="AA220" s="548"/>
      <c r="AB220" s="548"/>
      <c r="AC220" s="548"/>
      <c r="AD220" s="548"/>
      <c r="AE220" s="548"/>
      <c r="AF220" s="548"/>
      <c r="AG220" s="548"/>
      <c r="AH220" s="548"/>
      <c r="AI220" s="548"/>
      <c r="AJ220" s="548"/>
      <c r="AK220" s="548"/>
      <c r="AL220" s="548"/>
      <c r="AM220" s="548"/>
      <c r="AN220" s="548"/>
      <c r="AO220" s="548"/>
    </row>
    <row r="221">
      <c r="B221" s="847" t="s">
        <v>1390</v>
      </c>
      <c r="G221" s="548"/>
      <c r="H221" s="548"/>
      <c r="I221" s="548"/>
      <c r="J221" s="548"/>
      <c r="K221" s="548"/>
      <c r="L221" s="548"/>
      <c r="M221" s="548"/>
      <c r="N221" s="548"/>
      <c r="O221" s="548"/>
      <c r="P221" s="548"/>
      <c r="Q221" s="548"/>
      <c r="R221" s="548"/>
      <c r="S221" s="548"/>
      <c r="T221" s="548"/>
      <c r="U221" s="548"/>
      <c r="V221" s="548"/>
      <c r="W221" s="548"/>
      <c r="X221" s="548"/>
      <c r="Y221" s="548"/>
      <c r="Z221" s="548"/>
      <c r="AA221" s="548"/>
      <c r="AB221" s="548"/>
      <c r="AC221" s="548"/>
      <c r="AD221" s="548"/>
      <c r="AE221" s="548"/>
      <c r="AF221" s="548"/>
      <c r="AG221" s="548"/>
      <c r="AH221" s="548"/>
      <c r="AI221" s="548"/>
      <c r="AJ221" s="548"/>
      <c r="AK221" s="548"/>
      <c r="AL221" s="548"/>
      <c r="AM221" s="548"/>
      <c r="AN221" s="548"/>
      <c r="AO221" s="548"/>
    </row>
    <row r="222">
      <c r="B222" s="847" t="s">
        <v>1391</v>
      </c>
      <c r="G222" s="548"/>
      <c r="H222" s="548"/>
      <c r="I222" s="548"/>
      <c r="J222" s="548"/>
      <c r="K222" s="548"/>
      <c r="L222" s="548"/>
      <c r="M222" s="548"/>
      <c r="N222" s="548"/>
      <c r="O222" s="548"/>
      <c r="P222" s="548"/>
      <c r="Q222" s="548"/>
      <c r="R222" s="548"/>
      <c r="S222" s="548"/>
      <c r="T222" s="548"/>
      <c r="U222" s="548"/>
      <c r="V222" s="548"/>
      <c r="W222" s="548"/>
      <c r="X222" s="548"/>
      <c r="Y222" s="548"/>
      <c r="Z222" s="548"/>
      <c r="AA222" s="548"/>
      <c r="AB222" s="548"/>
      <c r="AC222" s="548"/>
      <c r="AD222" s="548"/>
      <c r="AE222" s="548"/>
      <c r="AF222" s="548"/>
      <c r="AG222" s="548"/>
      <c r="AH222" s="548"/>
      <c r="AI222" s="548"/>
      <c r="AJ222" s="548"/>
      <c r="AK222" s="548"/>
      <c r="AL222" s="548"/>
      <c r="AM222" s="548"/>
      <c r="AN222" s="548"/>
      <c r="AO222" s="548"/>
    </row>
    <row r="223">
      <c r="B223" s="847" t="s">
        <v>1392</v>
      </c>
      <c r="G223" s="548"/>
      <c r="H223" s="548"/>
      <c r="I223" s="548"/>
      <c r="J223" s="548"/>
      <c r="K223" s="548"/>
      <c r="L223" s="548"/>
      <c r="M223" s="548"/>
      <c r="N223" s="548"/>
      <c r="O223" s="548"/>
      <c r="P223" s="548"/>
      <c r="Q223" s="548"/>
      <c r="R223" s="548"/>
      <c r="S223" s="548"/>
      <c r="T223" s="548"/>
      <c r="U223" s="548"/>
      <c r="V223" s="548"/>
      <c r="W223" s="548"/>
      <c r="X223" s="548"/>
      <c r="Y223" s="548"/>
      <c r="Z223" s="548"/>
      <c r="AA223" s="548"/>
      <c r="AB223" s="548"/>
      <c r="AC223" s="548"/>
      <c r="AD223" s="548"/>
      <c r="AE223" s="548"/>
      <c r="AF223" s="548"/>
      <c r="AG223" s="548"/>
      <c r="AH223" s="548"/>
      <c r="AI223" s="548"/>
      <c r="AJ223" s="548"/>
      <c r="AK223" s="548"/>
      <c r="AL223" s="548"/>
      <c r="AM223" s="548"/>
      <c r="AN223" s="548"/>
      <c r="AO223" s="548"/>
    </row>
    <row r="224">
      <c r="B224" s="850" t="s">
        <v>1393</v>
      </c>
      <c r="G224" s="548"/>
      <c r="H224" s="548"/>
      <c r="I224" s="548"/>
      <c r="J224" s="548"/>
      <c r="K224" s="548"/>
      <c r="L224" s="548"/>
      <c r="M224" s="548"/>
      <c r="N224" s="548"/>
      <c r="O224" s="548"/>
      <c r="P224" s="548"/>
      <c r="Q224" s="548"/>
      <c r="R224" s="548"/>
      <c r="S224" s="548"/>
      <c r="T224" s="548"/>
      <c r="U224" s="548"/>
      <c r="V224" s="548"/>
      <c r="W224" s="548"/>
      <c r="X224" s="548"/>
      <c r="Y224" s="548"/>
      <c r="Z224" s="548"/>
      <c r="AA224" s="548"/>
      <c r="AB224" s="548"/>
      <c r="AC224" s="548"/>
      <c r="AD224" s="548"/>
      <c r="AE224" s="548"/>
      <c r="AF224" s="548"/>
      <c r="AG224" s="548"/>
      <c r="AH224" s="548"/>
      <c r="AI224" s="548"/>
      <c r="AJ224" s="548"/>
      <c r="AK224" s="548"/>
      <c r="AL224" s="548"/>
      <c r="AM224" s="548"/>
      <c r="AN224" s="548"/>
      <c r="AO224" s="548"/>
    </row>
    <row r="225">
      <c r="B225" s="850" t="s">
        <v>1394</v>
      </c>
      <c r="G225" s="548"/>
      <c r="H225" s="548"/>
      <c r="I225" s="548"/>
      <c r="J225" s="548"/>
      <c r="K225" s="548"/>
      <c r="L225" s="548"/>
      <c r="M225" s="548"/>
      <c r="N225" s="548"/>
      <c r="O225" s="548"/>
      <c r="P225" s="548"/>
      <c r="Q225" s="548"/>
      <c r="R225" s="548"/>
      <c r="S225" s="548"/>
      <c r="T225" s="548"/>
      <c r="U225" s="548"/>
      <c r="V225" s="548"/>
      <c r="W225" s="548"/>
      <c r="X225" s="548"/>
      <c r="Y225" s="548"/>
      <c r="Z225" s="548"/>
      <c r="AA225" s="548"/>
      <c r="AB225" s="548"/>
      <c r="AC225" s="548"/>
      <c r="AD225" s="548"/>
      <c r="AE225" s="548"/>
      <c r="AF225" s="548"/>
      <c r="AG225" s="548"/>
      <c r="AH225" s="548"/>
      <c r="AI225" s="548"/>
      <c r="AJ225" s="548"/>
      <c r="AK225" s="548"/>
      <c r="AL225" s="548"/>
      <c r="AM225" s="548"/>
      <c r="AN225" s="548"/>
      <c r="AO225" s="548"/>
    </row>
    <row r="226">
      <c r="B226" s="847" t="s">
        <v>1395</v>
      </c>
      <c r="G226" s="548"/>
      <c r="H226" s="548"/>
      <c r="I226" s="548"/>
      <c r="J226" s="548"/>
      <c r="K226" s="548"/>
      <c r="L226" s="548"/>
      <c r="M226" s="548"/>
      <c r="N226" s="548"/>
      <c r="O226" s="548"/>
      <c r="P226" s="548"/>
      <c r="Q226" s="548"/>
      <c r="R226" s="548"/>
      <c r="S226" s="548"/>
      <c r="T226" s="548"/>
      <c r="U226" s="548"/>
      <c r="V226" s="548"/>
      <c r="W226" s="548"/>
      <c r="X226" s="548"/>
      <c r="Y226" s="548"/>
      <c r="Z226" s="548"/>
      <c r="AA226" s="548"/>
      <c r="AB226" s="548"/>
      <c r="AC226" s="548"/>
      <c r="AD226" s="548"/>
      <c r="AE226" s="548"/>
      <c r="AF226" s="548"/>
      <c r="AG226" s="548"/>
      <c r="AH226" s="548"/>
      <c r="AI226" s="548"/>
      <c r="AJ226" s="548"/>
      <c r="AK226" s="548"/>
      <c r="AL226" s="548"/>
      <c r="AM226" s="548"/>
      <c r="AN226" s="548"/>
      <c r="AO226" s="548"/>
    </row>
    <row r="227">
      <c r="B227" s="847" t="s">
        <v>1396</v>
      </c>
      <c r="G227" s="548"/>
      <c r="H227" s="548"/>
      <c r="I227" s="548"/>
      <c r="J227" s="548"/>
      <c r="K227" s="548"/>
      <c r="L227" s="548"/>
      <c r="M227" s="548"/>
      <c r="N227" s="548"/>
      <c r="O227" s="548"/>
      <c r="P227" s="548"/>
      <c r="Q227" s="548"/>
      <c r="R227" s="548"/>
      <c r="S227" s="548"/>
      <c r="T227" s="548"/>
      <c r="U227" s="548"/>
      <c r="V227" s="548"/>
      <c r="W227" s="548"/>
      <c r="X227" s="548"/>
      <c r="Y227" s="548"/>
      <c r="Z227" s="548"/>
      <c r="AA227" s="548"/>
      <c r="AB227" s="548"/>
      <c r="AC227" s="548"/>
      <c r="AD227" s="548"/>
      <c r="AE227" s="548"/>
      <c r="AF227" s="548"/>
      <c r="AG227" s="548"/>
      <c r="AH227" s="548"/>
      <c r="AI227" s="548"/>
      <c r="AJ227" s="548"/>
      <c r="AK227" s="548"/>
      <c r="AL227" s="548"/>
      <c r="AM227" s="548"/>
      <c r="AN227" s="548"/>
      <c r="AO227" s="548"/>
    </row>
    <row r="228">
      <c r="B228" s="847" t="s">
        <v>1397</v>
      </c>
      <c r="G228" s="548"/>
      <c r="H228" s="548"/>
      <c r="I228" s="548"/>
      <c r="J228" s="548"/>
      <c r="K228" s="548"/>
      <c r="L228" s="548"/>
      <c r="M228" s="548"/>
      <c r="N228" s="548"/>
      <c r="O228" s="548"/>
      <c r="P228" s="548"/>
      <c r="Q228" s="548"/>
      <c r="R228" s="548"/>
      <c r="S228" s="548"/>
      <c r="T228" s="548"/>
      <c r="U228" s="548"/>
      <c r="V228" s="548"/>
      <c r="W228" s="548"/>
      <c r="X228" s="548"/>
      <c r="Y228" s="548"/>
      <c r="Z228" s="548"/>
      <c r="AA228" s="548"/>
      <c r="AB228" s="548"/>
      <c r="AC228" s="548"/>
      <c r="AD228" s="548"/>
      <c r="AE228" s="548"/>
      <c r="AF228" s="548"/>
      <c r="AG228" s="548"/>
      <c r="AH228" s="548"/>
      <c r="AI228" s="548"/>
      <c r="AJ228" s="548"/>
      <c r="AK228" s="548"/>
      <c r="AL228" s="548"/>
      <c r="AM228" s="548"/>
      <c r="AN228" s="548"/>
      <c r="AO228" s="548"/>
    </row>
    <row r="229">
      <c r="A229" s="845" t="s">
        <v>1412</v>
      </c>
      <c r="B229" s="846" t="s">
        <v>1389</v>
      </c>
      <c r="G229" s="548"/>
      <c r="H229" s="548"/>
      <c r="I229" s="548"/>
      <c r="J229" s="548"/>
      <c r="K229" s="548"/>
      <c r="L229" s="548"/>
      <c r="M229" s="548"/>
      <c r="N229" s="548"/>
      <c r="O229" s="548"/>
      <c r="P229" s="548"/>
      <c r="Q229" s="548"/>
      <c r="R229" s="548"/>
      <c r="S229" s="548"/>
      <c r="T229" s="548"/>
      <c r="U229" s="548"/>
      <c r="V229" s="548"/>
      <c r="W229" s="548"/>
      <c r="X229" s="548"/>
      <c r="Y229" s="548"/>
      <c r="Z229" s="548"/>
      <c r="AA229" s="548"/>
      <c r="AB229" s="548"/>
      <c r="AC229" s="548"/>
      <c r="AD229" s="548"/>
      <c r="AE229" s="548"/>
      <c r="AF229" s="548"/>
      <c r="AG229" s="548"/>
      <c r="AH229" s="548"/>
      <c r="AI229" s="548"/>
      <c r="AJ229" s="548"/>
      <c r="AK229" s="548"/>
      <c r="AL229" s="548"/>
      <c r="AM229" s="548"/>
      <c r="AN229" s="548"/>
      <c r="AO229" s="548"/>
    </row>
    <row r="230">
      <c r="B230" s="847" t="s">
        <v>1390</v>
      </c>
      <c r="G230" s="548"/>
      <c r="H230" s="548"/>
      <c r="I230" s="548"/>
      <c r="J230" s="548"/>
      <c r="K230" s="548"/>
      <c r="L230" s="548"/>
      <c r="M230" s="548"/>
      <c r="N230" s="548"/>
      <c r="O230" s="548"/>
      <c r="P230" s="548"/>
      <c r="Q230" s="548"/>
      <c r="R230" s="548"/>
      <c r="S230" s="548"/>
      <c r="T230" s="548"/>
      <c r="U230" s="548"/>
      <c r="V230" s="548"/>
      <c r="W230" s="548"/>
      <c r="X230" s="548"/>
      <c r="Y230" s="548"/>
      <c r="Z230" s="548"/>
      <c r="AA230" s="548"/>
      <c r="AB230" s="548"/>
      <c r="AC230" s="548"/>
      <c r="AD230" s="548"/>
      <c r="AE230" s="548"/>
      <c r="AF230" s="548"/>
      <c r="AG230" s="548"/>
      <c r="AH230" s="548"/>
      <c r="AI230" s="548"/>
      <c r="AJ230" s="548"/>
      <c r="AK230" s="548"/>
      <c r="AL230" s="548"/>
      <c r="AM230" s="548"/>
      <c r="AN230" s="548"/>
      <c r="AO230" s="548"/>
    </row>
    <row r="231">
      <c r="B231" s="847" t="s">
        <v>1391</v>
      </c>
      <c r="G231" s="548"/>
      <c r="H231" s="548"/>
      <c r="I231" s="548"/>
      <c r="J231" s="548"/>
      <c r="K231" s="548"/>
      <c r="L231" s="548"/>
      <c r="M231" s="548"/>
      <c r="N231" s="548"/>
      <c r="O231" s="548"/>
      <c r="P231" s="548"/>
      <c r="Q231" s="548"/>
      <c r="R231" s="548"/>
      <c r="S231" s="548"/>
      <c r="T231" s="548"/>
      <c r="U231" s="548"/>
      <c r="V231" s="548"/>
      <c r="W231" s="548"/>
      <c r="X231" s="548"/>
      <c r="Y231" s="548"/>
      <c r="Z231" s="548"/>
      <c r="AA231" s="548"/>
      <c r="AB231" s="548"/>
      <c r="AC231" s="548"/>
      <c r="AD231" s="548"/>
      <c r="AE231" s="548"/>
      <c r="AF231" s="548"/>
      <c r="AG231" s="548"/>
      <c r="AH231" s="548"/>
      <c r="AI231" s="548"/>
      <c r="AJ231" s="548"/>
      <c r="AK231" s="548"/>
      <c r="AL231" s="548"/>
      <c r="AM231" s="548"/>
      <c r="AN231" s="548"/>
      <c r="AO231" s="548"/>
    </row>
    <row r="232">
      <c r="B232" s="847" t="s">
        <v>1392</v>
      </c>
      <c r="G232" s="548"/>
      <c r="H232" s="548"/>
      <c r="I232" s="548"/>
      <c r="J232" s="548"/>
      <c r="K232" s="548"/>
      <c r="L232" s="548"/>
      <c r="M232" s="548"/>
      <c r="N232" s="548"/>
      <c r="O232" s="548"/>
      <c r="P232" s="548"/>
      <c r="Q232" s="548"/>
      <c r="R232" s="548"/>
      <c r="S232" s="548"/>
      <c r="T232" s="548"/>
      <c r="U232" s="548"/>
      <c r="V232" s="548"/>
      <c r="W232" s="548"/>
      <c r="X232" s="548"/>
      <c r="Y232" s="548"/>
      <c r="Z232" s="548"/>
      <c r="AA232" s="548"/>
      <c r="AB232" s="548"/>
      <c r="AC232" s="548"/>
      <c r="AD232" s="548"/>
      <c r="AE232" s="548"/>
      <c r="AF232" s="548"/>
      <c r="AG232" s="548"/>
      <c r="AH232" s="548"/>
      <c r="AI232" s="548"/>
      <c r="AJ232" s="548"/>
      <c r="AK232" s="548"/>
      <c r="AL232" s="548"/>
      <c r="AM232" s="548"/>
      <c r="AN232" s="548"/>
      <c r="AO232" s="548"/>
    </row>
    <row r="233">
      <c r="B233" s="850" t="s">
        <v>1393</v>
      </c>
      <c r="G233" s="548"/>
      <c r="H233" s="548"/>
      <c r="I233" s="548"/>
      <c r="J233" s="548"/>
      <c r="K233" s="548"/>
      <c r="L233" s="548"/>
      <c r="M233" s="548"/>
      <c r="N233" s="548"/>
      <c r="O233" s="548"/>
      <c r="P233" s="548"/>
      <c r="Q233" s="548"/>
      <c r="R233" s="548"/>
      <c r="S233" s="548"/>
      <c r="T233" s="548"/>
      <c r="U233" s="548"/>
      <c r="V233" s="548"/>
      <c r="W233" s="548"/>
      <c r="X233" s="548"/>
      <c r="Y233" s="548"/>
      <c r="Z233" s="548"/>
      <c r="AA233" s="548"/>
      <c r="AB233" s="548"/>
      <c r="AC233" s="548"/>
      <c r="AD233" s="548"/>
      <c r="AE233" s="548"/>
      <c r="AF233" s="548"/>
      <c r="AG233" s="548"/>
      <c r="AH233" s="548"/>
      <c r="AI233" s="548"/>
      <c r="AJ233" s="548"/>
      <c r="AK233" s="548"/>
      <c r="AL233" s="548"/>
      <c r="AM233" s="548"/>
      <c r="AN233" s="548"/>
      <c r="AO233" s="548"/>
    </row>
    <row r="234">
      <c r="B234" s="850" t="s">
        <v>1394</v>
      </c>
      <c r="G234" s="548"/>
      <c r="H234" s="548"/>
      <c r="I234" s="548"/>
      <c r="J234" s="548"/>
      <c r="K234" s="548"/>
      <c r="L234" s="548"/>
      <c r="M234" s="548"/>
      <c r="N234" s="548"/>
      <c r="O234" s="548"/>
      <c r="P234" s="548"/>
      <c r="Q234" s="548"/>
      <c r="R234" s="548"/>
      <c r="S234" s="548"/>
      <c r="T234" s="548"/>
      <c r="U234" s="548"/>
      <c r="V234" s="548"/>
      <c r="W234" s="548"/>
      <c r="X234" s="548"/>
      <c r="Y234" s="548"/>
      <c r="Z234" s="548"/>
      <c r="AA234" s="548"/>
      <c r="AB234" s="548"/>
      <c r="AC234" s="548"/>
      <c r="AD234" s="548"/>
      <c r="AE234" s="548"/>
      <c r="AF234" s="548"/>
      <c r="AG234" s="548"/>
      <c r="AH234" s="548"/>
      <c r="AI234" s="548"/>
      <c r="AJ234" s="548"/>
      <c r="AK234" s="548"/>
      <c r="AL234" s="548"/>
      <c r="AM234" s="548"/>
      <c r="AN234" s="548"/>
      <c r="AO234" s="548"/>
    </row>
    <row r="235">
      <c r="B235" s="847" t="s">
        <v>1395</v>
      </c>
      <c r="G235" s="548"/>
      <c r="H235" s="548"/>
      <c r="I235" s="548"/>
      <c r="J235" s="548"/>
      <c r="K235" s="548"/>
      <c r="L235" s="548"/>
      <c r="M235" s="548"/>
      <c r="N235" s="548"/>
      <c r="O235" s="548"/>
      <c r="P235" s="548"/>
      <c r="Q235" s="548"/>
      <c r="R235" s="548"/>
      <c r="S235" s="548"/>
      <c r="T235" s="548"/>
      <c r="U235" s="548"/>
      <c r="V235" s="548"/>
      <c r="W235" s="548"/>
      <c r="X235" s="548"/>
      <c r="Y235" s="548"/>
      <c r="Z235" s="548"/>
      <c r="AA235" s="548"/>
      <c r="AB235" s="548"/>
      <c r="AC235" s="548"/>
      <c r="AD235" s="548"/>
      <c r="AE235" s="548"/>
      <c r="AF235" s="548"/>
      <c r="AG235" s="548"/>
      <c r="AH235" s="548"/>
      <c r="AI235" s="548"/>
      <c r="AJ235" s="548"/>
      <c r="AK235" s="548"/>
      <c r="AL235" s="548"/>
      <c r="AM235" s="548"/>
      <c r="AN235" s="548"/>
      <c r="AO235" s="548"/>
    </row>
    <row r="236">
      <c r="B236" s="847" t="s">
        <v>1396</v>
      </c>
      <c r="G236" s="548"/>
      <c r="H236" s="548"/>
      <c r="I236" s="548"/>
      <c r="J236" s="548"/>
      <c r="K236" s="548"/>
      <c r="L236" s="548"/>
      <c r="M236" s="548"/>
      <c r="N236" s="548"/>
      <c r="O236" s="548"/>
      <c r="P236" s="548"/>
      <c r="Q236" s="548"/>
      <c r="R236" s="548"/>
      <c r="S236" s="548"/>
      <c r="T236" s="548"/>
      <c r="U236" s="548"/>
      <c r="V236" s="548"/>
      <c r="W236" s="548"/>
      <c r="X236" s="548"/>
      <c r="Y236" s="548"/>
      <c r="Z236" s="548"/>
      <c r="AA236" s="548"/>
      <c r="AB236" s="548"/>
      <c r="AC236" s="548"/>
      <c r="AD236" s="548"/>
      <c r="AE236" s="548"/>
      <c r="AF236" s="548"/>
      <c r="AG236" s="548"/>
      <c r="AH236" s="548"/>
      <c r="AI236" s="548"/>
      <c r="AJ236" s="548"/>
      <c r="AK236" s="548"/>
      <c r="AL236" s="548"/>
      <c r="AM236" s="548"/>
      <c r="AN236" s="548"/>
      <c r="AO236" s="548"/>
    </row>
    <row r="237">
      <c r="B237" s="847" t="s">
        <v>1397</v>
      </c>
      <c r="G237" s="548"/>
      <c r="H237" s="548"/>
      <c r="I237" s="548"/>
      <c r="J237" s="548"/>
      <c r="K237" s="548"/>
      <c r="L237" s="548"/>
      <c r="M237" s="548"/>
      <c r="N237" s="548"/>
      <c r="O237" s="548"/>
      <c r="P237" s="548"/>
      <c r="Q237" s="548"/>
      <c r="R237" s="548"/>
      <c r="S237" s="548"/>
      <c r="T237" s="548"/>
      <c r="U237" s="548"/>
      <c r="V237" s="548"/>
      <c r="W237" s="548"/>
      <c r="X237" s="548"/>
      <c r="Y237" s="548"/>
      <c r="Z237" s="548"/>
      <c r="AA237" s="548"/>
      <c r="AB237" s="548"/>
      <c r="AC237" s="548"/>
      <c r="AD237" s="548"/>
      <c r="AE237" s="548"/>
      <c r="AF237" s="548"/>
      <c r="AG237" s="548"/>
      <c r="AH237" s="548"/>
      <c r="AI237" s="548"/>
      <c r="AJ237" s="548"/>
      <c r="AK237" s="548"/>
      <c r="AL237" s="548"/>
      <c r="AM237" s="548"/>
      <c r="AN237" s="548"/>
      <c r="AO237" s="548"/>
    </row>
    <row r="238">
      <c r="A238" s="840" t="s">
        <v>1414</v>
      </c>
      <c r="G238" s="548"/>
      <c r="H238" s="548"/>
      <c r="I238" s="548"/>
      <c r="J238" s="548"/>
      <c r="K238" s="548"/>
      <c r="L238" s="548"/>
      <c r="M238" s="548"/>
      <c r="N238" s="548"/>
      <c r="O238" s="548"/>
      <c r="P238" s="548"/>
      <c r="Q238" s="548"/>
      <c r="R238" s="548"/>
      <c r="S238" s="548"/>
      <c r="T238" s="548"/>
      <c r="U238" s="548"/>
      <c r="V238" s="548"/>
      <c r="W238" s="548"/>
      <c r="X238" s="548"/>
      <c r="Y238" s="548"/>
      <c r="Z238" s="548"/>
      <c r="AA238" s="548"/>
      <c r="AB238" s="548"/>
      <c r="AC238" s="548"/>
      <c r="AD238" s="548"/>
      <c r="AE238" s="548"/>
      <c r="AF238" s="548"/>
      <c r="AG238" s="548"/>
      <c r="AH238" s="548"/>
      <c r="AI238" s="548"/>
      <c r="AJ238" s="548"/>
      <c r="AK238" s="548"/>
      <c r="AL238" s="548"/>
      <c r="AM238" s="548"/>
      <c r="AN238" s="548"/>
      <c r="AO238" s="548"/>
    </row>
    <row r="239">
      <c r="A239" s="856" t="s">
        <v>1402</v>
      </c>
      <c r="B239" s="846" t="s">
        <v>1389</v>
      </c>
      <c r="G239" s="548"/>
      <c r="H239" s="548"/>
      <c r="I239" s="548"/>
      <c r="J239" s="548"/>
      <c r="K239" s="548"/>
      <c r="L239" s="548"/>
      <c r="M239" s="548"/>
      <c r="N239" s="548"/>
      <c r="O239" s="548"/>
      <c r="P239" s="548"/>
      <c r="Q239" s="548"/>
      <c r="R239" s="548"/>
      <c r="S239" s="548"/>
      <c r="T239" s="548"/>
      <c r="U239" s="548"/>
      <c r="V239" s="548"/>
      <c r="W239" s="548"/>
      <c r="X239" s="548"/>
      <c r="Y239" s="548"/>
      <c r="Z239" s="548"/>
      <c r="AA239" s="548"/>
      <c r="AB239" s="548"/>
      <c r="AC239" s="548"/>
      <c r="AD239" s="548"/>
      <c r="AE239" s="548"/>
      <c r="AF239" s="548"/>
      <c r="AG239" s="548"/>
      <c r="AH239" s="548"/>
      <c r="AI239" s="548"/>
      <c r="AJ239" s="548"/>
      <c r="AK239" s="548"/>
      <c r="AL239" s="548"/>
      <c r="AM239" s="548"/>
      <c r="AN239" s="548"/>
      <c r="AO239" s="548"/>
    </row>
    <row r="240">
      <c r="B240" s="847" t="s">
        <v>1390</v>
      </c>
      <c r="G240" s="548"/>
      <c r="H240" s="548"/>
      <c r="I240" s="548"/>
      <c r="J240" s="548"/>
      <c r="K240" s="548"/>
      <c r="L240" s="548"/>
      <c r="M240" s="548"/>
      <c r="N240" s="548"/>
      <c r="O240" s="548"/>
      <c r="P240" s="548"/>
      <c r="Q240" s="548"/>
      <c r="R240" s="548"/>
      <c r="S240" s="548"/>
      <c r="T240" s="548"/>
      <c r="U240" s="548"/>
      <c r="V240" s="548"/>
      <c r="W240" s="548"/>
      <c r="X240" s="548"/>
      <c r="Y240" s="548"/>
      <c r="Z240" s="548"/>
      <c r="AA240" s="548"/>
      <c r="AB240" s="548"/>
      <c r="AC240" s="548"/>
      <c r="AD240" s="548"/>
      <c r="AE240" s="548"/>
      <c r="AF240" s="548"/>
      <c r="AG240" s="548"/>
      <c r="AH240" s="548"/>
      <c r="AI240" s="548"/>
      <c r="AJ240" s="548"/>
      <c r="AK240" s="548"/>
      <c r="AL240" s="548"/>
      <c r="AM240" s="548"/>
      <c r="AN240" s="548"/>
      <c r="AO240" s="548"/>
    </row>
    <row r="241">
      <c r="B241" s="847" t="s">
        <v>1391</v>
      </c>
      <c r="G241" s="548"/>
      <c r="H241" s="548"/>
      <c r="I241" s="548"/>
      <c r="J241" s="548"/>
      <c r="K241" s="548"/>
      <c r="L241" s="548"/>
      <c r="M241" s="548"/>
      <c r="N241" s="548"/>
      <c r="O241" s="548"/>
      <c r="P241" s="548"/>
      <c r="Q241" s="548"/>
      <c r="R241" s="548"/>
      <c r="S241" s="548"/>
      <c r="T241" s="548"/>
      <c r="U241" s="548"/>
      <c r="V241" s="548"/>
      <c r="W241" s="548"/>
      <c r="X241" s="548"/>
      <c r="Y241" s="548"/>
      <c r="Z241" s="548"/>
      <c r="AA241" s="548"/>
      <c r="AB241" s="548"/>
      <c r="AC241" s="548"/>
      <c r="AD241" s="548"/>
      <c r="AE241" s="548"/>
      <c r="AF241" s="548"/>
      <c r="AG241" s="548"/>
      <c r="AH241" s="548"/>
      <c r="AI241" s="548"/>
      <c r="AJ241" s="548"/>
      <c r="AK241" s="548"/>
      <c r="AL241" s="548"/>
      <c r="AM241" s="548"/>
      <c r="AN241" s="548"/>
      <c r="AO241" s="548"/>
    </row>
    <row r="242">
      <c r="B242" s="847" t="s">
        <v>1392</v>
      </c>
      <c r="G242" s="548"/>
      <c r="H242" s="548"/>
      <c r="I242" s="548"/>
      <c r="J242" s="548"/>
      <c r="K242" s="548"/>
      <c r="L242" s="548"/>
      <c r="M242" s="548"/>
      <c r="N242" s="548"/>
      <c r="O242" s="548"/>
      <c r="P242" s="548"/>
      <c r="Q242" s="548"/>
      <c r="R242" s="548"/>
      <c r="S242" s="548"/>
      <c r="T242" s="548"/>
      <c r="U242" s="548"/>
      <c r="V242" s="548"/>
      <c r="W242" s="548"/>
      <c r="X242" s="548"/>
      <c r="Y242" s="548"/>
      <c r="Z242" s="548"/>
      <c r="AA242" s="548"/>
      <c r="AB242" s="548"/>
      <c r="AC242" s="548"/>
      <c r="AD242" s="548"/>
      <c r="AE242" s="548"/>
      <c r="AF242" s="548"/>
      <c r="AG242" s="548"/>
      <c r="AH242" s="548"/>
      <c r="AI242" s="548"/>
      <c r="AJ242" s="548"/>
      <c r="AK242" s="548"/>
      <c r="AL242" s="548"/>
      <c r="AM242" s="548"/>
      <c r="AN242" s="548"/>
      <c r="AO242" s="548"/>
    </row>
    <row r="243">
      <c r="B243" s="850" t="s">
        <v>1393</v>
      </c>
      <c r="G243" s="548"/>
      <c r="H243" s="548"/>
      <c r="I243" s="548"/>
      <c r="J243" s="548"/>
      <c r="K243" s="548"/>
      <c r="L243" s="548"/>
      <c r="M243" s="548"/>
      <c r="N243" s="548"/>
      <c r="O243" s="548"/>
      <c r="P243" s="548"/>
      <c r="Q243" s="548"/>
      <c r="R243" s="548"/>
      <c r="S243" s="548"/>
      <c r="T243" s="548"/>
      <c r="U243" s="548"/>
      <c r="V243" s="548"/>
      <c r="W243" s="548"/>
      <c r="X243" s="548"/>
      <c r="Y243" s="548"/>
      <c r="Z243" s="548"/>
      <c r="AA243" s="548"/>
      <c r="AB243" s="548"/>
      <c r="AC243" s="548"/>
      <c r="AD243" s="548"/>
      <c r="AE243" s="548"/>
      <c r="AF243" s="548"/>
      <c r="AG243" s="548"/>
      <c r="AH243" s="548"/>
      <c r="AI243" s="548"/>
      <c r="AJ243" s="548"/>
      <c r="AK243" s="548"/>
      <c r="AL243" s="548"/>
      <c r="AM243" s="548"/>
      <c r="AN243" s="548"/>
      <c r="AO243" s="548"/>
    </row>
    <row r="244">
      <c r="B244" s="850" t="s">
        <v>1394</v>
      </c>
      <c r="G244" s="548"/>
      <c r="H244" s="548"/>
      <c r="I244" s="548"/>
      <c r="J244" s="548"/>
      <c r="K244" s="548"/>
      <c r="L244" s="548"/>
      <c r="M244" s="548"/>
      <c r="N244" s="548"/>
      <c r="O244" s="548"/>
      <c r="P244" s="548"/>
      <c r="Q244" s="548"/>
      <c r="R244" s="548"/>
      <c r="S244" s="548"/>
      <c r="T244" s="548"/>
      <c r="U244" s="548"/>
      <c r="V244" s="548"/>
      <c r="W244" s="548"/>
      <c r="X244" s="548"/>
      <c r="Y244" s="548"/>
      <c r="Z244" s="548"/>
      <c r="AA244" s="548"/>
      <c r="AB244" s="548"/>
      <c r="AC244" s="548"/>
      <c r="AD244" s="548"/>
      <c r="AE244" s="548"/>
      <c r="AF244" s="548"/>
      <c r="AG244" s="548"/>
      <c r="AH244" s="548"/>
      <c r="AI244" s="548"/>
      <c r="AJ244" s="548"/>
      <c r="AK244" s="548"/>
      <c r="AL244" s="548"/>
      <c r="AM244" s="548"/>
      <c r="AN244" s="548"/>
      <c r="AO244" s="548"/>
    </row>
    <row r="245">
      <c r="B245" s="847" t="s">
        <v>1395</v>
      </c>
      <c r="G245" s="548"/>
      <c r="H245" s="548"/>
      <c r="I245" s="548"/>
      <c r="J245" s="548"/>
      <c r="K245" s="548"/>
      <c r="L245" s="548"/>
      <c r="M245" s="548"/>
      <c r="N245" s="548"/>
      <c r="O245" s="548"/>
      <c r="P245" s="548"/>
      <c r="Q245" s="548"/>
      <c r="R245" s="548"/>
      <c r="S245" s="548"/>
      <c r="T245" s="548"/>
      <c r="U245" s="548"/>
      <c r="V245" s="548"/>
      <c r="W245" s="548"/>
      <c r="X245" s="548"/>
      <c r="Y245" s="548"/>
      <c r="Z245" s="548"/>
      <c r="AA245" s="548"/>
      <c r="AB245" s="548"/>
      <c r="AC245" s="548"/>
      <c r="AD245" s="548"/>
      <c r="AE245" s="548"/>
      <c r="AF245" s="548"/>
      <c r="AG245" s="548"/>
      <c r="AH245" s="548"/>
      <c r="AI245" s="548"/>
      <c r="AJ245" s="548"/>
      <c r="AK245" s="548"/>
      <c r="AL245" s="548"/>
      <c r="AM245" s="548"/>
      <c r="AN245" s="548"/>
      <c r="AO245" s="548"/>
    </row>
    <row r="246">
      <c r="B246" s="847" t="s">
        <v>1396</v>
      </c>
      <c r="G246" s="548"/>
      <c r="H246" s="548"/>
      <c r="I246" s="548"/>
      <c r="J246" s="548"/>
      <c r="K246" s="548"/>
      <c r="L246" s="548"/>
      <c r="M246" s="548"/>
      <c r="N246" s="548"/>
      <c r="O246" s="548"/>
      <c r="P246" s="548"/>
      <c r="Q246" s="548"/>
      <c r="R246" s="548"/>
      <c r="S246" s="548"/>
      <c r="T246" s="548"/>
      <c r="U246" s="548"/>
      <c r="V246" s="548"/>
      <c r="W246" s="548"/>
      <c r="X246" s="548"/>
      <c r="Y246" s="548"/>
      <c r="Z246" s="548"/>
      <c r="AA246" s="548"/>
      <c r="AB246" s="548"/>
      <c r="AC246" s="548"/>
      <c r="AD246" s="548"/>
      <c r="AE246" s="548"/>
      <c r="AF246" s="548"/>
      <c r="AG246" s="548"/>
      <c r="AH246" s="548"/>
      <c r="AI246" s="548"/>
      <c r="AJ246" s="548"/>
      <c r="AK246" s="548"/>
      <c r="AL246" s="548"/>
      <c r="AM246" s="548"/>
      <c r="AN246" s="548"/>
      <c r="AO246" s="548"/>
    </row>
    <row r="247">
      <c r="B247" s="847" t="s">
        <v>1397</v>
      </c>
      <c r="G247" s="548"/>
      <c r="H247" s="548"/>
      <c r="I247" s="548"/>
      <c r="J247" s="548"/>
      <c r="K247" s="548"/>
      <c r="L247" s="548"/>
      <c r="M247" s="548"/>
      <c r="N247" s="548"/>
      <c r="O247" s="548"/>
      <c r="P247" s="548"/>
      <c r="Q247" s="548"/>
      <c r="R247" s="548"/>
      <c r="S247" s="548"/>
      <c r="T247" s="548"/>
      <c r="U247" s="548"/>
      <c r="V247" s="548"/>
      <c r="W247" s="548"/>
      <c r="X247" s="548"/>
      <c r="Y247" s="548"/>
      <c r="Z247" s="548"/>
      <c r="AA247" s="548"/>
      <c r="AB247" s="548"/>
      <c r="AC247" s="548"/>
      <c r="AD247" s="548"/>
      <c r="AE247" s="548"/>
      <c r="AF247" s="548"/>
      <c r="AG247" s="548"/>
      <c r="AH247" s="548"/>
      <c r="AI247" s="548"/>
      <c r="AJ247" s="548"/>
      <c r="AK247" s="548"/>
      <c r="AL247" s="548"/>
      <c r="AM247" s="548"/>
      <c r="AN247" s="548"/>
      <c r="AO247" s="548"/>
    </row>
    <row r="248">
      <c r="A248" s="845" t="s">
        <v>1403</v>
      </c>
      <c r="B248" s="846" t="s">
        <v>1389</v>
      </c>
      <c r="G248" s="548"/>
      <c r="H248" s="548"/>
      <c r="I248" s="548"/>
      <c r="J248" s="548"/>
      <c r="K248" s="548"/>
      <c r="L248" s="548"/>
      <c r="M248" s="548"/>
      <c r="N248" s="548"/>
      <c r="O248" s="548"/>
      <c r="P248" s="548"/>
      <c r="Q248" s="548"/>
      <c r="R248" s="548"/>
      <c r="S248" s="548"/>
      <c r="T248" s="548"/>
      <c r="U248" s="548"/>
      <c r="V248" s="548"/>
      <c r="W248" s="548"/>
      <c r="X248" s="548"/>
      <c r="Y248" s="548"/>
      <c r="Z248" s="548"/>
      <c r="AA248" s="548"/>
      <c r="AB248" s="548"/>
      <c r="AC248" s="548"/>
      <c r="AD248" s="548"/>
      <c r="AE248" s="548"/>
      <c r="AF248" s="548"/>
      <c r="AG248" s="548"/>
      <c r="AH248" s="548"/>
      <c r="AI248" s="548"/>
      <c r="AJ248" s="548"/>
      <c r="AK248" s="548"/>
      <c r="AL248" s="548"/>
      <c r="AM248" s="548"/>
      <c r="AN248" s="548"/>
      <c r="AO248" s="548"/>
    </row>
    <row r="249">
      <c r="B249" s="847" t="s">
        <v>1390</v>
      </c>
      <c r="G249" s="548"/>
      <c r="H249" s="548"/>
      <c r="I249" s="548"/>
      <c r="J249" s="548"/>
      <c r="K249" s="548"/>
      <c r="L249" s="548"/>
      <c r="M249" s="548"/>
      <c r="N249" s="548"/>
      <c r="O249" s="548"/>
      <c r="P249" s="548"/>
      <c r="Q249" s="548"/>
      <c r="R249" s="548"/>
      <c r="S249" s="548"/>
      <c r="T249" s="548"/>
      <c r="U249" s="548"/>
      <c r="V249" s="548"/>
      <c r="W249" s="548"/>
      <c r="X249" s="548"/>
      <c r="Y249" s="548"/>
      <c r="Z249" s="548"/>
      <c r="AA249" s="548"/>
      <c r="AB249" s="548"/>
      <c r="AC249" s="548"/>
      <c r="AD249" s="548"/>
      <c r="AE249" s="548"/>
      <c r="AF249" s="548"/>
      <c r="AG249" s="548"/>
      <c r="AH249" s="548"/>
      <c r="AI249" s="548"/>
      <c r="AJ249" s="548"/>
      <c r="AK249" s="548"/>
      <c r="AL249" s="548"/>
      <c r="AM249" s="548"/>
      <c r="AN249" s="548"/>
      <c r="AO249" s="548"/>
    </row>
    <row r="250">
      <c r="B250" s="847" t="s">
        <v>1391</v>
      </c>
      <c r="G250" s="548"/>
      <c r="H250" s="548"/>
      <c r="I250" s="548"/>
      <c r="J250" s="548"/>
      <c r="K250" s="548"/>
      <c r="L250" s="548"/>
      <c r="M250" s="548"/>
      <c r="N250" s="548"/>
      <c r="O250" s="548"/>
      <c r="P250" s="548"/>
      <c r="Q250" s="548"/>
      <c r="R250" s="548"/>
      <c r="S250" s="548"/>
      <c r="T250" s="548"/>
      <c r="U250" s="548"/>
      <c r="V250" s="548"/>
      <c r="W250" s="548"/>
      <c r="X250" s="548"/>
      <c r="Y250" s="548"/>
      <c r="Z250" s="548"/>
      <c r="AA250" s="548"/>
      <c r="AB250" s="548"/>
      <c r="AC250" s="548"/>
      <c r="AD250" s="548"/>
      <c r="AE250" s="548"/>
      <c r="AF250" s="548"/>
      <c r="AG250" s="548"/>
      <c r="AH250" s="548"/>
      <c r="AI250" s="548"/>
      <c r="AJ250" s="548"/>
      <c r="AK250" s="548"/>
      <c r="AL250" s="548"/>
      <c r="AM250" s="548"/>
      <c r="AN250" s="548"/>
      <c r="AO250" s="548"/>
    </row>
    <row r="251">
      <c r="B251" s="847" t="s">
        <v>1392</v>
      </c>
      <c r="G251" s="548"/>
      <c r="H251" s="548"/>
      <c r="I251" s="548"/>
      <c r="J251" s="548"/>
      <c r="K251" s="548"/>
      <c r="L251" s="548"/>
      <c r="M251" s="548"/>
      <c r="N251" s="548"/>
      <c r="O251" s="548"/>
      <c r="P251" s="548"/>
      <c r="Q251" s="548"/>
      <c r="R251" s="548"/>
      <c r="S251" s="548"/>
      <c r="T251" s="548"/>
      <c r="U251" s="548"/>
      <c r="V251" s="548"/>
      <c r="W251" s="548"/>
      <c r="X251" s="548"/>
      <c r="Y251" s="548"/>
      <c r="Z251" s="548"/>
      <c r="AA251" s="548"/>
      <c r="AB251" s="548"/>
      <c r="AC251" s="548"/>
      <c r="AD251" s="548"/>
      <c r="AE251" s="548"/>
      <c r="AF251" s="548"/>
      <c r="AG251" s="548"/>
      <c r="AH251" s="548"/>
      <c r="AI251" s="548"/>
      <c r="AJ251" s="548"/>
      <c r="AK251" s="548"/>
      <c r="AL251" s="548"/>
      <c r="AM251" s="548"/>
      <c r="AN251" s="548"/>
      <c r="AO251" s="548"/>
    </row>
    <row r="252">
      <c r="B252" s="850" t="s">
        <v>1393</v>
      </c>
      <c r="G252" s="548"/>
      <c r="H252" s="548"/>
      <c r="I252" s="548"/>
      <c r="J252" s="548"/>
      <c r="K252" s="548"/>
      <c r="L252" s="548"/>
      <c r="M252" s="548"/>
      <c r="N252" s="548"/>
      <c r="O252" s="548"/>
      <c r="P252" s="548"/>
      <c r="Q252" s="548"/>
      <c r="R252" s="548"/>
      <c r="S252" s="548"/>
      <c r="T252" s="548"/>
      <c r="U252" s="548"/>
      <c r="V252" s="548"/>
      <c r="W252" s="548"/>
      <c r="X252" s="548"/>
      <c r="Y252" s="548"/>
      <c r="Z252" s="548"/>
      <c r="AA252" s="548"/>
      <c r="AB252" s="548"/>
      <c r="AC252" s="548"/>
      <c r="AD252" s="548"/>
      <c r="AE252" s="548"/>
      <c r="AF252" s="548"/>
      <c r="AG252" s="548"/>
      <c r="AH252" s="548"/>
      <c r="AI252" s="548"/>
      <c r="AJ252" s="548"/>
      <c r="AK252" s="548"/>
      <c r="AL252" s="548"/>
      <c r="AM252" s="548"/>
      <c r="AN252" s="548"/>
      <c r="AO252" s="548"/>
    </row>
    <row r="253">
      <c r="B253" s="850" t="s">
        <v>1394</v>
      </c>
      <c r="G253" s="548"/>
      <c r="H253" s="548"/>
      <c r="I253" s="548"/>
      <c r="J253" s="548"/>
      <c r="K253" s="548"/>
      <c r="L253" s="548"/>
      <c r="M253" s="548"/>
      <c r="N253" s="548"/>
      <c r="O253" s="548"/>
      <c r="P253" s="548"/>
      <c r="Q253" s="548"/>
      <c r="R253" s="548"/>
      <c r="S253" s="548"/>
      <c r="T253" s="548"/>
      <c r="U253" s="548"/>
      <c r="V253" s="548"/>
      <c r="W253" s="548"/>
      <c r="X253" s="548"/>
      <c r="Y253" s="548"/>
      <c r="Z253" s="548"/>
      <c r="AA253" s="548"/>
      <c r="AB253" s="548"/>
      <c r="AC253" s="548"/>
      <c r="AD253" s="548"/>
      <c r="AE253" s="548"/>
      <c r="AF253" s="548"/>
      <c r="AG253" s="548"/>
      <c r="AH253" s="548"/>
      <c r="AI253" s="548"/>
      <c r="AJ253" s="548"/>
      <c r="AK253" s="548"/>
      <c r="AL253" s="548"/>
      <c r="AM253" s="548"/>
      <c r="AN253" s="548"/>
      <c r="AO253" s="548"/>
    </row>
    <row r="254">
      <c r="B254" s="847" t="s">
        <v>1395</v>
      </c>
      <c r="G254" s="548"/>
      <c r="H254" s="548"/>
      <c r="I254" s="548"/>
      <c r="J254" s="548"/>
      <c r="K254" s="548"/>
      <c r="L254" s="548"/>
      <c r="M254" s="548"/>
      <c r="N254" s="548"/>
      <c r="O254" s="548"/>
      <c r="P254" s="548"/>
      <c r="Q254" s="548"/>
      <c r="R254" s="548"/>
      <c r="S254" s="548"/>
      <c r="T254" s="548"/>
      <c r="U254" s="548"/>
      <c r="V254" s="548"/>
      <c r="W254" s="548"/>
      <c r="X254" s="548"/>
      <c r="Y254" s="548"/>
      <c r="Z254" s="548"/>
      <c r="AA254" s="548"/>
      <c r="AB254" s="548"/>
      <c r="AC254" s="548"/>
      <c r="AD254" s="548"/>
      <c r="AE254" s="548"/>
      <c r="AF254" s="548"/>
      <c r="AG254" s="548"/>
      <c r="AH254" s="548"/>
      <c r="AI254" s="548"/>
      <c r="AJ254" s="548"/>
      <c r="AK254" s="548"/>
      <c r="AL254" s="548"/>
      <c r="AM254" s="548"/>
      <c r="AN254" s="548"/>
      <c r="AO254" s="548"/>
    </row>
    <row r="255">
      <c r="B255" s="847" t="s">
        <v>1396</v>
      </c>
      <c r="G255" s="548"/>
      <c r="H255" s="548"/>
      <c r="I255" s="548"/>
      <c r="J255" s="548"/>
      <c r="K255" s="548"/>
      <c r="L255" s="548"/>
      <c r="M255" s="548"/>
      <c r="N255" s="548"/>
      <c r="O255" s="548"/>
      <c r="P255" s="548"/>
      <c r="Q255" s="548"/>
      <c r="R255" s="548"/>
      <c r="S255" s="548"/>
      <c r="T255" s="548"/>
      <c r="U255" s="548"/>
      <c r="V255" s="548"/>
      <c r="W255" s="548"/>
      <c r="X255" s="548"/>
      <c r="Y255" s="548"/>
      <c r="Z255" s="548"/>
      <c r="AA255" s="548"/>
      <c r="AB255" s="548"/>
      <c r="AC255" s="548"/>
      <c r="AD255" s="548"/>
      <c r="AE255" s="548"/>
      <c r="AF255" s="548"/>
      <c r="AG255" s="548"/>
      <c r="AH255" s="548"/>
      <c r="AI255" s="548"/>
      <c r="AJ255" s="548"/>
      <c r="AK255" s="548"/>
      <c r="AL255" s="548"/>
      <c r="AM255" s="548"/>
      <c r="AN255" s="548"/>
      <c r="AO255" s="548"/>
    </row>
    <row r="256">
      <c r="B256" s="847" t="s">
        <v>1397</v>
      </c>
      <c r="G256" s="548"/>
      <c r="H256" s="548"/>
      <c r="I256" s="548"/>
      <c r="J256" s="548"/>
      <c r="K256" s="548"/>
      <c r="L256" s="548"/>
      <c r="M256" s="548"/>
      <c r="N256" s="548"/>
      <c r="O256" s="548"/>
      <c r="P256" s="548"/>
      <c r="Q256" s="548"/>
      <c r="R256" s="548"/>
      <c r="S256" s="548"/>
      <c r="T256" s="548"/>
      <c r="U256" s="548"/>
      <c r="V256" s="548"/>
      <c r="W256" s="548"/>
      <c r="X256" s="548"/>
      <c r="Y256" s="548"/>
      <c r="Z256" s="548"/>
      <c r="AA256" s="548"/>
      <c r="AB256" s="548"/>
      <c r="AC256" s="548"/>
      <c r="AD256" s="548"/>
      <c r="AE256" s="548"/>
      <c r="AF256" s="548"/>
      <c r="AG256" s="548"/>
      <c r="AH256" s="548"/>
      <c r="AI256" s="548"/>
      <c r="AJ256" s="548"/>
      <c r="AK256" s="548"/>
      <c r="AL256" s="548"/>
      <c r="AM256" s="548"/>
      <c r="AN256" s="548"/>
      <c r="AO256" s="548"/>
    </row>
    <row r="257">
      <c r="A257" s="845" t="s">
        <v>1404</v>
      </c>
      <c r="B257" s="846" t="s">
        <v>1389</v>
      </c>
      <c r="G257" s="548"/>
      <c r="H257" s="548"/>
      <c r="I257" s="548"/>
      <c r="J257" s="548"/>
      <c r="K257" s="548"/>
      <c r="L257" s="548"/>
      <c r="M257" s="548"/>
      <c r="N257" s="548"/>
      <c r="O257" s="548"/>
      <c r="P257" s="548"/>
      <c r="Q257" s="548"/>
      <c r="R257" s="548"/>
      <c r="S257" s="548"/>
      <c r="T257" s="548"/>
      <c r="U257" s="548"/>
      <c r="V257" s="548"/>
      <c r="W257" s="548"/>
      <c r="X257" s="548"/>
      <c r="Y257" s="548"/>
      <c r="Z257" s="548"/>
      <c r="AA257" s="548"/>
      <c r="AB257" s="548"/>
      <c r="AC257" s="548"/>
      <c r="AD257" s="548"/>
      <c r="AE257" s="548"/>
      <c r="AF257" s="548"/>
      <c r="AG257" s="548"/>
      <c r="AH257" s="548"/>
      <c r="AI257" s="548"/>
      <c r="AJ257" s="548"/>
      <c r="AK257" s="548"/>
      <c r="AL257" s="548"/>
      <c r="AM257" s="548"/>
      <c r="AN257" s="548"/>
      <c r="AO257" s="548"/>
    </row>
    <row r="258">
      <c r="B258" s="847" t="s">
        <v>1390</v>
      </c>
      <c r="G258" s="548"/>
      <c r="H258" s="548"/>
      <c r="I258" s="548"/>
      <c r="J258" s="548"/>
      <c r="K258" s="548"/>
      <c r="L258" s="548"/>
      <c r="M258" s="548"/>
      <c r="N258" s="548"/>
      <c r="O258" s="548"/>
      <c r="P258" s="548"/>
      <c r="Q258" s="548"/>
      <c r="R258" s="548"/>
      <c r="S258" s="548"/>
      <c r="T258" s="548"/>
      <c r="U258" s="548"/>
      <c r="V258" s="548"/>
      <c r="W258" s="548"/>
      <c r="X258" s="548"/>
      <c r="Y258" s="548"/>
      <c r="Z258" s="548"/>
      <c r="AA258" s="548"/>
      <c r="AB258" s="548"/>
      <c r="AC258" s="548"/>
      <c r="AD258" s="548"/>
      <c r="AE258" s="548"/>
      <c r="AF258" s="548"/>
      <c r="AG258" s="548"/>
      <c r="AH258" s="548"/>
      <c r="AI258" s="548"/>
      <c r="AJ258" s="548"/>
      <c r="AK258" s="548"/>
      <c r="AL258" s="548"/>
      <c r="AM258" s="548"/>
      <c r="AN258" s="548"/>
      <c r="AO258" s="548"/>
    </row>
    <row r="259">
      <c r="B259" s="847" t="s">
        <v>1391</v>
      </c>
      <c r="G259" s="548"/>
      <c r="H259" s="548"/>
      <c r="I259" s="548"/>
      <c r="J259" s="548"/>
      <c r="K259" s="548"/>
      <c r="L259" s="548"/>
      <c r="M259" s="548"/>
      <c r="N259" s="548"/>
      <c r="O259" s="548"/>
      <c r="P259" s="548"/>
      <c r="Q259" s="548"/>
      <c r="R259" s="548"/>
      <c r="S259" s="548"/>
      <c r="T259" s="548"/>
      <c r="U259" s="548"/>
      <c r="V259" s="548"/>
      <c r="W259" s="548"/>
      <c r="X259" s="548"/>
      <c r="Y259" s="548"/>
      <c r="Z259" s="548"/>
      <c r="AA259" s="548"/>
      <c r="AB259" s="548"/>
      <c r="AC259" s="548"/>
      <c r="AD259" s="548"/>
      <c r="AE259" s="548"/>
      <c r="AF259" s="548"/>
      <c r="AG259" s="548"/>
      <c r="AH259" s="548"/>
      <c r="AI259" s="548"/>
      <c r="AJ259" s="548"/>
      <c r="AK259" s="548"/>
      <c r="AL259" s="548"/>
      <c r="AM259" s="548"/>
      <c r="AN259" s="548"/>
      <c r="AO259" s="548"/>
    </row>
    <row r="260">
      <c r="B260" s="847" t="s">
        <v>1392</v>
      </c>
      <c r="G260" s="548"/>
      <c r="H260" s="548"/>
      <c r="I260" s="548"/>
      <c r="J260" s="548"/>
      <c r="K260" s="548"/>
      <c r="L260" s="548"/>
      <c r="M260" s="548"/>
      <c r="N260" s="548"/>
      <c r="O260" s="548"/>
      <c r="P260" s="548"/>
      <c r="Q260" s="548"/>
      <c r="R260" s="548"/>
      <c r="S260" s="548"/>
      <c r="T260" s="548"/>
      <c r="U260" s="548"/>
      <c r="V260" s="548"/>
      <c r="W260" s="548"/>
      <c r="X260" s="548"/>
      <c r="Y260" s="548"/>
      <c r="Z260" s="548"/>
      <c r="AA260" s="548"/>
      <c r="AB260" s="548"/>
      <c r="AC260" s="548"/>
      <c r="AD260" s="548"/>
      <c r="AE260" s="548"/>
      <c r="AF260" s="548"/>
      <c r="AG260" s="548"/>
      <c r="AH260" s="548"/>
      <c r="AI260" s="548"/>
      <c r="AJ260" s="548"/>
      <c r="AK260" s="548"/>
      <c r="AL260" s="548"/>
      <c r="AM260" s="548"/>
      <c r="AN260" s="548"/>
      <c r="AO260" s="548"/>
    </row>
    <row r="261">
      <c r="B261" s="850" t="s">
        <v>1393</v>
      </c>
      <c r="G261" s="548"/>
      <c r="H261" s="548"/>
      <c r="I261" s="548"/>
      <c r="J261" s="548"/>
      <c r="K261" s="548"/>
      <c r="L261" s="548"/>
      <c r="M261" s="548"/>
      <c r="N261" s="548"/>
      <c r="O261" s="548"/>
      <c r="P261" s="548"/>
      <c r="Q261" s="548"/>
      <c r="R261" s="548"/>
      <c r="S261" s="548"/>
      <c r="T261" s="548"/>
      <c r="U261" s="548"/>
      <c r="V261" s="548"/>
      <c r="W261" s="548"/>
      <c r="X261" s="548"/>
      <c r="Y261" s="548"/>
      <c r="Z261" s="548"/>
      <c r="AA261" s="548"/>
      <c r="AB261" s="548"/>
      <c r="AC261" s="548"/>
      <c r="AD261" s="548"/>
      <c r="AE261" s="548"/>
      <c r="AF261" s="548"/>
      <c r="AG261" s="548"/>
      <c r="AH261" s="548"/>
      <c r="AI261" s="548"/>
      <c r="AJ261" s="548"/>
      <c r="AK261" s="548"/>
      <c r="AL261" s="548"/>
      <c r="AM261" s="548"/>
      <c r="AN261" s="548"/>
      <c r="AO261" s="548"/>
    </row>
    <row r="262">
      <c r="B262" s="850" t="s">
        <v>1394</v>
      </c>
      <c r="G262" s="548"/>
      <c r="H262" s="548"/>
      <c r="I262" s="548"/>
      <c r="J262" s="548"/>
      <c r="K262" s="548"/>
      <c r="L262" s="548"/>
      <c r="M262" s="548"/>
      <c r="N262" s="548"/>
      <c r="O262" s="548"/>
      <c r="P262" s="548"/>
      <c r="Q262" s="548"/>
      <c r="R262" s="548"/>
      <c r="S262" s="548"/>
      <c r="T262" s="548"/>
      <c r="U262" s="548"/>
      <c r="V262" s="548"/>
      <c r="W262" s="548"/>
      <c r="X262" s="548"/>
      <c r="Y262" s="548"/>
      <c r="Z262" s="548"/>
      <c r="AA262" s="548"/>
      <c r="AB262" s="548"/>
      <c r="AC262" s="548"/>
      <c r="AD262" s="548"/>
      <c r="AE262" s="548"/>
      <c r="AF262" s="548"/>
      <c r="AG262" s="548"/>
      <c r="AH262" s="548"/>
      <c r="AI262" s="548"/>
      <c r="AJ262" s="548"/>
      <c r="AK262" s="548"/>
      <c r="AL262" s="548"/>
      <c r="AM262" s="548"/>
      <c r="AN262" s="548"/>
      <c r="AO262" s="548"/>
    </row>
    <row r="263">
      <c r="B263" s="847" t="s">
        <v>1395</v>
      </c>
      <c r="G263" s="548"/>
      <c r="H263" s="548"/>
      <c r="I263" s="548"/>
      <c r="J263" s="548"/>
      <c r="K263" s="548"/>
      <c r="L263" s="548"/>
      <c r="M263" s="548"/>
      <c r="N263" s="548"/>
      <c r="O263" s="548"/>
      <c r="P263" s="548"/>
      <c r="Q263" s="548"/>
      <c r="R263" s="548"/>
      <c r="S263" s="548"/>
      <c r="T263" s="548"/>
      <c r="U263" s="548"/>
      <c r="V263" s="548"/>
      <c r="W263" s="548"/>
      <c r="X263" s="548"/>
      <c r="Y263" s="548"/>
      <c r="Z263" s="548"/>
      <c r="AA263" s="548"/>
      <c r="AB263" s="548"/>
      <c r="AC263" s="548"/>
      <c r="AD263" s="548"/>
      <c r="AE263" s="548"/>
      <c r="AF263" s="548"/>
      <c r="AG263" s="548"/>
      <c r="AH263" s="548"/>
      <c r="AI263" s="548"/>
      <c r="AJ263" s="548"/>
      <c r="AK263" s="548"/>
      <c r="AL263" s="548"/>
      <c r="AM263" s="548"/>
      <c r="AN263" s="548"/>
      <c r="AO263" s="548"/>
    </row>
    <row r="264">
      <c r="B264" s="847" t="s">
        <v>1396</v>
      </c>
      <c r="G264" s="548"/>
      <c r="H264" s="548"/>
      <c r="I264" s="548"/>
      <c r="J264" s="548"/>
      <c r="K264" s="548"/>
      <c r="L264" s="548"/>
      <c r="M264" s="548"/>
      <c r="N264" s="548"/>
      <c r="O264" s="548"/>
      <c r="P264" s="548"/>
      <c r="Q264" s="548"/>
      <c r="R264" s="548"/>
      <c r="S264" s="548"/>
      <c r="T264" s="548"/>
      <c r="U264" s="548"/>
      <c r="V264" s="548"/>
      <c r="W264" s="548"/>
      <c r="X264" s="548"/>
      <c r="Y264" s="548"/>
      <c r="Z264" s="548"/>
      <c r="AA264" s="548"/>
      <c r="AB264" s="548"/>
      <c r="AC264" s="548"/>
      <c r="AD264" s="548"/>
      <c r="AE264" s="548"/>
      <c r="AF264" s="548"/>
      <c r="AG264" s="548"/>
      <c r="AH264" s="548"/>
      <c r="AI264" s="548"/>
      <c r="AJ264" s="548"/>
      <c r="AK264" s="548"/>
      <c r="AL264" s="548"/>
      <c r="AM264" s="548"/>
      <c r="AN264" s="548"/>
      <c r="AO264" s="548"/>
    </row>
    <row r="265">
      <c r="B265" s="847" t="s">
        <v>1397</v>
      </c>
      <c r="G265" s="548"/>
      <c r="H265" s="548"/>
      <c r="I265" s="548"/>
      <c r="J265" s="548"/>
      <c r="K265" s="548"/>
      <c r="L265" s="548"/>
      <c r="M265" s="548"/>
      <c r="N265" s="548"/>
      <c r="O265" s="548"/>
      <c r="P265" s="548"/>
      <c r="Q265" s="548"/>
      <c r="R265" s="548"/>
      <c r="S265" s="548"/>
      <c r="T265" s="548"/>
      <c r="U265" s="548"/>
      <c r="V265" s="548"/>
      <c r="W265" s="548"/>
      <c r="X265" s="548"/>
      <c r="Y265" s="548"/>
      <c r="Z265" s="548"/>
      <c r="AA265" s="548"/>
      <c r="AB265" s="548"/>
      <c r="AC265" s="548"/>
      <c r="AD265" s="548"/>
      <c r="AE265" s="548"/>
      <c r="AF265" s="548"/>
      <c r="AG265" s="548"/>
      <c r="AH265" s="548"/>
      <c r="AI265" s="548"/>
      <c r="AJ265" s="548"/>
      <c r="AK265" s="548"/>
      <c r="AL265" s="548"/>
      <c r="AM265" s="548"/>
      <c r="AN265" s="548"/>
      <c r="AO265" s="548"/>
    </row>
    <row r="266">
      <c r="A266" s="845" t="s">
        <v>1405</v>
      </c>
      <c r="B266" s="846" t="s">
        <v>1389</v>
      </c>
      <c r="G266" s="548"/>
      <c r="H266" s="548"/>
      <c r="I266" s="548"/>
      <c r="J266" s="548"/>
      <c r="K266" s="548"/>
      <c r="L266" s="548"/>
      <c r="M266" s="548"/>
      <c r="N266" s="548"/>
      <c r="O266" s="548"/>
      <c r="P266" s="548"/>
      <c r="Q266" s="548"/>
      <c r="R266" s="548"/>
      <c r="S266" s="548"/>
      <c r="T266" s="548"/>
      <c r="U266" s="548"/>
      <c r="V266" s="548"/>
      <c r="W266" s="548"/>
      <c r="X266" s="548"/>
      <c r="Y266" s="548"/>
      <c r="Z266" s="548"/>
      <c r="AA266" s="548"/>
      <c r="AB266" s="548"/>
      <c r="AC266" s="548"/>
      <c r="AD266" s="548"/>
      <c r="AE266" s="548"/>
      <c r="AF266" s="548"/>
      <c r="AG266" s="548"/>
      <c r="AH266" s="548"/>
      <c r="AI266" s="548"/>
      <c r="AJ266" s="548"/>
      <c r="AK266" s="548"/>
      <c r="AL266" s="548"/>
      <c r="AM266" s="548"/>
      <c r="AN266" s="548"/>
      <c r="AO266" s="548"/>
    </row>
    <row r="267">
      <c r="B267" s="847" t="s">
        <v>1390</v>
      </c>
      <c r="G267" s="548"/>
      <c r="H267" s="548"/>
      <c r="I267" s="548"/>
      <c r="J267" s="548"/>
      <c r="K267" s="548"/>
      <c r="L267" s="548"/>
      <c r="M267" s="548"/>
      <c r="N267" s="548"/>
      <c r="O267" s="548"/>
      <c r="P267" s="548"/>
      <c r="Q267" s="548"/>
      <c r="R267" s="548"/>
      <c r="S267" s="548"/>
      <c r="T267" s="548"/>
      <c r="U267" s="548"/>
      <c r="V267" s="548"/>
      <c r="W267" s="548"/>
      <c r="X267" s="548"/>
      <c r="Y267" s="548"/>
      <c r="Z267" s="548"/>
      <c r="AA267" s="548"/>
      <c r="AB267" s="548"/>
      <c r="AC267" s="548"/>
      <c r="AD267" s="548"/>
      <c r="AE267" s="548"/>
      <c r="AF267" s="548"/>
      <c r="AG267" s="548"/>
      <c r="AH267" s="548"/>
      <c r="AI267" s="548"/>
      <c r="AJ267" s="548"/>
      <c r="AK267" s="548"/>
      <c r="AL267" s="548"/>
      <c r="AM267" s="548"/>
      <c r="AN267" s="548"/>
      <c r="AO267" s="548"/>
    </row>
    <row r="268">
      <c r="B268" s="847" t="s">
        <v>1391</v>
      </c>
      <c r="G268" s="548"/>
      <c r="H268" s="548"/>
      <c r="I268" s="548"/>
      <c r="J268" s="548"/>
      <c r="K268" s="548"/>
      <c r="L268" s="548"/>
      <c r="M268" s="548"/>
      <c r="N268" s="548"/>
      <c r="O268" s="548"/>
      <c r="P268" s="548"/>
      <c r="Q268" s="548"/>
      <c r="R268" s="548"/>
      <c r="S268" s="548"/>
      <c r="T268" s="548"/>
      <c r="U268" s="548"/>
      <c r="V268" s="548"/>
      <c r="W268" s="548"/>
      <c r="X268" s="548"/>
      <c r="Y268" s="548"/>
      <c r="Z268" s="548"/>
      <c r="AA268" s="548"/>
      <c r="AB268" s="548"/>
      <c r="AC268" s="548"/>
      <c r="AD268" s="548"/>
      <c r="AE268" s="548"/>
      <c r="AF268" s="548"/>
      <c r="AG268" s="548"/>
      <c r="AH268" s="548"/>
      <c r="AI268" s="548"/>
      <c r="AJ268" s="548"/>
      <c r="AK268" s="548"/>
      <c r="AL268" s="548"/>
      <c r="AM268" s="548"/>
      <c r="AN268" s="548"/>
      <c r="AO268" s="548"/>
    </row>
    <row r="269">
      <c r="B269" s="847" t="s">
        <v>1392</v>
      </c>
      <c r="G269" s="548"/>
      <c r="H269" s="548"/>
      <c r="I269" s="548"/>
      <c r="J269" s="548"/>
      <c r="K269" s="548"/>
      <c r="L269" s="548"/>
      <c r="M269" s="548"/>
      <c r="N269" s="548"/>
      <c r="O269" s="548"/>
      <c r="P269" s="548"/>
      <c r="Q269" s="548"/>
      <c r="R269" s="548"/>
      <c r="S269" s="548"/>
      <c r="T269" s="548"/>
      <c r="U269" s="548"/>
      <c r="V269" s="548"/>
      <c r="W269" s="548"/>
      <c r="X269" s="548"/>
      <c r="Y269" s="548"/>
      <c r="Z269" s="548"/>
      <c r="AA269" s="548"/>
      <c r="AB269" s="548"/>
      <c r="AC269" s="548"/>
      <c r="AD269" s="548"/>
      <c r="AE269" s="548"/>
      <c r="AF269" s="548"/>
      <c r="AG269" s="548"/>
      <c r="AH269" s="548"/>
      <c r="AI269" s="548"/>
      <c r="AJ269" s="548"/>
      <c r="AK269" s="548"/>
      <c r="AL269" s="548"/>
      <c r="AM269" s="548"/>
      <c r="AN269" s="548"/>
      <c r="AO269" s="548"/>
    </row>
    <row r="270">
      <c r="B270" s="850" t="s">
        <v>1393</v>
      </c>
      <c r="G270" s="548"/>
      <c r="H270" s="548"/>
      <c r="I270" s="548"/>
      <c r="J270" s="548"/>
      <c r="K270" s="548"/>
      <c r="L270" s="548"/>
      <c r="M270" s="548"/>
      <c r="N270" s="548"/>
      <c r="O270" s="548"/>
      <c r="P270" s="548"/>
      <c r="Q270" s="548"/>
      <c r="R270" s="548"/>
      <c r="S270" s="548"/>
      <c r="T270" s="548"/>
      <c r="U270" s="548"/>
      <c r="V270" s="548"/>
      <c r="W270" s="548"/>
      <c r="X270" s="548"/>
      <c r="Y270" s="548"/>
      <c r="Z270" s="548"/>
      <c r="AA270" s="548"/>
      <c r="AB270" s="548"/>
      <c r="AC270" s="548"/>
      <c r="AD270" s="548"/>
      <c r="AE270" s="548"/>
      <c r="AF270" s="548"/>
      <c r="AG270" s="548"/>
      <c r="AH270" s="548"/>
      <c r="AI270" s="548"/>
      <c r="AJ270" s="548"/>
      <c r="AK270" s="548"/>
      <c r="AL270" s="548"/>
      <c r="AM270" s="548"/>
      <c r="AN270" s="548"/>
      <c r="AO270" s="548"/>
    </row>
    <row r="271">
      <c r="B271" s="850" t="s">
        <v>1394</v>
      </c>
      <c r="G271" s="548"/>
      <c r="H271" s="548"/>
      <c r="I271" s="548"/>
      <c r="J271" s="548"/>
      <c r="K271" s="548"/>
      <c r="L271" s="548"/>
      <c r="M271" s="548"/>
      <c r="N271" s="548"/>
      <c r="O271" s="548"/>
      <c r="P271" s="548"/>
      <c r="Q271" s="548"/>
      <c r="R271" s="548"/>
      <c r="S271" s="548"/>
      <c r="T271" s="548"/>
      <c r="U271" s="548"/>
      <c r="V271" s="548"/>
      <c r="W271" s="548"/>
      <c r="X271" s="548"/>
      <c r="Y271" s="548"/>
      <c r="Z271" s="548"/>
      <c r="AA271" s="548"/>
      <c r="AB271" s="548"/>
      <c r="AC271" s="548"/>
      <c r="AD271" s="548"/>
      <c r="AE271" s="548"/>
      <c r="AF271" s="548"/>
      <c r="AG271" s="548"/>
      <c r="AH271" s="548"/>
      <c r="AI271" s="548"/>
      <c r="AJ271" s="548"/>
      <c r="AK271" s="548"/>
      <c r="AL271" s="548"/>
      <c r="AM271" s="548"/>
      <c r="AN271" s="548"/>
      <c r="AO271" s="548"/>
    </row>
    <row r="272">
      <c r="B272" s="847" t="s">
        <v>1395</v>
      </c>
      <c r="G272" s="548"/>
      <c r="H272" s="548"/>
      <c r="I272" s="548"/>
      <c r="J272" s="548"/>
      <c r="K272" s="548"/>
      <c r="L272" s="548"/>
      <c r="M272" s="548"/>
      <c r="N272" s="548"/>
      <c r="O272" s="548"/>
      <c r="P272" s="548"/>
      <c r="Q272" s="548"/>
      <c r="R272" s="548"/>
      <c r="S272" s="548"/>
      <c r="T272" s="548"/>
      <c r="U272" s="548"/>
      <c r="V272" s="548"/>
      <c r="W272" s="548"/>
      <c r="X272" s="548"/>
      <c r="Y272" s="548"/>
      <c r="Z272" s="548"/>
      <c r="AA272" s="548"/>
      <c r="AB272" s="548"/>
      <c r="AC272" s="548"/>
      <c r="AD272" s="548"/>
      <c r="AE272" s="548"/>
      <c r="AF272" s="548"/>
      <c r="AG272" s="548"/>
      <c r="AH272" s="548"/>
      <c r="AI272" s="548"/>
      <c r="AJ272" s="548"/>
      <c r="AK272" s="548"/>
      <c r="AL272" s="548"/>
      <c r="AM272" s="548"/>
      <c r="AN272" s="548"/>
      <c r="AO272" s="548"/>
    </row>
    <row r="273">
      <c r="B273" s="847" t="s">
        <v>1396</v>
      </c>
      <c r="G273" s="548"/>
      <c r="H273" s="548"/>
      <c r="I273" s="548"/>
      <c r="J273" s="548"/>
      <c r="K273" s="548"/>
      <c r="L273" s="548"/>
      <c r="M273" s="548"/>
      <c r="N273" s="548"/>
      <c r="O273" s="548"/>
      <c r="P273" s="548"/>
      <c r="Q273" s="548"/>
      <c r="R273" s="548"/>
      <c r="S273" s="548"/>
      <c r="T273" s="548"/>
      <c r="U273" s="548"/>
      <c r="V273" s="548"/>
      <c r="W273" s="548"/>
      <c r="X273" s="548"/>
      <c r="Y273" s="548"/>
      <c r="Z273" s="548"/>
      <c r="AA273" s="548"/>
      <c r="AB273" s="548"/>
      <c r="AC273" s="548"/>
      <c r="AD273" s="548"/>
      <c r="AE273" s="548"/>
      <c r="AF273" s="548"/>
      <c r="AG273" s="548"/>
      <c r="AH273" s="548"/>
      <c r="AI273" s="548"/>
      <c r="AJ273" s="548"/>
      <c r="AK273" s="548"/>
      <c r="AL273" s="548"/>
      <c r="AM273" s="548"/>
      <c r="AN273" s="548"/>
      <c r="AO273" s="548"/>
    </row>
    <row r="274">
      <c r="B274" s="847" t="s">
        <v>1397</v>
      </c>
      <c r="G274" s="548"/>
      <c r="H274" s="548"/>
      <c r="I274" s="548"/>
      <c r="J274" s="548"/>
      <c r="K274" s="548"/>
      <c r="L274" s="548"/>
      <c r="M274" s="548"/>
      <c r="N274" s="548"/>
      <c r="O274" s="548"/>
      <c r="P274" s="548"/>
      <c r="Q274" s="548"/>
      <c r="R274" s="548"/>
      <c r="S274" s="548"/>
      <c r="T274" s="548"/>
      <c r="U274" s="548"/>
      <c r="V274" s="548"/>
      <c r="W274" s="548"/>
      <c r="X274" s="548"/>
      <c r="Y274" s="548"/>
      <c r="Z274" s="548"/>
      <c r="AA274" s="548"/>
      <c r="AB274" s="548"/>
      <c r="AC274" s="548"/>
      <c r="AD274" s="548"/>
      <c r="AE274" s="548"/>
      <c r="AF274" s="548"/>
      <c r="AG274" s="548"/>
      <c r="AH274" s="548"/>
      <c r="AI274" s="548"/>
      <c r="AJ274" s="548"/>
      <c r="AK274" s="548"/>
      <c r="AL274" s="548"/>
      <c r="AM274" s="548"/>
      <c r="AN274" s="548"/>
      <c r="AO274" s="548"/>
    </row>
    <row r="275">
      <c r="A275" s="845" t="s">
        <v>1406</v>
      </c>
      <c r="B275" s="846" t="s">
        <v>1389</v>
      </c>
      <c r="G275" s="548"/>
      <c r="H275" s="548"/>
      <c r="I275" s="548"/>
      <c r="J275" s="548"/>
      <c r="K275" s="548"/>
      <c r="L275" s="548"/>
      <c r="M275" s="548"/>
      <c r="N275" s="548"/>
      <c r="O275" s="548"/>
      <c r="P275" s="548"/>
      <c r="Q275" s="548"/>
      <c r="R275" s="548"/>
      <c r="S275" s="548"/>
      <c r="T275" s="548"/>
      <c r="U275" s="548"/>
      <c r="V275" s="548"/>
      <c r="W275" s="548"/>
      <c r="X275" s="548"/>
      <c r="Y275" s="548"/>
      <c r="Z275" s="548"/>
      <c r="AA275" s="548"/>
      <c r="AB275" s="548"/>
      <c r="AC275" s="548"/>
      <c r="AD275" s="548"/>
      <c r="AE275" s="548"/>
      <c r="AF275" s="548"/>
      <c r="AG275" s="548"/>
      <c r="AH275" s="548"/>
      <c r="AI275" s="548"/>
      <c r="AJ275" s="548"/>
      <c r="AK275" s="548"/>
      <c r="AL275" s="548"/>
      <c r="AM275" s="548"/>
      <c r="AN275" s="548"/>
      <c r="AO275" s="548"/>
    </row>
    <row r="276">
      <c r="B276" s="847" t="s">
        <v>1390</v>
      </c>
      <c r="G276" s="548"/>
      <c r="H276" s="548"/>
      <c r="I276" s="548"/>
      <c r="J276" s="548"/>
      <c r="K276" s="548"/>
      <c r="L276" s="548"/>
      <c r="M276" s="548"/>
      <c r="N276" s="548"/>
      <c r="O276" s="548"/>
      <c r="P276" s="548"/>
      <c r="Q276" s="548"/>
      <c r="R276" s="548"/>
      <c r="S276" s="548"/>
      <c r="T276" s="548"/>
      <c r="U276" s="548"/>
      <c r="V276" s="548"/>
      <c r="W276" s="548"/>
      <c r="X276" s="548"/>
      <c r="Y276" s="548"/>
      <c r="Z276" s="548"/>
      <c r="AA276" s="548"/>
      <c r="AB276" s="548"/>
      <c r="AC276" s="548"/>
      <c r="AD276" s="548"/>
      <c r="AE276" s="548"/>
      <c r="AF276" s="548"/>
      <c r="AG276" s="548"/>
      <c r="AH276" s="548"/>
      <c r="AI276" s="548"/>
      <c r="AJ276" s="548"/>
      <c r="AK276" s="548"/>
      <c r="AL276" s="548"/>
      <c r="AM276" s="548"/>
      <c r="AN276" s="548"/>
      <c r="AO276" s="548"/>
    </row>
    <row r="277">
      <c r="B277" s="847" t="s">
        <v>1391</v>
      </c>
      <c r="G277" s="548"/>
      <c r="H277" s="548"/>
      <c r="I277" s="548"/>
      <c r="J277" s="548"/>
      <c r="K277" s="548"/>
      <c r="L277" s="548"/>
      <c r="M277" s="548"/>
      <c r="N277" s="548"/>
      <c r="O277" s="548"/>
      <c r="P277" s="548"/>
      <c r="Q277" s="548"/>
      <c r="R277" s="548"/>
      <c r="S277" s="548"/>
      <c r="T277" s="548"/>
      <c r="U277" s="548"/>
      <c r="V277" s="548"/>
      <c r="W277" s="548"/>
      <c r="X277" s="548"/>
      <c r="Y277" s="548"/>
      <c r="Z277" s="548"/>
      <c r="AA277" s="548"/>
      <c r="AB277" s="548"/>
      <c r="AC277" s="548"/>
      <c r="AD277" s="548"/>
      <c r="AE277" s="548"/>
      <c r="AF277" s="548"/>
      <c r="AG277" s="548"/>
      <c r="AH277" s="548"/>
      <c r="AI277" s="548"/>
      <c r="AJ277" s="548"/>
      <c r="AK277" s="548"/>
      <c r="AL277" s="548"/>
      <c r="AM277" s="548"/>
      <c r="AN277" s="548"/>
      <c r="AO277" s="548"/>
    </row>
    <row r="278">
      <c r="B278" s="847" t="s">
        <v>1392</v>
      </c>
      <c r="G278" s="548"/>
      <c r="H278" s="548"/>
      <c r="I278" s="548"/>
      <c r="J278" s="548"/>
      <c r="K278" s="548"/>
      <c r="L278" s="548"/>
      <c r="M278" s="548"/>
      <c r="N278" s="548"/>
      <c r="O278" s="548"/>
      <c r="P278" s="548"/>
      <c r="Q278" s="548"/>
      <c r="R278" s="548"/>
      <c r="S278" s="548"/>
      <c r="T278" s="548"/>
      <c r="U278" s="548"/>
      <c r="V278" s="548"/>
      <c r="W278" s="548"/>
      <c r="X278" s="548"/>
      <c r="Y278" s="548"/>
      <c r="Z278" s="548"/>
      <c r="AA278" s="548"/>
      <c r="AB278" s="548"/>
      <c r="AC278" s="548"/>
      <c r="AD278" s="548"/>
      <c r="AE278" s="548"/>
      <c r="AF278" s="548"/>
      <c r="AG278" s="548"/>
      <c r="AH278" s="548"/>
      <c r="AI278" s="548"/>
      <c r="AJ278" s="548"/>
      <c r="AK278" s="548"/>
      <c r="AL278" s="548"/>
      <c r="AM278" s="548"/>
      <c r="AN278" s="548"/>
      <c r="AO278" s="548"/>
    </row>
    <row r="279">
      <c r="B279" s="850" t="s">
        <v>1393</v>
      </c>
      <c r="G279" s="548"/>
      <c r="H279" s="548"/>
      <c r="I279" s="548"/>
      <c r="J279" s="548"/>
      <c r="K279" s="548"/>
      <c r="L279" s="548"/>
      <c r="M279" s="548"/>
      <c r="N279" s="548"/>
      <c r="O279" s="548"/>
      <c r="P279" s="548"/>
      <c r="Q279" s="548"/>
      <c r="R279" s="548"/>
      <c r="S279" s="548"/>
      <c r="T279" s="548"/>
      <c r="U279" s="548"/>
      <c r="V279" s="548"/>
      <c r="W279" s="548"/>
      <c r="X279" s="548"/>
      <c r="Y279" s="548"/>
      <c r="Z279" s="548"/>
      <c r="AA279" s="548"/>
      <c r="AB279" s="548"/>
      <c r="AC279" s="548"/>
      <c r="AD279" s="548"/>
      <c r="AE279" s="548"/>
      <c r="AF279" s="548"/>
      <c r="AG279" s="548"/>
      <c r="AH279" s="548"/>
      <c r="AI279" s="548"/>
      <c r="AJ279" s="548"/>
      <c r="AK279" s="548"/>
      <c r="AL279" s="548"/>
      <c r="AM279" s="548"/>
      <c r="AN279" s="548"/>
      <c r="AO279" s="548"/>
    </row>
    <row r="280">
      <c r="B280" s="850" t="s">
        <v>1394</v>
      </c>
      <c r="G280" s="548"/>
      <c r="H280" s="548"/>
      <c r="I280" s="548"/>
      <c r="J280" s="548"/>
      <c r="K280" s="548"/>
      <c r="L280" s="548"/>
      <c r="M280" s="548"/>
      <c r="N280" s="548"/>
      <c r="O280" s="548"/>
      <c r="P280" s="548"/>
      <c r="Q280" s="548"/>
      <c r="R280" s="548"/>
      <c r="S280" s="548"/>
      <c r="T280" s="548"/>
      <c r="U280" s="548"/>
      <c r="V280" s="548"/>
      <c r="W280" s="548"/>
      <c r="X280" s="548"/>
      <c r="Y280" s="548"/>
      <c r="Z280" s="548"/>
      <c r="AA280" s="548"/>
      <c r="AB280" s="548"/>
      <c r="AC280" s="548"/>
      <c r="AD280" s="548"/>
      <c r="AE280" s="548"/>
      <c r="AF280" s="548"/>
      <c r="AG280" s="548"/>
      <c r="AH280" s="548"/>
      <c r="AI280" s="548"/>
      <c r="AJ280" s="548"/>
      <c r="AK280" s="548"/>
      <c r="AL280" s="548"/>
      <c r="AM280" s="548"/>
      <c r="AN280" s="548"/>
      <c r="AO280" s="548"/>
    </row>
    <row r="281">
      <c r="B281" s="847" t="s">
        <v>1395</v>
      </c>
      <c r="G281" s="548"/>
      <c r="H281" s="548"/>
      <c r="I281" s="548"/>
      <c r="J281" s="548"/>
      <c r="K281" s="548"/>
      <c r="L281" s="548"/>
      <c r="M281" s="548"/>
      <c r="N281" s="548"/>
      <c r="O281" s="548"/>
      <c r="P281" s="548"/>
      <c r="Q281" s="548"/>
      <c r="R281" s="548"/>
      <c r="S281" s="548"/>
      <c r="T281" s="548"/>
      <c r="U281" s="548"/>
      <c r="V281" s="548"/>
      <c r="W281" s="548"/>
      <c r="X281" s="548"/>
      <c r="Y281" s="548"/>
      <c r="Z281" s="548"/>
      <c r="AA281" s="548"/>
      <c r="AB281" s="548"/>
      <c r="AC281" s="548"/>
      <c r="AD281" s="548"/>
      <c r="AE281" s="548"/>
      <c r="AF281" s="548"/>
      <c r="AG281" s="548"/>
      <c r="AH281" s="548"/>
      <c r="AI281" s="548"/>
      <c r="AJ281" s="548"/>
      <c r="AK281" s="548"/>
      <c r="AL281" s="548"/>
      <c r="AM281" s="548"/>
      <c r="AN281" s="548"/>
      <c r="AO281" s="548"/>
    </row>
    <row r="282">
      <c r="B282" s="847" t="s">
        <v>1396</v>
      </c>
      <c r="G282" s="548"/>
      <c r="H282" s="548"/>
      <c r="I282" s="548"/>
      <c r="J282" s="548"/>
      <c r="K282" s="548"/>
      <c r="L282" s="548"/>
      <c r="M282" s="548"/>
      <c r="N282" s="548"/>
      <c r="O282" s="548"/>
      <c r="P282" s="548"/>
      <c r="Q282" s="548"/>
      <c r="R282" s="548"/>
      <c r="S282" s="548"/>
      <c r="T282" s="548"/>
      <c r="U282" s="548"/>
      <c r="V282" s="548"/>
      <c r="W282" s="548"/>
      <c r="X282" s="548"/>
      <c r="Y282" s="548"/>
      <c r="Z282" s="548"/>
      <c r="AA282" s="548"/>
      <c r="AB282" s="548"/>
      <c r="AC282" s="548"/>
      <c r="AD282" s="548"/>
      <c r="AE282" s="548"/>
      <c r="AF282" s="548"/>
      <c r="AG282" s="548"/>
      <c r="AH282" s="548"/>
      <c r="AI282" s="548"/>
      <c r="AJ282" s="548"/>
      <c r="AK282" s="548"/>
      <c r="AL282" s="548"/>
      <c r="AM282" s="548"/>
      <c r="AN282" s="548"/>
      <c r="AO282" s="548"/>
    </row>
    <row r="283">
      <c r="B283" s="847" t="s">
        <v>1397</v>
      </c>
      <c r="G283" s="548"/>
      <c r="H283" s="548"/>
      <c r="I283" s="548"/>
      <c r="J283" s="548"/>
      <c r="K283" s="548"/>
      <c r="L283" s="548"/>
      <c r="M283" s="548"/>
      <c r="N283" s="548"/>
      <c r="O283" s="548"/>
      <c r="P283" s="548"/>
      <c r="Q283" s="548"/>
      <c r="R283" s="548"/>
      <c r="S283" s="548"/>
      <c r="T283" s="548"/>
      <c r="U283" s="548"/>
      <c r="V283" s="548"/>
      <c r="W283" s="548"/>
      <c r="X283" s="548"/>
      <c r="Y283" s="548"/>
      <c r="Z283" s="548"/>
      <c r="AA283" s="548"/>
      <c r="AB283" s="548"/>
      <c r="AC283" s="548"/>
      <c r="AD283" s="548"/>
      <c r="AE283" s="548"/>
      <c r="AF283" s="548"/>
      <c r="AG283" s="548"/>
      <c r="AH283" s="548"/>
      <c r="AI283" s="548"/>
      <c r="AJ283" s="548"/>
      <c r="AK283" s="548"/>
      <c r="AL283" s="548"/>
      <c r="AM283" s="548"/>
      <c r="AN283" s="548"/>
      <c r="AO283" s="548"/>
    </row>
    <row r="284">
      <c r="A284" s="845" t="s">
        <v>1407</v>
      </c>
      <c r="B284" s="846" t="s">
        <v>1389</v>
      </c>
      <c r="G284" s="548"/>
      <c r="H284" s="548"/>
      <c r="I284" s="548"/>
      <c r="J284" s="548"/>
      <c r="K284" s="548"/>
      <c r="L284" s="548"/>
      <c r="M284" s="548"/>
      <c r="N284" s="548"/>
      <c r="O284" s="548"/>
      <c r="P284" s="548"/>
      <c r="Q284" s="548"/>
      <c r="R284" s="548"/>
      <c r="S284" s="548"/>
      <c r="T284" s="548"/>
      <c r="U284" s="548"/>
      <c r="V284" s="548"/>
      <c r="W284" s="548"/>
      <c r="X284" s="548"/>
      <c r="Y284" s="548"/>
      <c r="Z284" s="548"/>
      <c r="AA284" s="548"/>
      <c r="AB284" s="548"/>
      <c r="AC284" s="548"/>
      <c r="AD284" s="548"/>
      <c r="AE284" s="548"/>
      <c r="AF284" s="548"/>
      <c r="AG284" s="548"/>
      <c r="AH284" s="548"/>
      <c r="AI284" s="548"/>
      <c r="AJ284" s="548"/>
      <c r="AK284" s="548"/>
      <c r="AL284" s="548"/>
      <c r="AM284" s="548"/>
      <c r="AN284" s="548"/>
      <c r="AO284" s="548"/>
    </row>
    <row r="285">
      <c r="B285" s="847" t="s">
        <v>1390</v>
      </c>
      <c r="G285" s="548"/>
      <c r="H285" s="548"/>
      <c r="I285" s="548"/>
      <c r="J285" s="548"/>
      <c r="K285" s="548"/>
      <c r="L285" s="548"/>
      <c r="M285" s="548"/>
      <c r="N285" s="548"/>
      <c r="O285" s="548"/>
      <c r="P285" s="548"/>
      <c r="Q285" s="548"/>
      <c r="R285" s="548"/>
      <c r="S285" s="548"/>
      <c r="T285" s="548"/>
      <c r="U285" s="548"/>
      <c r="V285" s="548"/>
      <c r="W285" s="548"/>
      <c r="X285" s="548"/>
      <c r="Y285" s="548"/>
      <c r="Z285" s="548"/>
      <c r="AA285" s="548"/>
      <c r="AB285" s="548"/>
      <c r="AC285" s="548"/>
      <c r="AD285" s="548"/>
      <c r="AE285" s="548"/>
      <c r="AF285" s="548"/>
      <c r="AG285" s="548"/>
      <c r="AH285" s="548"/>
      <c r="AI285" s="548"/>
      <c r="AJ285" s="548"/>
      <c r="AK285" s="548"/>
      <c r="AL285" s="548"/>
      <c r="AM285" s="548"/>
      <c r="AN285" s="548"/>
      <c r="AO285" s="548"/>
    </row>
    <row r="286">
      <c r="B286" s="847" t="s">
        <v>1391</v>
      </c>
      <c r="G286" s="548"/>
      <c r="H286" s="548"/>
      <c r="I286" s="548"/>
      <c r="J286" s="548"/>
      <c r="K286" s="548"/>
      <c r="L286" s="548"/>
      <c r="M286" s="548"/>
      <c r="N286" s="548"/>
      <c r="O286" s="548"/>
      <c r="P286" s="548"/>
      <c r="Q286" s="548"/>
      <c r="R286" s="548"/>
      <c r="S286" s="548"/>
      <c r="T286" s="548"/>
      <c r="U286" s="548"/>
      <c r="V286" s="548"/>
      <c r="W286" s="548"/>
      <c r="X286" s="548"/>
      <c r="Y286" s="548"/>
      <c r="Z286" s="548"/>
      <c r="AA286" s="548"/>
      <c r="AB286" s="548"/>
      <c r="AC286" s="548"/>
      <c r="AD286" s="548"/>
      <c r="AE286" s="548"/>
      <c r="AF286" s="548"/>
      <c r="AG286" s="548"/>
      <c r="AH286" s="548"/>
      <c r="AI286" s="548"/>
      <c r="AJ286" s="548"/>
      <c r="AK286" s="548"/>
      <c r="AL286" s="548"/>
      <c r="AM286" s="548"/>
      <c r="AN286" s="548"/>
      <c r="AO286" s="548"/>
    </row>
    <row r="287">
      <c r="B287" s="847" t="s">
        <v>1392</v>
      </c>
      <c r="G287" s="548"/>
      <c r="H287" s="548"/>
      <c r="I287" s="548"/>
      <c r="J287" s="548"/>
      <c r="K287" s="548"/>
      <c r="L287" s="548"/>
      <c r="M287" s="548"/>
      <c r="N287" s="548"/>
      <c r="O287" s="548"/>
      <c r="P287" s="548"/>
      <c r="Q287" s="548"/>
      <c r="R287" s="548"/>
      <c r="S287" s="548"/>
      <c r="T287" s="548"/>
      <c r="U287" s="548"/>
      <c r="V287" s="548"/>
      <c r="W287" s="548"/>
      <c r="X287" s="548"/>
      <c r="Y287" s="548"/>
      <c r="Z287" s="548"/>
      <c r="AA287" s="548"/>
      <c r="AB287" s="548"/>
      <c r="AC287" s="548"/>
      <c r="AD287" s="548"/>
      <c r="AE287" s="548"/>
      <c r="AF287" s="548"/>
      <c r="AG287" s="548"/>
      <c r="AH287" s="548"/>
      <c r="AI287" s="548"/>
      <c r="AJ287" s="548"/>
      <c r="AK287" s="548"/>
      <c r="AL287" s="548"/>
      <c r="AM287" s="548"/>
      <c r="AN287" s="548"/>
      <c r="AO287" s="548"/>
    </row>
    <row r="288">
      <c r="B288" s="850" t="s">
        <v>1393</v>
      </c>
      <c r="G288" s="548"/>
      <c r="H288" s="548"/>
      <c r="I288" s="548"/>
      <c r="J288" s="548"/>
      <c r="K288" s="548"/>
      <c r="L288" s="548"/>
      <c r="M288" s="548"/>
      <c r="N288" s="548"/>
      <c r="O288" s="548"/>
      <c r="P288" s="548"/>
      <c r="Q288" s="548"/>
      <c r="R288" s="548"/>
      <c r="S288" s="548"/>
      <c r="T288" s="548"/>
      <c r="U288" s="548"/>
      <c r="V288" s="548"/>
      <c r="W288" s="548"/>
      <c r="X288" s="548"/>
      <c r="Y288" s="548"/>
      <c r="Z288" s="548"/>
      <c r="AA288" s="548"/>
      <c r="AB288" s="548"/>
      <c r="AC288" s="548"/>
      <c r="AD288" s="548"/>
      <c r="AE288" s="548"/>
      <c r="AF288" s="548"/>
      <c r="AG288" s="548"/>
      <c r="AH288" s="548"/>
      <c r="AI288" s="548"/>
      <c r="AJ288" s="548"/>
      <c r="AK288" s="548"/>
      <c r="AL288" s="548"/>
      <c r="AM288" s="548"/>
      <c r="AN288" s="548"/>
      <c r="AO288" s="548"/>
    </row>
    <row r="289">
      <c r="B289" s="850" t="s">
        <v>1394</v>
      </c>
      <c r="G289" s="548"/>
      <c r="H289" s="548"/>
      <c r="I289" s="548"/>
      <c r="J289" s="548"/>
      <c r="K289" s="548"/>
      <c r="L289" s="548"/>
      <c r="M289" s="548"/>
      <c r="N289" s="548"/>
      <c r="O289" s="548"/>
      <c r="P289" s="548"/>
      <c r="Q289" s="548"/>
      <c r="R289" s="548"/>
      <c r="S289" s="548"/>
      <c r="T289" s="548"/>
      <c r="U289" s="548"/>
      <c r="V289" s="548"/>
      <c r="W289" s="548"/>
      <c r="X289" s="548"/>
      <c r="Y289" s="548"/>
      <c r="Z289" s="548"/>
      <c r="AA289" s="548"/>
      <c r="AB289" s="548"/>
      <c r="AC289" s="548"/>
      <c r="AD289" s="548"/>
      <c r="AE289" s="548"/>
      <c r="AF289" s="548"/>
      <c r="AG289" s="548"/>
      <c r="AH289" s="548"/>
      <c r="AI289" s="548"/>
      <c r="AJ289" s="548"/>
      <c r="AK289" s="548"/>
      <c r="AL289" s="548"/>
      <c r="AM289" s="548"/>
      <c r="AN289" s="548"/>
      <c r="AO289" s="548"/>
    </row>
    <row r="290">
      <c r="B290" s="847" t="s">
        <v>1395</v>
      </c>
      <c r="G290" s="548"/>
      <c r="H290" s="548"/>
      <c r="I290" s="548"/>
      <c r="J290" s="548"/>
      <c r="K290" s="548"/>
      <c r="L290" s="548"/>
      <c r="M290" s="548"/>
      <c r="N290" s="548"/>
      <c r="O290" s="548"/>
      <c r="P290" s="548"/>
      <c r="Q290" s="548"/>
      <c r="R290" s="548"/>
      <c r="S290" s="548"/>
      <c r="T290" s="548"/>
      <c r="U290" s="548"/>
      <c r="V290" s="548"/>
      <c r="W290" s="548"/>
      <c r="X290" s="548"/>
      <c r="Y290" s="548"/>
      <c r="Z290" s="548"/>
      <c r="AA290" s="548"/>
      <c r="AB290" s="548"/>
      <c r="AC290" s="548"/>
      <c r="AD290" s="548"/>
      <c r="AE290" s="548"/>
      <c r="AF290" s="548"/>
      <c r="AG290" s="548"/>
      <c r="AH290" s="548"/>
      <c r="AI290" s="548"/>
      <c r="AJ290" s="548"/>
      <c r="AK290" s="548"/>
      <c r="AL290" s="548"/>
      <c r="AM290" s="548"/>
      <c r="AN290" s="548"/>
      <c r="AO290" s="548"/>
    </row>
    <row r="291">
      <c r="B291" s="847" t="s">
        <v>1396</v>
      </c>
      <c r="G291" s="548"/>
      <c r="H291" s="548"/>
      <c r="I291" s="548"/>
      <c r="J291" s="548"/>
      <c r="K291" s="548"/>
      <c r="L291" s="548"/>
      <c r="M291" s="548"/>
      <c r="N291" s="548"/>
      <c r="O291" s="548"/>
      <c r="P291" s="548"/>
      <c r="Q291" s="548"/>
      <c r="R291" s="548"/>
      <c r="S291" s="548"/>
      <c r="T291" s="548"/>
      <c r="U291" s="548"/>
      <c r="V291" s="548"/>
      <c r="W291" s="548"/>
      <c r="X291" s="548"/>
      <c r="Y291" s="548"/>
      <c r="Z291" s="548"/>
      <c r="AA291" s="548"/>
      <c r="AB291" s="548"/>
      <c r="AC291" s="548"/>
      <c r="AD291" s="548"/>
      <c r="AE291" s="548"/>
      <c r="AF291" s="548"/>
      <c r="AG291" s="548"/>
      <c r="AH291" s="548"/>
      <c r="AI291" s="548"/>
      <c r="AJ291" s="548"/>
      <c r="AK291" s="548"/>
      <c r="AL291" s="548"/>
      <c r="AM291" s="548"/>
      <c r="AN291" s="548"/>
      <c r="AO291" s="548"/>
    </row>
    <row r="292">
      <c r="B292" s="847" t="s">
        <v>1397</v>
      </c>
      <c r="G292" s="548"/>
      <c r="H292" s="548"/>
      <c r="I292" s="548"/>
      <c r="J292" s="548"/>
      <c r="K292" s="548"/>
      <c r="L292" s="548"/>
      <c r="M292" s="548"/>
      <c r="N292" s="548"/>
      <c r="O292" s="548"/>
      <c r="P292" s="548"/>
      <c r="Q292" s="548"/>
      <c r="R292" s="548"/>
      <c r="S292" s="548"/>
      <c r="T292" s="548"/>
      <c r="U292" s="548"/>
      <c r="V292" s="548"/>
      <c r="W292" s="548"/>
      <c r="X292" s="548"/>
      <c r="Y292" s="548"/>
      <c r="Z292" s="548"/>
      <c r="AA292" s="548"/>
      <c r="AB292" s="548"/>
      <c r="AC292" s="548"/>
      <c r="AD292" s="548"/>
      <c r="AE292" s="548"/>
      <c r="AF292" s="548"/>
      <c r="AG292" s="548"/>
      <c r="AH292" s="548"/>
      <c r="AI292" s="548"/>
      <c r="AJ292" s="548"/>
      <c r="AK292" s="548"/>
      <c r="AL292" s="548"/>
      <c r="AM292" s="548"/>
      <c r="AN292" s="548"/>
      <c r="AO292" s="548"/>
    </row>
    <row r="293">
      <c r="A293" s="845" t="s">
        <v>1408</v>
      </c>
      <c r="B293" s="846" t="s">
        <v>1389</v>
      </c>
      <c r="G293" s="548"/>
      <c r="H293" s="548"/>
      <c r="I293" s="548"/>
      <c r="J293" s="548"/>
      <c r="K293" s="548"/>
      <c r="L293" s="548"/>
      <c r="M293" s="548"/>
      <c r="N293" s="548"/>
      <c r="O293" s="548"/>
      <c r="P293" s="548"/>
      <c r="Q293" s="548"/>
      <c r="R293" s="548"/>
      <c r="S293" s="548"/>
      <c r="T293" s="548"/>
      <c r="U293" s="548"/>
      <c r="V293" s="548"/>
      <c r="W293" s="548"/>
      <c r="X293" s="548"/>
      <c r="Y293" s="548"/>
      <c r="Z293" s="548"/>
      <c r="AA293" s="548"/>
      <c r="AB293" s="548"/>
      <c r="AC293" s="548"/>
      <c r="AD293" s="548"/>
      <c r="AE293" s="548"/>
      <c r="AF293" s="548"/>
      <c r="AG293" s="548"/>
      <c r="AH293" s="548"/>
      <c r="AI293" s="548"/>
      <c r="AJ293" s="548"/>
      <c r="AK293" s="548"/>
      <c r="AL293" s="548"/>
      <c r="AM293" s="548"/>
      <c r="AN293" s="548"/>
      <c r="AO293" s="548"/>
    </row>
    <row r="294">
      <c r="B294" s="847" t="s">
        <v>1390</v>
      </c>
      <c r="G294" s="548"/>
      <c r="H294" s="548"/>
      <c r="I294" s="548"/>
      <c r="J294" s="548"/>
      <c r="K294" s="548"/>
      <c r="L294" s="548"/>
      <c r="M294" s="548"/>
      <c r="N294" s="548"/>
      <c r="O294" s="548"/>
      <c r="P294" s="548"/>
      <c r="Q294" s="548"/>
      <c r="R294" s="548"/>
      <c r="S294" s="548"/>
      <c r="T294" s="548"/>
      <c r="U294" s="548"/>
      <c r="V294" s="548"/>
      <c r="W294" s="548"/>
      <c r="X294" s="548"/>
      <c r="Y294" s="548"/>
      <c r="Z294" s="548"/>
      <c r="AA294" s="548"/>
      <c r="AB294" s="548"/>
      <c r="AC294" s="548"/>
      <c r="AD294" s="548"/>
      <c r="AE294" s="548"/>
      <c r="AF294" s="548"/>
      <c r="AG294" s="548"/>
      <c r="AH294" s="548"/>
      <c r="AI294" s="548"/>
      <c r="AJ294" s="548"/>
      <c r="AK294" s="548"/>
      <c r="AL294" s="548"/>
      <c r="AM294" s="548"/>
      <c r="AN294" s="548"/>
      <c r="AO294" s="548"/>
    </row>
    <row r="295">
      <c r="B295" s="847" t="s">
        <v>1391</v>
      </c>
      <c r="G295" s="548"/>
      <c r="H295" s="548"/>
      <c r="I295" s="548"/>
      <c r="J295" s="548"/>
      <c r="K295" s="548"/>
      <c r="L295" s="548"/>
      <c r="M295" s="548"/>
      <c r="N295" s="548"/>
      <c r="O295" s="548"/>
      <c r="P295" s="548"/>
      <c r="Q295" s="548"/>
      <c r="R295" s="548"/>
      <c r="S295" s="548"/>
      <c r="T295" s="548"/>
      <c r="U295" s="548"/>
      <c r="V295" s="548"/>
      <c r="W295" s="548"/>
      <c r="X295" s="548"/>
      <c r="Y295" s="548"/>
      <c r="Z295" s="548"/>
      <c r="AA295" s="548"/>
      <c r="AB295" s="548"/>
      <c r="AC295" s="548"/>
      <c r="AD295" s="548"/>
      <c r="AE295" s="548"/>
      <c r="AF295" s="548"/>
      <c r="AG295" s="548"/>
      <c r="AH295" s="548"/>
      <c r="AI295" s="548"/>
      <c r="AJ295" s="548"/>
      <c r="AK295" s="548"/>
      <c r="AL295" s="548"/>
      <c r="AM295" s="548"/>
      <c r="AN295" s="548"/>
      <c r="AO295" s="548"/>
    </row>
    <row r="296">
      <c r="B296" s="847" t="s">
        <v>1392</v>
      </c>
      <c r="G296" s="548"/>
      <c r="H296" s="548"/>
      <c r="I296" s="548"/>
      <c r="J296" s="548"/>
      <c r="K296" s="548"/>
      <c r="L296" s="548"/>
      <c r="M296" s="548"/>
      <c r="N296" s="548"/>
      <c r="O296" s="548"/>
      <c r="P296" s="548"/>
      <c r="Q296" s="548"/>
      <c r="R296" s="548"/>
      <c r="S296" s="548"/>
      <c r="T296" s="548"/>
      <c r="U296" s="548"/>
      <c r="V296" s="548"/>
      <c r="W296" s="548"/>
      <c r="X296" s="548"/>
      <c r="Y296" s="548"/>
      <c r="Z296" s="548"/>
      <c r="AA296" s="548"/>
      <c r="AB296" s="548"/>
      <c r="AC296" s="548"/>
      <c r="AD296" s="548"/>
      <c r="AE296" s="548"/>
      <c r="AF296" s="548"/>
      <c r="AG296" s="548"/>
      <c r="AH296" s="548"/>
      <c r="AI296" s="548"/>
      <c r="AJ296" s="548"/>
      <c r="AK296" s="548"/>
      <c r="AL296" s="548"/>
      <c r="AM296" s="548"/>
      <c r="AN296" s="548"/>
      <c r="AO296" s="548"/>
    </row>
    <row r="297">
      <c r="B297" s="850" t="s">
        <v>1393</v>
      </c>
      <c r="G297" s="548"/>
      <c r="H297" s="548"/>
      <c r="I297" s="548"/>
      <c r="J297" s="548"/>
      <c r="K297" s="548"/>
      <c r="L297" s="548"/>
      <c r="M297" s="548"/>
      <c r="N297" s="548"/>
      <c r="O297" s="548"/>
      <c r="P297" s="548"/>
      <c r="Q297" s="548"/>
      <c r="R297" s="548"/>
      <c r="S297" s="548"/>
      <c r="T297" s="548"/>
      <c r="U297" s="548"/>
      <c r="V297" s="548"/>
      <c r="W297" s="548"/>
      <c r="X297" s="548"/>
      <c r="Y297" s="548"/>
      <c r="Z297" s="548"/>
      <c r="AA297" s="548"/>
      <c r="AB297" s="548"/>
      <c r="AC297" s="548"/>
      <c r="AD297" s="548"/>
      <c r="AE297" s="548"/>
      <c r="AF297" s="548"/>
      <c r="AG297" s="548"/>
      <c r="AH297" s="548"/>
      <c r="AI297" s="548"/>
      <c r="AJ297" s="548"/>
      <c r="AK297" s="548"/>
      <c r="AL297" s="548"/>
      <c r="AM297" s="548"/>
      <c r="AN297" s="548"/>
      <c r="AO297" s="548"/>
    </row>
    <row r="298">
      <c r="B298" s="850" t="s">
        <v>1394</v>
      </c>
      <c r="G298" s="548"/>
      <c r="H298" s="548"/>
      <c r="I298" s="548"/>
      <c r="J298" s="548"/>
      <c r="K298" s="548"/>
      <c r="L298" s="548"/>
      <c r="M298" s="548"/>
      <c r="N298" s="548"/>
      <c r="O298" s="548"/>
      <c r="P298" s="548"/>
      <c r="Q298" s="548"/>
      <c r="R298" s="548"/>
      <c r="S298" s="548"/>
      <c r="T298" s="548"/>
      <c r="U298" s="548"/>
      <c r="V298" s="548"/>
      <c r="W298" s="548"/>
      <c r="X298" s="548"/>
      <c r="Y298" s="548"/>
      <c r="Z298" s="548"/>
      <c r="AA298" s="548"/>
      <c r="AB298" s="548"/>
      <c r="AC298" s="548"/>
      <c r="AD298" s="548"/>
      <c r="AE298" s="548"/>
      <c r="AF298" s="548"/>
      <c r="AG298" s="548"/>
      <c r="AH298" s="548"/>
      <c r="AI298" s="548"/>
      <c r="AJ298" s="548"/>
      <c r="AK298" s="548"/>
      <c r="AL298" s="548"/>
      <c r="AM298" s="548"/>
      <c r="AN298" s="548"/>
      <c r="AO298" s="548"/>
    </row>
    <row r="299">
      <c r="B299" s="847" t="s">
        <v>1395</v>
      </c>
      <c r="G299" s="548"/>
      <c r="H299" s="548"/>
      <c r="I299" s="548"/>
      <c r="J299" s="548"/>
      <c r="K299" s="548"/>
      <c r="L299" s="548"/>
      <c r="M299" s="548"/>
      <c r="N299" s="548"/>
      <c r="O299" s="548"/>
      <c r="P299" s="548"/>
      <c r="Q299" s="548"/>
      <c r="R299" s="548"/>
      <c r="S299" s="548"/>
      <c r="T299" s="548"/>
      <c r="U299" s="548"/>
      <c r="V299" s="548"/>
      <c r="W299" s="548"/>
      <c r="X299" s="548"/>
      <c r="Y299" s="548"/>
      <c r="Z299" s="548"/>
      <c r="AA299" s="548"/>
      <c r="AB299" s="548"/>
      <c r="AC299" s="548"/>
      <c r="AD299" s="548"/>
      <c r="AE299" s="548"/>
      <c r="AF299" s="548"/>
      <c r="AG299" s="548"/>
      <c r="AH299" s="548"/>
      <c r="AI299" s="548"/>
      <c r="AJ299" s="548"/>
      <c r="AK299" s="548"/>
      <c r="AL299" s="548"/>
      <c r="AM299" s="548"/>
      <c r="AN299" s="548"/>
      <c r="AO299" s="548"/>
    </row>
    <row r="300">
      <c r="B300" s="847" t="s">
        <v>1396</v>
      </c>
      <c r="G300" s="548"/>
      <c r="H300" s="548"/>
      <c r="I300" s="548"/>
      <c r="J300" s="548"/>
      <c r="K300" s="548"/>
      <c r="L300" s="548"/>
      <c r="M300" s="548"/>
      <c r="N300" s="548"/>
      <c r="O300" s="548"/>
      <c r="P300" s="548"/>
      <c r="Q300" s="548"/>
      <c r="R300" s="548"/>
      <c r="S300" s="548"/>
      <c r="T300" s="548"/>
      <c r="U300" s="548"/>
      <c r="V300" s="548"/>
      <c r="W300" s="548"/>
      <c r="X300" s="548"/>
      <c r="Y300" s="548"/>
      <c r="Z300" s="548"/>
      <c r="AA300" s="548"/>
      <c r="AB300" s="548"/>
      <c r="AC300" s="548"/>
      <c r="AD300" s="548"/>
      <c r="AE300" s="548"/>
      <c r="AF300" s="548"/>
      <c r="AG300" s="548"/>
      <c r="AH300" s="548"/>
      <c r="AI300" s="548"/>
      <c r="AJ300" s="548"/>
      <c r="AK300" s="548"/>
      <c r="AL300" s="548"/>
      <c r="AM300" s="548"/>
      <c r="AN300" s="548"/>
      <c r="AO300" s="548"/>
    </row>
    <row r="301">
      <c r="B301" s="847" t="s">
        <v>1397</v>
      </c>
      <c r="G301" s="548"/>
      <c r="H301" s="548"/>
      <c r="I301" s="548"/>
      <c r="J301" s="548"/>
      <c r="K301" s="548"/>
      <c r="L301" s="548"/>
      <c r="M301" s="548"/>
      <c r="N301" s="548"/>
      <c r="O301" s="548"/>
      <c r="P301" s="548"/>
      <c r="Q301" s="548"/>
      <c r="R301" s="548"/>
      <c r="S301" s="548"/>
      <c r="T301" s="548"/>
      <c r="U301" s="548"/>
      <c r="V301" s="548"/>
      <c r="W301" s="548"/>
      <c r="X301" s="548"/>
      <c r="Y301" s="548"/>
      <c r="Z301" s="548"/>
      <c r="AA301" s="548"/>
      <c r="AB301" s="548"/>
      <c r="AC301" s="548"/>
      <c r="AD301" s="548"/>
      <c r="AE301" s="548"/>
      <c r="AF301" s="548"/>
      <c r="AG301" s="548"/>
      <c r="AH301" s="548"/>
      <c r="AI301" s="548"/>
      <c r="AJ301" s="548"/>
      <c r="AK301" s="548"/>
      <c r="AL301" s="548"/>
      <c r="AM301" s="548"/>
      <c r="AN301" s="548"/>
      <c r="AO301" s="548"/>
    </row>
    <row r="302">
      <c r="A302" s="845" t="s">
        <v>1409</v>
      </c>
      <c r="B302" s="846" t="s">
        <v>1389</v>
      </c>
      <c r="G302" s="548"/>
      <c r="H302" s="548"/>
      <c r="I302" s="548"/>
      <c r="J302" s="548"/>
      <c r="K302" s="548"/>
      <c r="L302" s="548"/>
      <c r="M302" s="548"/>
      <c r="N302" s="548"/>
      <c r="O302" s="548"/>
      <c r="P302" s="548"/>
      <c r="Q302" s="548"/>
      <c r="R302" s="548"/>
      <c r="S302" s="548"/>
      <c r="T302" s="548"/>
      <c r="U302" s="548"/>
      <c r="V302" s="548"/>
      <c r="W302" s="548"/>
      <c r="X302" s="548"/>
      <c r="Y302" s="548"/>
      <c r="Z302" s="548"/>
      <c r="AA302" s="548"/>
      <c r="AB302" s="548"/>
      <c r="AC302" s="548"/>
      <c r="AD302" s="548"/>
      <c r="AE302" s="548"/>
      <c r="AF302" s="548"/>
      <c r="AG302" s="548"/>
      <c r="AH302" s="548"/>
      <c r="AI302" s="548"/>
      <c r="AJ302" s="548"/>
      <c r="AK302" s="548"/>
      <c r="AL302" s="548"/>
      <c r="AM302" s="548"/>
      <c r="AN302" s="548"/>
      <c r="AO302" s="548"/>
    </row>
    <row r="303">
      <c r="B303" s="847" t="s">
        <v>1390</v>
      </c>
      <c r="G303" s="548"/>
      <c r="H303" s="548"/>
      <c r="I303" s="548"/>
      <c r="J303" s="548"/>
      <c r="K303" s="548"/>
      <c r="L303" s="548"/>
      <c r="M303" s="548"/>
      <c r="N303" s="548"/>
      <c r="O303" s="548"/>
      <c r="P303" s="548"/>
      <c r="Q303" s="548"/>
      <c r="R303" s="548"/>
      <c r="S303" s="548"/>
      <c r="T303" s="548"/>
      <c r="U303" s="548"/>
      <c r="V303" s="548"/>
      <c r="W303" s="548"/>
      <c r="X303" s="548"/>
      <c r="Y303" s="548"/>
      <c r="Z303" s="548"/>
      <c r="AA303" s="548"/>
      <c r="AB303" s="548"/>
      <c r="AC303" s="548"/>
      <c r="AD303" s="548"/>
      <c r="AE303" s="548"/>
      <c r="AF303" s="548"/>
      <c r="AG303" s="548"/>
      <c r="AH303" s="548"/>
      <c r="AI303" s="548"/>
      <c r="AJ303" s="548"/>
      <c r="AK303" s="548"/>
      <c r="AL303" s="548"/>
      <c r="AM303" s="548"/>
      <c r="AN303" s="548"/>
      <c r="AO303" s="548"/>
    </row>
    <row r="304">
      <c r="B304" s="847" t="s">
        <v>1391</v>
      </c>
      <c r="G304" s="548"/>
      <c r="H304" s="548"/>
      <c r="I304" s="548"/>
      <c r="J304" s="548"/>
      <c r="K304" s="548"/>
      <c r="L304" s="548"/>
      <c r="M304" s="548"/>
      <c r="N304" s="548"/>
      <c r="O304" s="548"/>
      <c r="P304" s="548"/>
      <c r="Q304" s="548"/>
      <c r="R304" s="548"/>
      <c r="S304" s="548"/>
      <c r="T304" s="548"/>
      <c r="U304" s="548"/>
      <c r="V304" s="548"/>
      <c r="W304" s="548"/>
      <c r="X304" s="548"/>
      <c r="Y304" s="548"/>
      <c r="Z304" s="548"/>
      <c r="AA304" s="548"/>
      <c r="AB304" s="548"/>
      <c r="AC304" s="548"/>
      <c r="AD304" s="548"/>
      <c r="AE304" s="548"/>
      <c r="AF304" s="548"/>
      <c r="AG304" s="548"/>
      <c r="AH304" s="548"/>
      <c r="AI304" s="548"/>
      <c r="AJ304" s="548"/>
      <c r="AK304" s="548"/>
      <c r="AL304" s="548"/>
      <c r="AM304" s="548"/>
      <c r="AN304" s="548"/>
      <c r="AO304" s="548"/>
    </row>
    <row r="305">
      <c r="B305" s="847" t="s">
        <v>1392</v>
      </c>
      <c r="G305" s="548"/>
      <c r="H305" s="548"/>
      <c r="I305" s="548"/>
      <c r="J305" s="548"/>
      <c r="K305" s="548"/>
      <c r="L305" s="548"/>
      <c r="M305" s="548"/>
      <c r="N305" s="548"/>
      <c r="O305" s="548"/>
      <c r="P305" s="548"/>
      <c r="Q305" s="548"/>
      <c r="R305" s="548"/>
      <c r="S305" s="548"/>
      <c r="T305" s="548"/>
      <c r="U305" s="548"/>
      <c r="V305" s="548"/>
      <c r="W305" s="548"/>
      <c r="X305" s="548"/>
      <c r="Y305" s="548"/>
      <c r="Z305" s="548"/>
      <c r="AA305" s="548"/>
      <c r="AB305" s="548"/>
      <c r="AC305" s="548"/>
      <c r="AD305" s="548"/>
      <c r="AE305" s="548"/>
      <c r="AF305" s="548"/>
      <c r="AG305" s="548"/>
      <c r="AH305" s="548"/>
      <c r="AI305" s="548"/>
      <c r="AJ305" s="548"/>
      <c r="AK305" s="548"/>
      <c r="AL305" s="548"/>
      <c r="AM305" s="548"/>
      <c r="AN305" s="548"/>
      <c r="AO305" s="548"/>
    </row>
    <row r="306">
      <c r="B306" s="850" t="s">
        <v>1393</v>
      </c>
      <c r="G306" s="548"/>
      <c r="H306" s="548"/>
      <c r="I306" s="548"/>
      <c r="J306" s="548"/>
      <c r="K306" s="548"/>
      <c r="L306" s="548"/>
      <c r="M306" s="548"/>
      <c r="N306" s="548"/>
      <c r="O306" s="548"/>
      <c r="P306" s="548"/>
      <c r="Q306" s="548"/>
      <c r="R306" s="548"/>
      <c r="S306" s="548"/>
      <c r="T306" s="548"/>
      <c r="U306" s="548"/>
      <c r="V306" s="548"/>
      <c r="W306" s="548"/>
      <c r="X306" s="548"/>
      <c r="Y306" s="548"/>
      <c r="Z306" s="548"/>
      <c r="AA306" s="548"/>
      <c r="AB306" s="548"/>
      <c r="AC306" s="548"/>
      <c r="AD306" s="548"/>
      <c r="AE306" s="548"/>
      <c r="AF306" s="548"/>
      <c r="AG306" s="548"/>
      <c r="AH306" s="548"/>
      <c r="AI306" s="548"/>
      <c r="AJ306" s="548"/>
      <c r="AK306" s="548"/>
      <c r="AL306" s="548"/>
      <c r="AM306" s="548"/>
      <c r="AN306" s="548"/>
      <c r="AO306" s="548"/>
    </row>
    <row r="307">
      <c r="B307" s="850" t="s">
        <v>1394</v>
      </c>
      <c r="G307" s="548"/>
      <c r="H307" s="548"/>
      <c r="I307" s="548"/>
      <c r="J307" s="548"/>
      <c r="K307" s="548"/>
      <c r="L307" s="548"/>
      <c r="M307" s="548"/>
      <c r="N307" s="548"/>
      <c r="O307" s="548"/>
      <c r="P307" s="548"/>
      <c r="Q307" s="548"/>
      <c r="R307" s="548"/>
      <c r="S307" s="548"/>
      <c r="T307" s="548"/>
      <c r="U307" s="548"/>
      <c r="V307" s="548"/>
      <c r="W307" s="548"/>
      <c r="X307" s="548"/>
      <c r="Y307" s="548"/>
      <c r="Z307" s="548"/>
      <c r="AA307" s="548"/>
      <c r="AB307" s="548"/>
      <c r="AC307" s="548"/>
      <c r="AD307" s="548"/>
      <c r="AE307" s="548"/>
      <c r="AF307" s="548"/>
      <c r="AG307" s="548"/>
      <c r="AH307" s="548"/>
      <c r="AI307" s="548"/>
      <c r="AJ307" s="548"/>
      <c r="AK307" s="548"/>
      <c r="AL307" s="548"/>
      <c r="AM307" s="548"/>
      <c r="AN307" s="548"/>
      <c r="AO307" s="548"/>
    </row>
    <row r="308">
      <c r="B308" s="847" t="s">
        <v>1395</v>
      </c>
      <c r="G308" s="548"/>
      <c r="H308" s="548"/>
      <c r="I308" s="548"/>
      <c r="J308" s="548"/>
      <c r="K308" s="548"/>
      <c r="L308" s="548"/>
      <c r="M308" s="548"/>
      <c r="N308" s="548"/>
      <c r="O308" s="548"/>
      <c r="P308" s="548"/>
      <c r="Q308" s="548"/>
      <c r="R308" s="548"/>
      <c r="S308" s="548"/>
      <c r="T308" s="548"/>
      <c r="U308" s="548"/>
      <c r="V308" s="548"/>
      <c r="W308" s="548"/>
      <c r="X308" s="548"/>
      <c r="Y308" s="548"/>
      <c r="Z308" s="548"/>
      <c r="AA308" s="548"/>
      <c r="AB308" s="548"/>
      <c r="AC308" s="548"/>
      <c r="AD308" s="548"/>
      <c r="AE308" s="548"/>
      <c r="AF308" s="548"/>
      <c r="AG308" s="548"/>
      <c r="AH308" s="548"/>
      <c r="AI308" s="548"/>
      <c r="AJ308" s="548"/>
      <c r="AK308" s="548"/>
      <c r="AL308" s="548"/>
      <c r="AM308" s="548"/>
      <c r="AN308" s="548"/>
      <c r="AO308" s="548"/>
    </row>
    <row r="309">
      <c r="B309" s="847" t="s">
        <v>1396</v>
      </c>
      <c r="G309" s="548"/>
      <c r="H309" s="548"/>
      <c r="I309" s="548"/>
      <c r="J309" s="548"/>
      <c r="K309" s="548"/>
      <c r="L309" s="548"/>
      <c r="M309" s="548"/>
      <c r="N309" s="548"/>
      <c r="O309" s="548"/>
      <c r="P309" s="548"/>
      <c r="Q309" s="548"/>
      <c r="R309" s="548"/>
      <c r="S309" s="548"/>
      <c r="T309" s="548"/>
      <c r="U309" s="548"/>
      <c r="V309" s="548"/>
      <c r="W309" s="548"/>
      <c r="X309" s="548"/>
      <c r="Y309" s="548"/>
      <c r="Z309" s="548"/>
      <c r="AA309" s="548"/>
      <c r="AB309" s="548"/>
      <c r="AC309" s="548"/>
      <c r="AD309" s="548"/>
      <c r="AE309" s="548"/>
      <c r="AF309" s="548"/>
      <c r="AG309" s="548"/>
      <c r="AH309" s="548"/>
      <c r="AI309" s="548"/>
      <c r="AJ309" s="548"/>
      <c r="AK309" s="548"/>
      <c r="AL309" s="548"/>
      <c r="AM309" s="548"/>
      <c r="AN309" s="548"/>
      <c r="AO309" s="548"/>
    </row>
    <row r="310">
      <c r="B310" s="847" t="s">
        <v>1397</v>
      </c>
      <c r="G310" s="548"/>
      <c r="H310" s="548"/>
      <c r="I310" s="548"/>
      <c r="J310" s="548"/>
      <c r="K310" s="548"/>
      <c r="L310" s="548"/>
      <c r="M310" s="548"/>
      <c r="N310" s="548"/>
      <c r="O310" s="548"/>
      <c r="P310" s="548"/>
      <c r="Q310" s="548"/>
      <c r="R310" s="548"/>
      <c r="S310" s="548"/>
      <c r="T310" s="548"/>
      <c r="U310" s="548"/>
      <c r="V310" s="548"/>
      <c r="W310" s="548"/>
      <c r="X310" s="548"/>
      <c r="Y310" s="548"/>
      <c r="Z310" s="548"/>
      <c r="AA310" s="548"/>
      <c r="AB310" s="548"/>
      <c r="AC310" s="548"/>
      <c r="AD310" s="548"/>
      <c r="AE310" s="548"/>
      <c r="AF310" s="548"/>
      <c r="AG310" s="548"/>
      <c r="AH310" s="548"/>
      <c r="AI310" s="548"/>
      <c r="AJ310" s="548"/>
      <c r="AK310" s="548"/>
      <c r="AL310" s="548"/>
      <c r="AM310" s="548"/>
      <c r="AN310" s="548"/>
      <c r="AO310" s="548"/>
    </row>
    <row r="311">
      <c r="A311" s="845" t="s">
        <v>1410</v>
      </c>
      <c r="B311" s="846" t="s">
        <v>1389</v>
      </c>
      <c r="G311" s="548"/>
      <c r="H311" s="548"/>
      <c r="I311" s="548"/>
      <c r="J311" s="548"/>
      <c r="K311" s="548"/>
      <c r="L311" s="548"/>
      <c r="M311" s="548"/>
      <c r="N311" s="548"/>
      <c r="O311" s="548"/>
      <c r="P311" s="548"/>
      <c r="Q311" s="548"/>
      <c r="R311" s="548"/>
      <c r="S311" s="548"/>
      <c r="T311" s="548"/>
      <c r="U311" s="548"/>
      <c r="V311" s="548"/>
      <c r="W311" s="548"/>
      <c r="X311" s="548"/>
      <c r="Y311" s="548"/>
      <c r="Z311" s="548"/>
      <c r="AA311" s="548"/>
      <c r="AB311" s="548"/>
      <c r="AC311" s="548"/>
      <c r="AD311" s="548"/>
      <c r="AE311" s="548"/>
      <c r="AF311" s="548"/>
      <c r="AG311" s="548"/>
      <c r="AH311" s="548"/>
      <c r="AI311" s="548"/>
      <c r="AJ311" s="548"/>
      <c r="AK311" s="548"/>
      <c r="AL311" s="548"/>
      <c r="AM311" s="548"/>
      <c r="AN311" s="548"/>
      <c r="AO311" s="548"/>
    </row>
    <row r="312">
      <c r="B312" s="847" t="s">
        <v>1390</v>
      </c>
      <c r="G312" s="548"/>
      <c r="H312" s="548"/>
      <c r="I312" s="548"/>
      <c r="J312" s="548"/>
      <c r="K312" s="548"/>
      <c r="L312" s="548"/>
      <c r="M312" s="548"/>
      <c r="N312" s="548"/>
      <c r="O312" s="548"/>
      <c r="P312" s="548"/>
      <c r="Q312" s="548"/>
      <c r="R312" s="548"/>
      <c r="S312" s="548"/>
      <c r="T312" s="548"/>
      <c r="U312" s="548"/>
      <c r="V312" s="548"/>
      <c r="W312" s="548"/>
      <c r="X312" s="548"/>
      <c r="Y312" s="548"/>
      <c r="Z312" s="548"/>
      <c r="AA312" s="548"/>
      <c r="AB312" s="548"/>
      <c r="AC312" s="548"/>
      <c r="AD312" s="548"/>
      <c r="AE312" s="548"/>
      <c r="AF312" s="548"/>
      <c r="AG312" s="548"/>
      <c r="AH312" s="548"/>
      <c r="AI312" s="548"/>
      <c r="AJ312" s="548"/>
      <c r="AK312" s="548"/>
      <c r="AL312" s="548"/>
      <c r="AM312" s="548"/>
      <c r="AN312" s="548"/>
      <c r="AO312" s="548"/>
    </row>
    <row r="313">
      <c r="B313" s="847" t="s">
        <v>1391</v>
      </c>
      <c r="G313" s="548"/>
      <c r="H313" s="548"/>
      <c r="I313" s="548"/>
      <c r="J313" s="548"/>
      <c r="K313" s="548"/>
      <c r="L313" s="548"/>
      <c r="M313" s="548"/>
      <c r="N313" s="548"/>
      <c r="O313" s="548"/>
      <c r="P313" s="548"/>
      <c r="Q313" s="548"/>
      <c r="R313" s="548"/>
      <c r="S313" s="548"/>
      <c r="T313" s="548"/>
      <c r="U313" s="548"/>
      <c r="V313" s="548"/>
      <c r="W313" s="548"/>
      <c r="X313" s="548"/>
      <c r="Y313" s="548"/>
      <c r="Z313" s="548"/>
      <c r="AA313" s="548"/>
      <c r="AB313" s="548"/>
      <c r="AC313" s="548"/>
      <c r="AD313" s="548"/>
      <c r="AE313" s="548"/>
      <c r="AF313" s="548"/>
      <c r="AG313" s="548"/>
      <c r="AH313" s="548"/>
      <c r="AI313" s="548"/>
      <c r="AJ313" s="548"/>
      <c r="AK313" s="548"/>
      <c r="AL313" s="548"/>
      <c r="AM313" s="548"/>
      <c r="AN313" s="548"/>
      <c r="AO313" s="548"/>
    </row>
    <row r="314">
      <c r="B314" s="847" t="s">
        <v>1392</v>
      </c>
      <c r="G314" s="548"/>
      <c r="H314" s="548"/>
      <c r="I314" s="548"/>
      <c r="J314" s="548"/>
      <c r="K314" s="548"/>
      <c r="L314" s="548"/>
      <c r="M314" s="548"/>
      <c r="N314" s="548"/>
      <c r="O314" s="548"/>
      <c r="P314" s="548"/>
      <c r="Q314" s="548"/>
      <c r="R314" s="548"/>
      <c r="S314" s="548"/>
      <c r="T314" s="548"/>
      <c r="U314" s="548"/>
      <c r="V314" s="548"/>
      <c r="W314" s="548"/>
      <c r="X314" s="548"/>
      <c r="Y314" s="548"/>
      <c r="Z314" s="548"/>
      <c r="AA314" s="548"/>
      <c r="AB314" s="548"/>
      <c r="AC314" s="548"/>
      <c r="AD314" s="548"/>
      <c r="AE314" s="548"/>
      <c r="AF314" s="548"/>
      <c r="AG314" s="548"/>
      <c r="AH314" s="548"/>
      <c r="AI314" s="548"/>
      <c r="AJ314" s="548"/>
      <c r="AK314" s="548"/>
      <c r="AL314" s="548"/>
      <c r="AM314" s="548"/>
      <c r="AN314" s="548"/>
      <c r="AO314" s="548"/>
    </row>
    <row r="315">
      <c r="B315" s="850" t="s">
        <v>1393</v>
      </c>
      <c r="G315" s="548"/>
      <c r="H315" s="548"/>
      <c r="I315" s="548"/>
      <c r="J315" s="548"/>
      <c r="K315" s="548"/>
      <c r="L315" s="548"/>
      <c r="M315" s="548"/>
      <c r="N315" s="548"/>
      <c r="O315" s="548"/>
      <c r="P315" s="548"/>
      <c r="Q315" s="548"/>
      <c r="R315" s="548"/>
      <c r="S315" s="548"/>
      <c r="T315" s="548"/>
      <c r="U315" s="548"/>
      <c r="V315" s="548"/>
      <c r="W315" s="548"/>
      <c r="X315" s="548"/>
      <c r="Y315" s="548"/>
      <c r="Z315" s="548"/>
      <c r="AA315" s="548"/>
      <c r="AB315" s="548"/>
      <c r="AC315" s="548"/>
      <c r="AD315" s="548"/>
      <c r="AE315" s="548"/>
      <c r="AF315" s="548"/>
      <c r="AG315" s="548"/>
      <c r="AH315" s="548"/>
      <c r="AI315" s="548"/>
      <c r="AJ315" s="548"/>
      <c r="AK315" s="548"/>
      <c r="AL315" s="548"/>
      <c r="AM315" s="548"/>
      <c r="AN315" s="548"/>
      <c r="AO315" s="548"/>
    </row>
    <row r="316">
      <c r="B316" s="850" t="s">
        <v>1394</v>
      </c>
      <c r="G316" s="548"/>
      <c r="H316" s="548"/>
      <c r="I316" s="548"/>
      <c r="J316" s="548"/>
      <c r="K316" s="548"/>
      <c r="L316" s="548"/>
      <c r="M316" s="548"/>
      <c r="N316" s="548"/>
      <c r="O316" s="548"/>
      <c r="P316" s="548"/>
      <c r="Q316" s="548"/>
      <c r="R316" s="548"/>
      <c r="S316" s="548"/>
      <c r="T316" s="548"/>
      <c r="U316" s="548"/>
      <c r="V316" s="548"/>
      <c r="W316" s="548"/>
      <c r="X316" s="548"/>
      <c r="Y316" s="548"/>
      <c r="Z316" s="548"/>
      <c r="AA316" s="548"/>
      <c r="AB316" s="548"/>
      <c r="AC316" s="548"/>
      <c r="AD316" s="548"/>
      <c r="AE316" s="548"/>
      <c r="AF316" s="548"/>
      <c r="AG316" s="548"/>
      <c r="AH316" s="548"/>
      <c r="AI316" s="548"/>
      <c r="AJ316" s="548"/>
      <c r="AK316" s="548"/>
      <c r="AL316" s="548"/>
      <c r="AM316" s="548"/>
      <c r="AN316" s="548"/>
      <c r="AO316" s="548"/>
    </row>
    <row r="317">
      <c r="B317" s="847" t="s">
        <v>1395</v>
      </c>
      <c r="G317" s="548"/>
      <c r="H317" s="548"/>
      <c r="I317" s="548"/>
      <c r="J317" s="548"/>
      <c r="K317" s="548"/>
      <c r="L317" s="548"/>
      <c r="M317" s="548"/>
      <c r="N317" s="548"/>
      <c r="O317" s="548"/>
      <c r="P317" s="548"/>
      <c r="Q317" s="548"/>
      <c r="R317" s="548"/>
      <c r="S317" s="548"/>
      <c r="T317" s="548"/>
      <c r="U317" s="548"/>
      <c r="V317" s="548"/>
      <c r="W317" s="548"/>
      <c r="X317" s="548"/>
      <c r="Y317" s="548"/>
      <c r="Z317" s="548"/>
      <c r="AA317" s="548"/>
      <c r="AB317" s="548"/>
      <c r="AC317" s="548"/>
      <c r="AD317" s="548"/>
      <c r="AE317" s="548"/>
      <c r="AF317" s="548"/>
      <c r="AG317" s="548"/>
      <c r="AH317" s="548"/>
      <c r="AI317" s="548"/>
      <c r="AJ317" s="548"/>
      <c r="AK317" s="548"/>
      <c r="AL317" s="548"/>
      <c r="AM317" s="548"/>
      <c r="AN317" s="548"/>
      <c r="AO317" s="548"/>
    </row>
    <row r="318">
      <c r="B318" s="847" t="s">
        <v>1396</v>
      </c>
      <c r="G318" s="548"/>
      <c r="H318" s="548"/>
      <c r="I318" s="548"/>
      <c r="J318" s="548"/>
      <c r="K318" s="548"/>
      <c r="L318" s="548"/>
      <c r="M318" s="548"/>
      <c r="N318" s="548"/>
      <c r="O318" s="548"/>
      <c r="P318" s="548"/>
      <c r="Q318" s="548"/>
      <c r="R318" s="548"/>
      <c r="S318" s="548"/>
      <c r="T318" s="548"/>
      <c r="U318" s="548"/>
      <c r="V318" s="548"/>
      <c r="W318" s="548"/>
      <c r="X318" s="548"/>
      <c r="Y318" s="548"/>
      <c r="Z318" s="548"/>
      <c r="AA318" s="548"/>
      <c r="AB318" s="548"/>
      <c r="AC318" s="548"/>
      <c r="AD318" s="548"/>
      <c r="AE318" s="548"/>
      <c r="AF318" s="548"/>
      <c r="AG318" s="548"/>
      <c r="AH318" s="548"/>
      <c r="AI318" s="548"/>
      <c r="AJ318" s="548"/>
      <c r="AK318" s="548"/>
      <c r="AL318" s="548"/>
      <c r="AM318" s="548"/>
      <c r="AN318" s="548"/>
      <c r="AO318" s="548"/>
    </row>
    <row r="319">
      <c r="B319" s="847" t="s">
        <v>1397</v>
      </c>
      <c r="G319" s="548"/>
      <c r="H319" s="548"/>
      <c r="I319" s="548"/>
      <c r="J319" s="548"/>
      <c r="K319" s="548"/>
      <c r="L319" s="548"/>
      <c r="M319" s="548"/>
      <c r="N319" s="548"/>
      <c r="O319" s="548"/>
      <c r="P319" s="548"/>
      <c r="Q319" s="548"/>
      <c r="R319" s="548"/>
      <c r="S319" s="548"/>
      <c r="T319" s="548"/>
      <c r="U319" s="548"/>
      <c r="V319" s="548"/>
      <c r="W319" s="548"/>
      <c r="X319" s="548"/>
      <c r="Y319" s="548"/>
      <c r="Z319" s="548"/>
      <c r="AA319" s="548"/>
      <c r="AB319" s="548"/>
      <c r="AC319" s="548"/>
      <c r="AD319" s="548"/>
      <c r="AE319" s="548"/>
      <c r="AF319" s="548"/>
      <c r="AG319" s="548"/>
      <c r="AH319" s="548"/>
      <c r="AI319" s="548"/>
      <c r="AJ319" s="548"/>
      <c r="AK319" s="548"/>
      <c r="AL319" s="548"/>
      <c r="AM319" s="548"/>
      <c r="AN319" s="548"/>
      <c r="AO319" s="548"/>
    </row>
    <row r="320">
      <c r="A320" s="845" t="s">
        <v>1411</v>
      </c>
      <c r="B320" s="846" t="s">
        <v>1389</v>
      </c>
      <c r="G320" s="548"/>
      <c r="H320" s="548"/>
      <c r="I320" s="548"/>
      <c r="J320" s="548"/>
      <c r="K320" s="548"/>
      <c r="L320" s="548"/>
      <c r="M320" s="548"/>
      <c r="N320" s="548"/>
      <c r="O320" s="548"/>
      <c r="P320" s="548"/>
      <c r="Q320" s="548"/>
      <c r="R320" s="548"/>
      <c r="S320" s="548"/>
      <c r="T320" s="548"/>
      <c r="U320" s="548"/>
      <c r="V320" s="548"/>
      <c r="W320" s="548"/>
      <c r="X320" s="548"/>
      <c r="Y320" s="548"/>
      <c r="Z320" s="548"/>
      <c r="AA320" s="548"/>
      <c r="AB320" s="548"/>
      <c r="AC320" s="548"/>
      <c r="AD320" s="548"/>
      <c r="AE320" s="548"/>
      <c r="AF320" s="548"/>
      <c r="AG320" s="548"/>
      <c r="AH320" s="548"/>
      <c r="AI320" s="548"/>
      <c r="AJ320" s="548"/>
      <c r="AK320" s="548"/>
      <c r="AL320" s="548"/>
      <c r="AM320" s="548"/>
      <c r="AN320" s="548"/>
      <c r="AO320" s="548"/>
    </row>
    <row r="321">
      <c r="B321" s="847" t="s">
        <v>1390</v>
      </c>
      <c r="G321" s="548"/>
      <c r="H321" s="548"/>
      <c r="I321" s="548"/>
      <c r="J321" s="548"/>
      <c r="K321" s="548"/>
      <c r="L321" s="548"/>
      <c r="M321" s="548"/>
      <c r="N321" s="548"/>
      <c r="O321" s="548"/>
      <c r="P321" s="548"/>
      <c r="Q321" s="548"/>
      <c r="R321" s="548"/>
      <c r="S321" s="548"/>
      <c r="T321" s="548"/>
      <c r="U321" s="548"/>
      <c r="V321" s="548"/>
      <c r="W321" s="548"/>
      <c r="X321" s="548"/>
      <c r="Y321" s="548"/>
      <c r="Z321" s="548"/>
      <c r="AA321" s="548"/>
      <c r="AB321" s="548"/>
      <c r="AC321" s="548"/>
      <c r="AD321" s="548"/>
      <c r="AE321" s="548"/>
      <c r="AF321" s="548"/>
      <c r="AG321" s="548"/>
      <c r="AH321" s="548"/>
      <c r="AI321" s="548"/>
      <c r="AJ321" s="548"/>
      <c r="AK321" s="548"/>
      <c r="AL321" s="548"/>
      <c r="AM321" s="548"/>
      <c r="AN321" s="548"/>
      <c r="AO321" s="548"/>
    </row>
    <row r="322">
      <c r="B322" s="847" t="s">
        <v>1391</v>
      </c>
      <c r="G322" s="548"/>
      <c r="H322" s="548"/>
      <c r="I322" s="548"/>
      <c r="J322" s="548"/>
      <c r="K322" s="548"/>
      <c r="L322" s="548"/>
      <c r="M322" s="548"/>
      <c r="N322" s="548"/>
      <c r="O322" s="548"/>
      <c r="P322" s="548"/>
      <c r="Q322" s="548"/>
      <c r="R322" s="548"/>
      <c r="S322" s="548"/>
      <c r="T322" s="548"/>
      <c r="U322" s="548"/>
      <c r="V322" s="548"/>
      <c r="W322" s="548"/>
      <c r="X322" s="548"/>
      <c r="Y322" s="548"/>
      <c r="Z322" s="548"/>
      <c r="AA322" s="548"/>
      <c r="AB322" s="548"/>
      <c r="AC322" s="548"/>
      <c r="AD322" s="548"/>
      <c r="AE322" s="548"/>
      <c r="AF322" s="548"/>
      <c r="AG322" s="548"/>
      <c r="AH322" s="548"/>
      <c r="AI322" s="548"/>
      <c r="AJ322" s="548"/>
      <c r="AK322" s="548"/>
      <c r="AL322" s="548"/>
      <c r="AM322" s="548"/>
      <c r="AN322" s="548"/>
      <c r="AO322" s="548"/>
    </row>
    <row r="323">
      <c r="B323" s="847" t="s">
        <v>1392</v>
      </c>
      <c r="G323" s="548"/>
      <c r="H323" s="548"/>
      <c r="I323" s="548"/>
      <c r="J323" s="548"/>
      <c r="K323" s="548"/>
      <c r="L323" s="548"/>
      <c r="M323" s="548"/>
      <c r="N323" s="548"/>
      <c r="O323" s="548"/>
      <c r="P323" s="548"/>
      <c r="Q323" s="548"/>
      <c r="R323" s="548"/>
      <c r="S323" s="548"/>
      <c r="T323" s="548"/>
      <c r="U323" s="548"/>
      <c r="V323" s="548"/>
      <c r="W323" s="548"/>
      <c r="X323" s="548"/>
      <c r="Y323" s="548"/>
      <c r="Z323" s="548"/>
      <c r="AA323" s="548"/>
      <c r="AB323" s="548"/>
      <c r="AC323" s="548"/>
      <c r="AD323" s="548"/>
      <c r="AE323" s="548"/>
      <c r="AF323" s="548"/>
      <c r="AG323" s="548"/>
      <c r="AH323" s="548"/>
      <c r="AI323" s="548"/>
      <c r="AJ323" s="548"/>
      <c r="AK323" s="548"/>
      <c r="AL323" s="548"/>
      <c r="AM323" s="548"/>
      <c r="AN323" s="548"/>
      <c r="AO323" s="548"/>
    </row>
    <row r="324">
      <c r="B324" s="850" t="s">
        <v>1393</v>
      </c>
      <c r="G324" s="548"/>
      <c r="H324" s="548"/>
      <c r="I324" s="548"/>
      <c r="J324" s="548"/>
      <c r="K324" s="548"/>
      <c r="L324" s="548"/>
      <c r="M324" s="548"/>
      <c r="N324" s="548"/>
      <c r="O324" s="548"/>
      <c r="P324" s="548"/>
      <c r="Q324" s="548"/>
      <c r="R324" s="548"/>
      <c r="S324" s="548"/>
      <c r="T324" s="548"/>
      <c r="U324" s="548"/>
      <c r="V324" s="548"/>
      <c r="W324" s="548"/>
      <c r="X324" s="548"/>
      <c r="Y324" s="548"/>
      <c r="Z324" s="548"/>
      <c r="AA324" s="548"/>
      <c r="AB324" s="548"/>
      <c r="AC324" s="548"/>
      <c r="AD324" s="548"/>
      <c r="AE324" s="548"/>
      <c r="AF324" s="548"/>
      <c r="AG324" s="548"/>
      <c r="AH324" s="548"/>
      <c r="AI324" s="548"/>
      <c r="AJ324" s="548"/>
      <c r="AK324" s="548"/>
      <c r="AL324" s="548"/>
      <c r="AM324" s="548"/>
      <c r="AN324" s="548"/>
      <c r="AO324" s="548"/>
    </row>
    <row r="325">
      <c r="B325" s="850" t="s">
        <v>1394</v>
      </c>
      <c r="G325" s="548"/>
      <c r="H325" s="548"/>
      <c r="I325" s="548"/>
      <c r="J325" s="548"/>
      <c r="K325" s="548"/>
      <c r="L325" s="548"/>
      <c r="M325" s="548"/>
      <c r="N325" s="548"/>
      <c r="O325" s="548"/>
      <c r="P325" s="548"/>
      <c r="Q325" s="548"/>
      <c r="R325" s="548"/>
      <c r="S325" s="548"/>
      <c r="T325" s="548"/>
      <c r="U325" s="548"/>
      <c r="V325" s="548"/>
      <c r="W325" s="548"/>
      <c r="X325" s="548"/>
      <c r="Y325" s="548"/>
      <c r="Z325" s="548"/>
      <c r="AA325" s="548"/>
      <c r="AB325" s="548"/>
      <c r="AC325" s="548"/>
      <c r="AD325" s="548"/>
      <c r="AE325" s="548"/>
      <c r="AF325" s="548"/>
      <c r="AG325" s="548"/>
      <c r="AH325" s="548"/>
      <c r="AI325" s="548"/>
      <c r="AJ325" s="548"/>
      <c r="AK325" s="548"/>
      <c r="AL325" s="548"/>
      <c r="AM325" s="548"/>
      <c r="AN325" s="548"/>
      <c r="AO325" s="548"/>
    </row>
    <row r="326">
      <c r="B326" s="847" t="s">
        <v>1395</v>
      </c>
      <c r="G326" s="548"/>
      <c r="H326" s="548"/>
      <c r="I326" s="548"/>
      <c r="J326" s="548"/>
      <c r="K326" s="548"/>
      <c r="L326" s="548"/>
      <c r="M326" s="548"/>
      <c r="N326" s="548"/>
      <c r="O326" s="548"/>
      <c r="P326" s="548"/>
      <c r="Q326" s="548"/>
      <c r="R326" s="548"/>
      <c r="S326" s="548"/>
      <c r="T326" s="548"/>
      <c r="U326" s="548"/>
      <c r="V326" s="548"/>
      <c r="W326" s="548"/>
      <c r="X326" s="548"/>
      <c r="Y326" s="548"/>
      <c r="Z326" s="548"/>
      <c r="AA326" s="548"/>
      <c r="AB326" s="548"/>
      <c r="AC326" s="548"/>
      <c r="AD326" s="548"/>
      <c r="AE326" s="548"/>
      <c r="AF326" s="548"/>
      <c r="AG326" s="548"/>
      <c r="AH326" s="548"/>
      <c r="AI326" s="548"/>
      <c r="AJ326" s="548"/>
      <c r="AK326" s="548"/>
      <c r="AL326" s="548"/>
      <c r="AM326" s="548"/>
      <c r="AN326" s="548"/>
      <c r="AO326" s="548"/>
    </row>
    <row r="327">
      <c r="B327" s="847" t="s">
        <v>1396</v>
      </c>
      <c r="G327" s="548"/>
      <c r="H327" s="548"/>
      <c r="I327" s="548"/>
      <c r="J327" s="548"/>
      <c r="K327" s="548"/>
      <c r="L327" s="548"/>
      <c r="M327" s="548"/>
      <c r="N327" s="548"/>
      <c r="O327" s="548"/>
      <c r="P327" s="548"/>
      <c r="Q327" s="548"/>
      <c r="R327" s="548"/>
      <c r="S327" s="548"/>
      <c r="T327" s="548"/>
      <c r="U327" s="548"/>
      <c r="V327" s="548"/>
      <c r="W327" s="548"/>
      <c r="X327" s="548"/>
      <c r="Y327" s="548"/>
      <c r="Z327" s="548"/>
      <c r="AA327" s="548"/>
      <c r="AB327" s="548"/>
      <c r="AC327" s="548"/>
      <c r="AD327" s="548"/>
      <c r="AE327" s="548"/>
      <c r="AF327" s="548"/>
      <c r="AG327" s="548"/>
      <c r="AH327" s="548"/>
      <c r="AI327" s="548"/>
      <c r="AJ327" s="548"/>
      <c r="AK327" s="548"/>
      <c r="AL327" s="548"/>
      <c r="AM327" s="548"/>
      <c r="AN327" s="548"/>
      <c r="AO327" s="548"/>
    </row>
    <row r="328">
      <c r="B328" s="847" t="s">
        <v>1397</v>
      </c>
      <c r="G328" s="548"/>
      <c r="H328" s="548"/>
      <c r="I328" s="548"/>
      <c r="J328" s="548"/>
      <c r="K328" s="548"/>
      <c r="L328" s="548"/>
      <c r="M328" s="548"/>
      <c r="N328" s="548"/>
      <c r="O328" s="548"/>
      <c r="P328" s="548"/>
      <c r="Q328" s="548"/>
      <c r="R328" s="548"/>
      <c r="S328" s="548"/>
      <c r="T328" s="548"/>
      <c r="U328" s="548"/>
      <c r="V328" s="548"/>
      <c r="W328" s="548"/>
      <c r="X328" s="548"/>
      <c r="Y328" s="548"/>
      <c r="Z328" s="548"/>
      <c r="AA328" s="548"/>
      <c r="AB328" s="548"/>
      <c r="AC328" s="548"/>
      <c r="AD328" s="548"/>
      <c r="AE328" s="548"/>
      <c r="AF328" s="548"/>
      <c r="AG328" s="548"/>
      <c r="AH328" s="548"/>
      <c r="AI328" s="548"/>
      <c r="AJ328" s="548"/>
      <c r="AK328" s="548"/>
      <c r="AL328" s="548"/>
      <c r="AM328" s="548"/>
      <c r="AN328" s="548"/>
      <c r="AO328" s="548"/>
    </row>
    <row r="329">
      <c r="A329" s="845" t="s">
        <v>1412</v>
      </c>
      <c r="B329" s="846" t="s">
        <v>1389</v>
      </c>
      <c r="G329" s="548"/>
      <c r="H329" s="548"/>
      <c r="I329" s="548"/>
      <c r="J329" s="548"/>
      <c r="K329" s="548"/>
      <c r="L329" s="548"/>
      <c r="M329" s="548"/>
      <c r="N329" s="548"/>
      <c r="O329" s="548"/>
      <c r="P329" s="548"/>
      <c r="Q329" s="548"/>
      <c r="R329" s="548"/>
      <c r="S329" s="548"/>
      <c r="T329" s="548"/>
      <c r="U329" s="548"/>
      <c r="V329" s="548"/>
      <c r="W329" s="548"/>
      <c r="X329" s="548"/>
      <c r="Y329" s="548"/>
      <c r="Z329" s="548"/>
      <c r="AA329" s="548"/>
      <c r="AB329" s="548"/>
      <c r="AC329" s="548"/>
      <c r="AD329" s="548"/>
      <c r="AE329" s="548"/>
      <c r="AF329" s="548"/>
      <c r="AG329" s="548"/>
      <c r="AH329" s="548"/>
      <c r="AI329" s="548"/>
      <c r="AJ329" s="548"/>
      <c r="AK329" s="548"/>
      <c r="AL329" s="548"/>
      <c r="AM329" s="548"/>
      <c r="AN329" s="548"/>
      <c r="AO329" s="548"/>
    </row>
    <row r="330">
      <c r="B330" s="847" t="s">
        <v>1390</v>
      </c>
      <c r="G330" s="548"/>
      <c r="H330" s="548"/>
      <c r="I330" s="548"/>
      <c r="J330" s="548"/>
      <c r="K330" s="548"/>
      <c r="L330" s="548"/>
      <c r="M330" s="548"/>
      <c r="N330" s="548"/>
      <c r="O330" s="548"/>
      <c r="P330" s="548"/>
      <c r="Q330" s="548"/>
      <c r="R330" s="548"/>
      <c r="S330" s="548"/>
      <c r="T330" s="548"/>
      <c r="U330" s="548"/>
      <c r="V330" s="548"/>
      <c r="W330" s="548"/>
      <c r="X330" s="548"/>
      <c r="Y330" s="548"/>
      <c r="Z330" s="548"/>
      <c r="AA330" s="548"/>
      <c r="AB330" s="548"/>
      <c r="AC330" s="548"/>
      <c r="AD330" s="548"/>
      <c r="AE330" s="548"/>
      <c r="AF330" s="548"/>
      <c r="AG330" s="548"/>
      <c r="AH330" s="548"/>
      <c r="AI330" s="548"/>
      <c r="AJ330" s="548"/>
      <c r="AK330" s="548"/>
      <c r="AL330" s="548"/>
      <c r="AM330" s="548"/>
      <c r="AN330" s="548"/>
      <c r="AO330" s="548"/>
    </row>
    <row r="331">
      <c r="B331" s="847" t="s">
        <v>1391</v>
      </c>
      <c r="G331" s="548"/>
      <c r="H331" s="548"/>
      <c r="I331" s="548"/>
      <c r="J331" s="548"/>
      <c r="K331" s="548"/>
      <c r="L331" s="548"/>
      <c r="M331" s="548"/>
      <c r="N331" s="548"/>
      <c r="O331" s="548"/>
      <c r="P331" s="548"/>
      <c r="Q331" s="548"/>
      <c r="R331" s="548"/>
      <c r="S331" s="548"/>
      <c r="T331" s="548"/>
      <c r="U331" s="548"/>
      <c r="V331" s="548"/>
      <c r="W331" s="548"/>
      <c r="X331" s="548"/>
      <c r="Y331" s="548"/>
      <c r="Z331" s="548"/>
      <c r="AA331" s="548"/>
      <c r="AB331" s="548"/>
      <c r="AC331" s="548"/>
      <c r="AD331" s="548"/>
      <c r="AE331" s="548"/>
      <c r="AF331" s="548"/>
      <c r="AG331" s="548"/>
      <c r="AH331" s="548"/>
      <c r="AI331" s="548"/>
      <c r="AJ331" s="548"/>
      <c r="AK331" s="548"/>
      <c r="AL331" s="548"/>
      <c r="AM331" s="548"/>
      <c r="AN331" s="548"/>
      <c r="AO331" s="548"/>
    </row>
    <row r="332">
      <c r="B332" s="847" t="s">
        <v>1392</v>
      </c>
      <c r="G332" s="548"/>
      <c r="H332" s="548"/>
      <c r="I332" s="548"/>
      <c r="J332" s="548"/>
      <c r="K332" s="548"/>
      <c r="L332" s="548"/>
      <c r="M332" s="548"/>
      <c r="N332" s="548"/>
      <c r="O332" s="548"/>
      <c r="P332" s="548"/>
      <c r="Q332" s="548"/>
      <c r="R332" s="548"/>
      <c r="S332" s="548"/>
      <c r="T332" s="548"/>
      <c r="U332" s="548"/>
      <c r="V332" s="548"/>
      <c r="W332" s="548"/>
      <c r="X332" s="548"/>
      <c r="Y332" s="548"/>
      <c r="Z332" s="548"/>
      <c r="AA332" s="548"/>
      <c r="AB332" s="548"/>
      <c r="AC332" s="548"/>
      <c r="AD332" s="548"/>
      <c r="AE332" s="548"/>
      <c r="AF332" s="548"/>
      <c r="AG332" s="548"/>
      <c r="AH332" s="548"/>
      <c r="AI332" s="548"/>
      <c r="AJ332" s="548"/>
      <c r="AK332" s="548"/>
      <c r="AL332" s="548"/>
      <c r="AM332" s="548"/>
      <c r="AN332" s="548"/>
      <c r="AO332" s="548"/>
    </row>
    <row r="333">
      <c r="B333" s="850" t="s">
        <v>1393</v>
      </c>
      <c r="G333" s="548"/>
      <c r="H333" s="548"/>
      <c r="I333" s="548"/>
      <c r="J333" s="548"/>
      <c r="K333" s="548"/>
      <c r="L333" s="548"/>
      <c r="M333" s="548"/>
      <c r="N333" s="548"/>
      <c r="O333" s="548"/>
      <c r="P333" s="548"/>
      <c r="Q333" s="548"/>
      <c r="R333" s="548"/>
      <c r="S333" s="548"/>
      <c r="T333" s="548"/>
      <c r="U333" s="548"/>
      <c r="V333" s="548"/>
      <c r="W333" s="548"/>
      <c r="X333" s="548"/>
      <c r="Y333" s="548"/>
      <c r="Z333" s="548"/>
      <c r="AA333" s="548"/>
      <c r="AB333" s="548"/>
      <c r="AC333" s="548"/>
      <c r="AD333" s="548"/>
      <c r="AE333" s="548"/>
      <c r="AF333" s="548"/>
      <c r="AG333" s="548"/>
      <c r="AH333" s="548"/>
      <c r="AI333" s="548"/>
      <c r="AJ333" s="548"/>
      <c r="AK333" s="548"/>
      <c r="AL333" s="548"/>
      <c r="AM333" s="548"/>
      <c r="AN333" s="548"/>
      <c r="AO333" s="548"/>
    </row>
    <row r="334">
      <c r="B334" s="850" t="s">
        <v>1394</v>
      </c>
      <c r="G334" s="548"/>
      <c r="H334" s="548"/>
      <c r="I334" s="548"/>
      <c r="J334" s="548"/>
      <c r="K334" s="548"/>
      <c r="L334" s="548"/>
      <c r="M334" s="548"/>
      <c r="N334" s="548"/>
      <c r="O334" s="548"/>
      <c r="P334" s="548"/>
      <c r="Q334" s="548"/>
      <c r="R334" s="548"/>
      <c r="S334" s="548"/>
      <c r="T334" s="548"/>
      <c r="U334" s="548"/>
      <c r="V334" s="548"/>
      <c r="W334" s="548"/>
      <c r="X334" s="548"/>
      <c r="Y334" s="548"/>
      <c r="Z334" s="548"/>
      <c r="AA334" s="548"/>
      <c r="AB334" s="548"/>
      <c r="AC334" s="548"/>
      <c r="AD334" s="548"/>
      <c r="AE334" s="548"/>
      <c r="AF334" s="548"/>
      <c r="AG334" s="548"/>
      <c r="AH334" s="548"/>
      <c r="AI334" s="548"/>
      <c r="AJ334" s="548"/>
      <c r="AK334" s="548"/>
      <c r="AL334" s="548"/>
      <c r="AM334" s="548"/>
      <c r="AN334" s="548"/>
      <c r="AO334" s="548"/>
    </row>
    <row r="335">
      <c r="B335" s="847" t="s">
        <v>1395</v>
      </c>
      <c r="G335" s="548"/>
      <c r="H335" s="548"/>
      <c r="I335" s="548"/>
      <c r="J335" s="548"/>
      <c r="K335" s="548"/>
      <c r="L335" s="548"/>
      <c r="M335" s="548"/>
      <c r="N335" s="548"/>
      <c r="O335" s="548"/>
      <c r="P335" s="548"/>
      <c r="Q335" s="548"/>
      <c r="R335" s="548"/>
      <c r="S335" s="548"/>
      <c r="T335" s="548"/>
      <c r="U335" s="548"/>
      <c r="V335" s="548"/>
      <c r="W335" s="548"/>
      <c r="X335" s="548"/>
      <c r="Y335" s="548"/>
      <c r="Z335" s="548"/>
      <c r="AA335" s="548"/>
      <c r="AB335" s="548"/>
      <c r="AC335" s="548"/>
      <c r="AD335" s="548"/>
      <c r="AE335" s="548"/>
      <c r="AF335" s="548"/>
      <c r="AG335" s="548"/>
      <c r="AH335" s="548"/>
      <c r="AI335" s="548"/>
      <c r="AJ335" s="548"/>
      <c r="AK335" s="548"/>
      <c r="AL335" s="548"/>
      <c r="AM335" s="548"/>
      <c r="AN335" s="548"/>
      <c r="AO335" s="548"/>
    </row>
    <row r="336">
      <c r="B336" s="847" t="s">
        <v>1396</v>
      </c>
      <c r="G336" s="548"/>
      <c r="H336" s="548"/>
      <c r="I336" s="548"/>
      <c r="J336" s="548"/>
      <c r="K336" s="548"/>
      <c r="L336" s="548"/>
      <c r="M336" s="548"/>
      <c r="N336" s="548"/>
      <c r="O336" s="548"/>
      <c r="P336" s="548"/>
      <c r="Q336" s="548"/>
      <c r="R336" s="548"/>
      <c r="S336" s="548"/>
      <c r="T336" s="548"/>
      <c r="U336" s="548"/>
      <c r="V336" s="548"/>
      <c r="W336" s="548"/>
      <c r="X336" s="548"/>
      <c r="Y336" s="548"/>
      <c r="Z336" s="548"/>
      <c r="AA336" s="548"/>
      <c r="AB336" s="548"/>
      <c r="AC336" s="548"/>
      <c r="AD336" s="548"/>
      <c r="AE336" s="548"/>
      <c r="AF336" s="548"/>
      <c r="AG336" s="548"/>
      <c r="AH336" s="548"/>
      <c r="AI336" s="548"/>
      <c r="AJ336" s="548"/>
      <c r="AK336" s="548"/>
      <c r="AL336" s="548"/>
      <c r="AM336" s="548"/>
      <c r="AN336" s="548"/>
      <c r="AO336" s="548"/>
    </row>
    <row r="337">
      <c r="B337" s="847" t="s">
        <v>1397</v>
      </c>
      <c r="G337" s="548"/>
      <c r="H337" s="548"/>
      <c r="I337" s="548"/>
      <c r="J337" s="548"/>
      <c r="K337" s="548"/>
      <c r="L337" s="548"/>
      <c r="M337" s="548"/>
      <c r="N337" s="548"/>
      <c r="O337" s="548"/>
      <c r="P337" s="548"/>
      <c r="Q337" s="548"/>
      <c r="R337" s="548"/>
      <c r="S337" s="548"/>
      <c r="T337" s="548"/>
      <c r="U337" s="548"/>
      <c r="V337" s="548"/>
      <c r="W337" s="548"/>
      <c r="X337" s="548"/>
      <c r="Y337" s="548"/>
      <c r="Z337" s="548"/>
      <c r="AA337" s="548"/>
      <c r="AB337" s="548"/>
      <c r="AC337" s="548"/>
      <c r="AD337" s="548"/>
      <c r="AE337" s="548"/>
      <c r="AF337" s="548"/>
      <c r="AG337" s="548"/>
      <c r="AH337" s="548"/>
      <c r="AI337" s="548"/>
      <c r="AJ337" s="548"/>
      <c r="AK337" s="548"/>
      <c r="AL337" s="548"/>
      <c r="AM337" s="548"/>
      <c r="AN337" s="548"/>
      <c r="AO337" s="548"/>
    </row>
    <row r="338">
      <c r="G338" s="548"/>
      <c r="H338" s="548"/>
      <c r="I338" s="548"/>
      <c r="J338" s="548"/>
      <c r="K338" s="548"/>
      <c r="L338" s="548"/>
      <c r="M338" s="548"/>
      <c r="N338" s="548"/>
      <c r="O338" s="548"/>
      <c r="P338" s="548"/>
      <c r="Q338" s="548"/>
      <c r="R338" s="548"/>
      <c r="S338" s="548"/>
      <c r="T338" s="548"/>
      <c r="U338" s="548"/>
      <c r="V338" s="548"/>
      <c r="W338" s="548"/>
      <c r="X338" s="548"/>
      <c r="Y338" s="548"/>
      <c r="Z338" s="548"/>
      <c r="AA338" s="548"/>
      <c r="AB338" s="548"/>
      <c r="AC338" s="548"/>
      <c r="AD338" s="548"/>
      <c r="AE338" s="548"/>
      <c r="AF338" s="548"/>
      <c r="AG338" s="548"/>
      <c r="AH338" s="548"/>
      <c r="AI338" s="548"/>
      <c r="AJ338" s="548"/>
      <c r="AK338" s="548"/>
      <c r="AL338" s="548"/>
      <c r="AM338" s="548"/>
      <c r="AN338" s="548"/>
      <c r="AO338" s="548"/>
    </row>
    <row r="339">
      <c r="G339" s="548"/>
      <c r="H339" s="548"/>
      <c r="I339" s="548"/>
      <c r="J339" s="548"/>
      <c r="K339" s="548"/>
      <c r="L339" s="548"/>
      <c r="M339" s="548"/>
      <c r="N339" s="548"/>
      <c r="O339" s="548"/>
      <c r="P339" s="548"/>
      <c r="Q339" s="548"/>
      <c r="R339" s="548"/>
      <c r="S339" s="548"/>
      <c r="T339" s="548"/>
      <c r="U339" s="548"/>
      <c r="V339" s="548"/>
      <c r="W339" s="548"/>
      <c r="X339" s="548"/>
      <c r="Y339" s="548"/>
      <c r="Z339" s="548"/>
      <c r="AA339" s="548"/>
      <c r="AB339" s="548"/>
      <c r="AC339" s="548"/>
      <c r="AD339" s="548"/>
      <c r="AE339" s="548"/>
      <c r="AF339" s="548"/>
      <c r="AG339" s="548"/>
      <c r="AH339" s="548"/>
      <c r="AI339" s="548"/>
      <c r="AJ339" s="548"/>
      <c r="AK339" s="548"/>
      <c r="AL339" s="548"/>
      <c r="AM339" s="548"/>
      <c r="AN339" s="548"/>
      <c r="AO339" s="548"/>
    </row>
    <row r="340">
      <c r="G340" s="548"/>
      <c r="H340" s="548"/>
      <c r="I340" s="548"/>
      <c r="J340" s="548"/>
      <c r="K340" s="548"/>
      <c r="L340" s="548"/>
      <c r="M340" s="548"/>
      <c r="N340" s="548"/>
      <c r="O340" s="548"/>
      <c r="P340" s="548"/>
      <c r="Q340" s="548"/>
      <c r="R340" s="548"/>
      <c r="S340" s="548"/>
      <c r="T340" s="548"/>
      <c r="U340" s="548"/>
      <c r="V340" s="548"/>
      <c r="W340" s="548"/>
      <c r="X340" s="548"/>
      <c r="Y340" s="548"/>
      <c r="Z340" s="548"/>
      <c r="AA340" s="548"/>
      <c r="AB340" s="548"/>
      <c r="AC340" s="548"/>
      <c r="AD340" s="548"/>
      <c r="AE340" s="548"/>
      <c r="AF340" s="548"/>
      <c r="AG340" s="548"/>
      <c r="AH340" s="548"/>
      <c r="AI340" s="548"/>
      <c r="AJ340" s="548"/>
      <c r="AK340" s="548"/>
      <c r="AL340" s="548"/>
      <c r="AM340" s="548"/>
      <c r="AN340" s="548"/>
      <c r="AO340" s="548"/>
    </row>
    <row r="341">
      <c r="G341" s="548"/>
      <c r="H341" s="548"/>
      <c r="I341" s="548"/>
      <c r="J341" s="548"/>
      <c r="K341" s="548"/>
      <c r="L341" s="548"/>
      <c r="M341" s="548"/>
      <c r="N341" s="548"/>
      <c r="O341" s="548"/>
      <c r="P341" s="548"/>
      <c r="Q341" s="548"/>
      <c r="R341" s="548"/>
      <c r="S341" s="548"/>
      <c r="T341" s="548"/>
      <c r="U341" s="548"/>
      <c r="V341" s="548"/>
      <c r="W341" s="548"/>
      <c r="X341" s="548"/>
      <c r="Y341" s="548"/>
      <c r="Z341" s="548"/>
      <c r="AA341" s="548"/>
      <c r="AB341" s="548"/>
      <c r="AC341" s="548"/>
      <c r="AD341" s="548"/>
      <c r="AE341" s="548"/>
      <c r="AF341" s="548"/>
      <c r="AG341" s="548"/>
      <c r="AH341" s="548"/>
      <c r="AI341" s="548"/>
      <c r="AJ341" s="548"/>
      <c r="AK341" s="548"/>
      <c r="AL341" s="548"/>
      <c r="AM341" s="548"/>
      <c r="AN341" s="548"/>
      <c r="AO341" s="548"/>
    </row>
    <row r="342">
      <c r="G342" s="548"/>
      <c r="H342" s="548"/>
      <c r="I342" s="548"/>
      <c r="J342" s="548"/>
      <c r="K342" s="548"/>
      <c r="L342" s="548"/>
      <c r="M342" s="548"/>
      <c r="N342" s="548"/>
      <c r="O342" s="548"/>
      <c r="P342" s="548"/>
      <c r="Q342" s="548"/>
      <c r="R342" s="548"/>
      <c r="S342" s="548"/>
      <c r="T342" s="548"/>
      <c r="U342" s="548"/>
      <c r="V342" s="548"/>
      <c r="W342" s="548"/>
      <c r="X342" s="548"/>
      <c r="Y342" s="548"/>
      <c r="Z342" s="548"/>
      <c r="AA342" s="548"/>
      <c r="AB342" s="548"/>
      <c r="AC342" s="548"/>
      <c r="AD342" s="548"/>
      <c r="AE342" s="548"/>
      <c r="AF342" s="548"/>
      <c r="AG342" s="548"/>
      <c r="AH342" s="548"/>
      <c r="AI342" s="548"/>
      <c r="AJ342" s="548"/>
      <c r="AK342" s="548"/>
      <c r="AL342" s="548"/>
      <c r="AM342" s="548"/>
      <c r="AN342" s="548"/>
      <c r="AO342" s="548"/>
    </row>
    <row r="343">
      <c r="G343" s="548"/>
      <c r="H343" s="548"/>
      <c r="I343" s="548"/>
      <c r="J343" s="548"/>
      <c r="K343" s="548"/>
      <c r="L343" s="548"/>
      <c r="M343" s="548"/>
      <c r="N343" s="548"/>
      <c r="O343" s="548"/>
      <c r="P343" s="548"/>
      <c r="Q343" s="548"/>
      <c r="R343" s="548"/>
      <c r="S343" s="548"/>
      <c r="T343" s="548"/>
      <c r="U343" s="548"/>
      <c r="V343" s="548"/>
      <c r="W343" s="548"/>
      <c r="X343" s="548"/>
      <c r="Y343" s="548"/>
      <c r="Z343" s="548"/>
      <c r="AA343" s="548"/>
      <c r="AB343" s="548"/>
      <c r="AC343" s="548"/>
      <c r="AD343" s="548"/>
      <c r="AE343" s="548"/>
      <c r="AF343" s="548"/>
      <c r="AG343" s="548"/>
      <c r="AH343" s="548"/>
      <c r="AI343" s="548"/>
      <c r="AJ343" s="548"/>
      <c r="AK343" s="548"/>
      <c r="AL343" s="548"/>
      <c r="AM343" s="548"/>
      <c r="AN343" s="548"/>
      <c r="AO343" s="548"/>
    </row>
    <row r="344">
      <c r="G344" s="548"/>
      <c r="H344" s="548"/>
      <c r="I344" s="548"/>
      <c r="J344" s="548"/>
      <c r="K344" s="548"/>
      <c r="L344" s="548"/>
      <c r="M344" s="548"/>
      <c r="N344" s="548"/>
      <c r="O344" s="548"/>
      <c r="P344" s="548"/>
      <c r="Q344" s="548"/>
      <c r="R344" s="548"/>
      <c r="S344" s="548"/>
      <c r="T344" s="548"/>
      <c r="U344" s="548"/>
      <c r="V344" s="548"/>
      <c r="W344" s="548"/>
      <c r="X344" s="548"/>
      <c r="Y344" s="548"/>
      <c r="Z344" s="548"/>
      <c r="AA344" s="548"/>
      <c r="AB344" s="548"/>
      <c r="AC344" s="548"/>
      <c r="AD344" s="548"/>
      <c r="AE344" s="548"/>
      <c r="AF344" s="548"/>
      <c r="AG344" s="548"/>
      <c r="AH344" s="548"/>
      <c r="AI344" s="548"/>
      <c r="AJ344" s="548"/>
      <c r="AK344" s="548"/>
      <c r="AL344" s="548"/>
      <c r="AM344" s="548"/>
      <c r="AN344" s="548"/>
      <c r="AO344" s="548"/>
    </row>
    <row r="345">
      <c r="G345" s="548"/>
      <c r="H345" s="548"/>
      <c r="I345" s="548"/>
      <c r="J345" s="548"/>
      <c r="K345" s="548"/>
      <c r="L345" s="548"/>
      <c r="M345" s="548"/>
      <c r="N345" s="548"/>
      <c r="O345" s="548"/>
      <c r="P345" s="548"/>
      <c r="Q345" s="548"/>
      <c r="R345" s="548"/>
      <c r="S345" s="548"/>
      <c r="T345" s="548"/>
      <c r="U345" s="548"/>
      <c r="V345" s="548"/>
      <c r="W345" s="548"/>
      <c r="X345" s="548"/>
      <c r="Y345" s="548"/>
      <c r="Z345" s="548"/>
      <c r="AA345" s="548"/>
      <c r="AB345" s="548"/>
      <c r="AC345" s="548"/>
      <c r="AD345" s="548"/>
      <c r="AE345" s="548"/>
      <c r="AF345" s="548"/>
      <c r="AG345" s="548"/>
      <c r="AH345" s="548"/>
      <c r="AI345" s="548"/>
      <c r="AJ345" s="548"/>
      <c r="AK345" s="548"/>
      <c r="AL345" s="548"/>
      <c r="AM345" s="548"/>
      <c r="AN345" s="548"/>
      <c r="AO345" s="548"/>
    </row>
    <row r="346">
      <c r="G346" s="548"/>
      <c r="H346" s="548"/>
      <c r="I346" s="548"/>
      <c r="J346" s="548"/>
      <c r="K346" s="548"/>
      <c r="L346" s="548"/>
      <c r="M346" s="548"/>
      <c r="N346" s="548"/>
      <c r="O346" s="548"/>
      <c r="P346" s="548"/>
      <c r="Q346" s="548"/>
      <c r="R346" s="548"/>
      <c r="S346" s="548"/>
      <c r="T346" s="548"/>
      <c r="U346" s="548"/>
      <c r="V346" s="548"/>
      <c r="W346" s="548"/>
      <c r="X346" s="548"/>
      <c r="Y346" s="548"/>
      <c r="Z346" s="548"/>
      <c r="AA346" s="548"/>
      <c r="AB346" s="548"/>
      <c r="AC346" s="548"/>
      <c r="AD346" s="548"/>
      <c r="AE346" s="548"/>
      <c r="AF346" s="548"/>
      <c r="AG346" s="548"/>
      <c r="AH346" s="548"/>
      <c r="AI346" s="548"/>
      <c r="AJ346" s="548"/>
      <c r="AK346" s="548"/>
      <c r="AL346" s="548"/>
      <c r="AM346" s="548"/>
      <c r="AN346" s="548"/>
      <c r="AO346" s="548"/>
    </row>
    <row r="347">
      <c r="G347" s="548"/>
      <c r="H347" s="548"/>
      <c r="I347" s="548"/>
      <c r="J347" s="548"/>
      <c r="K347" s="548"/>
      <c r="L347" s="548"/>
      <c r="M347" s="548"/>
      <c r="N347" s="548"/>
      <c r="O347" s="548"/>
      <c r="P347" s="548"/>
      <c r="Q347" s="548"/>
      <c r="R347" s="548"/>
      <c r="S347" s="548"/>
      <c r="T347" s="548"/>
      <c r="U347" s="548"/>
      <c r="V347" s="548"/>
      <c r="W347" s="548"/>
      <c r="X347" s="548"/>
      <c r="Y347" s="548"/>
      <c r="Z347" s="548"/>
      <c r="AA347" s="548"/>
      <c r="AB347" s="548"/>
      <c r="AC347" s="548"/>
      <c r="AD347" s="548"/>
      <c r="AE347" s="548"/>
      <c r="AF347" s="548"/>
      <c r="AG347" s="548"/>
      <c r="AH347" s="548"/>
      <c r="AI347" s="548"/>
      <c r="AJ347" s="548"/>
      <c r="AK347" s="548"/>
      <c r="AL347" s="548"/>
      <c r="AM347" s="548"/>
      <c r="AN347" s="548"/>
      <c r="AO347" s="548"/>
    </row>
    <row r="348">
      <c r="G348" s="548"/>
      <c r="H348" s="548"/>
      <c r="I348" s="548"/>
      <c r="J348" s="548"/>
      <c r="K348" s="548"/>
      <c r="L348" s="548"/>
      <c r="M348" s="548"/>
      <c r="N348" s="548"/>
      <c r="O348" s="548"/>
      <c r="P348" s="548"/>
      <c r="Q348" s="548"/>
      <c r="R348" s="548"/>
      <c r="S348" s="548"/>
      <c r="T348" s="548"/>
      <c r="U348" s="548"/>
      <c r="V348" s="548"/>
      <c r="W348" s="548"/>
      <c r="X348" s="548"/>
      <c r="Y348" s="548"/>
      <c r="Z348" s="548"/>
      <c r="AA348" s="548"/>
      <c r="AB348" s="548"/>
      <c r="AC348" s="548"/>
      <c r="AD348" s="548"/>
      <c r="AE348" s="548"/>
      <c r="AF348" s="548"/>
      <c r="AG348" s="548"/>
      <c r="AH348" s="548"/>
      <c r="AI348" s="548"/>
      <c r="AJ348" s="548"/>
      <c r="AK348" s="548"/>
      <c r="AL348" s="548"/>
      <c r="AM348" s="548"/>
      <c r="AN348" s="548"/>
      <c r="AO348" s="548"/>
    </row>
    <row r="349">
      <c r="G349" s="548"/>
      <c r="H349" s="548"/>
      <c r="I349" s="548"/>
      <c r="J349" s="548"/>
      <c r="K349" s="548"/>
      <c r="L349" s="548"/>
      <c r="M349" s="548"/>
      <c r="N349" s="548"/>
      <c r="O349" s="548"/>
      <c r="P349" s="548"/>
      <c r="Q349" s="548"/>
      <c r="R349" s="548"/>
      <c r="S349" s="548"/>
      <c r="T349" s="548"/>
      <c r="U349" s="548"/>
      <c r="V349" s="548"/>
      <c r="W349" s="548"/>
      <c r="X349" s="548"/>
      <c r="Y349" s="548"/>
      <c r="Z349" s="548"/>
      <c r="AA349" s="548"/>
      <c r="AB349" s="548"/>
      <c r="AC349" s="548"/>
      <c r="AD349" s="548"/>
      <c r="AE349" s="548"/>
      <c r="AF349" s="548"/>
      <c r="AG349" s="548"/>
      <c r="AH349" s="548"/>
      <c r="AI349" s="548"/>
      <c r="AJ349" s="548"/>
      <c r="AK349" s="548"/>
      <c r="AL349" s="548"/>
      <c r="AM349" s="548"/>
      <c r="AN349" s="548"/>
      <c r="AO349" s="548"/>
    </row>
    <row r="350">
      <c r="G350" s="548"/>
      <c r="H350" s="548"/>
      <c r="I350" s="548"/>
      <c r="J350" s="548"/>
      <c r="K350" s="548"/>
      <c r="L350" s="548"/>
      <c r="M350" s="548"/>
      <c r="N350" s="548"/>
      <c r="O350" s="548"/>
      <c r="P350" s="548"/>
      <c r="Q350" s="548"/>
      <c r="R350" s="548"/>
      <c r="S350" s="548"/>
      <c r="T350" s="548"/>
      <c r="U350" s="548"/>
      <c r="V350" s="548"/>
      <c r="W350" s="548"/>
      <c r="X350" s="548"/>
      <c r="Y350" s="548"/>
      <c r="Z350" s="548"/>
      <c r="AA350" s="548"/>
      <c r="AB350" s="548"/>
      <c r="AC350" s="548"/>
      <c r="AD350" s="548"/>
      <c r="AE350" s="548"/>
      <c r="AF350" s="548"/>
      <c r="AG350" s="548"/>
      <c r="AH350" s="548"/>
      <c r="AI350" s="548"/>
      <c r="AJ350" s="548"/>
      <c r="AK350" s="548"/>
      <c r="AL350" s="548"/>
      <c r="AM350" s="548"/>
      <c r="AN350" s="548"/>
      <c r="AO350" s="548"/>
    </row>
    <row r="351">
      <c r="G351" s="548"/>
      <c r="H351" s="548"/>
      <c r="I351" s="548"/>
      <c r="J351" s="548"/>
      <c r="K351" s="548"/>
      <c r="L351" s="548"/>
      <c r="M351" s="548"/>
      <c r="N351" s="548"/>
      <c r="O351" s="548"/>
      <c r="P351" s="548"/>
      <c r="Q351" s="548"/>
      <c r="R351" s="548"/>
      <c r="S351" s="548"/>
      <c r="T351" s="548"/>
      <c r="U351" s="548"/>
      <c r="V351" s="548"/>
      <c r="W351" s="548"/>
      <c r="X351" s="548"/>
      <c r="Y351" s="548"/>
      <c r="Z351" s="548"/>
      <c r="AA351" s="548"/>
      <c r="AB351" s="548"/>
      <c r="AC351" s="548"/>
      <c r="AD351" s="548"/>
      <c r="AE351" s="548"/>
      <c r="AF351" s="548"/>
      <c r="AG351" s="548"/>
      <c r="AH351" s="548"/>
      <c r="AI351" s="548"/>
      <c r="AJ351" s="548"/>
      <c r="AK351" s="548"/>
      <c r="AL351" s="548"/>
      <c r="AM351" s="548"/>
      <c r="AN351" s="548"/>
      <c r="AO351" s="548"/>
    </row>
    <row r="352">
      <c r="G352" s="548"/>
      <c r="H352" s="548"/>
      <c r="I352" s="548"/>
      <c r="J352" s="548"/>
      <c r="K352" s="548"/>
      <c r="L352" s="548"/>
      <c r="M352" s="548"/>
      <c r="N352" s="548"/>
      <c r="O352" s="548"/>
      <c r="P352" s="548"/>
      <c r="Q352" s="548"/>
      <c r="R352" s="548"/>
      <c r="S352" s="548"/>
      <c r="T352" s="548"/>
      <c r="U352" s="548"/>
      <c r="V352" s="548"/>
      <c r="W352" s="548"/>
      <c r="X352" s="548"/>
      <c r="Y352" s="548"/>
      <c r="Z352" s="548"/>
      <c r="AA352" s="548"/>
      <c r="AB352" s="548"/>
      <c r="AC352" s="548"/>
      <c r="AD352" s="548"/>
      <c r="AE352" s="548"/>
      <c r="AF352" s="548"/>
      <c r="AG352" s="548"/>
      <c r="AH352" s="548"/>
      <c r="AI352" s="548"/>
      <c r="AJ352" s="548"/>
      <c r="AK352" s="548"/>
      <c r="AL352" s="548"/>
      <c r="AM352" s="548"/>
      <c r="AN352" s="548"/>
      <c r="AO352" s="548"/>
    </row>
    <row r="353">
      <c r="G353" s="548"/>
      <c r="H353" s="548"/>
      <c r="I353" s="548"/>
      <c r="J353" s="548"/>
      <c r="K353" s="548"/>
      <c r="L353" s="548"/>
      <c r="M353" s="548"/>
      <c r="N353" s="548"/>
      <c r="O353" s="548"/>
      <c r="P353" s="548"/>
      <c r="Q353" s="548"/>
      <c r="R353" s="548"/>
      <c r="S353" s="548"/>
      <c r="T353" s="548"/>
      <c r="U353" s="548"/>
      <c r="V353" s="548"/>
      <c r="W353" s="548"/>
      <c r="X353" s="548"/>
      <c r="Y353" s="548"/>
      <c r="Z353" s="548"/>
      <c r="AA353" s="548"/>
      <c r="AB353" s="548"/>
      <c r="AC353" s="548"/>
      <c r="AD353" s="548"/>
      <c r="AE353" s="548"/>
      <c r="AF353" s="548"/>
      <c r="AG353" s="548"/>
      <c r="AH353" s="548"/>
      <c r="AI353" s="548"/>
      <c r="AJ353" s="548"/>
      <c r="AK353" s="548"/>
      <c r="AL353" s="548"/>
      <c r="AM353" s="548"/>
      <c r="AN353" s="548"/>
      <c r="AO353" s="548"/>
    </row>
    <row r="354">
      <c r="G354" s="548"/>
      <c r="H354" s="548"/>
      <c r="I354" s="548"/>
      <c r="J354" s="548"/>
      <c r="K354" s="548"/>
      <c r="L354" s="548"/>
      <c r="M354" s="548"/>
      <c r="N354" s="548"/>
      <c r="O354" s="548"/>
      <c r="P354" s="548"/>
      <c r="Q354" s="548"/>
      <c r="R354" s="548"/>
      <c r="S354" s="548"/>
      <c r="T354" s="548"/>
      <c r="U354" s="548"/>
      <c r="V354" s="548"/>
      <c r="W354" s="548"/>
      <c r="X354" s="548"/>
      <c r="Y354" s="548"/>
      <c r="Z354" s="548"/>
      <c r="AA354" s="548"/>
      <c r="AB354" s="548"/>
      <c r="AC354" s="548"/>
      <c r="AD354" s="548"/>
      <c r="AE354" s="548"/>
      <c r="AF354" s="548"/>
      <c r="AG354" s="548"/>
      <c r="AH354" s="548"/>
      <c r="AI354" s="548"/>
      <c r="AJ354" s="548"/>
      <c r="AK354" s="548"/>
      <c r="AL354" s="548"/>
      <c r="AM354" s="548"/>
      <c r="AN354" s="548"/>
      <c r="AO354" s="548"/>
    </row>
    <row r="355">
      <c r="G355" s="548"/>
      <c r="H355" s="548"/>
      <c r="I355" s="548"/>
      <c r="J355" s="548"/>
      <c r="K355" s="548"/>
      <c r="L355" s="548"/>
      <c r="M355" s="548"/>
      <c r="N355" s="548"/>
      <c r="O355" s="548"/>
      <c r="P355" s="548"/>
      <c r="Q355" s="548"/>
      <c r="R355" s="548"/>
      <c r="S355" s="548"/>
      <c r="T355" s="548"/>
      <c r="U355" s="548"/>
      <c r="V355" s="548"/>
      <c r="W355" s="548"/>
      <c r="X355" s="548"/>
      <c r="Y355" s="548"/>
      <c r="Z355" s="548"/>
      <c r="AA355" s="548"/>
      <c r="AB355" s="548"/>
      <c r="AC355" s="548"/>
      <c r="AD355" s="548"/>
      <c r="AE355" s="548"/>
      <c r="AF355" s="548"/>
      <c r="AG355" s="548"/>
      <c r="AH355" s="548"/>
      <c r="AI355" s="548"/>
      <c r="AJ355" s="548"/>
      <c r="AK355" s="548"/>
      <c r="AL355" s="548"/>
      <c r="AM355" s="548"/>
      <c r="AN355" s="548"/>
      <c r="AO355" s="548"/>
    </row>
    <row r="356">
      <c r="G356" s="548"/>
      <c r="H356" s="548"/>
      <c r="I356" s="548"/>
      <c r="J356" s="548"/>
      <c r="K356" s="548"/>
      <c r="L356" s="548"/>
      <c r="M356" s="548"/>
      <c r="N356" s="548"/>
      <c r="O356" s="548"/>
      <c r="P356" s="548"/>
      <c r="Q356" s="548"/>
      <c r="R356" s="548"/>
      <c r="S356" s="548"/>
      <c r="T356" s="548"/>
      <c r="U356" s="548"/>
      <c r="V356" s="548"/>
      <c r="W356" s="548"/>
      <c r="X356" s="548"/>
      <c r="Y356" s="548"/>
      <c r="Z356" s="548"/>
      <c r="AA356" s="548"/>
      <c r="AB356" s="548"/>
      <c r="AC356" s="548"/>
      <c r="AD356" s="548"/>
      <c r="AE356" s="548"/>
      <c r="AF356" s="548"/>
      <c r="AG356" s="548"/>
      <c r="AH356" s="548"/>
      <c r="AI356" s="548"/>
      <c r="AJ356" s="548"/>
      <c r="AK356" s="548"/>
      <c r="AL356" s="548"/>
      <c r="AM356" s="548"/>
      <c r="AN356" s="548"/>
      <c r="AO356" s="548"/>
    </row>
    <row r="357">
      <c r="G357" s="548"/>
      <c r="H357" s="548"/>
      <c r="I357" s="548"/>
      <c r="J357" s="548"/>
      <c r="K357" s="548"/>
      <c r="L357" s="548"/>
      <c r="M357" s="548"/>
      <c r="N357" s="548"/>
      <c r="O357" s="548"/>
      <c r="P357" s="548"/>
      <c r="Q357" s="548"/>
      <c r="R357" s="548"/>
      <c r="S357" s="548"/>
      <c r="T357" s="548"/>
      <c r="U357" s="548"/>
      <c r="V357" s="548"/>
      <c r="W357" s="548"/>
      <c r="X357" s="548"/>
      <c r="Y357" s="548"/>
      <c r="Z357" s="548"/>
      <c r="AA357" s="548"/>
      <c r="AB357" s="548"/>
      <c r="AC357" s="548"/>
      <c r="AD357" s="548"/>
      <c r="AE357" s="548"/>
      <c r="AF357" s="548"/>
      <c r="AG357" s="548"/>
      <c r="AH357" s="548"/>
      <c r="AI357" s="548"/>
      <c r="AJ357" s="548"/>
      <c r="AK357" s="548"/>
      <c r="AL357" s="548"/>
      <c r="AM357" s="548"/>
      <c r="AN357" s="548"/>
      <c r="AO357" s="548"/>
    </row>
    <row r="358">
      <c r="G358" s="548"/>
      <c r="H358" s="548"/>
      <c r="I358" s="548"/>
      <c r="J358" s="548"/>
      <c r="K358" s="548"/>
      <c r="L358" s="548"/>
      <c r="M358" s="548"/>
      <c r="N358" s="548"/>
      <c r="O358" s="548"/>
      <c r="P358" s="548"/>
      <c r="Q358" s="548"/>
      <c r="R358" s="548"/>
      <c r="S358" s="548"/>
      <c r="T358" s="548"/>
      <c r="U358" s="548"/>
      <c r="V358" s="548"/>
      <c r="W358" s="548"/>
      <c r="X358" s="548"/>
      <c r="Y358" s="548"/>
      <c r="Z358" s="548"/>
      <c r="AA358" s="548"/>
      <c r="AB358" s="548"/>
      <c r="AC358" s="548"/>
      <c r="AD358" s="548"/>
      <c r="AE358" s="548"/>
      <c r="AF358" s="548"/>
      <c r="AG358" s="548"/>
      <c r="AH358" s="548"/>
      <c r="AI358" s="548"/>
      <c r="AJ358" s="548"/>
      <c r="AK358" s="548"/>
      <c r="AL358" s="548"/>
      <c r="AM358" s="548"/>
      <c r="AN358" s="548"/>
      <c r="AO358" s="548"/>
    </row>
    <row r="359">
      <c r="G359" s="548"/>
      <c r="H359" s="548"/>
      <c r="I359" s="548"/>
      <c r="J359" s="548"/>
      <c r="K359" s="548"/>
      <c r="L359" s="548"/>
      <c r="M359" s="548"/>
      <c r="N359" s="548"/>
      <c r="O359" s="548"/>
      <c r="P359" s="548"/>
      <c r="Q359" s="548"/>
      <c r="R359" s="548"/>
      <c r="S359" s="548"/>
      <c r="T359" s="548"/>
      <c r="U359" s="548"/>
      <c r="V359" s="548"/>
      <c r="W359" s="548"/>
      <c r="X359" s="548"/>
      <c r="Y359" s="548"/>
      <c r="Z359" s="548"/>
      <c r="AA359" s="548"/>
      <c r="AB359" s="548"/>
      <c r="AC359" s="548"/>
      <c r="AD359" s="548"/>
      <c r="AE359" s="548"/>
      <c r="AF359" s="548"/>
      <c r="AG359" s="548"/>
      <c r="AH359" s="548"/>
      <c r="AI359" s="548"/>
      <c r="AJ359" s="548"/>
      <c r="AK359" s="548"/>
      <c r="AL359" s="548"/>
      <c r="AM359" s="548"/>
      <c r="AN359" s="548"/>
      <c r="AO359" s="548"/>
    </row>
    <row r="360">
      <c r="G360" s="548"/>
      <c r="H360" s="548"/>
      <c r="I360" s="548"/>
      <c r="J360" s="548"/>
      <c r="K360" s="548"/>
      <c r="L360" s="548"/>
      <c r="M360" s="548"/>
      <c r="N360" s="548"/>
      <c r="O360" s="548"/>
      <c r="P360" s="548"/>
      <c r="Q360" s="548"/>
      <c r="R360" s="548"/>
      <c r="S360" s="548"/>
      <c r="T360" s="548"/>
      <c r="U360" s="548"/>
      <c r="V360" s="548"/>
      <c r="W360" s="548"/>
      <c r="X360" s="548"/>
      <c r="Y360" s="548"/>
      <c r="Z360" s="548"/>
      <c r="AA360" s="548"/>
      <c r="AB360" s="548"/>
      <c r="AC360" s="548"/>
      <c r="AD360" s="548"/>
      <c r="AE360" s="548"/>
      <c r="AF360" s="548"/>
      <c r="AG360" s="548"/>
      <c r="AH360" s="548"/>
      <c r="AI360" s="548"/>
      <c r="AJ360" s="548"/>
      <c r="AK360" s="548"/>
      <c r="AL360" s="548"/>
      <c r="AM360" s="548"/>
      <c r="AN360" s="548"/>
      <c r="AO360" s="548"/>
    </row>
    <row r="361">
      <c r="G361" s="548"/>
      <c r="H361" s="548"/>
      <c r="I361" s="548"/>
      <c r="J361" s="548"/>
      <c r="K361" s="548"/>
      <c r="L361" s="548"/>
      <c r="M361" s="548"/>
      <c r="N361" s="548"/>
      <c r="O361" s="548"/>
      <c r="P361" s="548"/>
      <c r="Q361" s="548"/>
      <c r="R361" s="548"/>
      <c r="S361" s="548"/>
      <c r="T361" s="548"/>
      <c r="U361" s="548"/>
      <c r="V361" s="548"/>
      <c r="W361" s="548"/>
      <c r="X361" s="548"/>
      <c r="Y361" s="548"/>
      <c r="Z361" s="548"/>
      <c r="AA361" s="548"/>
      <c r="AB361" s="548"/>
      <c r="AC361" s="548"/>
      <c r="AD361" s="548"/>
      <c r="AE361" s="548"/>
      <c r="AF361" s="548"/>
      <c r="AG361" s="548"/>
      <c r="AH361" s="548"/>
      <c r="AI361" s="548"/>
      <c r="AJ361" s="548"/>
      <c r="AK361" s="548"/>
      <c r="AL361" s="548"/>
      <c r="AM361" s="548"/>
      <c r="AN361" s="548"/>
      <c r="AO361" s="548"/>
    </row>
    <row r="362">
      <c r="G362" s="548"/>
      <c r="H362" s="548"/>
      <c r="I362" s="548"/>
      <c r="J362" s="548"/>
      <c r="K362" s="548"/>
      <c r="L362" s="548"/>
      <c r="M362" s="548"/>
      <c r="N362" s="548"/>
      <c r="O362" s="548"/>
      <c r="P362" s="548"/>
      <c r="Q362" s="548"/>
      <c r="R362" s="548"/>
      <c r="S362" s="548"/>
      <c r="T362" s="548"/>
      <c r="U362" s="548"/>
      <c r="V362" s="548"/>
      <c r="W362" s="548"/>
      <c r="X362" s="548"/>
      <c r="Y362" s="548"/>
      <c r="Z362" s="548"/>
      <c r="AA362" s="548"/>
      <c r="AB362" s="548"/>
      <c r="AC362" s="548"/>
      <c r="AD362" s="548"/>
      <c r="AE362" s="548"/>
      <c r="AF362" s="548"/>
      <c r="AG362" s="548"/>
      <c r="AH362" s="548"/>
      <c r="AI362" s="548"/>
      <c r="AJ362" s="548"/>
      <c r="AK362" s="548"/>
      <c r="AL362" s="548"/>
      <c r="AM362" s="548"/>
      <c r="AN362" s="548"/>
      <c r="AO362" s="548"/>
    </row>
    <row r="363">
      <c r="G363" s="548"/>
      <c r="H363" s="548"/>
      <c r="I363" s="548"/>
      <c r="J363" s="548"/>
      <c r="K363" s="548"/>
      <c r="L363" s="548"/>
      <c r="M363" s="548"/>
      <c r="N363" s="548"/>
      <c r="O363" s="548"/>
      <c r="P363" s="548"/>
      <c r="Q363" s="548"/>
      <c r="R363" s="548"/>
      <c r="S363" s="548"/>
      <c r="T363" s="548"/>
      <c r="U363" s="548"/>
      <c r="V363" s="548"/>
      <c r="W363" s="548"/>
      <c r="X363" s="548"/>
      <c r="Y363" s="548"/>
      <c r="Z363" s="548"/>
      <c r="AA363" s="548"/>
      <c r="AB363" s="548"/>
      <c r="AC363" s="548"/>
      <c r="AD363" s="548"/>
      <c r="AE363" s="548"/>
      <c r="AF363" s="548"/>
      <c r="AG363" s="548"/>
      <c r="AH363" s="548"/>
      <c r="AI363" s="548"/>
      <c r="AJ363" s="548"/>
      <c r="AK363" s="548"/>
      <c r="AL363" s="548"/>
      <c r="AM363" s="548"/>
      <c r="AN363" s="548"/>
      <c r="AO363" s="548"/>
    </row>
    <row r="364">
      <c r="G364" s="548"/>
      <c r="H364" s="548"/>
      <c r="I364" s="548"/>
      <c r="J364" s="548"/>
      <c r="K364" s="548"/>
      <c r="L364" s="548"/>
      <c r="M364" s="548"/>
      <c r="N364" s="548"/>
      <c r="O364" s="548"/>
      <c r="P364" s="548"/>
      <c r="Q364" s="548"/>
      <c r="R364" s="548"/>
      <c r="S364" s="548"/>
      <c r="T364" s="548"/>
      <c r="U364" s="548"/>
      <c r="V364" s="548"/>
      <c r="W364" s="548"/>
      <c r="X364" s="548"/>
      <c r="Y364" s="548"/>
      <c r="Z364" s="548"/>
      <c r="AA364" s="548"/>
      <c r="AB364" s="548"/>
      <c r="AC364" s="548"/>
      <c r="AD364" s="548"/>
      <c r="AE364" s="548"/>
      <c r="AF364" s="548"/>
      <c r="AG364" s="548"/>
      <c r="AH364" s="548"/>
      <c r="AI364" s="548"/>
      <c r="AJ364" s="548"/>
      <c r="AK364" s="548"/>
      <c r="AL364" s="548"/>
      <c r="AM364" s="548"/>
      <c r="AN364" s="548"/>
      <c r="AO364" s="548"/>
    </row>
    <row r="365">
      <c r="G365" s="548"/>
      <c r="H365" s="548"/>
      <c r="I365" s="548"/>
      <c r="J365" s="548"/>
      <c r="K365" s="548"/>
      <c r="L365" s="548"/>
      <c r="M365" s="548"/>
      <c r="N365" s="548"/>
      <c r="O365" s="548"/>
      <c r="P365" s="548"/>
      <c r="Q365" s="548"/>
      <c r="R365" s="548"/>
      <c r="S365" s="548"/>
      <c r="T365" s="548"/>
      <c r="U365" s="548"/>
      <c r="V365" s="548"/>
      <c r="W365" s="548"/>
      <c r="X365" s="548"/>
      <c r="Y365" s="548"/>
      <c r="Z365" s="548"/>
      <c r="AA365" s="548"/>
      <c r="AB365" s="548"/>
      <c r="AC365" s="548"/>
      <c r="AD365" s="548"/>
      <c r="AE365" s="548"/>
      <c r="AF365" s="548"/>
      <c r="AG365" s="548"/>
      <c r="AH365" s="548"/>
      <c r="AI365" s="548"/>
      <c r="AJ365" s="548"/>
      <c r="AK365" s="548"/>
      <c r="AL365" s="548"/>
      <c r="AM365" s="548"/>
      <c r="AN365" s="548"/>
      <c r="AO365" s="548"/>
    </row>
    <row r="366">
      <c r="G366" s="548"/>
      <c r="H366" s="548"/>
      <c r="I366" s="548"/>
      <c r="J366" s="548"/>
      <c r="K366" s="548"/>
      <c r="L366" s="548"/>
      <c r="M366" s="548"/>
      <c r="N366" s="548"/>
      <c r="O366" s="548"/>
      <c r="P366" s="548"/>
      <c r="Q366" s="548"/>
      <c r="R366" s="548"/>
      <c r="S366" s="548"/>
      <c r="T366" s="548"/>
      <c r="U366" s="548"/>
      <c r="V366" s="548"/>
      <c r="W366" s="548"/>
      <c r="X366" s="548"/>
      <c r="Y366" s="548"/>
      <c r="Z366" s="548"/>
      <c r="AA366" s="548"/>
      <c r="AB366" s="548"/>
      <c r="AC366" s="548"/>
      <c r="AD366" s="548"/>
      <c r="AE366" s="548"/>
      <c r="AF366" s="548"/>
      <c r="AG366" s="548"/>
      <c r="AH366" s="548"/>
      <c r="AI366" s="548"/>
      <c r="AJ366" s="548"/>
      <c r="AK366" s="548"/>
      <c r="AL366" s="548"/>
      <c r="AM366" s="548"/>
      <c r="AN366" s="548"/>
      <c r="AO366" s="548"/>
    </row>
    <row r="367">
      <c r="G367" s="548"/>
      <c r="H367" s="548"/>
      <c r="I367" s="548"/>
      <c r="J367" s="548"/>
      <c r="K367" s="548"/>
      <c r="L367" s="548"/>
      <c r="M367" s="548"/>
      <c r="N367" s="548"/>
      <c r="O367" s="548"/>
      <c r="P367" s="548"/>
      <c r="Q367" s="548"/>
      <c r="R367" s="548"/>
      <c r="S367" s="548"/>
      <c r="T367" s="548"/>
      <c r="U367" s="548"/>
      <c r="V367" s="548"/>
      <c r="W367" s="548"/>
      <c r="X367" s="548"/>
      <c r="Y367" s="548"/>
      <c r="Z367" s="548"/>
      <c r="AA367" s="548"/>
      <c r="AB367" s="548"/>
      <c r="AC367" s="548"/>
      <c r="AD367" s="548"/>
      <c r="AE367" s="548"/>
      <c r="AF367" s="548"/>
      <c r="AG367" s="548"/>
      <c r="AH367" s="548"/>
      <c r="AI367" s="548"/>
      <c r="AJ367" s="548"/>
      <c r="AK367" s="548"/>
      <c r="AL367" s="548"/>
      <c r="AM367" s="548"/>
      <c r="AN367" s="548"/>
      <c r="AO367" s="548"/>
    </row>
    <row r="368">
      <c r="G368" s="548"/>
      <c r="H368" s="548"/>
      <c r="I368" s="548"/>
      <c r="J368" s="548"/>
      <c r="K368" s="548"/>
      <c r="L368" s="548"/>
      <c r="M368" s="548"/>
      <c r="N368" s="548"/>
      <c r="O368" s="548"/>
      <c r="P368" s="548"/>
      <c r="Q368" s="548"/>
      <c r="R368" s="548"/>
      <c r="S368" s="548"/>
      <c r="T368" s="548"/>
      <c r="U368" s="548"/>
      <c r="V368" s="548"/>
      <c r="W368" s="548"/>
      <c r="X368" s="548"/>
      <c r="Y368" s="548"/>
      <c r="Z368" s="548"/>
      <c r="AA368" s="548"/>
      <c r="AB368" s="548"/>
      <c r="AC368" s="548"/>
      <c r="AD368" s="548"/>
      <c r="AE368" s="548"/>
      <c r="AF368" s="548"/>
      <c r="AG368" s="548"/>
      <c r="AH368" s="548"/>
      <c r="AI368" s="548"/>
      <c r="AJ368" s="548"/>
      <c r="AK368" s="548"/>
      <c r="AL368" s="548"/>
      <c r="AM368" s="548"/>
      <c r="AN368" s="548"/>
      <c r="AO368" s="548"/>
    </row>
    <row r="369">
      <c r="G369" s="548"/>
      <c r="H369" s="548"/>
      <c r="I369" s="548"/>
      <c r="J369" s="548"/>
      <c r="K369" s="548"/>
      <c r="L369" s="548"/>
      <c r="M369" s="548"/>
      <c r="N369" s="548"/>
      <c r="O369" s="548"/>
      <c r="P369" s="548"/>
      <c r="Q369" s="548"/>
      <c r="R369" s="548"/>
      <c r="S369" s="548"/>
      <c r="T369" s="548"/>
      <c r="U369" s="548"/>
      <c r="V369" s="548"/>
      <c r="W369" s="548"/>
      <c r="X369" s="548"/>
      <c r="Y369" s="548"/>
      <c r="Z369" s="548"/>
      <c r="AA369" s="548"/>
      <c r="AB369" s="548"/>
      <c r="AC369" s="548"/>
      <c r="AD369" s="548"/>
      <c r="AE369" s="548"/>
      <c r="AF369" s="548"/>
      <c r="AG369" s="548"/>
      <c r="AH369" s="548"/>
      <c r="AI369" s="548"/>
      <c r="AJ369" s="548"/>
      <c r="AK369" s="548"/>
      <c r="AL369" s="548"/>
      <c r="AM369" s="548"/>
      <c r="AN369" s="548"/>
      <c r="AO369" s="548"/>
    </row>
    <row r="370">
      <c r="G370" s="548"/>
      <c r="H370" s="548"/>
      <c r="I370" s="548"/>
      <c r="J370" s="548"/>
      <c r="K370" s="548"/>
      <c r="L370" s="548"/>
      <c r="M370" s="548"/>
      <c r="N370" s="548"/>
      <c r="O370" s="548"/>
      <c r="P370" s="548"/>
      <c r="Q370" s="548"/>
      <c r="R370" s="548"/>
      <c r="S370" s="548"/>
      <c r="T370" s="548"/>
      <c r="U370" s="548"/>
      <c r="V370" s="548"/>
      <c r="W370" s="548"/>
      <c r="X370" s="548"/>
      <c r="Y370" s="548"/>
      <c r="Z370" s="548"/>
      <c r="AA370" s="548"/>
      <c r="AB370" s="548"/>
      <c r="AC370" s="548"/>
      <c r="AD370" s="548"/>
      <c r="AE370" s="548"/>
      <c r="AF370" s="548"/>
      <c r="AG370" s="548"/>
      <c r="AH370" s="548"/>
      <c r="AI370" s="548"/>
      <c r="AJ370" s="548"/>
      <c r="AK370" s="548"/>
      <c r="AL370" s="548"/>
      <c r="AM370" s="548"/>
      <c r="AN370" s="548"/>
      <c r="AO370" s="548"/>
    </row>
    <row r="371">
      <c r="G371" s="548"/>
      <c r="H371" s="548"/>
      <c r="I371" s="548"/>
      <c r="J371" s="548"/>
      <c r="K371" s="548"/>
      <c r="L371" s="548"/>
      <c r="M371" s="548"/>
      <c r="N371" s="548"/>
      <c r="O371" s="548"/>
      <c r="P371" s="548"/>
      <c r="Q371" s="548"/>
      <c r="R371" s="548"/>
      <c r="S371" s="548"/>
      <c r="T371" s="548"/>
      <c r="U371" s="548"/>
      <c r="V371" s="548"/>
      <c r="W371" s="548"/>
      <c r="X371" s="548"/>
      <c r="Y371" s="548"/>
      <c r="Z371" s="548"/>
      <c r="AA371" s="548"/>
      <c r="AB371" s="548"/>
      <c r="AC371" s="548"/>
      <c r="AD371" s="548"/>
      <c r="AE371" s="548"/>
      <c r="AF371" s="548"/>
      <c r="AG371" s="548"/>
      <c r="AH371" s="548"/>
      <c r="AI371" s="548"/>
      <c r="AJ371" s="548"/>
      <c r="AK371" s="548"/>
      <c r="AL371" s="548"/>
      <c r="AM371" s="548"/>
      <c r="AN371" s="548"/>
      <c r="AO371" s="548"/>
    </row>
    <row r="372">
      <c r="G372" s="548"/>
      <c r="H372" s="548"/>
      <c r="I372" s="548"/>
      <c r="J372" s="548"/>
      <c r="K372" s="548"/>
      <c r="L372" s="548"/>
      <c r="M372" s="548"/>
      <c r="N372" s="548"/>
      <c r="O372" s="548"/>
      <c r="P372" s="548"/>
      <c r="Q372" s="548"/>
      <c r="R372" s="548"/>
      <c r="S372" s="548"/>
      <c r="T372" s="548"/>
      <c r="U372" s="548"/>
      <c r="V372" s="548"/>
      <c r="W372" s="548"/>
      <c r="X372" s="548"/>
      <c r="Y372" s="548"/>
      <c r="Z372" s="548"/>
      <c r="AA372" s="548"/>
      <c r="AB372" s="548"/>
      <c r="AC372" s="548"/>
      <c r="AD372" s="548"/>
      <c r="AE372" s="548"/>
      <c r="AF372" s="548"/>
      <c r="AG372" s="548"/>
      <c r="AH372" s="548"/>
      <c r="AI372" s="548"/>
      <c r="AJ372" s="548"/>
      <c r="AK372" s="548"/>
      <c r="AL372" s="548"/>
      <c r="AM372" s="548"/>
      <c r="AN372" s="548"/>
      <c r="AO372" s="548"/>
    </row>
    <row r="373">
      <c r="G373" s="548"/>
      <c r="H373" s="548"/>
      <c r="I373" s="548"/>
      <c r="J373" s="548"/>
      <c r="K373" s="548"/>
      <c r="L373" s="548"/>
      <c r="M373" s="548"/>
      <c r="N373" s="548"/>
      <c r="O373" s="548"/>
      <c r="P373" s="548"/>
      <c r="Q373" s="548"/>
      <c r="R373" s="548"/>
      <c r="S373" s="548"/>
      <c r="T373" s="548"/>
      <c r="U373" s="548"/>
      <c r="V373" s="548"/>
      <c r="W373" s="548"/>
      <c r="X373" s="548"/>
      <c r="Y373" s="548"/>
      <c r="Z373" s="548"/>
      <c r="AA373" s="548"/>
      <c r="AB373" s="548"/>
      <c r="AC373" s="548"/>
      <c r="AD373" s="548"/>
      <c r="AE373" s="548"/>
      <c r="AF373" s="548"/>
      <c r="AG373" s="548"/>
      <c r="AH373" s="548"/>
      <c r="AI373" s="548"/>
      <c r="AJ373" s="548"/>
      <c r="AK373" s="548"/>
      <c r="AL373" s="548"/>
      <c r="AM373" s="548"/>
      <c r="AN373" s="548"/>
      <c r="AO373" s="548"/>
    </row>
    <row r="374">
      <c r="G374" s="548"/>
      <c r="H374" s="548"/>
      <c r="I374" s="548"/>
      <c r="J374" s="548"/>
      <c r="K374" s="548"/>
      <c r="L374" s="548"/>
      <c r="M374" s="548"/>
      <c r="N374" s="548"/>
      <c r="O374" s="548"/>
      <c r="P374" s="548"/>
      <c r="Q374" s="548"/>
      <c r="R374" s="548"/>
      <c r="S374" s="548"/>
      <c r="T374" s="548"/>
      <c r="U374" s="548"/>
      <c r="V374" s="548"/>
      <c r="W374" s="548"/>
      <c r="X374" s="548"/>
      <c r="Y374" s="548"/>
      <c r="Z374" s="548"/>
      <c r="AA374" s="548"/>
      <c r="AB374" s="548"/>
      <c r="AC374" s="548"/>
      <c r="AD374" s="548"/>
      <c r="AE374" s="548"/>
      <c r="AF374" s="548"/>
      <c r="AG374" s="548"/>
      <c r="AH374" s="548"/>
      <c r="AI374" s="548"/>
      <c r="AJ374" s="548"/>
      <c r="AK374" s="548"/>
      <c r="AL374" s="548"/>
      <c r="AM374" s="548"/>
      <c r="AN374" s="548"/>
      <c r="AO374" s="548"/>
    </row>
    <row r="375">
      <c r="G375" s="548"/>
      <c r="H375" s="548"/>
      <c r="I375" s="548"/>
      <c r="J375" s="548"/>
      <c r="K375" s="548"/>
      <c r="L375" s="548"/>
      <c r="M375" s="548"/>
      <c r="N375" s="548"/>
      <c r="O375" s="548"/>
      <c r="P375" s="548"/>
      <c r="Q375" s="548"/>
      <c r="R375" s="548"/>
      <c r="S375" s="548"/>
      <c r="T375" s="548"/>
      <c r="U375" s="548"/>
      <c r="V375" s="548"/>
      <c r="W375" s="548"/>
      <c r="X375" s="548"/>
      <c r="Y375" s="548"/>
      <c r="Z375" s="548"/>
      <c r="AA375" s="548"/>
      <c r="AB375" s="548"/>
      <c r="AC375" s="548"/>
      <c r="AD375" s="548"/>
      <c r="AE375" s="548"/>
      <c r="AF375" s="548"/>
      <c r="AG375" s="548"/>
      <c r="AH375" s="548"/>
      <c r="AI375" s="548"/>
      <c r="AJ375" s="548"/>
      <c r="AK375" s="548"/>
      <c r="AL375" s="548"/>
      <c r="AM375" s="548"/>
      <c r="AN375" s="548"/>
      <c r="AO375" s="548"/>
    </row>
    <row r="376">
      <c r="G376" s="548"/>
      <c r="H376" s="548"/>
      <c r="I376" s="548"/>
      <c r="J376" s="548"/>
      <c r="K376" s="548"/>
      <c r="L376" s="548"/>
      <c r="M376" s="548"/>
      <c r="N376" s="548"/>
      <c r="O376" s="548"/>
      <c r="P376" s="548"/>
      <c r="Q376" s="548"/>
      <c r="R376" s="548"/>
      <c r="S376" s="548"/>
      <c r="T376" s="548"/>
      <c r="U376" s="548"/>
      <c r="V376" s="548"/>
      <c r="W376" s="548"/>
      <c r="X376" s="548"/>
      <c r="Y376" s="548"/>
      <c r="Z376" s="548"/>
      <c r="AA376" s="548"/>
      <c r="AB376" s="548"/>
      <c r="AC376" s="548"/>
      <c r="AD376" s="548"/>
      <c r="AE376" s="548"/>
      <c r="AF376" s="548"/>
      <c r="AG376" s="548"/>
      <c r="AH376" s="548"/>
      <c r="AI376" s="548"/>
      <c r="AJ376" s="548"/>
      <c r="AK376" s="548"/>
      <c r="AL376" s="548"/>
      <c r="AM376" s="548"/>
      <c r="AN376" s="548"/>
      <c r="AO376" s="548"/>
    </row>
    <row r="377">
      <c r="G377" s="548"/>
      <c r="H377" s="548"/>
      <c r="I377" s="548"/>
      <c r="J377" s="548"/>
      <c r="K377" s="548"/>
      <c r="L377" s="548"/>
      <c r="M377" s="548"/>
      <c r="N377" s="548"/>
      <c r="O377" s="548"/>
      <c r="P377" s="548"/>
      <c r="Q377" s="548"/>
      <c r="R377" s="548"/>
      <c r="S377" s="548"/>
      <c r="T377" s="548"/>
      <c r="U377" s="548"/>
      <c r="V377" s="548"/>
      <c r="W377" s="548"/>
      <c r="X377" s="548"/>
      <c r="Y377" s="548"/>
      <c r="Z377" s="548"/>
      <c r="AA377" s="548"/>
      <c r="AB377" s="548"/>
      <c r="AC377" s="548"/>
      <c r="AD377" s="548"/>
      <c r="AE377" s="548"/>
      <c r="AF377" s="548"/>
      <c r="AG377" s="548"/>
      <c r="AH377" s="548"/>
      <c r="AI377" s="548"/>
      <c r="AJ377" s="548"/>
      <c r="AK377" s="548"/>
      <c r="AL377" s="548"/>
      <c r="AM377" s="548"/>
      <c r="AN377" s="548"/>
      <c r="AO377" s="548"/>
    </row>
    <row r="378">
      <c r="G378" s="548"/>
      <c r="H378" s="548"/>
      <c r="I378" s="548"/>
      <c r="J378" s="548"/>
      <c r="K378" s="548"/>
      <c r="L378" s="548"/>
      <c r="M378" s="548"/>
      <c r="N378" s="548"/>
      <c r="O378" s="548"/>
      <c r="P378" s="548"/>
      <c r="Q378" s="548"/>
      <c r="R378" s="548"/>
      <c r="S378" s="548"/>
      <c r="T378" s="548"/>
      <c r="U378" s="548"/>
      <c r="V378" s="548"/>
      <c r="W378" s="548"/>
      <c r="X378" s="548"/>
      <c r="Y378" s="548"/>
      <c r="Z378" s="548"/>
      <c r="AA378" s="548"/>
      <c r="AB378" s="548"/>
      <c r="AC378" s="548"/>
      <c r="AD378" s="548"/>
      <c r="AE378" s="548"/>
      <c r="AF378" s="548"/>
      <c r="AG378" s="548"/>
      <c r="AH378" s="548"/>
      <c r="AI378" s="548"/>
      <c r="AJ378" s="548"/>
      <c r="AK378" s="548"/>
      <c r="AL378" s="548"/>
      <c r="AM378" s="548"/>
      <c r="AN378" s="548"/>
      <c r="AO378" s="548"/>
    </row>
    <row r="379">
      <c r="G379" s="548"/>
      <c r="H379" s="548"/>
      <c r="I379" s="548"/>
      <c r="J379" s="548"/>
      <c r="K379" s="548"/>
      <c r="L379" s="548"/>
      <c r="M379" s="548"/>
      <c r="N379" s="548"/>
      <c r="O379" s="548"/>
      <c r="P379" s="548"/>
      <c r="Q379" s="548"/>
      <c r="R379" s="548"/>
      <c r="S379" s="548"/>
      <c r="T379" s="548"/>
      <c r="U379" s="548"/>
      <c r="V379" s="548"/>
      <c r="W379" s="548"/>
      <c r="X379" s="548"/>
      <c r="Y379" s="548"/>
      <c r="Z379" s="548"/>
      <c r="AA379" s="548"/>
      <c r="AB379" s="548"/>
      <c r="AC379" s="548"/>
      <c r="AD379" s="548"/>
      <c r="AE379" s="548"/>
      <c r="AF379" s="548"/>
      <c r="AG379" s="548"/>
      <c r="AH379" s="548"/>
      <c r="AI379" s="548"/>
      <c r="AJ379" s="548"/>
      <c r="AK379" s="548"/>
      <c r="AL379" s="548"/>
      <c r="AM379" s="548"/>
      <c r="AN379" s="548"/>
      <c r="AO379" s="548"/>
    </row>
    <row r="380">
      <c r="G380" s="548"/>
      <c r="H380" s="548"/>
      <c r="I380" s="548"/>
      <c r="J380" s="548"/>
      <c r="K380" s="548"/>
      <c r="L380" s="548"/>
      <c r="M380" s="548"/>
      <c r="N380" s="548"/>
      <c r="O380" s="548"/>
      <c r="P380" s="548"/>
      <c r="Q380" s="548"/>
      <c r="R380" s="548"/>
      <c r="S380" s="548"/>
      <c r="T380" s="548"/>
      <c r="U380" s="548"/>
      <c r="V380" s="548"/>
      <c r="W380" s="548"/>
      <c r="X380" s="548"/>
      <c r="Y380" s="548"/>
      <c r="Z380" s="548"/>
      <c r="AA380" s="548"/>
      <c r="AB380" s="548"/>
      <c r="AC380" s="548"/>
      <c r="AD380" s="548"/>
      <c r="AE380" s="548"/>
      <c r="AF380" s="548"/>
      <c r="AG380" s="548"/>
      <c r="AH380" s="548"/>
      <c r="AI380" s="548"/>
      <c r="AJ380" s="548"/>
      <c r="AK380" s="548"/>
      <c r="AL380" s="548"/>
      <c r="AM380" s="548"/>
      <c r="AN380" s="548"/>
      <c r="AO380" s="548"/>
    </row>
    <row r="381">
      <c r="G381" s="548"/>
      <c r="H381" s="548"/>
      <c r="I381" s="548"/>
      <c r="J381" s="548"/>
      <c r="K381" s="548"/>
      <c r="L381" s="548"/>
      <c r="M381" s="548"/>
      <c r="N381" s="548"/>
      <c r="O381" s="548"/>
      <c r="P381" s="548"/>
      <c r="Q381" s="548"/>
      <c r="R381" s="548"/>
      <c r="S381" s="548"/>
      <c r="T381" s="548"/>
      <c r="U381" s="548"/>
      <c r="V381" s="548"/>
      <c r="W381" s="548"/>
      <c r="X381" s="548"/>
      <c r="Y381" s="548"/>
      <c r="Z381" s="548"/>
      <c r="AA381" s="548"/>
      <c r="AB381" s="548"/>
      <c r="AC381" s="548"/>
      <c r="AD381" s="548"/>
      <c r="AE381" s="548"/>
      <c r="AF381" s="548"/>
      <c r="AG381" s="548"/>
      <c r="AH381" s="548"/>
      <c r="AI381" s="548"/>
      <c r="AJ381" s="548"/>
      <c r="AK381" s="548"/>
      <c r="AL381" s="548"/>
      <c r="AM381" s="548"/>
      <c r="AN381" s="548"/>
      <c r="AO381" s="548"/>
    </row>
    <row r="382">
      <c r="G382" s="548"/>
      <c r="H382" s="548"/>
      <c r="I382" s="548"/>
      <c r="J382" s="548"/>
      <c r="K382" s="548"/>
      <c r="L382" s="548"/>
      <c r="M382" s="548"/>
      <c r="N382" s="548"/>
      <c r="O382" s="548"/>
      <c r="P382" s="548"/>
      <c r="Q382" s="548"/>
      <c r="R382" s="548"/>
      <c r="S382" s="548"/>
      <c r="T382" s="548"/>
      <c r="U382" s="548"/>
      <c r="V382" s="548"/>
      <c r="W382" s="548"/>
      <c r="X382" s="548"/>
      <c r="Y382" s="548"/>
      <c r="Z382" s="548"/>
      <c r="AA382" s="548"/>
      <c r="AB382" s="548"/>
      <c r="AC382" s="548"/>
      <c r="AD382" s="548"/>
      <c r="AE382" s="548"/>
      <c r="AF382" s="548"/>
      <c r="AG382" s="548"/>
      <c r="AH382" s="548"/>
      <c r="AI382" s="548"/>
      <c r="AJ382" s="548"/>
      <c r="AK382" s="548"/>
      <c r="AL382" s="548"/>
      <c r="AM382" s="548"/>
      <c r="AN382" s="548"/>
      <c r="AO382" s="548"/>
    </row>
    <row r="383">
      <c r="G383" s="548"/>
      <c r="H383" s="548"/>
      <c r="I383" s="548"/>
      <c r="J383" s="548"/>
      <c r="K383" s="548"/>
      <c r="L383" s="548"/>
      <c r="M383" s="548"/>
      <c r="N383" s="548"/>
      <c r="O383" s="548"/>
      <c r="P383" s="548"/>
      <c r="Q383" s="548"/>
      <c r="R383" s="548"/>
      <c r="S383" s="548"/>
      <c r="T383" s="548"/>
      <c r="U383" s="548"/>
      <c r="V383" s="548"/>
      <c r="W383" s="548"/>
      <c r="X383" s="548"/>
      <c r="Y383" s="548"/>
      <c r="Z383" s="548"/>
      <c r="AA383" s="548"/>
      <c r="AB383" s="548"/>
      <c r="AC383" s="548"/>
      <c r="AD383" s="548"/>
      <c r="AE383" s="548"/>
      <c r="AF383" s="548"/>
      <c r="AG383" s="548"/>
      <c r="AH383" s="548"/>
      <c r="AI383" s="548"/>
      <c r="AJ383" s="548"/>
      <c r="AK383" s="548"/>
      <c r="AL383" s="548"/>
      <c r="AM383" s="548"/>
      <c r="AN383" s="548"/>
      <c r="AO383" s="548"/>
    </row>
    <row r="384">
      <c r="G384" s="548"/>
      <c r="H384" s="548"/>
      <c r="I384" s="548"/>
      <c r="J384" s="548"/>
      <c r="K384" s="548"/>
      <c r="L384" s="548"/>
      <c r="M384" s="548"/>
      <c r="N384" s="548"/>
      <c r="O384" s="548"/>
      <c r="P384" s="548"/>
      <c r="Q384" s="548"/>
      <c r="R384" s="548"/>
      <c r="S384" s="548"/>
      <c r="T384" s="548"/>
      <c r="U384" s="548"/>
      <c r="V384" s="548"/>
      <c r="W384" s="548"/>
      <c r="X384" s="548"/>
      <c r="Y384" s="548"/>
      <c r="Z384" s="548"/>
      <c r="AA384" s="548"/>
      <c r="AB384" s="548"/>
      <c r="AC384" s="548"/>
      <c r="AD384" s="548"/>
      <c r="AE384" s="548"/>
      <c r="AF384" s="548"/>
      <c r="AG384" s="548"/>
      <c r="AH384" s="548"/>
      <c r="AI384" s="548"/>
      <c r="AJ384" s="548"/>
      <c r="AK384" s="548"/>
      <c r="AL384" s="548"/>
      <c r="AM384" s="548"/>
      <c r="AN384" s="548"/>
      <c r="AO384" s="548"/>
    </row>
    <row r="385">
      <c r="G385" s="548"/>
      <c r="H385" s="548"/>
      <c r="I385" s="548"/>
      <c r="J385" s="548"/>
      <c r="K385" s="548"/>
      <c r="L385" s="548"/>
      <c r="M385" s="548"/>
      <c r="N385" s="548"/>
      <c r="O385" s="548"/>
      <c r="P385" s="548"/>
      <c r="Q385" s="548"/>
      <c r="R385" s="548"/>
      <c r="S385" s="548"/>
      <c r="T385" s="548"/>
      <c r="U385" s="548"/>
      <c r="V385" s="548"/>
      <c r="W385" s="548"/>
      <c r="X385" s="548"/>
      <c r="Y385" s="548"/>
      <c r="Z385" s="548"/>
      <c r="AA385" s="548"/>
      <c r="AB385" s="548"/>
      <c r="AC385" s="548"/>
      <c r="AD385" s="548"/>
      <c r="AE385" s="548"/>
      <c r="AF385" s="548"/>
      <c r="AG385" s="548"/>
      <c r="AH385" s="548"/>
      <c r="AI385" s="548"/>
      <c r="AJ385" s="548"/>
      <c r="AK385" s="548"/>
      <c r="AL385" s="548"/>
      <c r="AM385" s="548"/>
      <c r="AN385" s="548"/>
      <c r="AO385" s="548"/>
    </row>
    <row r="386">
      <c r="G386" s="548"/>
      <c r="H386" s="548"/>
      <c r="I386" s="548"/>
      <c r="J386" s="548"/>
      <c r="K386" s="548"/>
      <c r="L386" s="548"/>
      <c r="M386" s="548"/>
      <c r="N386" s="548"/>
      <c r="O386" s="548"/>
      <c r="P386" s="548"/>
      <c r="Q386" s="548"/>
      <c r="R386" s="548"/>
      <c r="S386" s="548"/>
      <c r="T386" s="548"/>
      <c r="U386" s="548"/>
      <c r="V386" s="548"/>
      <c r="W386" s="548"/>
      <c r="X386" s="548"/>
      <c r="Y386" s="548"/>
      <c r="Z386" s="548"/>
      <c r="AA386" s="548"/>
      <c r="AB386" s="548"/>
      <c r="AC386" s="548"/>
      <c r="AD386" s="548"/>
      <c r="AE386" s="548"/>
      <c r="AF386" s="548"/>
      <c r="AG386" s="548"/>
      <c r="AH386" s="548"/>
      <c r="AI386" s="548"/>
      <c r="AJ386" s="548"/>
      <c r="AK386" s="548"/>
      <c r="AL386" s="548"/>
      <c r="AM386" s="548"/>
      <c r="AN386" s="548"/>
      <c r="AO386" s="548"/>
    </row>
    <row r="387">
      <c r="G387" s="548"/>
      <c r="H387" s="548"/>
      <c r="I387" s="548"/>
      <c r="J387" s="548"/>
      <c r="K387" s="548"/>
      <c r="L387" s="548"/>
      <c r="M387" s="548"/>
      <c r="N387" s="548"/>
      <c r="O387" s="548"/>
      <c r="P387" s="548"/>
      <c r="Q387" s="548"/>
      <c r="R387" s="548"/>
      <c r="S387" s="548"/>
      <c r="T387" s="548"/>
      <c r="U387" s="548"/>
      <c r="V387" s="548"/>
      <c r="W387" s="548"/>
      <c r="X387" s="548"/>
      <c r="Y387" s="548"/>
      <c r="Z387" s="548"/>
      <c r="AA387" s="548"/>
      <c r="AB387" s="548"/>
      <c r="AC387" s="548"/>
      <c r="AD387" s="548"/>
      <c r="AE387" s="548"/>
      <c r="AF387" s="548"/>
      <c r="AG387" s="548"/>
      <c r="AH387" s="548"/>
      <c r="AI387" s="548"/>
      <c r="AJ387" s="548"/>
      <c r="AK387" s="548"/>
      <c r="AL387" s="548"/>
      <c r="AM387" s="548"/>
      <c r="AN387" s="548"/>
      <c r="AO387" s="548"/>
    </row>
    <row r="388">
      <c r="G388" s="548"/>
      <c r="H388" s="548"/>
      <c r="I388" s="548"/>
      <c r="J388" s="548"/>
      <c r="K388" s="548"/>
      <c r="L388" s="548"/>
      <c r="M388" s="548"/>
      <c r="N388" s="548"/>
      <c r="O388" s="548"/>
      <c r="P388" s="548"/>
      <c r="Q388" s="548"/>
      <c r="R388" s="548"/>
      <c r="S388" s="548"/>
      <c r="T388" s="548"/>
      <c r="U388" s="548"/>
      <c r="V388" s="548"/>
      <c r="W388" s="548"/>
      <c r="X388" s="548"/>
      <c r="Y388" s="548"/>
      <c r="Z388" s="548"/>
      <c r="AA388" s="548"/>
      <c r="AB388" s="548"/>
      <c r="AC388" s="548"/>
      <c r="AD388" s="548"/>
      <c r="AE388" s="548"/>
      <c r="AF388" s="548"/>
      <c r="AG388" s="548"/>
      <c r="AH388" s="548"/>
      <c r="AI388" s="548"/>
      <c r="AJ388" s="548"/>
      <c r="AK388" s="548"/>
      <c r="AL388" s="548"/>
      <c r="AM388" s="548"/>
      <c r="AN388" s="548"/>
      <c r="AO388" s="548"/>
    </row>
    <row r="389">
      <c r="G389" s="548"/>
      <c r="H389" s="548"/>
      <c r="I389" s="548"/>
      <c r="J389" s="548"/>
      <c r="K389" s="548"/>
      <c r="L389" s="548"/>
      <c r="M389" s="548"/>
      <c r="N389" s="548"/>
      <c r="O389" s="548"/>
      <c r="P389" s="548"/>
      <c r="Q389" s="548"/>
      <c r="R389" s="548"/>
      <c r="S389" s="548"/>
      <c r="T389" s="548"/>
      <c r="U389" s="548"/>
      <c r="V389" s="548"/>
      <c r="W389" s="548"/>
      <c r="X389" s="548"/>
      <c r="Y389" s="548"/>
      <c r="Z389" s="548"/>
      <c r="AA389" s="548"/>
      <c r="AB389" s="548"/>
      <c r="AC389" s="548"/>
      <c r="AD389" s="548"/>
      <c r="AE389" s="548"/>
      <c r="AF389" s="548"/>
      <c r="AG389" s="548"/>
      <c r="AH389" s="548"/>
      <c r="AI389" s="548"/>
      <c r="AJ389" s="548"/>
      <c r="AK389" s="548"/>
      <c r="AL389" s="548"/>
      <c r="AM389" s="548"/>
      <c r="AN389" s="548"/>
      <c r="AO389" s="548"/>
    </row>
    <row r="390">
      <c r="G390" s="548"/>
      <c r="H390" s="548"/>
      <c r="I390" s="548"/>
      <c r="J390" s="548"/>
      <c r="K390" s="548"/>
      <c r="L390" s="548"/>
      <c r="M390" s="548"/>
      <c r="N390" s="548"/>
      <c r="O390" s="548"/>
      <c r="P390" s="548"/>
      <c r="Q390" s="548"/>
      <c r="R390" s="548"/>
      <c r="S390" s="548"/>
      <c r="T390" s="548"/>
      <c r="U390" s="548"/>
      <c r="V390" s="548"/>
      <c r="W390" s="548"/>
      <c r="X390" s="548"/>
      <c r="Y390" s="548"/>
      <c r="Z390" s="548"/>
      <c r="AA390" s="548"/>
      <c r="AB390" s="548"/>
      <c r="AC390" s="548"/>
      <c r="AD390" s="548"/>
      <c r="AE390" s="548"/>
      <c r="AF390" s="548"/>
      <c r="AG390" s="548"/>
      <c r="AH390" s="548"/>
      <c r="AI390" s="548"/>
      <c r="AJ390" s="548"/>
      <c r="AK390" s="548"/>
      <c r="AL390" s="548"/>
      <c r="AM390" s="548"/>
      <c r="AN390" s="548"/>
      <c r="AO390" s="548"/>
    </row>
    <row r="391">
      <c r="G391" s="548"/>
      <c r="H391" s="548"/>
      <c r="I391" s="548"/>
      <c r="J391" s="548"/>
      <c r="K391" s="548"/>
      <c r="L391" s="548"/>
      <c r="M391" s="548"/>
      <c r="N391" s="548"/>
      <c r="O391" s="548"/>
      <c r="P391" s="548"/>
      <c r="Q391" s="548"/>
      <c r="R391" s="548"/>
      <c r="S391" s="548"/>
      <c r="T391" s="548"/>
      <c r="U391" s="548"/>
      <c r="V391" s="548"/>
      <c r="W391" s="548"/>
      <c r="X391" s="548"/>
      <c r="Y391" s="548"/>
      <c r="Z391" s="548"/>
      <c r="AA391" s="548"/>
      <c r="AB391" s="548"/>
      <c r="AC391" s="548"/>
      <c r="AD391" s="548"/>
      <c r="AE391" s="548"/>
      <c r="AF391" s="548"/>
      <c r="AG391" s="548"/>
      <c r="AH391" s="548"/>
      <c r="AI391" s="548"/>
      <c r="AJ391" s="548"/>
      <c r="AK391" s="548"/>
      <c r="AL391" s="548"/>
      <c r="AM391" s="548"/>
      <c r="AN391" s="548"/>
      <c r="AO391" s="548"/>
    </row>
    <row r="392">
      <c r="G392" s="548"/>
      <c r="H392" s="548"/>
      <c r="I392" s="548"/>
      <c r="J392" s="548"/>
      <c r="K392" s="548"/>
      <c r="L392" s="548"/>
      <c r="M392" s="548"/>
      <c r="N392" s="548"/>
      <c r="O392" s="548"/>
      <c r="P392" s="548"/>
      <c r="Q392" s="548"/>
      <c r="R392" s="548"/>
      <c r="S392" s="548"/>
      <c r="T392" s="548"/>
      <c r="U392" s="548"/>
      <c r="V392" s="548"/>
      <c r="W392" s="548"/>
      <c r="X392" s="548"/>
      <c r="Y392" s="548"/>
      <c r="Z392" s="548"/>
      <c r="AA392" s="548"/>
      <c r="AB392" s="548"/>
      <c r="AC392" s="548"/>
      <c r="AD392" s="548"/>
      <c r="AE392" s="548"/>
      <c r="AF392" s="548"/>
      <c r="AG392" s="548"/>
      <c r="AH392" s="548"/>
      <c r="AI392" s="548"/>
      <c r="AJ392" s="548"/>
      <c r="AK392" s="548"/>
      <c r="AL392" s="548"/>
      <c r="AM392" s="548"/>
      <c r="AN392" s="548"/>
      <c r="AO392" s="548"/>
    </row>
    <row r="393">
      <c r="G393" s="548"/>
      <c r="H393" s="548"/>
      <c r="I393" s="548"/>
      <c r="J393" s="548"/>
      <c r="K393" s="548"/>
      <c r="L393" s="548"/>
      <c r="M393" s="548"/>
      <c r="N393" s="548"/>
      <c r="O393" s="548"/>
      <c r="P393" s="548"/>
      <c r="Q393" s="548"/>
      <c r="R393" s="548"/>
      <c r="S393" s="548"/>
      <c r="T393" s="548"/>
      <c r="U393" s="548"/>
      <c r="V393" s="548"/>
      <c r="W393" s="548"/>
      <c r="X393" s="548"/>
      <c r="Y393" s="548"/>
      <c r="Z393" s="548"/>
      <c r="AA393" s="548"/>
      <c r="AB393" s="548"/>
      <c r="AC393" s="548"/>
      <c r="AD393" s="548"/>
      <c r="AE393" s="548"/>
      <c r="AF393" s="548"/>
      <c r="AG393" s="548"/>
      <c r="AH393" s="548"/>
      <c r="AI393" s="548"/>
      <c r="AJ393" s="548"/>
      <c r="AK393" s="548"/>
      <c r="AL393" s="548"/>
      <c r="AM393" s="548"/>
      <c r="AN393" s="548"/>
      <c r="AO393" s="548"/>
    </row>
    <row r="394">
      <c r="G394" s="548"/>
      <c r="H394" s="548"/>
      <c r="I394" s="548"/>
      <c r="J394" s="548"/>
      <c r="K394" s="548"/>
      <c r="L394" s="548"/>
      <c r="M394" s="548"/>
      <c r="N394" s="548"/>
      <c r="O394" s="548"/>
      <c r="P394" s="548"/>
      <c r="Q394" s="548"/>
      <c r="R394" s="548"/>
      <c r="S394" s="548"/>
      <c r="T394" s="548"/>
      <c r="U394" s="548"/>
      <c r="V394" s="548"/>
      <c r="W394" s="548"/>
      <c r="X394" s="548"/>
      <c r="Y394" s="548"/>
      <c r="Z394" s="548"/>
      <c r="AA394" s="548"/>
      <c r="AB394" s="548"/>
      <c r="AC394" s="548"/>
      <c r="AD394" s="548"/>
      <c r="AE394" s="548"/>
      <c r="AF394" s="548"/>
      <c r="AG394" s="548"/>
      <c r="AH394" s="548"/>
      <c r="AI394" s="548"/>
      <c r="AJ394" s="548"/>
      <c r="AK394" s="548"/>
      <c r="AL394" s="548"/>
      <c r="AM394" s="548"/>
      <c r="AN394" s="548"/>
      <c r="AO394" s="548"/>
    </row>
    <row r="395">
      <c r="G395" s="548"/>
      <c r="H395" s="548"/>
      <c r="I395" s="548"/>
      <c r="J395" s="548"/>
      <c r="K395" s="548"/>
      <c r="L395" s="548"/>
      <c r="M395" s="548"/>
      <c r="N395" s="548"/>
      <c r="O395" s="548"/>
      <c r="P395" s="548"/>
      <c r="Q395" s="548"/>
      <c r="R395" s="548"/>
      <c r="S395" s="548"/>
      <c r="T395" s="548"/>
      <c r="U395" s="548"/>
      <c r="V395" s="548"/>
      <c r="W395" s="548"/>
      <c r="X395" s="548"/>
      <c r="Y395" s="548"/>
      <c r="Z395" s="548"/>
      <c r="AA395" s="548"/>
      <c r="AB395" s="548"/>
      <c r="AC395" s="548"/>
      <c r="AD395" s="548"/>
      <c r="AE395" s="548"/>
      <c r="AF395" s="548"/>
      <c r="AG395" s="548"/>
      <c r="AH395" s="548"/>
      <c r="AI395" s="548"/>
      <c r="AJ395" s="548"/>
      <c r="AK395" s="548"/>
      <c r="AL395" s="548"/>
      <c r="AM395" s="548"/>
      <c r="AN395" s="548"/>
      <c r="AO395" s="548"/>
    </row>
    <row r="396">
      <c r="G396" s="548"/>
      <c r="H396" s="548"/>
      <c r="I396" s="548"/>
      <c r="J396" s="548"/>
      <c r="K396" s="548"/>
      <c r="L396" s="548"/>
      <c r="M396" s="548"/>
      <c r="N396" s="548"/>
      <c r="O396" s="548"/>
      <c r="P396" s="548"/>
      <c r="Q396" s="548"/>
      <c r="R396" s="548"/>
      <c r="S396" s="548"/>
      <c r="T396" s="548"/>
      <c r="U396" s="548"/>
      <c r="V396" s="548"/>
      <c r="W396" s="548"/>
      <c r="X396" s="548"/>
      <c r="Y396" s="548"/>
      <c r="Z396" s="548"/>
      <c r="AA396" s="548"/>
      <c r="AB396" s="548"/>
      <c r="AC396" s="548"/>
      <c r="AD396" s="548"/>
      <c r="AE396" s="548"/>
      <c r="AF396" s="548"/>
      <c r="AG396" s="548"/>
      <c r="AH396" s="548"/>
      <c r="AI396" s="548"/>
      <c r="AJ396" s="548"/>
      <c r="AK396" s="548"/>
      <c r="AL396" s="548"/>
      <c r="AM396" s="548"/>
      <c r="AN396" s="548"/>
      <c r="AO396" s="548"/>
    </row>
    <row r="397">
      <c r="G397" s="548"/>
      <c r="H397" s="548"/>
      <c r="I397" s="548"/>
      <c r="J397" s="548"/>
      <c r="K397" s="548"/>
      <c r="L397" s="548"/>
      <c r="M397" s="548"/>
      <c r="N397" s="548"/>
      <c r="O397" s="548"/>
      <c r="P397" s="548"/>
      <c r="Q397" s="548"/>
      <c r="R397" s="548"/>
      <c r="S397" s="548"/>
      <c r="T397" s="548"/>
      <c r="U397" s="548"/>
      <c r="V397" s="548"/>
      <c r="W397" s="548"/>
      <c r="X397" s="548"/>
      <c r="Y397" s="548"/>
      <c r="Z397" s="548"/>
      <c r="AA397" s="548"/>
      <c r="AB397" s="548"/>
      <c r="AC397" s="548"/>
      <c r="AD397" s="548"/>
      <c r="AE397" s="548"/>
      <c r="AF397" s="548"/>
      <c r="AG397" s="548"/>
      <c r="AH397" s="548"/>
      <c r="AI397" s="548"/>
      <c r="AJ397" s="548"/>
      <c r="AK397" s="548"/>
      <c r="AL397" s="548"/>
      <c r="AM397" s="548"/>
      <c r="AN397" s="548"/>
      <c r="AO397" s="548"/>
    </row>
    <row r="398">
      <c r="G398" s="548"/>
      <c r="H398" s="548"/>
      <c r="I398" s="548"/>
      <c r="J398" s="548"/>
      <c r="K398" s="548"/>
      <c r="L398" s="548"/>
      <c r="M398" s="548"/>
      <c r="N398" s="548"/>
      <c r="O398" s="548"/>
      <c r="P398" s="548"/>
      <c r="Q398" s="548"/>
      <c r="R398" s="548"/>
      <c r="S398" s="548"/>
      <c r="T398" s="548"/>
      <c r="U398" s="548"/>
      <c r="V398" s="548"/>
      <c r="W398" s="548"/>
      <c r="X398" s="548"/>
      <c r="Y398" s="548"/>
      <c r="Z398" s="548"/>
      <c r="AA398" s="548"/>
      <c r="AB398" s="548"/>
      <c r="AC398" s="548"/>
      <c r="AD398" s="548"/>
      <c r="AE398" s="548"/>
      <c r="AF398" s="548"/>
      <c r="AG398" s="548"/>
      <c r="AH398" s="548"/>
      <c r="AI398" s="548"/>
      <c r="AJ398" s="548"/>
      <c r="AK398" s="548"/>
      <c r="AL398" s="548"/>
      <c r="AM398" s="548"/>
      <c r="AN398" s="548"/>
      <c r="AO398" s="548"/>
    </row>
    <row r="399">
      <c r="G399" s="548"/>
      <c r="H399" s="548"/>
      <c r="I399" s="548"/>
      <c r="J399" s="548"/>
      <c r="K399" s="548"/>
      <c r="L399" s="548"/>
      <c r="M399" s="548"/>
      <c r="N399" s="548"/>
      <c r="O399" s="548"/>
      <c r="P399" s="548"/>
      <c r="Q399" s="548"/>
      <c r="R399" s="548"/>
      <c r="S399" s="548"/>
      <c r="T399" s="548"/>
      <c r="U399" s="548"/>
      <c r="V399" s="548"/>
      <c r="W399" s="548"/>
      <c r="X399" s="548"/>
      <c r="Y399" s="548"/>
      <c r="Z399" s="548"/>
      <c r="AA399" s="548"/>
      <c r="AB399" s="548"/>
      <c r="AC399" s="548"/>
      <c r="AD399" s="548"/>
      <c r="AE399" s="548"/>
      <c r="AF399" s="548"/>
      <c r="AG399" s="548"/>
      <c r="AH399" s="548"/>
      <c r="AI399" s="548"/>
      <c r="AJ399" s="548"/>
      <c r="AK399" s="548"/>
      <c r="AL399" s="548"/>
      <c r="AM399" s="548"/>
      <c r="AN399" s="548"/>
      <c r="AO399" s="548"/>
    </row>
    <row r="400">
      <c r="G400" s="548"/>
      <c r="H400" s="548"/>
      <c r="I400" s="548"/>
      <c r="J400" s="548"/>
      <c r="K400" s="548"/>
      <c r="L400" s="548"/>
      <c r="M400" s="548"/>
      <c r="N400" s="548"/>
      <c r="O400" s="548"/>
      <c r="P400" s="548"/>
      <c r="Q400" s="548"/>
      <c r="R400" s="548"/>
      <c r="S400" s="548"/>
      <c r="T400" s="548"/>
      <c r="U400" s="548"/>
      <c r="V400" s="548"/>
      <c r="W400" s="548"/>
      <c r="X400" s="548"/>
      <c r="Y400" s="548"/>
      <c r="Z400" s="548"/>
      <c r="AA400" s="548"/>
      <c r="AB400" s="548"/>
      <c r="AC400" s="548"/>
      <c r="AD400" s="548"/>
      <c r="AE400" s="548"/>
      <c r="AF400" s="548"/>
      <c r="AG400" s="548"/>
      <c r="AH400" s="548"/>
      <c r="AI400" s="548"/>
      <c r="AJ400" s="548"/>
      <c r="AK400" s="548"/>
      <c r="AL400" s="548"/>
      <c r="AM400" s="548"/>
      <c r="AN400" s="548"/>
      <c r="AO400" s="548"/>
    </row>
    <row r="401">
      <c r="G401" s="548"/>
      <c r="H401" s="548"/>
      <c r="I401" s="548"/>
      <c r="J401" s="548"/>
      <c r="K401" s="548"/>
      <c r="L401" s="548"/>
      <c r="M401" s="548"/>
      <c r="N401" s="548"/>
      <c r="O401" s="548"/>
      <c r="P401" s="548"/>
      <c r="Q401" s="548"/>
      <c r="R401" s="548"/>
      <c r="S401" s="548"/>
      <c r="T401" s="548"/>
      <c r="U401" s="548"/>
      <c r="V401" s="548"/>
      <c r="W401" s="548"/>
      <c r="X401" s="548"/>
      <c r="Y401" s="548"/>
      <c r="Z401" s="548"/>
      <c r="AA401" s="548"/>
      <c r="AB401" s="548"/>
      <c r="AC401" s="548"/>
      <c r="AD401" s="548"/>
      <c r="AE401" s="548"/>
      <c r="AF401" s="548"/>
      <c r="AG401" s="548"/>
      <c r="AH401" s="548"/>
      <c r="AI401" s="548"/>
      <c r="AJ401" s="548"/>
      <c r="AK401" s="548"/>
      <c r="AL401" s="548"/>
      <c r="AM401" s="548"/>
      <c r="AN401" s="548"/>
      <c r="AO401" s="548"/>
    </row>
    <row r="402">
      <c r="G402" s="548"/>
      <c r="H402" s="548"/>
      <c r="I402" s="548"/>
      <c r="J402" s="548"/>
      <c r="K402" s="548"/>
      <c r="L402" s="548"/>
      <c r="M402" s="548"/>
      <c r="N402" s="548"/>
      <c r="O402" s="548"/>
      <c r="P402" s="548"/>
      <c r="Q402" s="548"/>
      <c r="R402" s="548"/>
      <c r="S402" s="548"/>
      <c r="T402" s="548"/>
      <c r="U402" s="548"/>
      <c r="V402" s="548"/>
      <c r="W402" s="548"/>
      <c r="X402" s="548"/>
      <c r="Y402" s="548"/>
      <c r="Z402" s="548"/>
      <c r="AA402" s="548"/>
      <c r="AB402" s="548"/>
      <c r="AC402" s="548"/>
      <c r="AD402" s="548"/>
      <c r="AE402" s="548"/>
      <c r="AF402" s="548"/>
      <c r="AG402" s="548"/>
      <c r="AH402" s="548"/>
      <c r="AI402" s="548"/>
      <c r="AJ402" s="548"/>
      <c r="AK402" s="548"/>
      <c r="AL402" s="548"/>
      <c r="AM402" s="548"/>
      <c r="AN402" s="548"/>
      <c r="AO402" s="548"/>
    </row>
    <row r="403">
      <c r="G403" s="548"/>
      <c r="H403" s="548"/>
      <c r="I403" s="548"/>
      <c r="J403" s="548"/>
      <c r="K403" s="548"/>
      <c r="L403" s="548"/>
      <c r="M403" s="548"/>
      <c r="N403" s="548"/>
      <c r="O403" s="548"/>
      <c r="P403" s="548"/>
      <c r="Q403" s="548"/>
      <c r="R403" s="548"/>
      <c r="S403" s="548"/>
      <c r="T403" s="548"/>
      <c r="U403" s="548"/>
      <c r="V403" s="548"/>
      <c r="W403" s="548"/>
      <c r="X403" s="548"/>
      <c r="Y403" s="548"/>
      <c r="Z403" s="548"/>
      <c r="AA403" s="548"/>
      <c r="AB403" s="548"/>
      <c r="AC403" s="548"/>
      <c r="AD403" s="548"/>
      <c r="AE403" s="548"/>
      <c r="AF403" s="548"/>
      <c r="AG403" s="548"/>
      <c r="AH403" s="548"/>
      <c r="AI403" s="548"/>
      <c r="AJ403" s="548"/>
      <c r="AK403" s="548"/>
      <c r="AL403" s="548"/>
      <c r="AM403" s="548"/>
      <c r="AN403" s="548"/>
      <c r="AO403" s="548"/>
    </row>
    <row r="404">
      <c r="G404" s="548"/>
      <c r="H404" s="548"/>
      <c r="I404" s="548"/>
      <c r="J404" s="548"/>
      <c r="K404" s="548"/>
      <c r="L404" s="548"/>
      <c r="M404" s="548"/>
      <c r="N404" s="548"/>
      <c r="O404" s="548"/>
      <c r="P404" s="548"/>
      <c r="Q404" s="548"/>
      <c r="R404" s="548"/>
      <c r="S404" s="548"/>
      <c r="T404" s="548"/>
      <c r="U404" s="548"/>
      <c r="V404" s="548"/>
      <c r="W404" s="548"/>
      <c r="X404" s="548"/>
      <c r="Y404" s="548"/>
      <c r="Z404" s="548"/>
      <c r="AA404" s="548"/>
      <c r="AB404" s="548"/>
      <c r="AC404" s="548"/>
      <c r="AD404" s="548"/>
      <c r="AE404" s="548"/>
      <c r="AF404" s="548"/>
      <c r="AG404" s="548"/>
      <c r="AH404" s="548"/>
      <c r="AI404" s="548"/>
      <c r="AJ404" s="548"/>
      <c r="AK404" s="548"/>
      <c r="AL404" s="548"/>
      <c r="AM404" s="548"/>
      <c r="AN404" s="548"/>
      <c r="AO404" s="548"/>
    </row>
    <row r="405">
      <c r="G405" s="548"/>
      <c r="H405" s="548"/>
      <c r="I405" s="548"/>
      <c r="J405" s="548"/>
      <c r="K405" s="548"/>
      <c r="L405" s="548"/>
      <c r="M405" s="548"/>
      <c r="N405" s="548"/>
      <c r="O405" s="548"/>
      <c r="P405" s="548"/>
      <c r="Q405" s="548"/>
      <c r="R405" s="548"/>
      <c r="S405" s="548"/>
      <c r="T405" s="548"/>
      <c r="U405" s="548"/>
      <c r="V405" s="548"/>
      <c r="W405" s="548"/>
      <c r="X405" s="548"/>
      <c r="Y405" s="548"/>
      <c r="Z405" s="548"/>
      <c r="AA405" s="548"/>
      <c r="AB405" s="548"/>
      <c r="AC405" s="548"/>
      <c r="AD405" s="548"/>
      <c r="AE405" s="548"/>
      <c r="AF405" s="548"/>
      <c r="AG405" s="548"/>
      <c r="AH405" s="548"/>
      <c r="AI405" s="548"/>
      <c r="AJ405" s="548"/>
      <c r="AK405" s="548"/>
      <c r="AL405" s="548"/>
      <c r="AM405" s="548"/>
      <c r="AN405" s="548"/>
      <c r="AO405" s="548"/>
    </row>
    <row r="406">
      <c r="G406" s="548"/>
      <c r="H406" s="548"/>
      <c r="I406" s="548"/>
      <c r="J406" s="548"/>
      <c r="K406" s="548"/>
      <c r="L406" s="548"/>
      <c r="M406" s="548"/>
      <c r="N406" s="548"/>
      <c r="O406" s="548"/>
      <c r="P406" s="548"/>
      <c r="Q406" s="548"/>
      <c r="R406" s="548"/>
      <c r="S406" s="548"/>
      <c r="T406" s="548"/>
      <c r="U406" s="548"/>
      <c r="V406" s="548"/>
      <c r="W406" s="548"/>
      <c r="X406" s="548"/>
      <c r="Y406" s="548"/>
      <c r="Z406" s="548"/>
      <c r="AA406" s="548"/>
      <c r="AB406" s="548"/>
      <c r="AC406" s="548"/>
      <c r="AD406" s="548"/>
      <c r="AE406" s="548"/>
      <c r="AF406" s="548"/>
      <c r="AG406" s="548"/>
      <c r="AH406" s="548"/>
      <c r="AI406" s="548"/>
      <c r="AJ406" s="548"/>
      <c r="AK406" s="548"/>
      <c r="AL406" s="548"/>
      <c r="AM406" s="548"/>
      <c r="AN406" s="548"/>
      <c r="AO406" s="548"/>
    </row>
    <row r="407">
      <c r="G407" s="548"/>
      <c r="H407" s="548"/>
      <c r="I407" s="548"/>
      <c r="J407" s="548"/>
      <c r="K407" s="548"/>
      <c r="L407" s="548"/>
      <c r="M407" s="548"/>
      <c r="N407" s="548"/>
      <c r="O407" s="548"/>
      <c r="P407" s="548"/>
      <c r="Q407" s="548"/>
      <c r="R407" s="548"/>
      <c r="S407" s="548"/>
      <c r="T407" s="548"/>
      <c r="U407" s="548"/>
      <c r="V407" s="548"/>
      <c r="W407" s="548"/>
      <c r="X407" s="548"/>
      <c r="Y407" s="548"/>
      <c r="Z407" s="548"/>
      <c r="AA407" s="548"/>
      <c r="AB407" s="548"/>
      <c r="AC407" s="548"/>
      <c r="AD407" s="548"/>
      <c r="AE407" s="548"/>
      <c r="AF407" s="548"/>
      <c r="AG407" s="548"/>
      <c r="AH407" s="548"/>
      <c r="AI407" s="548"/>
      <c r="AJ407" s="548"/>
      <c r="AK407" s="548"/>
      <c r="AL407" s="548"/>
      <c r="AM407" s="548"/>
      <c r="AN407" s="548"/>
      <c r="AO407" s="548"/>
    </row>
    <row r="408">
      <c r="G408" s="548"/>
      <c r="H408" s="548"/>
      <c r="I408" s="548"/>
      <c r="J408" s="548"/>
      <c r="K408" s="548"/>
      <c r="L408" s="548"/>
      <c r="M408" s="548"/>
      <c r="N408" s="548"/>
      <c r="O408" s="548"/>
      <c r="P408" s="548"/>
      <c r="Q408" s="548"/>
      <c r="R408" s="548"/>
      <c r="S408" s="548"/>
      <c r="T408" s="548"/>
      <c r="U408" s="548"/>
      <c r="V408" s="548"/>
      <c r="W408" s="548"/>
      <c r="X408" s="548"/>
      <c r="Y408" s="548"/>
      <c r="Z408" s="548"/>
      <c r="AA408" s="548"/>
      <c r="AB408" s="548"/>
      <c r="AC408" s="548"/>
      <c r="AD408" s="548"/>
      <c r="AE408" s="548"/>
      <c r="AF408" s="548"/>
      <c r="AG408" s="548"/>
      <c r="AH408" s="548"/>
      <c r="AI408" s="548"/>
      <c r="AJ408" s="548"/>
      <c r="AK408" s="548"/>
      <c r="AL408" s="548"/>
      <c r="AM408" s="548"/>
      <c r="AN408" s="548"/>
      <c r="AO408" s="548"/>
    </row>
    <row r="409">
      <c r="G409" s="548"/>
      <c r="H409" s="548"/>
      <c r="I409" s="548"/>
      <c r="J409" s="548"/>
      <c r="K409" s="548"/>
      <c r="L409" s="548"/>
      <c r="M409" s="548"/>
      <c r="N409" s="548"/>
      <c r="O409" s="548"/>
      <c r="P409" s="548"/>
      <c r="Q409" s="548"/>
      <c r="R409" s="548"/>
      <c r="S409" s="548"/>
      <c r="T409" s="548"/>
      <c r="U409" s="548"/>
      <c r="V409" s="548"/>
      <c r="W409" s="548"/>
      <c r="X409" s="548"/>
      <c r="Y409" s="548"/>
      <c r="Z409" s="548"/>
      <c r="AA409" s="548"/>
      <c r="AB409" s="548"/>
      <c r="AC409" s="548"/>
      <c r="AD409" s="548"/>
      <c r="AE409" s="548"/>
      <c r="AF409" s="548"/>
      <c r="AG409" s="548"/>
      <c r="AH409" s="548"/>
      <c r="AI409" s="548"/>
      <c r="AJ409" s="548"/>
      <c r="AK409" s="548"/>
      <c r="AL409" s="548"/>
      <c r="AM409" s="548"/>
      <c r="AN409" s="548"/>
      <c r="AO409" s="548"/>
    </row>
    <row r="410">
      <c r="G410" s="548"/>
      <c r="H410" s="548"/>
      <c r="I410" s="548"/>
      <c r="J410" s="548"/>
      <c r="K410" s="548"/>
      <c r="L410" s="548"/>
      <c r="M410" s="548"/>
      <c r="N410" s="548"/>
      <c r="O410" s="548"/>
      <c r="P410" s="548"/>
      <c r="Q410" s="548"/>
      <c r="R410" s="548"/>
      <c r="S410" s="548"/>
      <c r="T410" s="548"/>
      <c r="U410" s="548"/>
      <c r="V410" s="548"/>
      <c r="W410" s="548"/>
      <c r="X410" s="548"/>
      <c r="Y410" s="548"/>
      <c r="Z410" s="548"/>
      <c r="AA410" s="548"/>
      <c r="AB410" s="548"/>
      <c r="AC410" s="548"/>
      <c r="AD410" s="548"/>
      <c r="AE410" s="548"/>
      <c r="AF410" s="548"/>
      <c r="AG410" s="548"/>
      <c r="AH410" s="548"/>
      <c r="AI410" s="548"/>
      <c r="AJ410" s="548"/>
      <c r="AK410" s="548"/>
      <c r="AL410" s="548"/>
      <c r="AM410" s="548"/>
      <c r="AN410" s="548"/>
      <c r="AO410" s="548"/>
    </row>
    <row r="411">
      <c r="G411" s="548"/>
      <c r="H411" s="548"/>
      <c r="I411" s="548"/>
      <c r="J411" s="548"/>
      <c r="K411" s="548"/>
      <c r="L411" s="548"/>
      <c r="M411" s="548"/>
      <c r="N411" s="548"/>
      <c r="O411" s="548"/>
      <c r="P411" s="548"/>
      <c r="Q411" s="548"/>
      <c r="R411" s="548"/>
      <c r="S411" s="548"/>
      <c r="T411" s="548"/>
      <c r="U411" s="548"/>
      <c r="V411" s="548"/>
      <c r="W411" s="548"/>
      <c r="X411" s="548"/>
      <c r="Y411" s="548"/>
      <c r="Z411" s="548"/>
      <c r="AA411" s="548"/>
      <c r="AB411" s="548"/>
      <c r="AC411" s="548"/>
      <c r="AD411" s="548"/>
      <c r="AE411" s="548"/>
      <c r="AF411" s="548"/>
      <c r="AG411" s="548"/>
      <c r="AH411" s="548"/>
      <c r="AI411" s="548"/>
      <c r="AJ411" s="548"/>
      <c r="AK411" s="548"/>
      <c r="AL411" s="548"/>
      <c r="AM411" s="548"/>
      <c r="AN411" s="548"/>
      <c r="AO411" s="548"/>
    </row>
    <row r="412">
      <c r="G412" s="548"/>
      <c r="H412" s="548"/>
      <c r="I412" s="548"/>
      <c r="J412" s="548"/>
      <c r="K412" s="548"/>
      <c r="L412" s="548"/>
      <c r="M412" s="548"/>
      <c r="N412" s="548"/>
      <c r="O412" s="548"/>
      <c r="P412" s="548"/>
      <c r="Q412" s="548"/>
      <c r="R412" s="548"/>
      <c r="S412" s="548"/>
      <c r="T412" s="548"/>
      <c r="U412" s="548"/>
      <c r="V412" s="548"/>
      <c r="W412" s="548"/>
      <c r="X412" s="548"/>
      <c r="Y412" s="548"/>
      <c r="Z412" s="548"/>
      <c r="AA412" s="548"/>
      <c r="AB412" s="548"/>
      <c r="AC412" s="548"/>
      <c r="AD412" s="548"/>
      <c r="AE412" s="548"/>
      <c r="AF412" s="548"/>
      <c r="AG412" s="548"/>
      <c r="AH412" s="548"/>
      <c r="AI412" s="548"/>
      <c r="AJ412" s="548"/>
      <c r="AK412" s="548"/>
      <c r="AL412" s="548"/>
      <c r="AM412" s="548"/>
      <c r="AN412" s="548"/>
      <c r="AO412" s="548"/>
    </row>
    <row r="413">
      <c r="G413" s="548"/>
      <c r="H413" s="548"/>
      <c r="I413" s="548"/>
      <c r="J413" s="548"/>
      <c r="K413" s="548"/>
      <c r="L413" s="548"/>
      <c r="M413" s="548"/>
      <c r="N413" s="548"/>
      <c r="O413" s="548"/>
      <c r="P413" s="548"/>
      <c r="Q413" s="548"/>
      <c r="R413" s="548"/>
      <c r="S413" s="548"/>
      <c r="T413" s="548"/>
      <c r="U413" s="548"/>
      <c r="V413" s="548"/>
      <c r="W413" s="548"/>
      <c r="X413" s="548"/>
      <c r="Y413" s="548"/>
      <c r="Z413" s="548"/>
      <c r="AA413" s="548"/>
      <c r="AB413" s="548"/>
      <c r="AC413" s="548"/>
      <c r="AD413" s="548"/>
      <c r="AE413" s="548"/>
      <c r="AF413" s="548"/>
      <c r="AG413" s="548"/>
      <c r="AH413" s="548"/>
      <c r="AI413" s="548"/>
      <c r="AJ413" s="548"/>
      <c r="AK413" s="548"/>
      <c r="AL413" s="548"/>
      <c r="AM413" s="548"/>
      <c r="AN413" s="548"/>
      <c r="AO413" s="548"/>
    </row>
    <row r="414">
      <c r="G414" s="548"/>
      <c r="H414" s="548"/>
      <c r="I414" s="548"/>
      <c r="J414" s="548"/>
      <c r="K414" s="548"/>
      <c r="L414" s="548"/>
      <c r="M414" s="548"/>
      <c r="N414" s="548"/>
      <c r="O414" s="548"/>
      <c r="P414" s="548"/>
      <c r="Q414" s="548"/>
      <c r="R414" s="548"/>
      <c r="S414" s="548"/>
      <c r="T414" s="548"/>
      <c r="U414" s="548"/>
      <c r="V414" s="548"/>
      <c r="W414" s="548"/>
      <c r="X414" s="548"/>
      <c r="Y414" s="548"/>
      <c r="Z414" s="548"/>
      <c r="AA414" s="548"/>
      <c r="AB414" s="548"/>
      <c r="AC414" s="548"/>
      <c r="AD414" s="548"/>
      <c r="AE414" s="548"/>
      <c r="AF414" s="548"/>
      <c r="AG414" s="548"/>
      <c r="AH414" s="548"/>
      <c r="AI414" s="548"/>
      <c r="AJ414" s="548"/>
      <c r="AK414" s="548"/>
      <c r="AL414" s="548"/>
      <c r="AM414" s="548"/>
      <c r="AN414" s="548"/>
      <c r="AO414" s="548"/>
    </row>
    <row r="415">
      <c r="G415" s="548"/>
      <c r="H415" s="548"/>
      <c r="I415" s="548"/>
      <c r="J415" s="548"/>
      <c r="K415" s="548"/>
      <c r="L415" s="548"/>
      <c r="M415" s="548"/>
      <c r="N415" s="548"/>
      <c r="O415" s="548"/>
      <c r="P415" s="548"/>
      <c r="Q415" s="548"/>
      <c r="R415" s="548"/>
      <c r="S415" s="548"/>
      <c r="T415" s="548"/>
      <c r="U415" s="548"/>
      <c r="V415" s="548"/>
      <c r="W415" s="548"/>
      <c r="X415" s="548"/>
      <c r="Y415" s="548"/>
      <c r="Z415" s="548"/>
      <c r="AA415" s="548"/>
      <c r="AB415" s="548"/>
      <c r="AC415" s="548"/>
      <c r="AD415" s="548"/>
      <c r="AE415" s="548"/>
      <c r="AF415" s="548"/>
      <c r="AG415" s="548"/>
      <c r="AH415" s="548"/>
      <c r="AI415" s="548"/>
      <c r="AJ415" s="548"/>
      <c r="AK415" s="548"/>
      <c r="AL415" s="548"/>
      <c r="AM415" s="548"/>
      <c r="AN415" s="548"/>
      <c r="AO415" s="548"/>
    </row>
    <row r="416">
      <c r="G416" s="548"/>
      <c r="H416" s="548"/>
      <c r="I416" s="548"/>
      <c r="J416" s="548"/>
      <c r="K416" s="548"/>
      <c r="L416" s="548"/>
      <c r="M416" s="548"/>
      <c r="N416" s="548"/>
      <c r="O416" s="548"/>
      <c r="P416" s="548"/>
      <c r="Q416" s="548"/>
      <c r="R416" s="548"/>
      <c r="S416" s="548"/>
      <c r="T416" s="548"/>
      <c r="U416" s="548"/>
      <c r="V416" s="548"/>
      <c r="W416" s="548"/>
      <c r="X416" s="548"/>
      <c r="Y416" s="548"/>
      <c r="Z416" s="548"/>
      <c r="AA416" s="548"/>
      <c r="AB416" s="548"/>
      <c r="AC416" s="548"/>
      <c r="AD416" s="548"/>
      <c r="AE416" s="548"/>
      <c r="AF416" s="548"/>
      <c r="AG416" s="548"/>
      <c r="AH416" s="548"/>
      <c r="AI416" s="548"/>
      <c r="AJ416" s="548"/>
      <c r="AK416" s="548"/>
      <c r="AL416" s="548"/>
      <c r="AM416" s="548"/>
      <c r="AN416" s="548"/>
      <c r="AO416" s="548"/>
    </row>
    <row r="417">
      <c r="G417" s="548"/>
      <c r="H417" s="548"/>
      <c r="I417" s="548"/>
      <c r="J417" s="548"/>
      <c r="K417" s="548"/>
      <c r="L417" s="548"/>
      <c r="M417" s="548"/>
      <c r="N417" s="548"/>
      <c r="O417" s="548"/>
      <c r="P417" s="548"/>
      <c r="Q417" s="548"/>
      <c r="R417" s="548"/>
      <c r="S417" s="548"/>
      <c r="T417" s="548"/>
      <c r="U417" s="548"/>
      <c r="V417" s="548"/>
      <c r="W417" s="548"/>
      <c r="X417" s="548"/>
      <c r="Y417" s="548"/>
      <c r="Z417" s="548"/>
      <c r="AA417" s="548"/>
      <c r="AB417" s="548"/>
      <c r="AC417" s="548"/>
      <c r="AD417" s="548"/>
      <c r="AE417" s="548"/>
      <c r="AF417" s="548"/>
      <c r="AG417" s="548"/>
      <c r="AH417" s="548"/>
      <c r="AI417" s="548"/>
      <c r="AJ417" s="548"/>
      <c r="AK417" s="548"/>
      <c r="AL417" s="548"/>
      <c r="AM417" s="548"/>
      <c r="AN417" s="548"/>
      <c r="AO417" s="548"/>
    </row>
    <row r="418">
      <c r="G418" s="548"/>
      <c r="H418" s="548"/>
      <c r="I418" s="548"/>
      <c r="J418" s="548"/>
      <c r="K418" s="548"/>
      <c r="L418" s="548"/>
      <c r="M418" s="548"/>
      <c r="N418" s="548"/>
      <c r="O418" s="548"/>
      <c r="P418" s="548"/>
      <c r="Q418" s="548"/>
      <c r="R418" s="548"/>
      <c r="S418" s="548"/>
      <c r="T418" s="548"/>
      <c r="U418" s="548"/>
      <c r="V418" s="548"/>
      <c r="W418" s="548"/>
      <c r="X418" s="548"/>
      <c r="Y418" s="548"/>
      <c r="Z418" s="548"/>
      <c r="AA418" s="548"/>
      <c r="AB418" s="548"/>
      <c r="AC418" s="548"/>
      <c r="AD418" s="548"/>
      <c r="AE418" s="548"/>
      <c r="AF418" s="548"/>
      <c r="AG418" s="548"/>
      <c r="AH418" s="548"/>
      <c r="AI418" s="548"/>
      <c r="AJ418" s="548"/>
      <c r="AK418" s="548"/>
      <c r="AL418" s="548"/>
      <c r="AM418" s="548"/>
      <c r="AN418" s="548"/>
      <c r="AO418" s="548"/>
    </row>
    <row r="419">
      <c r="G419" s="548"/>
      <c r="H419" s="548"/>
      <c r="I419" s="548"/>
      <c r="J419" s="548"/>
      <c r="K419" s="548"/>
      <c r="L419" s="548"/>
      <c r="M419" s="548"/>
      <c r="N419" s="548"/>
      <c r="O419" s="548"/>
      <c r="P419" s="548"/>
      <c r="Q419" s="548"/>
      <c r="R419" s="548"/>
      <c r="S419" s="548"/>
      <c r="T419" s="548"/>
      <c r="U419" s="548"/>
      <c r="V419" s="548"/>
      <c r="W419" s="548"/>
      <c r="X419" s="548"/>
      <c r="Y419" s="548"/>
      <c r="Z419" s="548"/>
      <c r="AA419" s="548"/>
      <c r="AB419" s="548"/>
      <c r="AC419" s="548"/>
      <c r="AD419" s="548"/>
      <c r="AE419" s="548"/>
      <c r="AF419" s="548"/>
      <c r="AG419" s="548"/>
      <c r="AH419" s="548"/>
      <c r="AI419" s="548"/>
      <c r="AJ419" s="548"/>
      <c r="AK419" s="548"/>
      <c r="AL419" s="548"/>
      <c r="AM419" s="548"/>
      <c r="AN419" s="548"/>
      <c r="AO419" s="548"/>
    </row>
    <row r="420">
      <c r="G420" s="548"/>
      <c r="H420" s="548"/>
      <c r="I420" s="548"/>
      <c r="J420" s="548"/>
      <c r="K420" s="548"/>
      <c r="L420" s="548"/>
      <c r="M420" s="548"/>
      <c r="N420" s="548"/>
      <c r="O420" s="548"/>
      <c r="P420" s="548"/>
      <c r="Q420" s="548"/>
      <c r="R420" s="548"/>
      <c r="S420" s="548"/>
      <c r="T420" s="548"/>
      <c r="U420" s="548"/>
      <c r="V420" s="548"/>
      <c r="W420" s="548"/>
      <c r="X420" s="548"/>
      <c r="Y420" s="548"/>
      <c r="Z420" s="548"/>
      <c r="AA420" s="548"/>
      <c r="AB420" s="548"/>
      <c r="AC420" s="548"/>
      <c r="AD420" s="548"/>
      <c r="AE420" s="548"/>
      <c r="AF420" s="548"/>
      <c r="AG420" s="548"/>
      <c r="AH420" s="548"/>
      <c r="AI420" s="548"/>
      <c r="AJ420" s="548"/>
      <c r="AK420" s="548"/>
      <c r="AL420" s="548"/>
      <c r="AM420" s="548"/>
      <c r="AN420" s="548"/>
      <c r="AO420" s="548"/>
    </row>
    <row r="421">
      <c r="G421" s="548"/>
      <c r="H421" s="548"/>
      <c r="I421" s="548"/>
      <c r="J421" s="548"/>
      <c r="K421" s="548"/>
      <c r="L421" s="548"/>
      <c r="M421" s="548"/>
      <c r="N421" s="548"/>
      <c r="O421" s="548"/>
      <c r="P421" s="548"/>
      <c r="Q421" s="548"/>
      <c r="R421" s="548"/>
      <c r="S421" s="548"/>
      <c r="T421" s="548"/>
      <c r="U421" s="548"/>
      <c r="V421" s="548"/>
      <c r="W421" s="548"/>
      <c r="X421" s="548"/>
      <c r="Y421" s="548"/>
      <c r="Z421" s="548"/>
      <c r="AA421" s="548"/>
      <c r="AB421" s="548"/>
      <c r="AC421" s="548"/>
      <c r="AD421" s="548"/>
      <c r="AE421" s="548"/>
      <c r="AF421" s="548"/>
      <c r="AG421" s="548"/>
      <c r="AH421" s="548"/>
      <c r="AI421" s="548"/>
      <c r="AJ421" s="548"/>
      <c r="AK421" s="548"/>
      <c r="AL421" s="548"/>
      <c r="AM421" s="548"/>
      <c r="AN421" s="548"/>
      <c r="AO421" s="548"/>
    </row>
    <row r="422">
      <c r="G422" s="548"/>
      <c r="H422" s="548"/>
      <c r="I422" s="548"/>
      <c r="J422" s="548"/>
      <c r="K422" s="548"/>
      <c r="L422" s="548"/>
      <c r="M422" s="548"/>
      <c r="N422" s="548"/>
      <c r="O422" s="548"/>
      <c r="P422" s="548"/>
      <c r="Q422" s="548"/>
      <c r="R422" s="548"/>
      <c r="S422" s="548"/>
      <c r="T422" s="548"/>
      <c r="U422" s="548"/>
      <c r="V422" s="548"/>
      <c r="W422" s="548"/>
      <c r="X422" s="548"/>
      <c r="Y422" s="548"/>
      <c r="Z422" s="548"/>
      <c r="AA422" s="548"/>
      <c r="AB422" s="548"/>
      <c r="AC422" s="548"/>
      <c r="AD422" s="548"/>
      <c r="AE422" s="548"/>
      <c r="AF422" s="548"/>
      <c r="AG422" s="548"/>
      <c r="AH422" s="548"/>
      <c r="AI422" s="548"/>
      <c r="AJ422" s="548"/>
      <c r="AK422" s="548"/>
      <c r="AL422" s="548"/>
      <c r="AM422" s="548"/>
      <c r="AN422" s="548"/>
      <c r="AO422" s="548"/>
    </row>
    <row r="423">
      <c r="G423" s="548"/>
      <c r="H423" s="548"/>
      <c r="I423" s="548"/>
      <c r="J423" s="548"/>
      <c r="K423" s="548"/>
      <c r="L423" s="548"/>
      <c r="M423" s="548"/>
      <c r="N423" s="548"/>
      <c r="O423" s="548"/>
      <c r="P423" s="548"/>
      <c r="Q423" s="548"/>
      <c r="R423" s="548"/>
      <c r="S423" s="548"/>
      <c r="T423" s="548"/>
      <c r="U423" s="548"/>
      <c r="V423" s="548"/>
      <c r="W423" s="548"/>
      <c r="X423" s="548"/>
      <c r="Y423" s="548"/>
      <c r="Z423" s="548"/>
      <c r="AA423" s="548"/>
      <c r="AB423" s="548"/>
      <c r="AC423" s="548"/>
      <c r="AD423" s="548"/>
      <c r="AE423" s="548"/>
      <c r="AF423" s="548"/>
      <c r="AG423" s="548"/>
      <c r="AH423" s="548"/>
      <c r="AI423" s="548"/>
      <c r="AJ423" s="548"/>
      <c r="AK423" s="548"/>
      <c r="AL423" s="548"/>
      <c r="AM423" s="548"/>
      <c r="AN423" s="548"/>
      <c r="AO423" s="548"/>
    </row>
    <row r="424">
      <c r="G424" s="548"/>
      <c r="H424" s="548"/>
      <c r="I424" s="548"/>
      <c r="J424" s="548"/>
      <c r="K424" s="548"/>
      <c r="L424" s="548"/>
      <c r="M424" s="548"/>
      <c r="N424" s="548"/>
      <c r="O424" s="548"/>
      <c r="P424" s="548"/>
      <c r="Q424" s="548"/>
      <c r="R424" s="548"/>
      <c r="S424" s="548"/>
      <c r="T424" s="548"/>
      <c r="U424" s="548"/>
      <c r="V424" s="548"/>
      <c r="W424" s="548"/>
      <c r="X424" s="548"/>
      <c r="Y424" s="548"/>
      <c r="Z424" s="548"/>
      <c r="AA424" s="548"/>
      <c r="AB424" s="548"/>
      <c r="AC424" s="548"/>
      <c r="AD424" s="548"/>
      <c r="AE424" s="548"/>
      <c r="AF424" s="548"/>
      <c r="AG424" s="548"/>
      <c r="AH424" s="548"/>
      <c r="AI424" s="548"/>
      <c r="AJ424" s="548"/>
      <c r="AK424" s="548"/>
      <c r="AL424" s="548"/>
      <c r="AM424" s="548"/>
      <c r="AN424" s="548"/>
      <c r="AO424" s="548"/>
    </row>
    <row r="425">
      <c r="G425" s="548"/>
      <c r="H425" s="548"/>
      <c r="I425" s="548"/>
      <c r="J425" s="548"/>
      <c r="K425" s="548"/>
      <c r="L425" s="548"/>
      <c r="M425" s="548"/>
      <c r="N425" s="548"/>
      <c r="O425" s="548"/>
      <c r="P425" s="548"/>
      <c r="Q425" s="548"/>
      <c r="R425" s="548"/>
      <c r="S425" s="548"/>
      <c r="T425" s="548"/>
      <c r="U425" s="548"/>
      <c r="V425" s="548"/>
      <c r="W425" s="548"/>
      <c r="X425" s="548"/>
      <c r="Y425" s="548"/>
      <c r="Z425" s="548"/>
      <c r="AA425" s="548"/>
      <c r="AB425" s="548"/>
      <c r="AC425" s="548"/>
      <c r="AD425" s="548"/>
      <c r="AE425" s="548"/>
      <c r="AF425" s="548"/>
      <c r="AG425" s="548"/>
      <c r="AH425" s="548"/>
      <c r="AI425" s="548"/>
      <c r="AJ425" s="548"/>
      <c r="AK425" s="548"/>
      <c r="AL425" s="548"/>
      <c r="AM425" s="548"/>
      <c r="AN425" s="548"/>
      <c r="AO425" s="548"/>
    </row>
    <row r="426">
      <c r="G426" s="548"/>
      <c r="H426" s="548"/>
      <c r="I426" s="548"/>
      <c r="J426" s="548"/>
      <c r="K426" s="548"/>
      <c r="L426" s="548"/>
      <c r="M426" s="548"/>
      <c r="N426" s="548"/>
      <c r="O426" s="548"/>
      <c r="P426" s="548"/>
      <c r="Q426" s="548"/>
      <c r="R426" s="548"/>
      <c r="S426" s="548"/>
      <c r="T426" s="548"/>
      <c r="U426" s="548"/>
      <c r="V426" s="548"/>
      <c r="W426" s="548"/>
      <c r="X426" s="548"/>
      <c r="Y426" s="548"/>
      <c r="Z426" s="548"/>
      <c r="AA426" s="548"/>
      <c r="AB426" s="548"/>
      <c r="AC426" s="548"/>
      <c r="AD426" s="548"/>
      <c r="AE426" s="548"/>
      <c r="AF426" s="548"/>
      <c r="AG426" s="548"/>
      <c r="AH426" s="548"/>
      <c r="AI426" s="548"/>
      <c r="AJ426" s="548"/>
      <c r="AK426" s="548"/>
      <c r="AL426" s="548"/>
      <c r="AM426" s="548"/>
      <c r="AN426" s="548"/>
      <c r="AO426" s="548"/>
    </row>
    <row r="427">
      <c r="G427" s="548"/>
      <c r="H427" s="548"/>
      <c r="I427" s="548"/>
      <c r="J427" s="548"/>
      <c r="K427" s="548"/>
      <c r="L427" s="548"/>
      <c r="M427" s="548"/>
      <c r="N427" s="548"/>
      <c r="O427" s="548"/>
      <c r="P427" s="548"/>
      <c r="Q427" s="548"/>
      <c r="R427" s="548"/>
      <c r="S427" s="548"/>
      <c r="T427" s="548"/>
      <c r="U427" s="548"/>
      <c r="V427" s="548"/>
      <c r="W427" s="548"/>
      <c r="X427" s="548"/>
      <c r="Y427" s="548"/>
      <c r="Z427" s="548"/>
      <c r="AA427" s="548"/>
      <c r="AB427" s="548"/>
      <c r="AC427" s="548"/>
      <c r="AD427" s="548"/>
      <c r="AE427" s="548"/>
      <c r="AF427" s="548"/>
      <c r="AG427" s="548"/>
      <c r="AH427" s="548"/>
      <c r="AI427" s="548"/>
      <c r="AJ427" s="548"/>
      <c r="AK427" s="548"/>
      <c r="AL427" s="548"/>
      <c r="AM427" s="548"/>
      <c r="AN427" s="548"/>
      <c r="AO427" s="548"/>
    </row>
    <row r="428">
      <c r="G428" s="548"/>
      <c r="H428" s="548"/>
      <c r="I428" s="548"/>
      <c r="J428" s="548"/>
      <c r="K428" s="548"/>
      <c r="L428" s="548"/>
      <c r="M428" s="548"/>
      <c r="N428" s="548"/>
      <c r="O428" s="548"/>
      <c r="P428" s="548"/>
      <c r="Q428" s="548"/>
      <c r="R428" s="548"/>
      <c r="S428" s="548"/>
      <c r="T428" s="548"/>
      <c r="U428" s="548"/>
      <c r="V428" s="548"/>
      <c r="W428" s="548"/>
      <c r="X428" s="548"/>
      <c r="Y428" s="548"/>
      <c r="Z428" s="548"/>
      <c r="AA428" s="548"/>
      <c r="AB428" s="548"/>
      <c r="AC428" s="548"/>
      <c r="AD428" s="548"/>
      <c r="AE428" s="548"/>
      <c r="AF428" s="548"/>
      <c r="AG428" s="548"/>
      <c r="AH428" s="548"/>
      <c r="AI428" s="548"/>
      <c r="AJ428" s="548"/>
      <c r="AK428" s="548"/>
      <c r="AL428" s="548"/>
      <c r="AM428" s="548"/>
      <c r="AN428" s="548"/>
      <c r="AO428" s="548"/>
    </row>
    <row r="429">
      <c r="G429" s="548"/>
      <c r="H429" s="548"/>
      <c r="I429" s="548"/>
      <c r="J429" s="548"/>
      <c r="K429" s="548"/>
      <c r="L429" s="548"/>
      <c r="M429" s="548"/>
      <c r="N429" s="548"/>
      <c r="O429" s="548"/>
      <c r="P429" s="548"/>
      <c r="Q429" s="548"/>
      <c r="R429" s="548"/>
      <c r="S429" s="548"/>
      <c r="T429" s="548"/>
      <c r="U429" s="548"/>
      <c r="V429" s="548"/>
      <c r="W429" s="548"/>
      <c r="X429" s="548"/>
      <c r="Y429" s="548"/>
      <c r="Z429" s="548"/>
      <c r="AA429" s="548"/>
      <c r="AB429" s="548"/>
      <c r="AC429" s="548"/>
      <c r="AD429" s="548"/>
      <c r="AE429" s="548"/>
      <c r="AF429" s="548"/>
      <c r="AG429" s="548"/>
      <c r="AH429" s="548"/>
      <c r="AI429" s="548"/>
      <c r="AJ429" s="548"/>
      <c r="AK429" s="548"/>
      <c r="AL429" s="548"/>
      <c r="AM429" s="548"/>
      <c r="AN429" s="548"/>
      <c r="AO429" s="548"/>
    </row>
    <row r="430">
      <c r="G430" s="548"/>
      <c r="H430" s="548"/>
      <c r="I430" s="548"/>
      <c r="J430" s="548"/>
      <c r="K430" s="548"/>
      <c r="L430" s="548"/>
      <c r="M430" s="548"/>
      <c r="N430" s="548"/>
      <c r="O430" s="548"/>
      <c r="P430" s="548"/>
      <c r="Q430" s="548"/>
      <c r="R430" s="548"/>
      <c r="S430" s="548"/>
      <c r="T430" s="548"/>
      <c r="U430" s="548"/>
      <c r="V430" s="548"/>
      <c r="W430" s="548"/>
      <c r="X430" s="548"/>
      <c r="Y430" s="548"/>
      <c r="Z430" s="548"/>
      <c r="AA430" s="548"/>
      <c r="AB430" s="548"/>
      <c r="AC430" s="548"/>
      <c r="AD430" s="548"/>
      <c r="AE430" s="548"/>
      <c r="AF430" s="548"/>
      <c r="AG430" s="548"/>
      <c r="AH430" s="548"/>
      <c r="AI430" s="548"/>
      <c r="AJ430" s="548"/>
      <c r="AK430" s="548"/>
      <c r="AL430" s="548"/>
      <c r="AM430" s="548"/>
      <c r="AN430" s="548"/>
      <c r="AO430" s="548"/>
    </row>
    <row r="431">
      <c r="G431" s="548"/>
      <c r="H431" s="548"/>
      <c r="I431" s="548"/>
      <c r="J431" s="548"/>
      <c r="K431" s="548"/>
      <c r="L431" s="548"/>
      <c r="M431" s="548"/>
      <c r="N431" s="548"/>
      <c r="O431" s="548"/>
      <c r="P431" s="548"/>
      <c r="Q431" s="548"/>
      <c r="R431" s="548"/>
      <c r="S431" s="548"/>
      <c r="T431" s="548"/>
      <c r="U431" s="548"/>
      <c r="V431" s="548"/>
      <c r="W431" s="548"/>
      <c r="X431" s="548"/>
      <c r="Y431" s="548"/>
      <c r="Z431" s="548"/>
      <c r="AA431" s="548"/>
      <c r="AB431" s="548"/>
      <c r="AC431" s="548"/>
      <c r="AD431" s="548"/>
      <c r="AE431" s="548"/>
      <c r="AF431" s="548"/>
      <c r="AG431" s="548"/>
      <c r="AH431" s="548"/>
      <c r="AI431" s="548"/>
      <c r="AJ431" s="548"/>
      <c r="AK431" s="548"/>
      <c r="AL431" s="548"/>
      <c r="AM431" s="548"/>
      <c r="AN431" s="548"/>
      <c r="AO431" s="548"/>
    </row>
    <row r="432">
      <c r="G432" s="548"/>
      <c r="H432" s="548"/>
      <c r="I432" s="548"/>
      <c r="J432" s="548"/>
      <c r="K432" s="548"/>
      <c r="L432" s="548"/>
      <c r="M432" s="548"/>
      <c r="N432" s="548"/>
      <c r="O432" s="548"/>
      <c r="P432" s="548"/>
      <c r="Q432" s="548"/>
      <c r="R432" s="548"/>
      <c r="S432" s="548"/>
      <c r="T432" s="548"/>
      <c r="U432" s="548"/>
      <c r="V432" s="548"/>
      <c r="W432" s="548"/>
      <c r="X432" s="548"/>
      <c r="Y432" s="548"/>
      <c r="Z432" s="548"/>
      <c r="AA432" s="548"/>
      <c r="AB432" s="548"/>
      <c r="AC432" s="548"/>
      <c r="AD432" s="548"/>
      <c r="AE432" s="548"/>
      <c r="AF432" s="548"/>
      <c r="AG432" s="548"/>
      <c r="AH432" s="548"/>
      <c r="AI432" s="548"/>
      <c r="AJ432" s="548"/>
      <c r="AK432" s="548"/>
      <c r="AL432" s="548"/>
      <c r="AM432" s="548"/>
      <c r="AN432" s="548"/>
      <c r="AO432" s="548"/>
    </row>
    <row r="433">
      <c r="G433" s="548"/>
      <c r="H433" s="548"/>
      <c r="I433" s="548"/>
      <c r="J433" s="548"/>
      <c r="K433" s="548"/>
      <c r="L433" s="548"/>
      <c r="M433" s="548"/>
      <c r="N433" s="548"/>
      <c r="O433" s="548"/>
      <c r="P433" s="548"/>
      <c r="Q433" s="548"/>
      <c r="R433" s="548"/>
      <c r="S433" s="548"/>
      <c r="T433" s="548"/>
      <c r="U433" s="548"/>
      <c r="V433" s="548"/>
      <c r="W433" s="548"/>
      <c r="X433" s="548"/>
      <c r="Y433" s="548"/>
      <c r="Z433" s="548"/>
      <c r="AA433" s="548"/>
      <c r="AB433" s="548"/>
      <c r="AC433" s="548"/>
      <c r="AD433" s="548"/>
      <c r="AE433" s="548"/>
      <c r="AF433" s="548"/>
      <c r="AG433" s="548"/>
      <c r="AH433" s="548"/>
      <c r="AI433" s="548"/>
      <c r="AJ433" s="548"/>
      <c r="AK433" s="548"/>
      <c r="AL433" s="548"/>
      <c r="AM433" s="548"/>
      <c r="AN433" s="548"/>
      <c r="AO433" s="548"/>
    </row>
    <row r="434">
      <c r="G434" s="548"/>
      <c r="H434" s="548"/>
      <c r="I434" s="548"/>
      <c r="J434" s="548"/>
      <c r="K434" s="548"/>
      <c r="L434" s="548"/>
      <c r="M434" s="548"/>
      <c r="N434" s="548"/>
      <c r="O434" s="548"/>
      <c r="P434" s="548"/>
      <c r="Q434" s="548"/>
      <c r="R434" s="548"/>
      <c r="S434" s="548"/>
      <c r="T434" s="548"/>
      <c r="U434" s="548"/>
      <c r="V434" s="548"/>
      <c r="W434" s="548"/>
      <c r="X434" s="548"/>
      <c r="Y434" s="548"/>
      <c r="Z434" s="548"/>
      <c r="AA434" s="548"/>
      <c r="AB434" s="548"/>
      <c r="AC434" s="548"/>
      <c r="AD434" s="548"/>
      <c r="AE434" s="548"/>
      <c r="AF434" s="548"/>
      <c r="AG434" s="548"/>
      <c r="AH434" s="548"/>
      <c r="AI434" s="548"/>
      <c r="AJ434" s="548"/>
      <c r="AK434" s="548"/>
      <c r="AL434" s="548"/>
      <c r="AM434" s="548"/>
      <c r="AN434" s="548"/>
      <c r="AO434" s="548"/>
    </row>
    <row r="435">
      <c r="G435" s="548"/>
      <c r="H435" s="548"/>
      <c r="I435" s="548"/>
      <c r="J435" s="548"/>
      <c r="K435" s="548"/>
      <c r="L435" s="548"/>
      <c r="M435" s="548"/>
      <c r="N435" s="548"/>
      <c r="O435" s="548"/>
      <c r="P435" s="548"/>
      <c r="Q435" s="548"/>
      <c r="R435" s="548"/>
      <c r="S435" s="548"/>
      <c r="T435" s="548"/>
      <c r="U435" s="548"/>
      <c r="V435" s="548"/>
      <c r="W435" s="548"/>
      <c r="X435" s="548"/>
      <c r="Y435" s="548"/>
      <c r="Z435" s="548"/>
      <c r="AA435" s="548"/>
      <c r="AB435" s="548"/>
      <c r="AC435" s="548"/>
      <c r="AD435" s="548"/>
      <c r="AE435" s="548"/>
      <c r="AF435" s="548"/>
      <c r="AG435" s="548"/>
      <c r="AH435" s="548"/>
      <c r="AI435" s="548"/>
      <c r="AJ435" s="548"/>
      <c r="AK435" s="548"/>
      <c r="AL435" s="548"/>
      <c r="AM435" s="548"/>
      <c r="AN435" s="548"/>
      <c r="AO435" s="548"/>
    </row>
    <row r="436">
      <c r="G436" s="548"/>
      <c r="H436" s="548"/>
      <c r="I436" s="548"/>
      <c r="J436" s="548"/>
      <c r="K436" s="548"/>
      <c r="L436" s="548"/>
      <c r="M436" s="548"/>
      <c r="N436" s="548"/>
      <c r="O436" s="548"/>
      <c r="P436" s="548"/>
      <c r="Q436" s="548"/>
      <c r="R436" s="548"/>
      <c r="S436" s="548"/>
      <c r="T436" s="548"/>
      <c r="U436" s="548"/>
      <c r="V436" s="548"/>
      <c r="W436" s="548"/>
      <c r="X436" s="548"/>
      <c r="Y436" s="548"/>
      <c r="Z436" s="548"/>
      <c r="AA436" s="548"/>
      <c r="AB436" s="548"/>
      <c r="AC436" s="548"/>
      <c r="AD436" s="548"/>
      <c r="AE436" s="548"/>
      <c r="AF436" s="548"/>
      <c r="AG436" s="548"/>
      <c r="AH436" s="548"/>
      <c r="AI436" s="548"/>
      <c r="AJ436" s="548"/>
      <c r="AK436" s="548"/>
      <c r="AL436" s="548"/>
      <c r="AM436" s="548"/>
      <c r="AN436" s="548"/>
      <c r="AO436" s="548"/>
    </row>
    <row r="437">
      <c r="G437" s="548"/>
      <c r="H437" s="548"/>
      <c r="I437" s="548"/>
      <c r="J437" s="548"/>
      <c r="K437" s="548"/>
      <c r="L437" s="548"/>
      <c r="M437" s="548"/>
      <c r="N437" s="548"/>
      <c r="O437" s="548"/>
      <c r="P437" s="548"/>
      <c r="Q437" s="548"/>
      <c r="R437" s="548"/>
      <c r="S437" s="548"/>
      <c r="T437" s="548"/>
      <c r="U437" s="548"/>
      <c r="V437" s="548"/>
      <c r="W437" s="548"/>
      <c r="X437" s="548"/>
      <c r="Y437" s="548"/>
      <c r="Z437" s="548"/>
      <c r="AA437" s="548"/>
      <c r="AB437" s="548"/>
      <c r="AC437" s="548"/>
      <c r="AD437" s="548"/>
      <c r="AE437" s="548"/>
      <c r="AF437" s="548"/>
      <c r="AG437" s="548"/>
      <c r="AH437" s="548"/>
      <c r="AI437" s="548"/>
      <c r="AJ437" s="548"/>
      <c r="AK437" s="548"/>
      <c r="AL437" s="548"/>
      <c r="AM437" s="548"/>
      <c r="AN437" s="548"/>
      <c r="AO437" s="548"/>
    </row>
    <row r="438">
      <c r="G438" s="548"/>
      <c r="H438" s="548"/>
      <c r="I438" s="548"/>
      <c r="J438" s="548"/>
      <c r="K438" s="548"/>
      <c r="L438" s="548"/>
      <c r="M438" s="548"/>
      <c r="N438" s="548"/>
      <c r="O438" s="548"/>
      <c r="P438" s="548"/>
      <c r="Q438" s="548"/>
      <c r="R438" s="548"/>
      <c r="S438" s="548"/>
      <c r="T438" s="548"/>
      <c r="U438" s="548"/>
      <c r="V438" s="548"/>
      <c r="W438" s="548"/>
      <c r="X438" s="548"/>
      <c r="Y438" s="548"/>
      <c r="Z438" s="548"/>
      <c r="AA438" s="548"/>
      <c r="AB438" s="548"/>
      <c r="AC438" s="548"/>
      <c r="AD438" s="548"/>
      <c r="AE438" s="548"/>
      <c r="AF438" s="548"/>
      <c r="AG438" s="548"/>
      <c r="AH438" s="548"/>
      <c r="AI438" s="548"/>
      <c r="AJ438" s="548"/>
      <c r="AK438" s="548"/>
      <c r="AL438" s="548"/>
      <c r="AM438" s="548"/>
      <c r="AN438" s="548"/>
      <c r="AO438" s="548"/>
    </row>
    <row r="439">
      <c r="G439" s="548"/>
      <c r="H439" s="548"/>
      <c r="I439" s="548"/>
      <c r="J439" s="548"/>
      <c r="K439" s="548"/>
      <c r="L439" s="548"/>
      <c r="M439" s="548"/>
      <c r="N439" s="548"/>
      <c r="O439" s="548"/>
      <c r="P439" s="548"/>
      <c r="Q439" s="548"/>
      <c r="R439" s="548"/>
      <c r="S439" s="548"/>
      <c r="T439" s="548"/>
      <c r="U439" s="548"/>
      <c r="V439" s="548"/>
      <c r="W439" s="548"/>
      <c r="X439" s="548"/>
      <c r="Y439" s="548"/>
      <c r="Z439" s="548"/>
      <c r="AA439" s="548"/>
      <c r="AB439" s="548"/>
      <c r="AC439" s="548"/>
      <c r="AD439" s="548"/>
      <c r="AE439" s="548"/>
      <c r="AF439" s="548"/>
      <c r="AG439" s="548"/>
      <c r="AH439" s="548"/>
      <c r="AI439" s="548"/>
      <c r="AJ439" s="548"/>
      <c r="AK439" s="548"/>
      <c r="AL439" s="548"/>
      <c r="AM439" s="548"/>
      <c r="AN439" s="548"/>
      <c r="AO439" s="548"/>
    </row>
    <row r="440">
      <c r="G440" s="548"/>
      <c r="H440" s="548"/>
      <c r="I440" s="548"/>
      <c r="J440" s="548"/>
      <c r="K440" s="548"/>
      <c r="L440" s="548"/>
      <c r="M440" s="548"/>
      <c r="N440" s="548"/>
      <c r="O440" s="548"/>
      <c r="P440" s="548"/>
      <c r="Q440" s="548"/>
      <c r="R440" s="548"/>
      <c r="S440" s="548"/>
      <c r="T440" s="548"/>
      <c r="U440" s="548"/>
      <c r="V440" s="548"/>
      <c r="W440" s="548"/>
      <c r="X440" s="548"/>
      <c r="Y440" s="548"/>
      <c r="Z440" s="548"/>
      <c r="AA440" s="548"/>
      <c r="AB440" s="548"/>
      <c r="AC440" s="548"/>
      <c r="AD440" s="548"/>
      <c r="AE440" s="548"/>
      <c r="AF440" s="548"/>
      <c r="AG440" s="548"/>
      <c r="AH440" s="548"/>
      <c r="AI440" s="548"/>
      <c r="AJ440" s="548"/>
      <c r="AK440" s="548"/>
      <c r="AL440" s="548"/>
      <c r="AM440" s="548"/>
      <c r="AN440" s="548"/>
      <c r="AO440" s="548"/>
    </row>
    <row r="441">
      <c r="G441" s="548"/>
      <c r="H441" s="548"/>
      <c r="I441" s="548"/>
      <c r="J441" s="548"/>
      <c r="K441" s="548"/>
      <c r="L441" s="548"/>
      <c r="M441" s="548"/>
      <c r="N441" s="548"/>
      <c r="O441" s="548"/>
      <c r="P441" s="548"/>
      <c r="Q441" s="548"/>
      <c r="R441" s="548"/>
      <c r="S441" s="548"/>
      <c r="T441" s="548"/>
      <c r="U441" s="548"/>
      <c r="V441" s="548"/>
      <c r="W441" s="548"/>
      <c r="X441" s="548"/>
      <c r="Y441" s="548"/>
      <c r="Z441" s="548"/>
      <c r="AA441" s="548"/>
      <c r="AB441" s="548"/>
      <c r="AC441" s="548"/>
      <c r="AD441" s="548"/>
      <c r="AE441" s="548"/>
      <c r="AF441" s="548"/>
      <c r="AG441" s="548"/>
      <c r="AH441" s="548"/>
      <c r="AI441" s="548"/>
      <c r="AJ441" s="548"/>
      <c r="AK441" s="548"/>
      <c r="AL441" s="548"/>
      <c r="AM441" s="548"/>
      <c r="AN441" s="548"/>
      <c r="AO441" s="548"/>
    </row>
    <row r="442">
      <c r="G442" s="548"/>
      <c r="H442" s="548"/>
      <c r="I442" s="548"/>
      <c r="J442" s="548"/>
      <c r="K442" s="548"/>
      <c r="L442" s="548"/>
      <c r="M442" s="548"/>
      <c r="N442" s="548"/>
      <c r="O442" s="548"/>
      <c r="P442" s="548"/>
      <c r="Q442" s="548"/>
      <c r="R442" s="548"/>
      <c r="S442" s="548"/>
      <c r="T442" s="548"/>
      <c r="U442" s="548"/>
      <c r="V442" s="548"/>
      <c r="W442" s="548"/>
      <c r="X442" s="548"/>
      <c r="Y442" s="548"/>
      <c r="Z442" s="548"/>
      <c r="AA442" s="548"/>
      <c r="AB442" s="548"/>
      <c r="AC442" s="548"/>
      <c r="AD442" s="548"/>
      <c r="AE442" s="548"/>
      <c r="AF442" s="548"/>
      <c r="AG442" s="548"/>
      <c r="AH442" s="548"/>
      <c r="AI442" s="548"/>
      <c r="AJ442" s="548"/>
      <c r="AK442" s="548"/>
      <c r="AL442" s="548"/>
      <c r="AM442" s="548"/>
      <c r="AN442" s="548"/>
      <c r="AO442" s="548"/>
    </row>
    <row r="443">
      <c r="G443" s="548"/>
      <c r="H443" s="548"/>
      <c r="I443" s="548"/>
      <c r="J443" s="548"/>
      <c r="K443" s="548"/>
      <c r="L443" s="548"/>
      <c r="M443" s="548"/>
      <c r="N443" s="548"/>
      <c r="O443" s="548"/>
      <c r="P443" s="548"/>
      <c r="Q443" s="548"/>
      <c r="R443" s="548"/>
      <c r="S443" s="548"/>
      <c r="T443" s="548"/>
      <c r="U443" s="548"/>
      <c r="V443" s="548"/>
      <c r="W443" s="548"/>
      <c r="X443" s="548"/>
      <c r="Y443" s="548"/>
      <c r="Z443" s="548"/>
      <c r="AA443" s="548"/>
      <c r="AB443" s="548"/>
      <c r="AC443" s="548"/>
      <c r="AD443" s="548"/>
      <c r="AE443" s="548"/>
      <c r="AF443" s="548"/>
      <c r="AG443" s="548"/>
      <c r="AH443" s="548"/>
      <c r="AI443" s="548"/>
      <c r="AJ443" s="548"/>
      <c r="AK443" s="548"/>
      <c r="AL443" s="548"/>
      <c r="AM443" s="548"/>
      <c r="AN443" s="548"/>
      <c r="AO443" s="548"/>
    </row>
    <row r="444">
      <c r="G444" s="548"/>
      <c r="H444" s="548"/>
      <c r="I444" s="548"/>
      <c r="J444" s="548"/>
      <c r="K444" s="548"/>
      <c r="L444" s="548"/>
      <c r="M444" s="548"/>
      <c r="N444" s="548"/>
      <c r="O444" s="548"/>
      <c r="P444" s="548"/>
      <c r="Q444" s="548"/>
      <c r="R444" s="548"/>
      <c r="S444" s="548"/>
      <c r="T444" s="548"/>
      <c r="U444" s="548"/>
      <c r="V444" s="548"/>
      <c r="W444" s="548"/>
      <c r="X444" s="548"/>
      <c r="Y444" s="548"/>
      <c r="Z444" s="548"/>
      <c r="AA444" s="548"/>
      <c r="AB444" s="548"/>
      <c r="AC444" s="548"/>
      <c r="AD444" s="548"/>
      <c r="AE444" s="548"/>
      <c r="AF444" s="548"/>
      <c r="AG444" s="548"/>
      <c r="AH444" s="548"/>
      <c r="AI444" s="548"/>
      <c r="AJ444" s="548"/>
      <c r="AK444" s="548"/>
      <c r="AL444" s="548"/>
      <c r="AM444" s="548"/>
      <c r="AN444" s="548"/>
      <c r="AO444" s="548"/>
    </row>
    <row r="445">
      <c r="G445" s="548"/>
      <c r="H445" s="548"/>
      <c r="I445" s="548"/>
      <c r="J445" s="548"/>
      <c r="K445" s="548"/>
      <c r="L445" s="548"/>
      <c r="M445" s="548"/>
      <c r="N445" s="548"/>
      <c r="O445" s="548"/>
      <c r="P445" s="548"/>
      <c r="Q445" s="548"/>
      <c r="R445" s="548"/>
      <c r="S445" s="548"/>
      <c r="T445" s="548"/>
      <c r="U445" s="548"/>
      <c r="V445" s="548"/>
      <c r="W445" s="548"/>
      <c r="X445" s="548"/>
      <c r="Y445" s="548"/>
      <c r="Z445" s="548"/>
      <c r="AA445" s="548"/>
      <c r="AB445" s="548"/>
      <c r="AC445" s="548"/>
      <c r="AD445" s="548"/>
      <c r="AE445" s="548"/>
      <c r="AF445" s="548"/>
      <c r="AG445" s="548"/>
      <c r="AH445" s="548"/>
      <c r="AI445" s="548"/>
      <c r="AJ445" s="548"/>
      <c r="AK445" s="548"/>
      <c r="AL445" s="548"/>
      <c r="AM445" s="548"/>
      <c r="AN445" s="548"/>
      <c r="AO445" s="548"/>
    </row>
    <row r="446">
      <c r="G446" s="548"/>
      <c r="H446" s="548"/>
      <c r="I446" s="548"/>
      <c r="J446" s="548"/>
      <c r="K446" s="548"/>
      <c r="L446" s="548"/>
      <c r="M446" s="548"/>
      <c r="N446" s="548"/>
      <c r="O446" s="548"/>
      <c r="P446" s="548"/>
      <c r="Q446" s="548"/>
      <c r="R446" s="548"/>
      <c r="S446" s="548"/>
      <c r="T446" s="548"/>
      <c r="U446" s="548"/>
      <c r="V446" s="548"/>
      <c r="W446" s="548"/>
      <c r="X446" s="548"/>
      <c r="Y446" s="548"/>
      <c r="Z446" s="548"/>
      <c r="AA446" s="548"/>
      <c r="AB446" s="548"/>
      <c r="AC446" s="548"/>
      <c r="AD446" s="548"/>
      <c r="AE446" s="548"/>
      <c r="AF446" s="548"/>
      <c r="AG446" s="548"/>
      <c r="AH446" s="548"/>
      <c r="AI446" s="548"/>
      <c r="AJ446" s="548"/>
      <c r="AK446" s="548"/>
      <c r="AL446" s="548"/>
      <c r="AM446" s="548"/>
      <c r="AN446" s="548"/>
      <c r="AO446" s="548"/>
    </row>
    <row r="447">
      <c r="G447" s="548"/>
      <c r="H447" s="548"/>
      <c r="I447" s="548"/>
      <c r="J447" s="548"/>
      <c r="K447" s="548"/>
      <c r="L447" s="548"/>
      <c r="M447" s="548"/>
      <c r="N447" s="548"/>
      <c r="O447" s="548"/>
      <c r="P447" s="548"/>
      <c r="Q447" s="548"/>
      <c r="R447" s="548"/>
      <c r="S447" s="548"/>
      <c r="T447" s="548"/>
      <c r="U447" s="548"/>
      <c r="V447" s="548"/>
      <c r="W447" s="548"/>
      <c r="X447" s="548"/>
      <c r="Y447" s="548"/>
      <c r="Z447" s="548"/>
      <c r="AA447" s="548"/>
      <c r="AB447" s="548"/>
      <c r="AC447" s="548"/>
      <c r="AD447" s="548"/>
      <c r="AE447" s="548"/>
      <c r="AF447" s="548"/>
      <c r="AG447" s="548"/>
      <c r="AH447" s="548"/>
      <c r="AI447" s="548"/>
      <c r="AJ447" s="548"/>
      <c r="AK447" s="548"/>
      <c r="AL447" s="548"/>
      <c r="AM447" s="548"/>
      <c r="AN447" s="548"/>
      <c r="AO447" s="548"/>
    </row>
    <row r="448">
      <c r="G448" s="548"/>
      <c r="H448" s="548"/>
      <c r="I448" s="548"/>
      <c r="J448" s="548"/>
      <c r="K448" s="548"/>
      <c r="L448" s="548"/>
      <c r="M448" s="548"/>
      <c r="N448" s="548"/>
      <c r="O448" s="548"/>
      <c r="P448" s="548"/>
      <c r="Q448" s="548"/>
      <c r="R448" s="548"/>
      <c r="S448" s="548"/>
      <c r="T448" s="548"/>
      <c r="U448" s="548"/>
      <c r="V448" s="548"/>
      <c r="W448" s="548"/>
      <c r="X448" s="548"/>
      <c r="Y448" s="548"/>
      <c r="Z448" s="548"/>
      <c r="AA448" s="548"/>
      <c r="AB448" s="548"/>
      <c r="AC448" s="548"/>
      <c r="AD448" s="548"/>
      <c r="AE448" s="548"/>
      <c r="AF448" s="548"/>
      <c r="AG448" s="548"/>
      <c r="AH448" s="548"/>
      <c r="AI448" s="548"/>
      <c r="AJ448" s="548"/>
      <c r="AK448" s="548"/>
      <c r="AL448" s="548"/>
      <c r="AM448" s="548"/>
      <c r="AN448" s="548"/>
      <c r="AO448" s="548"/>
    </row>
    <row r="449">
      <c r="G449" s="548"/>
      <c r="H449" s="548"/>
      <c r="I449" s="548"/>
      <c r="J449" s="548"/>
      <c r="K449" s="548"/>
      <c r="L449" s="548"/>
      <c r="M449" s="548"/>
      <c r="N449" s="548"/>
      <c r="O449" s="548"/>
      <c r="P449" s="548"/>
      <c r="Q449" s="548"/>
      <c r="R449" s="548"/>
      <c r="S449" s="548"/>
      <c r="T449" s="548"/>
      <c r="U449" s="548"/>
      <c r="V449" s="548"/>
      <c r="W449" s="548"/>
      <c r="X449" s="548"/>
      <c r="Y449" s="548"/>
      <c r="Z449" s="548"/>
      <c r="AA449" s="548"/>
      <c r="AB449" s="548"/>
      <c r="AC449" s="548"/>
      <c r="AD449" s="548"/>
      <c r="AE449" s="548"/>
      <c r="AF449" s="548"/>
      <c r="AG449" s="548"/>
      <c r="AH449" s="548"/>
      <c r="AI449" s="548"/>
      <c r="AJ449" s="548"/>
      <c r="AK449" s="548"/>
      <c r="AL449" s="548"/>
      <c r="AM449" s="548"/>
      <c r="AN449" s="548"/>
      <c r="AO449" s="548"/>
    </row>
    <row r="450">
      <c r="G450" s="548"/>
      <c r="H450" s="548"/>
      <c r="I450" s="548"/>
      <c r="J450" s="548"/>
      <c r="K450" s="548"/>
      <c r="L450" s="548"/>
      <c r="M450" s="548"/>
      <c r="N450" s="548"/>
      <c r="O450" s="548"/>
      <c r="P450" s="548"/>
      <c r="Q450" s="548"/>
      <c r="R450" s="548"/>
      <c r="S450" s="548"/>
      <c r="T450" s="548"/>
      <c r="U450" s="548"/>
      <c r="V450" s="548"/>
      <c r="W450" s="548"/>
      <c r="X450" s="548"/>
      <c r="Y450" s="548"/>
      <c r="Z450" s="548"/>
      <c r="AA450" s="548"/>
      <c r="AB450" s="548"/>
      <c r="AC450" s="548"/>
      <c r="AD450" s="548"/>
      <c r="AE450" s="548"/>
      <c r="AF450" s="548"/>
      <c r="AG450" s="548"/>
      <c r="AH450" s="548"/>
      <c r="AI450" s="548"/>
      <c r="AJ450" s="548"/>
      <c r="AK450" s="548"/>
      <c r="AL450" s="548"/>
      <c r="AM450" s="548"/>
      <c r="AN450" s="548"/>
      <c r="AO450" s="548"/>
    </row>
    <row r="451">
      <c r="G451" s="548"/>
      <c r="H451" s="548"/>
      <c r="I451" s="548"/>
      <c r="J451" s="548"/>
      <c r="K451" s="548"/>
      <c r="L451" s="548"/>
      <c r="M451" s="548"/>
      <c r="N451" s="548"/>
      <c r="O451" s="548"/>
      <c r="P451" s="548"/>
      <c r="Q451" s="548"/>
      <c r="R451" s="548"/>
      <c r="S451" s="548"/>
      <c r="T451" s="548"/>
      <c r="U451" s="548"/>
      <c r="V451" s="548"/>
      <c r="W451" s="548"/>
      <c r="X451" s="548"/>
      <c r="Y451" s="548"/>
      <c r="Z451" s="548"/>
      <c r="AA451" s="548"/>
      <c r="AB451" s="548"/>
      <c r="AC451" s="548"/>
      <c r="AD451" s="548"/>
      <c r="AE451" s="548"/>
      <c r="AF451" s="548"/>
      <c r="AG451" s="548"/>
      <c r="AH451" s="548"/>
      <c r="AI451" s="548"/>
      <c r="AJ451" s="548"/>
      <c r="AK451" s="548"/>
      <c r="AL451" s="548"/>
      <c r="AM451" s="548"/>
      <c r="AN451" s="548"/>
      <c r="AO451" s="548"/>
    </row>
    <row r="452">
      <c r="G452" s="548"/>
      <c r="H452" s="548"/>
      <c r="I452" s="548"/>
      <c r="J452" s="548"/>
      <c r="K452" s="548"/>
      <c r="L452" s="548"/>
      <c r="M452" s="548"/>
      <c r="N452" s="548"/>
      <c r="O452" s="548"/>
      <c r="P452" s="548"/>
      <c r="Q452" s="548"/>
      <c r="R452" s="548"/>
      <c r="S452" s="548"/>
      <c r="T452" s="548"/>
      <c r="U452" s="548"/>
      <c r="V452" s="548"/>
      <c r="W452" s="548"/>
      <c r="X452" s="548"/>
      <c r="Y452" s="548"/>
      <c r="Z452" s="548"/>
      <c r="AA452" s="548"/>
      <c r="AB452" s="548"/>
      <c r="AC452" s="548"/>
      <c r="AD452" s="548"/>
      <c r="AE452" s="548"/>
      <c r="AF452" s="548"/>
      <c r="AG452" s="548"/>
      <c r="AH452" s="548"/>
      <c r="AI452" s="548"/>
      <c r="AJ452" s="548"/>
      <c r="AK452" s="548"/>
      <c r="AL452" s="548"/>
      <c r="AM452" s="548"/>
      <c r="AN452" s="548"/>
      <c r="AO452" s="548"/>
    </row>
    <row r="453">
      <c r="G453" s="548"/>
      <c r="H453" s="548"/>
      <c r="I453" s="548"/>
      <c r="J453" s="548"/>
      <c r="K453" s="548"/>
      <c r="L453" s="548"/>
      <c r="M453" s="548"/>
      <c r="N453" s="548"/>
      <c r="O453" s="548"/>
      <c r="P453" s="548"/>
      <c r="Q453" s="548"/>
      <c r="R453" s="548"/>
      <c r="S453" s="548"/>
      <c r="T453" s="548"/>
      <c r="U453" s="548"/>
      <c r="V453" s="548"/>
      <c r="W453" s="548"/>
      <c r="X453" s="548"/>
      <c r="Y453" s="548"/>
      <c r="Z453" s="548"/>
      <c r="AA453" s="548"/>
      <c r="AB453" s="548"/>
      <c r="AC453" s="548"/>
      <c r="AD453" s="548"/>
      <c r="AE453" s="548"/>
      <c r="AF453" s="548"/>
      <c r="AG453" s="548"/>
      <c r="AH453" s="548"/>
      <c r="AI453" s="548"/>
      <c r="AJ453" s="548"/>
      <c r="AK453" s="548"/>
      <c r="AL453" s="548"/>
      <c r="AM453" s="548"/>
      <c r="AN453" s="548"/>
      <c r="AO453" s="548"/>
    </row>
    <row r="454">
      <c r="G454" s="548"/>
      <c r="H454" s="548"/>
      <c r="I454" s="548"/>
      <c r="J454" s="548"/>
      <c r="K454" s="548"/>
      <c r="L454" s="548"/>
      <c r="M454" s="548"/>
      <c r="N454" s="548"/>
      <c r="O454" s="548"/>
      <c r="P454" s="548"/>
      <c r="Q454" s="548"/>
      <c r="R454" s="548"/>
      <c r="S454" s="548"/>
      <c r="T454" s="548"/>
      <c r="U454" s="548"/>
      <c r="V454" s="548"/>
      <c r="W454" s="548"/>
      <c r="X454" s="548"/>
      <c r="Y454" s="548"/>
      <c r="Z454" s="548"/>
      <c r="AA454" s="548"/>
      <c r="AB454" s="548"/>
      <c r="AC454" s="548"/>
      <c r="AD454" s="548"/>
      <c r="AE454" s="548"/>
      <c r="AF454" s="548"/>
      <c r="AG454" s="548"/>
      <c r="AH454" s="548"/>
      <c r="AI454" s="548"/>
      <c r="AJ454" s="548"/>
      <c r="AK454" s="548"/>
      <c r="AL454" s="548"/>
      <c r="AM454" s="548"/>
      <c r="AN454" s="548"/>
      <c r="AO454" s="548"/>
    </row>
    <row r="455">
      <c r="G455" s="548"/>
      <c r="H455" s="548"/>
      <c r="I455" s="548"/>
      <c r="J455" s="548"/>
      <c r="K455" s="548"/>
      <c r="L455" s="548"/>
      <c r="M455" s="548"/>
      <c r="N455" s="548"/>
      <c r="O455" s="548"/>
      <c r="P455" s="548"/>
      <c r="Q455" s="548"/>
      <c r="R455" s="548"/>
      <c r="S455" s="548"/>
      <c r="T455" s="548"/>
      <c r="U455" s="548"/>
      <c r="V455" s="548"/>
      <c r="W455" s="548"/>
      <c r="X455" s="548"/>
      <c r="Y455" s="548"/>
      <c r="Z455" s="548"/>
      <c r="AA455" s="548"/>
      <c r="AB455" s="548"/>
      <c r="AC455" s="548"/>
      <c r="AD455" s="548"/>
      <c r="AE455" s="548"/>
      <c r="AF455" s="548"/>
      <c r="AG455" s="548"/>
      <c r="AH455" s="548"/>
      <c r="AI455" s="548"/>
      <c r="AJ455" s="548"/>
      <c r="AK455" s="548"/>
      <c r="AL455" s="548"/>
      <c r="AM455" s="548"/>
      <c r="AN455" s="548"/>
      <c r="AO455" s="548"/>
    </row>
    <row r="456">
      <c r="G456" s="548"/>
      <c r="H456" s="548"/>
      <c r="I456" s="548"/>
      <c r="J456" s="548"/>
      <c r="K456" s="548"/>
      <c r="L456" s="548"/>
      <c r="M456" s="548"/>
      <c r="N456" s="548"/>
      <c r="O456" s="548"/>
      <c r="P456" s="548"/>
      <c r="Q456" s="548"/>
      <c r="R456" s="548"/>
      <c r="S456" s="548"/>
      <c r="T456" s="548"/>
      <c r="U456" s="548"/>
      <c r="V456" s="548"/>
      <c r="W456" s="548"/>
      <c r="X456" s="548"/>
      <c r="Y456" s="548"/>
      <c r="Z456" s="548"/>
      <c r="AA456" s="548"/>
      <c r="AB456" s="548"/>
      <c r="AC456" s="548"/>
      <c r="AD456" s="548"/>
      <c r="AE456" s="548"/>
      <c r="AF456" s="548"/>
      <c r="AG456" s="548"/>
      <c r="AH456" s="548"/>
      <c r="AI456" s="548"/>
      <c r="AJ456" s="548"/>
      <c r="AK456" s="548"/>
      <c r="AL456" s="548"/>
      <c r="AM456" s="548"/>
      <c r="AN456" s="548"/>
      <c r="AO456" s="548"/>
    </row>
    <row r="457">
      <c r="G457" s="548"/>
      <c r="H457" s="548"/>
      <c r="I457" s="548"/>
      <c r="J457" s="548"/>
      <c r="K457" s="548"/>
      <c r="L457" s="548"/>
      <c r="M457" s="548"/>
      <c r="N457" s="548"/>
      <c r="O457" s="548"/>
      <c r="P457" s="548"/>
      <c r="Q457" s="548"/>
      <c r="R457" s="548"/>
      <c r="S457" s="548"/>
      <c r="T457" s="548"/>
      <c r="U457" s="548"/>
      <c r="V457" s="548"/>
      <c r="W457" s="548"/>
      <c r="X457" s="548"/>
      <c r="Y457" s="548"/>
      <c r="Z457" s="548"/>
      <c r="AA457" s="548"/>
      <c r="AB457" s="548"/>
      <c r="AC457" s="548"/>
      <c r="AD457" s="548"/>
      <c r="AE457" s="548"/>
      <c r="AF457" s="548"/>
      <c r="AG457" s="548"/>
      <c r="AH457" s="548"/>
      <c r="AI457" s="548"/>
      <c r="AJ457" s="548"/>
      <c r="AK457" s="548"/>
      <c r="AL457" s="548"/>
      <c r="AM457" s="548"/>
      <c r="AN457" s="548"/>
      <c r="AO457" s="548"/>
    </row>
    <row r="458">
      <c r="G458" s="548"/>
      <c r="H458" s="548"/>
      <c r="I458" s="548"/>
      <c r="J458" s="548"/>
      <c r="K458" s="548"/>
      <c r="L458" s="548"/>
      <c r="M458" s="548"/>
      <c r="N458" s="548"/>
      <c r="O458" s="548"/>
      <c r="P458" s="548"/>
      <c r="Q458" s="548"/>
      <c r="R458" s="548"/>
      <c r="S458" s="548"/>
      <c r="T458" s="548"/>
      <c r="U458" s="548"/>
      <c r="V458" s="548"/>
      <c r="W458" s="548"/>
      <c r="X458" s="548"/>
      <c r="Y458" s="548"/>
      <c r="Z458" s="548"/>
      <c r="AA458" s="548"/>
      <c r="AB458" s="548"/>
      <c r="AC458" s="548"/>
      <c r="AD458" s="548"/>
      <c r="AE458" s="548"/>
      <c r="AF458" s="548"/>
      <c r="AG458" s="548"/>
      <c r="AH458" s="548"/>
      <c r="AI458" s="548"/>
      <c r="AJ458" s="548"/>
      <c r="AK458" s="548"/>
      <c r="AL458" s="548"/>
      <c r="AM458" s="548"/>
      <c r="AN458" s="548"/>
      <c r="AO458" s="548"/>
    </row>
    <row r="459">
      <c r="G459" s="548"/>
      <c r="H459" s="548"/>
      <c r="I459" s="548"/>
      <c r="J459" s="548"/>
      <c r="K459" s="548"/>
      <c r="L459" s="548"/>
      <c r="M459" s="548"/>
      <c r="N459" s="548"/>
      <c r="O459" s="548"/>
      <c r="P459" s="548"/>
      <c r="Q459" s="548"/>
      <c r="R459" s="548"/>
      <c r="S459" s="548"/>
      <c r="T459" s="548"/>
      <c r="U459" s="548"/>
      <c r="V459" s="548"/>
      <c r="W459" s="548"/>
      <c r="X459" s="548"/>
      <c r="Y459" s="548"/>
      <c r="Z459" s="548"/>
      <c r="AA459" s="548"/>
      <c r="AB459" s="548"/>
      <c r="AC459" s="548"/>
      <c r="AD459" s="548"/>
      <c r="AE459" s="548"/>
      <c r="AF459" s="548"/>
      <c r="AG459" s="548"/>
      <c r="AH459" s="548"/>
      <c r="AI459" s="548"/>
      <c r="AJ459" s="548"/>
      <c r="AK459" s="548"/>
      <c r="AL459" s="548"/>
      <c r="AM459" s="548"/>
      <c r="AN459" s="548"/>
      <c r="AO459" s="548"/>
    </row>
    <row r="460">
      <c r="G460" s="548"/>
      <c r="H460" s="548"/>
      <c r="I460" s="548"/>
      <c r="J460" s="548"/>
      <c r="K460" s="548"/>
      <c r="L460" s="548"/>
      <c r="M460" s="548"/>
      <c r="N460" s="548"/>
      <c r="O460" s="548"/>
      <c r="P460" s="548"/>
      <c r="Q460" s="548"/>
      <c r="R460" s="548"/>
      <c r="S460" s="548"/>
      <c r="T460" s="548"/>
      <c r="U460" s="548"/>
      <c r="V460" s="548"/>
      <c r="W460" s="548"/>
      <c r="X460" s="548"/>
      <c r="Y460" s="548"/>
      <c r="Z460" s="548"/>
      <c r="AA460" s="548"/>
      <c r="AB460" s="548"/>
      <c r="AC460" s="548"/>
      <c r="AD460" s="548"/>
      <c r="AE460" s="548"/>
      <c r="AF460" s="548"/>
      <c r="AG460" s="548"/>
      <c r="AH460" s="548"/>
      <c r="AI460" s="548"/>
      <c r="AJ460" s="548"/>
      <c r="AK460" s="548"/>
      <c r="AL460" s="548"/>
      <c r="AM460" s="548"/>
      <c r="AN460" s="548"/>
      <c r="AO460" s="548"/>
    </row>
    <row r="461">
      <c r="G461" s="548"/>
      <c r="H461" s="548"/>
      <c r="I461" s="548"/>
      <c r="J461" s="548"/>
      <c r="K461" s="548"/>
      <c r="L461" s="548"/>
      <c r="M461" s="548"/>
      <c r="N461" s="548"/>
      <c r="O461" s="548"/>
      <c r="P461" s="548"/>
      <c r="Q461" s="548"/>
      <c r="R461" s="548"/>
      <c r="S461" s="548"/>
      <c r="T461" s="548"/>
      <c r="U461" s="548"/>
      <c r="V461" s="548"/>
      <c r="W461" s="548"/>
      <c r="X461" s="548"/>
      <c r="Y461" s="548"/>
      <c r="Z461" s="548"/>
      <c r="AA461" s="548"/>
      <c r="AB461" s="548"/>
      <c r="AC461" s="548"/>
      <c r="AD461" s="548"/>
      <c r="AE461" s="548"/>
      <c r="AF461" s="548"/>
      <c r="AG461" s="548"/>
      <c r="AH461" s="548"/>
      <c r="AI461" s="548"/>
      <c r="AJ461" s="548"/>
      <c r="AK461" s="548"/>
      <c r="AL461" s="548"/>
      <c r="AM461" s="548"/>
      <c r="AN461" s="548"/>
      <c r="AO461" s="548"/>
    </row>
    <row r="462">
      <c r="G462" s="548"/>
      <c r="H462" s="548"/>
      <c r="I462" s="548"/>
      <c r="J462" s="548"/>
      <c r="K462" s="548"/>
      <c r="L462" s="548"/>
      <c r="M462" s="548"/>
      <c r="N462" s="548"/>
      <c r="O462" s="548"/>
      <c r="P462" s="548"/>
      <c r="Q462" s="548"/>
      <c r="R462" s="548"/>
      <c r="S462" s="548"/>
      <c r="T462" s="548"/>
      <c r="U462" s="548"/>
      <c r="V462" s="548"/>
      <c r="W462" s="548"/>
      <c r="X462" s="548"/>
      <c r="Y462" s="548"/>
      <c r="Z462" s="548"/>
      <c r="AA462" s="548"/>
      <c r="AB462" s="548"/>
      <c r="AC462" s="548"/>
      <c r="AD462" s="548"/>
      <c r="AE462" s="548"/>
      <c r="AF462" s="548"/>
      <c r="AG462" s="548"/>
      <c r="AH462" s="548"/>
      <c r="AI462" s="548"/>
      <c r="AJ462" s="548"/>
      <c r="AK462" s="548"/>
      <c r="AL462" s="548"/>
      <c r="AM462" s="548"/>
      <c r="AN462" s="548"/>
      <c r="AO462" s="548"/>
    </row>
    <row r="463">
      <c r="G463" s="548"/>
      <c r="H463" s="548"/>
      <c r="I463" s="548"/>
      <c r="J463" s="548"/>
      <c r="K463" s="548"/>
      <c r="L463" s="548"/>
      <c r="M463" s="548"/>
      <c r="N463" s="548"/>
      <c r="O463" s="548"/>
      <c r="P463" s="548"/>
      <c r="Q463" s="548"/>
      <c r="R463" s="548"/>
      <c r="S463" s="548"/>
      <c r="T463" s="548"/>
      <c r="U463" s="548"/>
      <c r="V463" s="548"/>
      <c r="W463" s="548"/>
      <c r="X463" s="548"/>
      <c r="Y463" s="548"/>
      <c r="Z463" s="548"/>
      <c r="AA463" s="548"/>
      <c r="AB463" s="548"/>
      <c r="AC463" s="548"/>
      <c r="AD463" s="548"/>
      <c r="AE463" s="548"/>
      <c r="AF463" s="548"/>
      <c r="AG463" s="548"/>
      <c r="AH463" s="548"/>
      <c r="AI463" s="548"/>
      <c r="AJ463" s="548"/>
      <c r="AK463" s="548"/>
      <c r="AL463" s="548"/>
      <c r="AM463" s="548"/>
      <c r="AN463" s="548"/>
      <c r="AO463" s="548"/>
    </row>
    <row r="464">
      <c r="G464" s="548"/>
      <c r="H464" s="548"/>
      <c r="I464" s="548"/>
      <c r="J464" s="548"/>
      <c r="K464" s="548"/>
      <c r="L464" s="548"/>
      <c r="M464" s="548"/>
      <c r="N464" s="548"/>
      <c r="O464" s="548"/>
      <c r="P464" s="548"/>
      <c r="Q464" s="548"/>
      <c r="R464" s="548"/>
      <c r="S464" s="548"/>
      <c r="T464" s="548"/>
      <c r="U464" s="548"/>
      <c r="V464" s="548"/>
      <c r="W464" s="548"/>
      <c r="X464" s="548"/>
      <c r="Y464" s="548"/>
      <c r="Z464" s="548"/>
      <c r="AA464" s="548"/>
      <c r="AB464" s="548"/>
      <c r="AC464" s="548"/>
      <c r="AD464" s="548"/>
      <c r="AE464" s="548"/>
      <c r="AF464" s="548"/>
      <c r="AG464" s="548"/>
      <c r="AH464" s="548"/>
      <c r="AI464" s="548"/>
      <c r="AJ464" s="548"/>
      <c r="AK464" s="548"/>
      <c r="AL464" s="548"/>
      <c r="AM464" s="548"/>
      <c r="AN464" s="548"/>
      <c r="AO464" s="548"/>
    </row>
    <row r="465">
      <c r="G465" s="548"/>
      <c r="H465" s="548"/>
      <c r="I465" s="548"/>
      <c r="J465" s="548"/>
      <c r="K465" s="548"/>
      <c r="L465" s="548"/>
      <c r="M465" s="548"/>
      <c r="N465" s="548"/>
      <c r="O465" s="548"/>
      <c r="P465" s="548"/>
      <c r="Q465" s="548"/>
      <c r="R465" s="548"/>
      <c r="S465" s="548"/>
      <c r="T465" s="548"/>
      <c r="U465" s="548"/>
      <c r="V465" s="548"/>
      <c r="W465" s="548"/>
      <c r="X465" s="548"/>
      <c r="Y465" s="548"/>
      <c r="Z465" s="548"/>
      <c r="AA465" s="548"/>
      <c r="AB465" s="548"/>
      <c r="AC465" s="548"/>
      <c r="AD465" s="548"/>
      <c r="AE465" s="548"/>
      <c r="AF465" s="548"/>
      <c r="AG465" s="548"/>
      <c r="AH465" s="548"/>
      <c r="AI465" s="548"/>
      <c r="AJ465" s="548"/>
      <c r="AK465" s="548"/>
      <c r="AL465" s="548"/>
      <c r="AM465" s="548"/>
      <c r="AN465" s="548"/>
      <c r="AO465" s="548"/>
    </row>
    <row r="466">
      <c r="G466" s="548"/>
      <c r="H466" s="548"/>
      <c r="I466" s="548"/>
      <c r="J466" s="548"/>
      <c r="K466" s="548"/>
      <c r="L466" s="548"/>
      <c r="M466" s="548"/>
      <c r="N466" s="548"/>
      <c r="O466" s="548"/>
      <c r="P466" s="548"/>
      <c r="Q466" s="548"/>
      <c r="R466" s="548"/>
      <c r="S466" s="548"/>
      <c r="T466" s="548"/>
      <c r="U466" s="548"/>
      <c r="V466" s="548"/>
      <c r="W466" s="548"/>
      <c r="X466" s="548"/>
      <c r="Y466" s="548"/>
      <c r="Z466" s="548"/>
      <c r="AA466" s="548"/>
      <c r="AB466" s="548"/>
      <c r="AC466" s="548"/>
      <c r="AD466" s="548"/>
      <c r="AE466" s="548"/>
      <c r="AF466" s="548"/>
      <c r="AG466" s="548"/>
      <c r="AH466" s="548"/>
      <c r="AI466" s="548"/>
      <c r="AJ466" s="548"/>
      <c r="AK466" s="548"/>
      <c r="AL466" s="548"/>
      <c r="AM466" s="548"/>
      <c r="AN466" s="548"/>
      <c r="AO466" s="548"/>
    </row>
    <row r="467">
      <c r="G467" s="548"/>
      <c r="H467" s="548"/>
      <c r="I467" s="548"/>
      <c r="J467" s="548"/>
      <c r="K467" s="548"/>
      <c r="L467" s="548"/>
      <c r="M467" s="548"/>
      <c r="N467" s="548"/>
      <c r="O467" s="548"/>
      <c r="P467" s="548"/>
      <c r="Q467" s="548"/>
      <c r="R467" s="548"/>
      <c r="S467" s="548"/>
      <c r="T467" s="548"/>
      <c r="U467" s="548"/>
      <c r="V467" s="548"/>
      <c r="W467" s="548"/>
      <c r="X467" s="548"/>
      <c r="Y467" s="548"/>
      <c r="Z467" s="548"/>
      <c r="AA467" s="548"/>
      <c r="AB467" s="548"/>
      <c r="AC467" s="548"/>
      <c r="AD467" s="548"/>
      <c r="AE467" s="548"/>
      <c r="AF467" s="548"/>
      <c r="AG467" s="548"/>
      <c r="AH467" s="548"/>
      <c r="AI467" s="548"/>
      <c r="AJ467" s="548"/>
      <c r="AK467" s="548"/>
      <c r="AL467" s="548"/>
      <c r="AM467" s="548"/>
      <c r="AN467" s="548"/>
      <c r="AO467" s="548"/>
    </row>
    <row r="468">
      <c r="G468" s="548"/>
      <c r="H468" s="548"/>
      <c r="I468" s="548"/>
      <c r="J468" s="548"/>
      <c r="K468" s="548"/>
      <c r="L468" s="548"/>
      <c r="M468" s="548"/>
      <c r="N468" s="548"/>
      <c r="O468" s="548"/>
      <c r="P468" s="548"/>
      <c r="Q468" s="548"/>
      <c r="R468" s="548"/>
      <c r="S468" s="548"/>
      <c r="T468" s="548"/>
      <c r="U468" s="548"/>
      <c r="V468" s="548"/>
      <c r="W468" s="548"/>
      <c r="X468" s="548"/>
      <c r="Y468" s="548"/>
      <c r="Z468" s="548"/>
      <c r="AA468" s="548"/>
      <c r="AB468" s="548"/>
      <c r="AC468" s="548"/>
      <c r="AD468" s="548"/>
      <c r="AE468" s="548"/>
      <c r="AF468" s="548"/>
      <c r="AG468" s="548"/>
      <c r="AH468" s="548"/>
      <c r="AI468" s="548"/>
      <c r="AJ468" s="548"/>
      <c r="AK468" s="548"/>
      <c r="AL468" s="548"/>
      <c r="AM468" s="548"/>
      <c r="AN468" s="548"/>
      <c r="AO468" s="548"/>
    </row>
    <row r="469">
      <c r="G469" s="548"/>
      <c r="H469" s="548"/>
      <c r="I469" s="548"/>
      <c r="J469" s="548"/>
      <c r="K469" s="548"/>
      <c r="L469" s="548"/>
      <c r="M469" s="548"/>
      <c r="N469" s="548"/>
      <c r="O469" s="548"/>
      <c r="P469" s="548"/>
      <c r="Q469" s="548"/>
      <c r="R469" s="548"/>
      <c r="S469" s="548"/>
      <c r="T469" s="548"/>
      <c r="U469" s="548"/>
      <c r="V469" s="548"/>
      <c r="W469" s="548"/>
      <c r="X469" s="548"/>
      <c r="Y469" s="548"/>
      <c r="Z469" s="548"/>
      <c r="AA469" s="548"/>
      <c r="AB469" s="548"/>
      <c r="AC469" s="548"/>
      <c r="AD469" s="548"/>
      <c r="AE469" s="548"/>
      <c r="AF469" s="548"/>
      <c r="AG469" s="548"/>
      <c r="AH469" s="548"/>
      <c r="AI469" s="548"/>
      <c r="AJ469" s="548"/>
      <c r="AK469" s="548"/>
      <c r="AL469" s="548"/>
      <c r="AM469" s="548"/>
      <c r="AN469" s="548"/>
      <c r="AO469" s="548"/>
    </row>
    <row r="470">
      <c r="G470" s="548"/>
      <c r="H470" s="548"/>
      <c r="I470" s="548"/>
      <c r="J470" s="548"/>
      <c r="K470" s="548"/>
      <c r="L470" s="548"/>
      <c r="M470" s="548"/>
      <c r="N470" s="548"/>
      <c r="O470" s="548"/>
      <c r="P470" s="548"/>
      <c r="Q470" s="548"/>
      <c r="R470" s="548"/>
      <c r="S470" s="548"/>
      <c r="T470" s="548"/>
      <c r="U470" s="548"/>
      <c r="V470" s="548"/>
      <c r="W470" s="548"/>
      <c r="X470" s="548"/>
      <c r="Y470" s="548"/>
      <c r="Z470" s="548"/>
      <c r="AA470" s="548"/>
      <c r="AB470" s="548"/>
      <c r="AC470" s="548"/>
      <c r="AD470" s="548"/>
      <c r="AE470" s="548"/>
      <c r="AF470" s="548"/>
      <c r="AG470" s="548"/>
      <c r="AH470" s="548"/>
      <c r="AI470" s="548"/>
      <c r="AJ470" s="548"/>
      <c r="AK470" s="548"/>
      <c r="AL470" s="548"/>
      <c r="AM470" s="548"/>
      <c r="AN470" s="548"/>
      <c r="AO470" s="548"/>
    </row>
    <row r="471">
      <c r="G471" s="548"/>
      <c r="H471" s="548"/>
      <c r="I471" s="548"/>
      <c r="J471" s="548"/>
      <c r="K471" s="548"/>
      <c r="L471" s="548"/>
      <c r="M471" s="548"/>
      <c r="N471" s="548"/>
      <c r="O471" s="548"/>
      <c r="P471" s="548"/>
      <c r="Q471" s="548"/>
      <c r="R471" s="548"/>
      <c r="S471" s="548"/>
      <c r="T471" s="548"/>
      <c r="U471" s="548"/>
      <c r="V471" s="548"/>
      <c r="W471" s="548"/>
      <c r="X471" s="548"/>
      <c r="Y471" s="548"/>
      <c r="Z471" s="548"/>
      <c r="AA471" s="548"/>
      <c r="AB471" s="548"/>
      <c r="AC471" s="548"/>
      <c r="AD471" s="548"/>
      <c r="AE471" s="548"/>
      <c r="AF471" s="548"/>
      <c r="AG471" s="548"/>
      <c r="AH471" s="548"/>
      <c r="AI471" s="548"/>
      <c r="AJ471" s="548"/>
      <c r="AK471" s="548"/>
      <c r="AL471" s="548"/>
      <c r="AM471" s="548"/>
      <c r="AN471" s="548"/>
      <c r="AO471" s="548"/>
    </row>
    <row r="472">
      <c r="G472" s="548"/>
      <c r="H472" s="548"/>
      <c r="I472" s="548"/>
      <c r="J472" s="548"/>
      <c r="K472" s="548"/>
      <c r="L472" s="548"/>
      <c r="M472" s="548"/>
      <c r="N472" s="548"/>
      <c r="O472" s="548"/>
      <c r="P472" s="548"/>
      <c r="Q472" s="548"/>
      <c r="R472" s="548"/>
      <c r="S472" s="548"/>
      <c r="T472" s="548"/>
      <c r="U472" s="548"/>
      <c r="V472" s="548"/>
      <c r="W472" s="548"/>
      <c r="X472" s="548"/>
      <c r="Y472" s="548"/>
      <c r="Z472" s="548"/>
      <c r="AA472" s="548"/>
      <c r="AB472" s="548"/>
      <c r="AC472" s="548"/>
      <c r="AD472" s="548"/>
      <c r="AE472" s="548"/>
      <c r="AF472" s="548"/>
      <c r="AG472" s="548"/>
      <c r="AH472" s="548"/>
      <c r="AI472" s="548"/>
      <c r="AJ472" s="548"/>
      <c r="AK472" s="548"/>
      <c r="AL472" s="548"/>
      <c r="AM472" s="548"/>
      <c r="AN472" s="548"/>
      <c r="AO472" s="548"/>
    </row>
    <row r="473">
      <c r="G473" s="548"/>
      <c r="H473" s="548"/>
      <c r="I473" s="548"/>
      <c r="J473" s="548"/>
      <c r="K473" s="548"/>
      <c r="L473" s="548"/>
      <c r="M473" s="548"/>
      <c r="N473" s="548"/>
      <c r="O473" s="548"/>
      <c r="P473" s="548"/>
      <c r="Q473" s="548"/>
      <c r="R473" s="548"/>
      <c r="S473" s="548"/>
      <c r="T473" s="548"/>
      <c r="U473" s="548"/>
      <c r="V473" s="548"/>
      <c r="W473" s="548"/>
      <c r="X473" s="548"/>
      <c r="Y473" s="548"/>
      <c r="Z473" s="548"/>
      <c r="AA473" s="548"/>
      <c r="AB473" s="548"/>
      <c r="AC473" s="548"/>
      <c r="AD473" s="548"/>
      <c r="AE473" s="548"/>
      <c r="AF473" s="548"/>
      <c r="AG473" s="548"/>
      <c r="AH473" s="548"/>
      <c r="AI473" s="548"/>
      <c r="AJ473" s="548"/>
      <c r="AK473" s="548"/>
      <c r="AL473" s="548"/>
      <c r="AM473" s="548"/>
      <c r="AN473" s="548"/>
      <c r="AO473" s="548"/>
    </row>
    <row r="474">
      <c r="G474" s="548"/>
      <c r="H474" s="548"/>
      <c r="I474" s="548"/>
      <c r="J474" s="548"/>
      <c r="K474" s="548"/>
      <c r="L474" s="548"/>
      <c r="M474" s="548"/>
      <c r="N474" s="548"/>
      <c r="O474" s="548"/>
      <c r="P474" s="548"/>
      <c r="Q474" s="548"/>
      <c r="R474" s="548"/>
      <c r="S474" s="548"/>
      <c r="T474" s="548"/>
      <c r="U474" s="548"/>
      <c r="V474" s="548"/>
      <c r="W474" s="548"/>
      <c r="X474" s="548"/>
      <c r="Y474" s="548"/>
      <c r="Z474" s="548"/>
      <c r="AA474" s="548"/>
      <c r="AB474" s="548"/>
      <c r="AC474" s="548"/>
      <c r="AD474" s="548"/>
      <c r="AE474" s="548"/>
      <c r="AF474" s="548"/>
      <c r="AG474" s="548"/>
      <c r="AH474" s="548"/>
      <c r="AI474" s="548"/>
      <c r="AJ474" s="548"/>
      <c r="AK474" s="548"/>
      <c r="AL474" s="548"/>
      <c r="AM474" s="548"/>
      <c r="AN474" s="548"/>
      <c r="AO474" s="548"/>
    </row>
    <row r="475">
      <c r="G475" s="548"/>
      <c r="H475" s="548"/>
      <c r="I475" s="548"/>
      <c r="J475" s="548"/>
      <c r="K475" s="548"/>
      <c r="L475" s="548"/>
      <c r="M475" s="548"/>
      <c r="N475" s="548"/>
      <c r="O475" s="548"/>
      <c r="P475" s="548"/>
      <c r="Q475" s="548"/>
      <c r="R475" s="548"/>
      <c r="S475" s="548"/>
      <c r="T475" s="548"/>
      <c r="U475" s="548"/>
      <c r="V475" s="548"/>
      <c r="W475" s="548"/>
      <c r="X475" s="548"/>
      <c r="Y475" s="548"/>
      <c r="Z475" s="548"/>
      <c r="AA475" s="548"/>
      <c r="AB475" s="548"/>
      <c r="AC475" s="548"/>
      <c r="AD475" s="548"/>
      <c r="AE475" s="548"/>
      <c r="AF475" s="548"/>
      <c r="AG475" s="548"/>
      <c r="AH475" s="548"/>
      <c r="AI475" s="548"/>
      <c r="AJ475" s="548"/>
      <c r="AK475" s="548"/>
      <c r="AL475" s="548"/>
      <c r="AM475" s="548"/>
      <c r="AN475" s="548"/>
      <c r="AO475" s="548"/>
    </row>
    <row r="476">
      <c r="G476" s="548"/>
      <c r="H476" s="548"/>
      <c r="I476" s="548"/>
      <c r="J476" s="548"/>
      <c r="K476" s="548"/>
      <c r="L476" s="548"/>
      <c r="M476" s="548"/>
      <c r="N476" s="548"/>
      <c r="O476" s="548"/>
      <c r="P476" s="548"/>
      <c r="Q476" s="548"/>
      <c r="R476" s="548"/>
      <c r="S476" s="548"/>
      <c r="T476" s="548"/>
      <c r="U476" s="548"/>
      <c r="V476" s="548"/>
      <c r="W476" s="548"/>
      <c r="X476" s="548"/>
      <c r="Y476" s="548"/>
      <c r="Z476" s="548"/>
      <c r="AA476" s="548"/>
      <c r="AB476" s="548"/>
      <c r="AC476" s="548"/>
      <c r="AD476" s="548"/>
      <c r="AE476" s="548"/>
      <c r="AF476" s="548"/>
      <c r="AG476" s="548"/>
      <c r="AH476" s="548"/>
      <c r="AI476" s="548"/>
      <c r="AJ476" s="548"/>
      <c r="AK476" s="548"/>
      <c r="AL476" s="548"/>
      <c r="AM476" s="548"/>
      <c r="AN476" s="548"/>
      <c r="AO476" s="548"/>
    </row>
    <row r="477">
      <c r="G477" s="548"/>
      <c r="H477" s="548"/>
      <c r="I477" s="548"/>
      <c r="J477" s="548"/>
      <c r="K477" s="548"/>
      <c r="L477" s="548"/>
      <c r="M477" s="548"/>
      <c r="N477" s="548"/>
      <c r="O477" s="548"/>
      <c r="P477" s="548"/>
      <c r="Q477" s="548"/>
      <c r="R477" s="548"/>
      <c r="S477" s="548"/>
      <c r="T477" s="548"/>
      <c r="U477" s="548"/>
      <c r="V477" s="548"/>
      <c r="W477" s="548"/>
      <c r="X477" s="548"/>
      <c r="Y477" s="548"/>
      <c r="Z477" s="548"/>
      <c r="AA477" s="548"/>
      <c r="AB477" s="548"/>
      <c r="AC477" s="548"/>
      <c r="AD477" s="548"/>
      <c r="AE477" s="548"/>
      <c r="AF477" s="548"/>
      <c r="AG477" s="548"/>
      <c r="AH477" s="548"/>
      <c r="AI477" s="548"/>
      <c r="AJ477" s="548"/>
      <c r="AK477" s="548"/>
      <c r="AL477" s="548"/>
      <c r="AM477" s="548"/>
      <c r="AN477" s="548"/>
      <c r="AO477" s="548"/>
    </row>
    <row r="478">
      <c r="G478" s="548"/>
      <c r="H478" s="548"/>
      <c r="I478" s="548"/>
      <c r="J478" s="548"/>
      <c r="K478" s="548"/>
      <c r="L478" s="548"/>
      <c r="M478" s="548"/>
      <c r="N478" s="548"/>
      <c r="O478" s="548"/>
      <c r="P478" s="548"/>
      <c r="Q478" s="548"/>
      <c r="R478" s="548"/>
      <c r="S478" s="548"/>
      <c r="T478" s="548"/>
      <c r="U478" s="548"/>
      <c r="V478" s="548"/>
      <c r="W478" s="548"/>
      <c r="X478" s="548"/>
      <c r="Y478" s="548"/>
      <c r="Z478" s="548"/>
      <c r="AA478" s="548"/>
      <c r="AB478" s="548"/>
      <c r="AC478" s="548"/>
      <c r="AD478" s="548"/>
      <c r="AE478" s="548"/>
      <c r="AF478" s="548"/>
      <c r="AG478" s="548"/>
      <c r="AH478" s="548"/>
      <c r="AI478" s="548"/>
      <c r="AJ478" s="548"/>
      <c r="AK478" s="548"/>
      <c r="AL478" s="548"/>
      <c r="AM478" s="548"/>
      <c r="AN478" s="548"/>
      <c r="AO478" s="548"/>
    </row>
    <row r="479">
      <c r="G479" s="548"/>
      <c r="H479" s="548"/>
      <c r="I479" s="548"/>
      <c r="J479" s="548"/>
      <c r="K479" s="548"/>
      <c r="L479" s="548"/>
      <c r="M479" s="548"/>
      <c r="N479" s="548"/>
      <c r="O479" s="548"/>
      <c r="P479" s="548"/>
      <c r="Q479" s="548"/>
      <c r="R479" s="548"/>
      <c r="S479" s="548"/>
      <c r="T479" s="548"/>
      <c r="U479" s="548"/>
      <c r="V479" s="548"/>
      <c r="W479" s="548"/>
      <c r="X479" s="548"/>
      <c r="Y479" s="548"/>
      <c r="Z479" s="548"/>
      <c r="AA479" s="548"/>
      <c r="AB479" s="548"/>
      <c r="AC479" s="548"/>
      <c r="AD479" s="548"/>
      <c r="AE479" s="548"/>
      <c r="AF479" s="548"/>
      <c r="AG479" s="548"/>
      <c r="AH479" s="548"/>
      <c r="AI479" s="548"/>
      <c r="AJ479" s="548"/>
      <c r="AK479" s="548"/>
      <c r="AL479" s="548"/>
      <c r="AM479" s="548"/>
      <c r="AN479" s="548"/>
      <c r="AO479" s="548"/>
    </row>
    <row r="480">
      <c r="G480" s="548"/>
      <c r="H480" s="548"/>
      <c r="I480" s="548"/>
      <c r="J480" s="548"/>
      <c r="K480" s="548"/>
      <c r="L480" s="548"/>
      <c r="M480" s="548"/>
      <c r="N480" s="548"/>
      <c r="O480" s="548"/>
      <c r="P480" s="548"/>
      <c r="Q480" s="548"/>
      <c r="R480" s="548"/>
      <c r="S480" s="548"/>
      <c r="T480" s="548"/>
      <c r="U480" s="548"/>
      <c r="V480" s="548"/>
      <c r="W480" s="548"/>
      <c r="X480" s="548"/>
      <c r="Y480" s="548"/>
      <c r="Z480" s="548"/>
      <c r="AA480" s="548"/>
      <c r="AB480" s="548"/>
      <c r="AC480" s="548"/>
      <c r="AD480" s="548"/>
      <c r="AE480" s="548"/>
      <c r="AF480" s="548"/>
      <c r="AG480" s="548"/>
      <c r="AH480" s="548"/>
      <c r="AI480" s="548"/>
      <c r="AJ480" s="548"/>
      <c r="AK480" s="548"/>
      <c r="AL480" s="548"/>
      <c r="AM480" s="548"/>
      <c r="AN480" s="548"/>
      <c r="AO480" s="548"/>
    </row>
    <row r="481">
      <c r="G481" s="548"/>
      <c r="H481" s="548"/>
      <c r="I481" s="548"/>
      <c r="J481" s="548"/>
      <c r="K481" s="548"/>
      <c r="L481" s="548"/>
      <c r="M481" s="548"/>
      <c r="N481" s="548"/>
      <c r="O481" s="548"/>
      <c r="P481" s="548"/>
      <c r="Q481" s="548"/>
      <c r="R481" s="548"/>
      <c r="S481" s="548"/>
      <c r="T481" s="548"/>
      <c r="U481" s="548"/>
      <c r="V481" s="548"/>
      <c r="W481" s="548"/>
      <c r="X481" s="548"/>
      <c r="Y481" s="548"/>
      <c r="Z481" s="548"/>
      <c r="AA481" s="548"/>
      <c r="AB481" s="548"/>
      <c r="AC481" s="548"/>
      <c r="AD481" s="548"/>
      <c r="AE481" s="548"/>
      <c r="AF481" s="548"/>
      <c r="AG481" s="548"/>
      <c r="AH481" s="548"/>
      <c r="AI481" s="548"/>
      <c r="AJ481" s="548"/>
      <c r="AK481" s="548"/>
      <c r="AL481" s="548"/>
      <c r="AM481" s="548"/>
      <c r="AN481" s="548"/>
      <c r="AO481" s="548"/>
    </row>
    <row r="482">
      <c r="G482" s="548"/>
      <c r="H482" s="548"/>
      <c r="I482" s="548"/>
      <c r="J482" s="548"/>
      <c r="K482" s="548"/>
      <c r="L482" s="548"/>
      <c r="M482" s="548"/>
      <c r="N482" s="548"/>
      <c r="O482" s="548"/>
      <c r="P482" s="548"/>
      <c r="Q482" s="548"/>
      <c r="R482" s="548"/>
      <c r="S482" s="548"/>
      <c r="T482" s="548"/>
      <c r="U482" s="548"/>
      <c r="V482" s="548"/>
      <c r="W482" s="548"/>
      <c r="X482" s="548"/>
      <c r="Y482" s="548"/>
      <c r="Z482" s="548"/>
      <c r="AA482" s="548"/>
      <c r="AB482" s="548"/>
      <c r="AC482" s="548"/>
      <c r="AD482" s="548"/>
      <c r="AE482" s="548"/>
      <c r="AF482" s="548"/>
      <c r="AG482" s="548"/>
      <c r="AH482" s="548"/>
      <c r="AI482" s="548"/>
      <c r="AJ482" s="548"/>
      <c r="AK482" s="548"/>
      <c r="AL482" s="548"/>
      <c r="AM482" s="548"/>
      <c r="AN482" s="548"/>
      <c r="AO482" s="548"/>
    </row>
    <row r="483">
      <c r="G483" s="548"/>
      <c r="H483" s="548"/>
      <c r="I483" s="548"/>
      <c r="J483" s="548"/>
      <c r="K483" s="548"/>
      <c r="L483" s="548"/>
      <c r="M483" s="548"/>
      <c r="N483" s="548"/>
      <c r="O483" s="548"/>
      <c r="P483" s="548"/>
      <c r="Q483" s="548"/>
      <c r="R483" s="548"/>
      <c r="S483" s="548"/>
      <c r="T483" s="548"/>
      <c r="U483" s="548"/>
      <c r="V483" s="548"/>
      <c r="W483" s="548"/>
      <c r="X483" s="548"/>
      <c r="Y483" s="548"/>
      <c r="Z483" s="548"/>
      <c r="AA483" s="548"/>
      <c r="AB483" s="548"/>
      <c r="AC483" s="548"/>
      <c r="AD483" s="548"/>
      <c r="AE483" s="548"/>
      <c r="AF483" s="548"/>
      <c r="AG483" s="548"/>
      <c r="AH483" s="548"/>
      <c r="AI483" s="548"/>
      <c r="AJ483" s="548"/>
      <c r="AK483" s="548"/>
      <c r="AL483" s="548"/>
      <c r="AM483" s="548"/>
      <c r="AN483" s="548"/>
      <c r="AO483" s="548"/>
    </row>
    <row r="484">
      <c r="G484" s="548"/>
      <c r="H484" s="548"/>
      <c r="I484" s="548"/>
      <c r="J484" s="548"/>
      <c r="K484" s="548"/>
      <c r="L484" s="548"/>
      <c r="M484" s="548"/>
      <c r="N484" s="548"/>
      <c r="O484" s="548"/>
      <c r="P484" s="548"/>
      <c r="Q484" s="548"/>
      <c r="R484" s="548"/>
      <c r="S484" s="548"/>
      <c r="T484" s="548"/>
      <c r="U484" s="548"/>
      <c r="V484" s="548"/>
      <c r="W484" s="548"/>
      <c r="X484" s="548"/>
      <c r="Y484" s="548"/>
      <c r="Z484" s="548"/>
      <c r="AA484" s="548"/>
      <c r="AB484" s="548"/>
      <c r="AC484" s="548"/>
      <c r="AD484" s="548"/>
      <c r="AE484" s="548"/>
      <c r="AF484" s="548"/>
      <c r="AG484" s="548"/>
      <c r="AH484" s="548"/>
      <c r="AI484" s="548"/>
      <c r="AJ484" s="548"/>
      <c r="AK484" s="548"/>
      <c r="AL484" s="548"/>
      <c r="AM484" s="548"/>
      <c r="AN484" s="548"/>
      <c r="AO484" s="548"/>
    </row>
    <row r="485">
      <c r="G485" s="548"/>
      <c r="H485" s="548"/>
      <c r="I485" s="548"/>
      <c r="J485" s="548"/>
      <c r="K485" s="548"/>
      <c r="L485" s="548"/>
      <c r="M485" s="548"/>
      <c r="N485" s="548"/>
      <c r="O485" s="548"/>
      <c r="P485" s="548"/>
      <c r="Q485" s="548"/>
      <c r="R485" s="548"/>
      <c r="S485" s="548"/>
      <c r="T485" s="548"/>
      <c r="U485" s="548"/>
      <c r="V485" s="548"/>
      <c r="W485" s="548"/>
      <c r="X485" s="548"/>
      <c r="Y485" s="548"/>
      <c r="Z485" s="548"/>
      <c r="AA485" s="548"/>
      <c r="AB485" s="548"/>
      <c r="AC485" s="548"/>
      <c r="AD485" s="548"/>
      <c r="AE485" s="548"/>
      <c r="AF485" s="548"/>
      <c r="AG485" s="548"/>
      <c r="AH485" s="548"/>
      <c r="AI485" s="548"/>
      <c r="AJ485" s="548"/>
      <c r="AK485" s="548"/>
      <c r="AL485" s="548"/>
      <c r="AM485" s="548"/>
      <c r="AN485" s="548"/>
      <c r="AO485" s="548"/>
    </row>
    <row r="486">
      <c r="G486" s="548"/>
      <c r="H486" s="548"/>
      <c r="I486" s="548"/>
      <c r="J486" s="548"/>
      <c r="K486" s="548"/>
      <c r="L486" s="548"/>
      <c r="M486" s="548"/>
      <c r="N486" s="548"/>
      <c r="O486" s="548"/>
      <c r="P486" s="548"/>
      <c r="Q486" s="548"/>
      <c r="R486" s="548"/>
      <c r="S486" s="548"/>
      <c r="T486" s="548"/>
      <c r="U486" s="548"/>
      <c r="V486" s="548"/>
      <c r="W486" s="548"/>
      <c r="X486" s="548"/>
      <c r="Y486" s="548"/>
      <c r="Z486" s="548"/>
      <c r="AA486" s="548"/>
      <c r="AB486" s="548"/>
      <c r="AC486" s="548"/>
      <c r="AD486" s="548"/>
      <c r="AE486" s="548"/>
      <c r="AF486" s="548"/>
      <c r="AG486" s="548"/>
      <c r="AH486" s="548"/>
      <c r="AI486" s="548"/>
      <c r="AJ486" s="548"/>
      <c r="AK486" s="548"/>
      <c r="AL486" s="548"/>
      <c r="AM486" s="548"/>
      <c r="AN486" s="548"/>
      <c r="AO486" s="548"/>
    </row>
    <row r="487">
      <c r="G487" s="548"/>
      <c r="H487" s="548"/>
      <c r="I487" s="548"/>
      <c r="J487" s="548"/>
      <c r="K487" s="548"/>
      <c r="L487" s="548"/>
      <c r="M487" s="548"/>
      <c r="N487" s="548"/>
      <c r="O487" s="548"/>
      <c r="P487" s="548"/>
      <c r="Q487" s="548"/>
      <c r="R487" s="548"/>
      <c r="S487" s="548"/>
      <c r="T487" s="548"/>
      <c r="U487" s="548"/>
      <c r="V487" s="548"/>
      <c r="W487" s="548"/>
      <c r="X487" s="548"/>
      <c r="Y487" s="548"/>
      <c r="Z487" s="548"/>
      <c r="AA487" s="548"/>
      <c r="AB487" s="548"/>
      <c r="AC487" s="548"/>
      <c r="AD487" s="548"/>
      <c r="AE487" s="548"/>
      <c r="AF487" s="548"/>
      <c r="AG487" s="548"/>
      <c r="AH487" s="548"/>
      <c r="AI487" s="548"/>
      <c r="AJ487" s="548"/>
      <c r="AK487" s="548"/>
      <c r="AL487" s="548"/>
      <c r="AM487" s="548"/>
      <c r="AN487" s="548"/>
      <c r="AO487" s="548"/>
    </row>
    <row r="488">
      <c r="G488" s="548"/>
      <c r="H488" s="548"/>
      <c r="I488" s="548"/>
      <c r="J488" s="548"/>
      <c r="K488" s="548"/>
      <c r="L488" s="548"/>
      <c r="M488" s="548"/>
      <c r="N488" s="548"/>
      <c r="O488" s="548"/>
      <c r="P488" s="548"/>
      <c r="Q488" s="548"/>
      <c r="R488" s="548"/>
      <c r="S488" s="548"/>
      <c r="T488" s="548"/>
      <c r="U488" s="548"/>
      <c r="V488" s="548"/>
      <c r="W488" s="548"/>
      <c r="X488" s="548"/>
      <c r="Y488" s="548"/>
      <c r="Z488" s="548"/>
      <c r="AA488" s="548"/>
      <c r="AB488" s="548"/>
      <c r="AC488" s="548"/>
      <c r="AD488" s="548"/>
      <c r="AE488" s="548"/>
      <c r="AF488" s="548"/>
      <c r="AG488" s="548"/>
      <c r="AH488" s="548"/>
      <c r="AI488" s="548"/>
      <c r="AJ488" s="548"/>
      <c r="AK488" s="548"/>
      <c r="AL488" s="548"/>
      <c r="AM488" s="548"/>
      <c r="AN488" s="548"/>
      <c r="AO488" s="548"/>
    </row>
    <row r="489">
      <c r="G489" s="548"/>
      <c r="H489" s="548"/>
      <c r="I489" s="548"/>
      <c r="J489" s="548"/>
      <c r="K489" s="548"/>
      <c r="L489" s="548"/>
      <c r="M489" s="548"/>
      <c r="N489" s="548"/>
      <c r="O489" s="548"/>
      <c r="P489" s="548"/>
      <c r="Q489" s="548"/>
      <c r="R489" s="548"/>
      <c r="S489" s="548"/>
      <c r="T489" s="548"/>
      <c r="U489" s="548"/>
      <c r="V489" s="548"/>
      <c r="W489" s="548"/>
      <c r="X489" s="548"/>
      <c r="Y489" s="548"/>
      <c r="Z489" s="548"/>
      <c r="AA489" s="548"/>
      <c r="AB489" s="548"/>
      <c r="AC489" s="548"/>
      <c r="AD489" s="548"/>
      <c r="AE489" s="548"/>
      <c r="AF489" s="548"/>
      <c r="AG489" s="548"/>
      <c r="AH489" s="548"/>
      <c r="AI489" s="548"/>
      <c r="AJ489" s="548"/>
      <c r="AK489" s="548"/>
      <c r="AL489" s="548"/>
      <c r="AM489" s="548"/>
      <c r="AN489" s="548"/>
      <c r="AO489" s="548"/>
    </row>
    <row r="490">
      <c r="G490" s="548"/>
      <c r="H490" s="548"/>
      <c r="I490" s="548"/>
      <c r="J490" s="548"/>
      <c r="K490" s="548"/>
      <c r="L490" s="548"/>
      <c r="M490" s="548"/>
      <c r="N490" s="548"/>
      <c r="O490" s="548"/>
      <c r="P490" s="548"/>
      <c r="Q490" s="548"/>
      <c r="R490" s="548"/>
      <c r="S490" s="548"/>
      <c r="T490" s="548"/>
      <c r="U490" s="548"/>
      <c r="V490" s="548"/>
      <c r="W490" s="548"/>
      <c r="X490" s="548"/>
      <c r="Y490" s="548"/>
      <c r="Z490" s="548"/>
      <c r="AA490" s="548"/>
      <c r="AB490" s="548"/>
      <c r="AC490" s="548"/>
      <c r="AD490" s="548"/>
      <c r="AE490" s="548"/>
      <c r="AF490" s="548"/>
      <c r="AG490" s="548"/>
      <c r="AH490" s="548"/>
      <c r="AI490" s="548"/>
      <c r="AJ490" s="548"/>
      <c r="AK490" s="548"/>
      <c r="AL490" s="548"/>
      <c r="AM490" s="548"/>
      <c r="AN490" s="548"/>
      <c r="AO490" s="548"/>
    </row>
    <row r="491">
      <c r="G491" s="548"/>
      <c r="H491" s="548"/>
      <c r="I491" s="548"/>
      <c r="J491" s="548"/>
      <c r="K491" s="548"/>
      <c r="L491" s="548"/>
      <c r="M491" s="548"/>
      <c r="N491" s="548"/>
      <c r="O491" s="548"/>
      <c r="P491" s="548"/>
      <c r="Q491" s="548"/>
      <c r="R491" s="548"/>
      <c r="S491" s="548"/>
      <c r="T491" s="548"/>
      <c r="U491" s="548"/>
      <c r="V491" s="548"/>
      <c r="W491" s="548"/>
      <c r="X491" s="548"/>
      <c r="Y491" s="548"/>
      <c r="Z491" s="548"/>
      <c r="AA491" s="548"/>
      <c r="AB491" s="548"/>
      <c r="AC491" s="548"/>
      <c r="AD491" s="548"/>
      <c r="AE491" s="548"/>
      <c r="AF491" s="548"/>
      <c r="AG491" s="548"/>
      <c r="AH491" s="548"/>
      <c r="AI491" s="548"/>
      <c r="AJ491" s="548"/>
      <c r="AK491" s="548"/>
      <c r="AL491" s="548"/>
      <c r="AM491" s="548"/>
      <c r="AN491" s="548"/>
      <c r="AO491" s="548"/>
    </row>
    <row r="492">
      <c r="G492" s="548"/>
      <c r="H492" s="548"/>
      <c r="I492" s="548"/>
      <c r="J492" s="548"/>
      <c r="K492" s="548"/>
      <c r="L492" s="548"/>
      <c r="M492" s="548"/>
      <c r="N492" s="548"/>
      <c r="O492" s="548"/>
      <c r="P492" s="548"/>
      <c r="Q492" s="548"/>
      <c r="R492" s="548"/>
      <c r="S492" s="548"/>
      <c r="T492" s="548"/>
      <c r="U492" s="548"/>
      <c r="V492" s="548"/>
      <c r="W492" s="548"/>
      <c r="X492" s="548"/>
      <c r="Y492" s="548"/>
      <c r="Z492" s="548"/>
      <c r="AA492" s="548"/>
      <c r="AB492" s="548"/>
      <c r="AC492" s="548"/>
      <c r="AD492" s="548"/>
      <c r="AE492" s="548"/>
      <c r="AF492" s="548"/>
      <c r="AG492" s="548"/>
      <c r="AH492" s="548"/>
      <c r="AI492" s="548"/>
      <c r="AJ492" s="548"/>
      <c r="AK492" s="548"/>
      <c r="AL492" s="548"/>
      <c r="AM492" s="548"/>
      <c r="AN492" s="548"/>
      <c r="AO492" s="548"/>
    </row>
    <row r="493">
      <c r="G493" s="548"/>
      <c r="H493" s="548"/>
      <c r="I493" s="548"/>
      <c r="J493" s="548"/>
      <c r="K493" s="548"/>
      <c r="L493" s="548"/>
      <c r="M493" s="548"/>
      <c r="N493" s="548"/>
      <c r="O493" s="548"/>
      <c r="P493" s="548"/>
      <c r="Q493" s="548"/>
      <c r="R493" s="548"/>
      <c r="S493" s="548"/>
      <c r="T493" s="548"/>
      <c r="U493" s="548"/>
      <c r="V493" s="548"/>
      <c r="W493" s="548"/>
      <c r="X493" s="548"/>
      <c r="Y493" s="548"/>
      <c r="Z493" s="548"/>
      <c r="AA493" s="548"/>
      <c r="AB493" s="548"/>
      <c r="AC493" s="548"/>
      <c r="AD493" s="548"/>
      <c r="AE493" s="548"/>
      <c r="AF493" s="548"/>
      <c r="AG493" s="548"/>
      <c r="AH493" s="548"/>
      <c r="AI493" s="548"/>
      <c r="AJ493" s="548"/>
      <c r="AK493" s="548"/>
      <c r="AL493" s="548"/>
      <c r="AM493" s="548"/>
      <c r="AN493" s="548"/>
      <c r="AO493" s="548"/>
    </row>
    <row r="494">
      <c r="G494" s="548"/>
      <c r="H494" s="548"/>
      <c r="I494" s="548"/>
      <c r="J494" s="548"/>
      <c r="K494" s="548"/>
      <c r="L494" s="548"/>
      <c r="M494" s="548"/>
      <c r="N494" s="548"/>
      <c r="O494" s="548"/>
      <c r="P494" s="548"/>
      <c r="Q494" s="548"/>
      <c r="R494" s="548"/>
      <c r="S494" s="548"/>
      <c r="T494" s="548"/>
      <c r="U494" s="548"/>
      <c r="V494" s="548"/>
      <c r="W494" s="548"/>
      <c r="X494" s="548"/>
      <c r="Y494" s="548"/>
      <c r="Z494" s="548"/>
      <c r="AA494" s="548"/>
      <c r="AB494" s="548"/>
      <c r="AC494" s="548"/>
      <c r="AD494" s="548"/>
      <c r="AE494" s="548"/>
      <c r="AF494" s="548"/>
      <c r="AG494" s="548"/>
      <c r="AH494" s="548"/>
      <c r="AI494" s="548"/>
      <c r="AJ494" s="548"/>
      <c r="AK494" s="548"/>
      <c r="AL494" s="548"/>
      <c r="AM494" s="548"/>
      <c r="AN494" s="548"/>
      <c r="AO494" s="548"/>
    </row>
    <row r="495">
      <c r="G495" s="548"/>
      <c r="H495" s="548"/>
      <c r="I495" s="548"/>
      <c r="J495" s="548"/>
      <c r="K495" s="548"/>
      <c r="L495" s="548"/>
      <c r="M495" s="548"/>
      <c r="N495" s="548"/>
      <c r="O495" s="548"/>
      <c r="P495" s="548"/>
      <c r="Q495" s="548"/>
      <c r="R495" s="548"/>
      <c r="S495" s="548"/>
      <c r="T495" s="548"/>
      <c r="U495" s="548"/>
      <c r="V495" s="548"/>
      <c r="W495" s="548"/>
      <c r="X495" s="548"/>
      <c r="Y495" s="548"/>
      <c r="Z495" s="548"/>
      <c r="AA495" s="548"/>
      <c r="AB495" s="548"/>
      <c r="AC495" s="548"/>
      <c r="AD495" s="548"/>
      <c r="AE495" s="548"/>
      <c r="AF495" s="548"/>
      <c r="AG495" s="548"/>
      <c r="AH495" s="548"/>
      <c r="AI495" s="548"/>
      <c r="AJ495" s="548"/>
      <c r="AK495" s="548"/>
      <c r="AL495" s="548"/>
      <c r="AM495" s="548"/>
      <c r="AN495" s="548"/>
      <c r="AO495" s="548"/>
    </row>
    <row r="496">
      <c r="G496" s="548"/>
      <c r="H496" s="548"/>
      <c r="I496" s="548"/>
      <c r="J496" s="548"/>
      <c r="K496" s="548"/>
      <c r="L496" s="548"/>
      <c r="M496" s="548"/>
      <c r="N496" s="548"/>
      <c r="O496" s="548"/>
      <c r="P496" s="548"/>
      <c r="Q496" s="548"/>
      <c r="R496" s="548"/>
      <c r="S496" s="548"/>
      <c r="T496" s="548"/>
      <c r="U496" s="548"/>
      <c r="V496" s="548"/>
      <c r="W496" s="548"/>
      <c r="X496" s="548"/>
      <c r="Y496" s="548"/>
      <c r="Z496" s="548"/>
      <c r="AA496" s="548"/>
      <c r="AB496" s="548"/>
      <c r="AC496" s="548"/>
      <c r="AD496" s="548"/>
      <c r="AE496" s="548"/>
      <c r="AF496" s="548"/>
      <c r="AG496" s="548"/>
      <c r="AH496" s="548"/>
      <c r="AI496" s="548"/>
      <c r="AJ496" s="548"/>
      <c r="AK496" s="548"/>
      <c r="AL496" s="548"/>
      <c r="AM496" s="548"/>
      <c r="AN496" s="548"/>
      <c r="AO496" s="548"/>
    </row>
    <row r="497">
      <c r="G497" s="548"/>
      <c r="H497" s="548"/>
      <c r="I497" s="548"/>
      <c r="J497" s="548"/>
      <c r="K497" s="548"/>
      <c r="L497" s="548"/>
      <c r="M497" s="548"/>
      <c r="N497" s="548"/>
      <c r="O497" s="548"/>
      <c r="P497" s="548"/>
      <c r="Q497" s="548"/>
      <c r="R497" s="548"/>
      <c r="S497" s="548"/>
      <c r="T497" s="548"/>
      <c r="U497" s="548"/>
      <c r="V497" s="548"/>
      <c r="W497" s="548"/>
      <c r="X497" s="548"/>
      <c r="Y497" s="548"/>
      <c r="Z497" s="548"/>
      <c r="AA497" s="548"/>
      <c r="AB497" s="548"/>
      <c r="AC497" s="548"/>
      <c r="AD497" s="548"/>
      <c r="AE497" s="548"/>
      <c r="AF497" s="548"/>
      <c r="AG497" s="548"/>
      <c r="AH497" s="548"/>
      <c r="AI497" s="548"/>
      <c r="AJ497" s="548"/>
      <c r="AK497" s="548"/>
      <c r="AL497" s="548"/>
      <c r="AM497" s="548"/>
      <c r="AN497" s="548"/>
      <c r="AO497" s="548"/>
    </row>
    <row r="498">
      <c r="G498" s="548"/>
      <c r="H498" s="548"/>
      <c r="I498" s="548"/>
      <c r="J498" s="548"/>
      <c r="K498" s="548"/>
      <c r="L498" s="548"/>
      <c r="M498" s="548"/>
      <c r="N498" s="548"/>
      <c r="O498" s="548"/>
      <c r="P498" s="548"/>
      <c r="Q498" s="548"/>
      <c r="R498" s="548"/>
      <c r="S498" s="548"/>
      <c r="T498" s="548"/>
      <c r="U498" s="548"/>
      <c r="V498" s="548"/>
      <c r="W498" s="548"/>
      <c r="X498" s="548"/>
      <c r="Y498" s="548"/>
      <c r="Z498" s="548"/>
      <c r="AA498" s="548"/>
      <c r="AB498" s="548"/>
      <c r="AC498" s="548"/>
      <c r="AD498" s="548"/>
      <c r="AE498" s="548"/>
      <c r="AF498" s="548"/>
      <c r="AG498" s="548"/>
      <c r="AH498" s="548"/>
      <c r="AI498" s="548"/>
      <c r="AJ498" s="548"/>
      <c r="AK498" s="548"/>
      <c r="AL498" s="548"/>
      <c r="AM498" s="548"/>
      <c r="AN498" s="548"/>
      <c r="AO498" s="548"/>
    </row>
    <row r="499">
      <c r="G499" s="548"/>
      <c r="H499" s="548"/>
      <c r="I499" s="548"/>
      <c r="J499" s="548"/>
      <c r="K499" s="548"/>
      <c r="L499" s="548"/>
      <c r="M499" s="548"/>
      <c r="N499" s="548"/>
      <c r="O499" s="548"/>
      <c r="P499" s="548"/>
      <c r="Q499" s="548"/>
      <c r="R499" s="548"/>
      <c r="S499" s="548"/>
      <c r="T499" s="548"/>
      <c r="U499" s="548"/>
      <c r="V499" s="548"/>
      <c r="W499" s="548"/>
      <c r="X499" s="548"/>
      <c r="Y499" s="548"/>
      <c r="Z499" s="548"/>
      <c r="AA499" s="548"/>
      <c r="AB499" s="548"/>
      <c r="AC499" s="548"/>
      <c r="AD499" s="548"/>
      <c r="AE499" s="548"/>
      <c r="AF499" s="548"/>
      <c r="AG499" s="548"/>
      <c r="AH499" s="548"/>
      <c r="AI499" s="548"/>
      <c r="AJ499" s="548"/>
      <c r="AK499" s="548"/>
      <c r="AL499" s="548"/>
      <c r="AM499" s="548"/>
      <c r="AN499" s="548"/>
      <c r="AO499" s="548"/>
    </row>
    <row r="500">
      <c r="G500" s="548"/>
      <c r="H500" s="548"/>
      <c r="I500" s="548"/>
      <c r="J500" s="548"/>
      <c r="K500" s="548"/>
      <c r="L500" s="548"/>
      <c r="M500" s="548"/>
      <c r="N500" s="548"/>
      <c r="O500" s="548"/>
      <c r="P500" s="548"/>
      <c r="Q500" s="548"/>
      <c r="R500" s="548"/>
      <c r="S500" s="548"/>
      <c r="T500" s="548"/>
      <c r="U500" s="548"/>
      <c r="V500" s="548"/>
      <c r="W500" s="548"/>
      <c r="X500" s="548"/>
      <c r="Y500" s="548"/>
      <c r="Z500" s="548"/>
      <c r="AA500" s="548"/>
      <c r="AB500" s="548"/>
      <c r="AC500" s="548"/>
      <c r="AD500" s="548"/>
      <c r="AE500" s="548"/>
      <c r="AF500" s="548"/>
      <c r="AG500" s="548"/>
      <c r="AH500" s="548"/>
      <c r="AI500" s="548"/>
      <c r="AJ500" s="548"/>
      <c r="AK500" s="548"/>
      <c r="AL500" s="548"/>
      <c r="AM500" s="548"/>
      <c r="AN500" s="548"/>
      <c r="AO500" s="548"/>
    </row>
    <row r="501">
      <c r="G501" s="548"/>
      <c r="H501" s="548"/>
      <c r="I501" s="548"/>
      <c r="J501" s="548"/>
      <c r="K501" s="548"/>
      <c r="L501" s="548"/>
      <c r="M501" s="548"/>
      <c r="N501" s="548"/>
      <c r="O501" s="548"/>
      <c r="P501" s="548"/>
      <c r="Q501" s="548"/>
      <c r="R501" s="548"/>
      <c r="S501" s="548"/>
      <c r="T501" s="548"/>
      <c r="U501" s="548"/>
      <c r="V501" s="548"/>
      <c r="W501" s="548"/>
      <c r="X501" s="548"/>
      <c r="Y501" s="548"/>
      <c r="Z501" s="548"/>
      <c r="AA501" s="548"/>
      <c r="AB501" s="548"/>
      <c r="AC501" s="548"/>
      <c r="AD501" s="548"/>
      <c r="AE501" s="548"/>
      <c r="AF501" s="548"/>
      <c r="AG501" s="548"/>
      <c r="AH501" s="548"/>
      <c r="AI501" s="548"/>
      <c r="AJ501" s="548"/>
      <c r="AK501" s="548"/>
      <c r="AL501" s="548"/>
      <c r="AM501" s="548"/>
      <c r="AN501" s="548"/>
      <c r="AO501" s="548"/>
    </row>
    <row r="502">
      <c r="G502" s="548"/>
      <c r="H502" s="548"/>
      <c r="I502" s="548"/>
      <c r="J502" s="548"/>
      <c r="K502" s="548"/>
      <c r="L502" s="548"/>
      <c r="M502" s="548"/>
      <c r="N502" s="548"/>
      <c r="O502" s="548"/>
      <c r="P502" s="548"/>
      <c r="Q502" s="548"/>
      <c r="R502" s="548"/>
      <c r="S502" s="548"/>
      <c r="T502" s="548"/>
      <c r="U502" s="548"/>
      <c r="V502" s="548"/>
      <c r="W502" s="548"/>
      <c r="X502" s="548"/>
      <c r="Y502" s="548"/>
      <c r="Z502" s="548"/>
      <c r="AA502" s="548"/>
      <c r="AB502" s="548"/>
      <c r="AC502" s="548"/>
      <c r="AD502" s="548"/>
      <c r="AE502" s="548"/>
      <c r="AF502" s="548"/>
      <c r="AG502" s="548"/>
      <c r="AH502" s="548"/>
      <c r="AI502" s="548"/>
      <c r="AJ502" s="548"/>
      <c r="AK502" s="548"/>
      <c r="AL502" s="548"/>
      <c r="AM502" s="548"/>
      <c r="AN502" s="548"/>
      <c r="AO502" s="548"/>
    </row>
    <row r="503">
      <c r="G503" s="548"/>
      <c r="H503" s="548"/>
      <c r="I503" s="548"/>
      <c r="J503" s="548"/>
      <c r="K503" s="548"/>
      <c r="L503" s="548"/>
      <c r="M503" s="548"/>
      <c r="N503" s="548"/>
      <c r="O503" s="548"/>
      <c r="P503" s="548"/>
      <c r="Q503" s="548"/>
      <c r="R503" s="548"/>
      <c r="S503" s="548"/>
      <c r="T503" s="548"/>
      <c r="U503" s="548"/>
      <c r="V503" s="548"/>
      <c r="W503" s="548"/>
      <c r="X503" s="548"/>
      <c r="Y503" s="548"/>
      <c r="Z503" s="548"/>
      <c r="AA503" s="548"/>
      <c r="AB503" s="548"/>
      <c r="AC503" s="548"/>
      <c r="AD503" s="548"/>
      <c r="AE503" s="548"/>
      <c r="AF503" s="548"/>
      <c r="AG503" s="548"/>
      <c r="AH503" s="548"/>
      <c r="AI503" s="548"/>
      <c r="AJ503" s="548"/>
      <c r="AK503" s="548"/>
      <c r="AL503" s="548"/>
      <c r="AM503" s="548"/>
      <c r="AN503" s="548"/>
      <c r="AO503" s="548"/>
    </row>
    <row r="504">
      <c r="G504" s="548"/>
      <c r="H504" s="548"/>
      <c r="I504" s="548"/>
      <c r="J504" s="548"/>
      <c r="K504" s="548"/>
      <c r="L504" s="548"/>
      <c r="M504" s="548"/>
      <c r="N504" s="548"/>
      <c r="O504" s="548"/>
      <c r="P504" s="548"/>
      <c r="Q504" s="548"/>
      <c r="R504" s="548"/>
      <c r="S504" s="548"/>
      <c r="T504" s="548"/>
      <c r="U504" s="548"/>
      <c r="V504" s="548"/>
      <c r="W504" s="548"/>
      <c r="X504" s="548"/>
      <c r="Y504" s="548"/>
      <c r="Z504" s="548"/>
      <c r="AA504" s="548"/>
      <c r="AB504" s="548"/>
      <c r="AC504" s="548"/>
      <c r="AD504" s="548"/>
      <c r="AE504" s="548"/>
      <c r="AF504" s="548"/>
      <c r="AG504" s="548"/>
      <c r="AH504" s="548"/>
      <c r="AI504" s="548"/>
      <c r="AJ504" s="548"/>
      <c r="AK504" s="548"/>
      <c r="AL504" s="548"/>
      <c r="AM504" s="548"/>
      <c r="AN504" s="548"/>
      <c r="AO504" s="548"/>
    </row>
    <row r="505">
      <c r="G505" s="548"/>
      <c r="H505" s="548"/>
      <c r="I505" s="548"/>
      <c r="J505" s="548"/>
      <c r="K505" s="548"/>
      <c r="L505" s="548"/>
      <c r="M505" s="548"/>
      <c r="N505" s="548"/>
      <c r="O505" s="548"/>
      <c r="P505" s="548"/>
      <c r="Q505" s="548"/>
      <c r="R505" s="548"/>
      <c r="S505" s="548"/>
      <c r="T505" s="548"/>
      <c r="U505" s="548"/>
      <c r="V505" s="548"/>
      <c r="W505" s="548"/>
      <c r="X505" s="548"/>
      <c r="Y505" s="548"/>
      <c r="Z505" s="548"/>
      <c r="AA505" s="548"/>
      <c r="AB505" s="548"/>
      <c r="AC505" s="548"/>
      <c r="AD505" s="548"/>
      <c r="AE505" s="548"/>
      <c r="AF505" s="548"/>
      <c r="AG505" s="548"/>
      <c r="AH505" s="548"/>
      <c r="AI505" s="548"/>
      <c r="AJ505" s="548"/>
      <c r="AK505" s="548"/>
      <c r="AL505" s="548"/>
      <c r="AM505" s="548"/>
      <c r="AN505" s="548"/>
      <c r="AO505" s="548"/>
    </row>
    <row r="506">
      <c r="G506" s="548"/>
      <c r="H506" s="548"/>
      <c r="I506" s="548"/>
      <c r="J506" s="548"/>
      <c r="K506" s="548"/>
      <c r="L506" s="548"/>
      <c r="M506" s="548"/>
      <c r="N506" s="548"/>
      <c r="O506" s="548"/>
      <c r="P506" s="548"/>
      <c r="Q506" s="548"/>
      <c r="R506" s="548"/>
      <c r="S506" s="548"/>
      <c r="T506" s="548"/>
      <c r="U506" s="548"/>
      <c r="V506" s="548"/>
      <c r="W506" s="548"/>
      <c r="X506" s="548"/>
      <c r="Y506" s="548"/>
      <c r="Z506" s="548"/>
      <c r="AA506" s="548"/>
      <c r="AB506" s="548"/>
      <c r="AC506" s="548"/>
      <c r="AD506" s="548"/>
      <c r="AE506" s="548"/>
      <c r="AF506" s="548"/>
      <c r="AG506" s="548"/>
      <c r="AH506" s="548"/>
      <c r="AI506" s="548"/>
      <c r="AJ506" s="548"/>
      <c r="AK506" s="548"/>
      <c r="AL506" s="548"/>
      <c r="AM506" s="548"/>
      <c r="AN506" s="548"/>
      <c r="AO506" s="548"/>
    </row>
    <row r="507">
      <c r="G507" s="548"/>
      <c r="H507" s="548"/>
      <c r="I507" s="548"/>
      <c r="J507" s="548"/>
      <c r="K507" s="548"/>
      <c r="L507" s="548"/>
      <c r="M507" s="548"/>
      <c r="N507" s="548"/>
      <c r="O507" s="548"/>
      <c r="P507" s="548"/>
      <c r="Q507" s="548"/>
      <c r="R507" s="548"/>
      <c r="S507" s="548"/>
      <c r="T507" s="548"/>
      <c r="U507" s="548"/>
      <c r="V507" s="548"/>
      <c r="W507" s="548"/>
      <c r="X507" s="548"/>
      <c r="Y507" s="548"/>
      <c r="Z507" s="548"/>
      <c r="AA507" s="548"/>
      <c r="AB507" s="548"/>
      <c r="AC507" s="548"/>
      <c r="AD507" s="548"/>
      <c r="AE507" s="548"/>
      <c r="AF507" s="548"/>
      <c r="AG507" s="548"/>
      <c r="AH507" s="548"/>
      <c r="AI507" s="548"/>
      <c r="AJ507" s="548"/>
      <c r="AK507" s="548"/>
      <c r="AL507" s="548"/>
      <c r="AM507" s="548"/>
      <c r="AN507" s="548"/>
      <c r="AO507" s="548"/>
    </row>
    <row r="508">
      <c r="G508" s="548"/>
      <c r="H508" s="548"/>
      <c r="I508" s="548"/>
      <c r="J508" s="548"/>
      <c r="K508" s="548"/>
      <c r="L508" s="548"/>
      <c r="M508" s="548"/>
      <c r="N508" s="548"/>
      <c r="O508" s="548"/>
      <c r="P508" s="548"/>
      <c r="Q508" s="548"/>
      <c r="R508" s="548"/>
      <c r="S508" s="548"/>
      <c r="T508" s="548"/>
      <c r="U508" s="548"/>
      <c r="V508" s="548"/>
      <c r="W508" s="548"/>
      <c r="X508" s="548"/>
      <c r="Y508" s="548"/>
      <c r="Z508" s="548"/>
      <c r="AA508" s="548"/>
      <c r="AB508" s="548"/>
      <c r="AC508" s="548"/>
      <c r="AD508" s="548"/>
      <c r="AE508" s="548"/>
      <c r="AF508" s="548"/>
      <c r="AG508" s="548"/>
      <c r="AH508" s="548"/>
      <c r="AI508" s="548"/>
      <c r="AJ508" s="548"/>
      <c r="AK508" s="548"/>
      <c r="AL508" s="548"/>
      <c r="AM508" s="548"/>
      <c r="AN508" s="548"/>
      <c r="AO508" s="548"/>
    </row>
    <row r="509">
      <c r="G509" s="548"/>
      <c r="H509" s="548"/>
      <c r="I509" s="548"/>
      <c r="J509" s="548"/>
      <c r="K509" s="548"/>
      <c r="L509" s="548"/>
      <c r="M509" s="548"/>
      <c r="N509" s="548"/>
      <c r="O509" s="548"/>
      <c r="P509" s="548"/>
      <c r="Q509" s="548"/>
      <c r="R509" s="548"/>
      <c r="S509" s="548"/>
      <c r="T509" s="548"/>
      <c r="U509" s="548"/>
      <c r="V509" s="548"/>
      <c r="W509" s="548"/>
      <c r="X509" s="548"/>
      <c r="Y509" s="548"/>
      <c r="Z509" s="548"/>
      <c r="AA509" s="548"/>
      <c r="AB509" s="548"/>
      <c r="AC509" s="548"/>
      <c r="AD509" s="548"/>
      <c r="AE509" s="548"/>
      <c r="AF509" s="548"/>
      <c r="AG509" s="548"/>
      <c r="AH509" s="548"/>
      <c r="AI509" s="548"/>
      <c r="AJ509" s="548"/>
      <c r="AK509" s="548"/>
      <c r="AL509" s="548"/>
      <c r="AM509" s="548"/>
      <c r="AN509" s="548"/>
      <c r="AO509" s="548"/>
    </row>
    <row r="510">
      <c r="G510" s="548"/>
      <c r="H510" s="548"/>
      <c r="I510" s="548"/>
      <c r="J510" s="548"/>
      <c r="K510" s="548"/>
      <c r="L510" s="548"/>
      <c r="M510" s="548"/>
      <c r="N510" s="548"/>
      <c r="O510" s="548"/>
      <c r="P510" s="548"/>
      <c r="Q510" s="548"/>
      <c r="R510" s="548"/>
      <c r="S510" s="548"/>
      <c r="T510" s="548"/>
      <c r="U510" s="548"/>
      <c r="V510" s="548"/>
      <c r="W510" s="548"/>
      <c r="X510" s="548"/>
      <c r="Y510" s="548"/>
      <c r="Z510" s="548"/>
      <c r="AA510" s="548"/>
      <c r="AB510" s="548"/>
      <c r="AC510" s="548"/>
      <c r="AD510" s="548"/>
      <c r="AE510" s="548"/>
      <c r="AF510" s="548"/>
      <c r="AG510" s="548"/>
      <c r="AH510" s="548"/>
      <c r="AI510" s="548"/>
      <c r="AJ510" s="548"/>
      <c r="AK510" s="548"/>
      <c r="AL510" s="548"/>
      <c r="AM510" s="548"/>
      <c r="AN510" s="548"/>
      <c r="AO510" s="548"/>
    </row>
    <row r="511">
      <c r="G511" s="548"/>
      <c r="H511" s="548"/>
      <c r="I511" s="548"/>
      <c r="J511" s="548"/>
      <c r="K511" s="548"/>
      <c r="L511" s="548"/>
      <c r="M511" s="548"/>
      <c r="N511" s="548"/>
      <c r="O511" s="548"/>
      <c r="P511" s="548"/>
      <c r="Q511" s="548"/>
      <c r="R511" s="548"/>
      <c r="S511" s="548"/>
      <c r="T511" s="548"/>
      <c r="U511" s="548"/>
      <c r="V511" s="548"/>
      <c r="W511" s="548"/>
      <c r="X511" s="548"/>
      <c r="Y511" s="548"/>
      <c r="Z511" s="548"/>
      <c r="AA511" s="548"/>
      <c r="AB511" s="548"/>
      <c r="AC511" s="548"/>
      <c r="AD511" s="548"/>
      <c r="AE511" s="548"/>
      <c r="AF511" s="548"/>
      <c r="AG511" s="548"/>
      <c r="AH511" s="548"/>
      <c r="AI511" s="548"/>
      <c r="AJ511" s="548"/>
      <c r="AK511" s="548"/>
      <c r="AL511" s="548"/>
      <c r="AM511" s="548"/>
      <c r="AN511" s="548"/>
      <c r="AO511" s="548"/>
    </row>
    <row r="512">
      <c r="G512" s="548"/>
      <c r="H512" s="548"/>
      <c r="I512" s="548"/>
      <c r="J512" s="548"/>
      <c r="K512" s="548"/>
      <c r="L512" s="548"/>
      <c r="M512" s="548"/>
      <c r="N512" s="548"/>
      <c r="O512" s="548"/>
      <c r="P512" s="548"/>
      <c r="Q512" s="548"/>
      <c r="R512" s="548"/>
      <c r="S512" s="548"/>
      <c r="T512" s="548"/>
      <c r="U512" s="548"/>
      <c r="V512" s="548"/>
      <c r="W512" s="548"/>
      <c r="X512" s="548"/>
      <c r="Y512" s="548"/>
      <c r="Z512" s="548"/>
      <c r="AA512" s="548"/>
      <c r="AB512" s="548"/>
      <c r="AC512" s="548"/>
      <c r="AD512" s="548"/>
      <c r="AE512" s="548"/>
      <c r="AF512" s="548"/>
      <c r="AG512" s="548"/>
      <c r="AH512" s="548"/>
      <c r="AI512" s="548"/>
      <c r="AJ512" s="548"/>
      <c r="AK512" s="548"/>
      <c r="AL512" s="548"/>
      <c r="AM512" s="548"/>
      <c r="AN512" s="548"/>
      <c r="AO512" s="548"/>
    </row>
    <row r="513">
      <c r="G513" s="548"/>
      <c r="H513" s="548"/>
      <c r="I513" s="548"/>
      <c r="J513" s="548"/>
      <c r="K513" s="548"/>
      <c r="L513" s="548"/>
      <c r="M513" s="548"/>
      <c r="N513" s="548"/>
      <c r="O513" s="548"/>
      <c r="P513" s="548"/>
      <c r="Q513" s="548"/>
      <c r="R513" s="548"/>
      <c r="S513" s="548"/>
      <c r="T513" s="548"/>
      <c r="U513" s="548"/>
      <c r="V513" s="548"/>
      <c r="W513" s="548"/>
      <c r="X513" s="548"/>
      <c r="Y513" s="548"/>
      <c r="Z513" s="548"/>
      <c r="AA513" s="548"/>
      <c r="AB513" s="548"/>
      <c r="AC513" s="548"/>
      <c r="AD513" s="548"/>
      <c r="AE513" s="548"/>
      <c r="AF513" s="548"/>
      <c r="AG513" s="548"/>
      <c r="AH513" s="548"/>
      <c r="AI513" s="548"/>
      <c r="AJ513" s="548"/>
      <c r="AK513" s="548"/>
      <c r="AL513" s="548"/>
      <c r="AM513" s="548"/>
      <c r="AN513" s="548"/>
      <c r="AO513" s="548"/>
    </row>
    <row r="514">
      <c r="G514" s="548"/>
      <c r="H514" s="548"/>
      <c r="I514" s="548"/>
      <c r="J514" s="548"/>
      <c r="K514" s="548"/>
      <c r="L514" s="548"/>
      <c r="M514" s="548"/>
      <c r="N514" s="548"/>
      <c r="O514" s="548"/>
      <c r="P514" s="548"/>
      <c r="Q514" s="548"/>
      <c r="R514" s="548"/>
      <c r="S514" s="548"/>
      <c r="T514" s="548"/>
      <c r="U514" s="548"/>
      <c r="V514" s="548"/>
      <c r="W514" s="548"/>
      <c r="X514" s="548"/>
      <c r="Y514" s="548"/>
      <c r="Z514" s="548"/>
      <c r="AA514" s="548"/>
      <c r="AB514" s="548"/>
      <c r="AC514" s="548"/>
      <c r="AD514" s="548"/>
      <c r="AE514" s="548"/>
      <c r="AF514" s="548"/>
      <c r="AG514" s="548"/>
      <c r="AH514" s="548"/>
      <c r="AI514" s="548"/>
      <c r="AJ514" s="548"/>
      <c r="AK514" s="548"/>
      <c r="AL514" s="548"/>
      <c r="AM514" s="548"/>
      <c r="AN514" s="548"/>
      <c r="AO514" s="548"/>
    </row>
    <row r="515">
      <c r="G515" s="548"/>
      <c r="H515" s="548"/>
      <c r="I515" s="548"/>
      <c r="J515" s="548"/>
      <c r="K515" s="548"/>
      <c r="L515" s="548"/>
      <c r="M515" s="548"/>
      <c r="N515" s="548"/>
      <c r="O515" s="548"/>
      <c r="P515" s="548"/>
      <c r="Q515" s="548"/>
      <c r="R515" s="548"/>
      <c r="S515" s="548"/>
      <c r="T515" s="548"/>
      <c r="U515" s="548"/>
      <c r="V515" s="548"/>
      <c r="W515" s="548"/>
      <c r="X515" s="548"/>
      <c r="Y515" s="548"/>
      <c r="Z515" s="548"/>
      <c r="AA515" s="548"/>
      <c r="AB515" s="548"/>
      <c r="AC515" s="548"/>
      <c r="AD515" s="548"/>
      <c r="AE515" s="548"/>
      <c r="AF515" s="548"/>
      <c r="AG515" s="548"/>
      <c r="AH515" s="548"/>
      <c r="AI515" s="548"/>
      <c r="AJ515" s="548"/>
      <c r="AK515" s="548"/>
      <c r="AL515" s="548"/>
      <c r="AM515" s="548"/>
      <c r="AN515" s="548"/>
      <c r="AO515" s="548"/>
    </row>
    <row r="516">
      <c r="G516" s="548"/>
      <c r="H516" s="548"/>
      <c r="I516" s="548"/>
      <c r="J516" s="548"/>
      <c r="K516" s="548"/>
      <c r="L516" s="548"/>
      <c r="M516" s="548"/>
      <c r="N516" s="548"/>
      <c r="O516" s="548"/>
      <c r="P516" s="548"/>
      <c r="Q516" s="548"/>
      <c r="R516" s="548"/>
      <c r="S516" s="548"/>
      <c r="T516" s="548"/>
      <c r="U516" s="548"/>
      <c r="V516" s="548"/>
      <c r="W516" s="548"/>
      <c r="X516" s="548"/>
      <c r="Y516" s="548"/>
      <c r="Z516" s="548"/>
      <c r="AA516" s="548"/>
      <c r="AB516" s="548"/>
      <c r="AC516" s="548"/>
      <c r="AD516" s="548"/>
      <c r="AE516" s="548"/>
      <c r="AF516" s="548"/>
      <c r="AG516" s="548"/>
      <c r="AH516" s="548"/>
      <c r="AI516" s="548"/>
      <c r="AJ516" s="548"/>
      <c r="AK516" s="548"/>
      <c r="AL516" s="548"/>
      <c r="AM516" s="548"/>
      <c r="AN516" s="548"/>
      <c r="AO516" s="548"/>
    </row>
    <row r="517">
      <c r="G517" s="548"/>
      <c r="H517" s="548"/>
      <c r="I517" s="548"/>
      <c r="J517" s="548"/>
      <c r="K517" s="548"/>
      <c r="L517" s="548"/>
      <c r="M517" s="548"/>
      <c r="N517" s="548"/>
      <c r="O517" s="548"/>
      <c r="P517" s="548"/>
      <c r="Q517" s="548"/>
      <c r="R517" s="548"/>
      <c r="S517" s="548"/>
      <c r="T517" s="548"/>
      <c r="U517" s="548"/>
      <c r="V517" s="548"/>
      <c r="W517" s="548"/>
      <c r="X517" s="548"/>
      <c r="Y517" s="548"/>
      <c r="Z517" s="548"/>
      <c r="AA517" s="548"/>
      <c r="AB517" s="548"/>
      <c r="AC517" s="548"/>
      <c r="AD517" s="548"/>
      <c r="AE517" s="548"/>
      <c r="AF517" s="548"/>
      <c r="AG517" s="548"/>
      <c r="AH517" s="548"/>
      <c r="AI517" s="548"/>
      <c r="AJ517" s="548"/>
      <c r="AK517" s="548"/>
      <c r="AL517" s="548"/>
      <c r="AM517" s="548"/>
      <c r="AN517" s="548"/>
      <c r="AO517" s="548"/>
    </row>
    <row r="518">
      <c r="G518" s="548"/>
      <c r="H518" s="548"/>
      <c r="I518" s="548"/>
      <c r="J518" s="548"/>
      <c r="K518" s="548"/>
      <c r="L518" s="548"/>
      <c r="M518" s="548"/>
      <c r="N518" s="548"/>
      <c r="O518" s="548"/>
      <c r="P518" s="548"/>
      <c r="Q518" s="548"/>
      <c r="R518" s="548"/>
      <c r="S518" s="548"/>
      <c r="T518" s="548"/>
      <c r="U518" s="548"/>
      <c r="V518" s="548"/>
      <c r="W518" s="548"/>
      <c r="X518" s="548"/>
      <c r="Y518" s="548"/>
      <c r="Z518" s="548"/>
      <c r="AA518" s="548"/>
      <c r="AB518" s="548"/>
      <c r="AC518" s="548"/>
      <c r="AD518" s="548"/>
      <c r="AE518" s="548"/>
      <c r="AF518" s="548"/>
      <c r="AG518" s="548"/>
      <c r="AH518" s="548"/>
      <c r="AI518" s="548"/>
      <c r="AJ518" s="548"/>
      <c r="AK518" s="548"/>
      <c r="AL518" s="548"/>
      <c r="AM518" s="548"/>
      <c r="AN518" s="548"/>
      <c r="AO518" s="548"/>
    </row>
    <row r="519">
      <c r="G519" s="548"/>
      <c r="H519" s="548"/>
      <c r="I519" s="548"/>
      <c r="J519" s="548"/>
      <c r="K519" s="548"/>
      <c r="L519" s="548"/>
      <c r="M519" s="548"/>
      <c r="N519" s="548"/>
      <c r="O519" s="548"/>
      <c r="P519" s="548"/>
      <c r="Q519" s="548"/>
      <c r="R519" s="548"/>
      <c r="S519" s="548"/>
      <c r="T519" s="548"/>
      <c r="U519" s="548"/>
      <c r="V519" s="548"/>
      <c r="W519" s="548"/>
      <c r="X519" s="548"/>
      <c r="Y519" s="548"/>
      <c r="Z519" s="548"/>
      <c r="AA519" s="548"/>
      <c r="AB519" s="548"/>
      <c r="AC519" s="548"/>
      <c r="AD519" s="548"/>
      <c r="AE519" s="548"/>
      <c r="AF519" s="548"/>
      <c r="AG519" s="548"/>
      <c r="AH519" s="548"/>
      <c r="AI519" s="548"/>
      <c r="AJ519" s="548"/>
      <c r="AK519" s="548"/>
      <c r="AL519" s="548"/>
      <c r="AM519" s="548"/>
      <c r="AN519" s="548"/>
      <c r="AO519" s="548"/>
    </row>
    <row r="520">
      <c r="G520" s="548"/>
      <c r="H520" s="548"/>
      <c r="I520" s="548"/>
      <c r="J520" s="548"/>
      <c r="K520" s="548"/>
      <c r="L520" s="548"/>
      <c r="M520" s="548"/>
      <c r="N520" s="548"/>
      <c r="O520" s="548"/>
      <c r="P520" s="548"/>
      <c r="Q520" s="548"/>
      <c r="R520" s="548"/>
      <c r="S520" s="548"/>
      <c r="T520" s="548"/>
      <c r="U520" s="548"/>
      <c r="V520" s="548"/>
      <c r="W520" s="548"/>
      <c r="X520" s="548"/>
      <c r="Y520" s="548"/>
      <c r="Z520" s="548"/>
      <c r="AA520" s="548"/>
      <c r="AB520" s="548"/>
      <c r="AC520" s="548"/>
      <c r="AD520" s="548"/>
      <c r="AE520" s="548"/>
      <c r="AF520" s="548"/>
      <c r="AG520" s="548"/>
      <c r="AH520" s="548"/>
      <c r="AI520" s="548"/>
      <c r="AJ520" s="548"/>
      <c r="AK520" s="548"/>
      <c r="AL520" s="548"/>
      <c r="AM520" s="548"/>
      <c r="AN520" s="548"/>
      <c r="AO520" s="548"/>
    </row>
    <row r="521">
      <c r="G521" s="548"/>
      <c r="H521" s="548"/>
      <c r="I521" s="548"/>
      <c r="J521" s="548"/>
      <c r="K521" s="548"/>
      <c r="L521" s="548"/>
      <c r="M521" s="548"/>
      <c r="N521" s="548"/>
      <c r="O521" s="548"/>
      <c r="P521" s="548"/>
      <c r="Q521" s="548"/>
      <c r="R521" s="548"/>
      <c r="S521" s="548"/>
      <c r="T521" s="548"/>
      <c r="U521" s="548"/>
      <c r="V521" s="548"/>
      <c r="W521" s="548"/>
      <c r="X521" s="548"/>
      <c r="Y521" s="548"/>
      <c r="Z521" s="548"/>
      <c r="AA521" s="548"/>
      <c r="AB521" s="548"/>
      <c r="AC521" s="548"/>
      <c r="AD521" s="548"/>
      <c r="AE521" s="548"/>
      <c r="AF521" s="548"/>
      <c r="AG521" s="548"/>
      <c r="AH521" s="548"/>
      <c r="AI521" s="548"/>
      <c r="AJ521" s="548"/>
      <c r="AK521" s="548"/>
      <c r="AL521" s="548"/>
      <c r="AM521" s="548"/>
      <c r="AN521" s="548"/>
      <c r="AO521" s="548"/>
    </row>
    <row r="522">
      <c r="G522" s="548"/>
      <c r="H522" s="548"/>
      <c r="I522" s="548"/>
      <c r="J522" s="548"/>
      <c r="K522" s="548"/>
      <c r="L522" s="548"/>
      <c r="M522" s="548"/>
      <c r="N522" s="548"/>
      <c r="O522" s="548"/>
      <c r="P522" s="548"/>
      <c r="Q522" s="548"/>
      <c r="R522" s="548"/>
      <c r="S522" s="548"/>
      <c r="T522" s="548"/>
      <c r="U522" s="548"/>
      <c r="V522" s="548"/>
      <c r="W522" s="548"/>
      <c r="X522" s="548"/>
      <c r="Y522" s="548"/>
      <c r="Z522" s="548"/>
      <c r="AA522" s="548"/>
      <c r="AB522" s="548"/>
      <c r="AC522" s="548"/>
      <c r="AD522" s="548"/>
      <c r="AE522" s="548"/>
      <c r="AF522" s="548"/>
      <c r="AG522" s="548"/>
      <c r="AH522" s="548"/>
      <c r="AI522" s="548"/>
      <c r="AJ522" s="548"/>
      <c r="AK522" s="548"/>
      <c r="AL522" s="548"/>
      <c r="AM522" s="548"/>
      <c r="AN522" s="548"/>
      <c r="AO522" s="548"/>
    </row>
    <row r="523">
      <c r="G523" s="548"/>
      <c r="H523" s="548"/>
      <c r="I523" s="548"/>
      <c r="J523" s="548"/>
      <c r="K523" s="548"/>
      <c r="L523" s="548"/>
      <c r="M523" s="548"/>
      <c r="N523" s="548"/>
      <c r="O523" s="548"/>
      <c r="P523" s="548"/>
      <c r="Q523" s="548"/>
      <c r="R523" s="548"/>
      <c r="S523" s="548"/>
      <c r="T523" s="548"/>
      <c r="U523" s="548"/>
      <c r="V523" s="548"/>
      <c r="W523" s="548"/>
      <c r="X523" s="548"/>
      <c r="Y523" s="548"/>
      <c r="Z523" s="548"/>
      <c r="AA523" s="548"/>
      <c r="AB523" s="548"/>
      <c r="AC523" s="548"/>
      <c r="AD523" s="548"/>
      <c r="AE523" s="548"/>
      <c r="AF523" s="548"/>
      <c r="AG523" s="548"/>
      <c r="AH523" s="548"/>
      <c r="AI523" s="548"/>
      <c r="AJ523" s="548"/>
      <c r="AK523" s="548"/>
      <c r="AL523" s="548"/>
      <c r="AM523" s="548"/>
      <c r="AN523" s="548"/>
      <c r="AO523" s="548"/>
    </row>
    <row r="524">
      <c r="G524" s="548"/>
      <c r="H524" s="548"/>
      <c r="I524" s="548"/>
      <c r="J524" s="548"/>
      <c r="K524" s="548"/>
      <c r="L524" s="548"/>
      <c r="M524" s="548"/>
      <c r="N524" s="548"/>
      <c r="O524" s="548"/>
      <c r="P524" s="548"/>
      <c r="Q524" s="548"/>
      <c r="R524" s="548"/>
      <c r="S524" s="548"/>
      <c r="T524" s="548"/>
      <c r="U524" s="548"/>
      <c r="V524" s="548"/>
      <c r="W524" s="548"/>
      <c r="X524" s="548"/>
      <c r="Y524" s="548"/>
      <c r="Z524" s="548"/>
      <c r="AA524" s="548"/>
      <c r="AB524" s="548"/>
      <c r="AC524" s="548"/>
      <c r="AD524" s="548"/>
      <c r="AE524" s="548"/>
      <c r="AF524" s="548"/>
      <c r="AG524" s="548"/>
      <c r="AH524" s="548"/>
      <c r="AI524" s="548"/>
      <c r="AJ524" s="548"/>
      <c r="AK524" s="548"/>
      <c r="AL524" s="548"/>
      <c r="AM524" s="548"/>
      <c r="AN524" s="548"/>
      <c r="AO524" s="548"/>
    </row>
    <row r="525">
      <c r="G525" s="548"/>
      <c r="H525" s="548"/>
      <c r="I525" s="548"/>
      <c r="J525" s="548"/>
      <c r="K525" s="548"/>
      <c r="L525" s="548"/>
      <c r="M525" s="548"/>
      <c r="N525" s="548"/>
      <c r="O525" s="548"/>
      <c r="P525" s="548"/>
      <c r="Q525" s="548"/>
      <c r="R525" s="548"/>
      <c r="S525" s="548"/>
      <c r="T525" s="548"/>
      <c r="U525" s="548"/>
      <c r="V525" s="548"/>
      <c r="W525" s="548"/>
      <c r="X525" s="548"/>
      <c r="Y525" s="548"/>
      <c r="Z525" s="548"/>
      <c r="AA525" s="548"/>
      <c r="AB525" s="548"/>
      <c r="AC525" s="548"/>
      <c r="AD525" s="548"/>
      <c r="AE525" s="548"/>
      <c r="AF525" s="548"/>
      <c r="AG525" s="548"/>
      <c r="AH525" s="548"/>
      <c r="AI525" s="548"/>
      <c r="AJ525" s="548"/>
      <c r="AK525" s="548"/>
      <c r="AL525" s="548"/>
      <c r="AM525" s="548"/>
      <c r="AN525" s="548"/>
      <c r="AO525" s="548"/>
    </row>
    <row r="526">
      <c r="G526" s="548"/>
      <c r="H526" s="548"/>
      <c r="I526" s="548"/>
      <c r="J526" s="548"/>
      <c r="K526" s="548"/>
      <c r="L526" s="548"/>
      <c r="M526" s="548"/>
      <c r="N526" s="548"/>
      <c r="O526" s="548"/>
      <c r="P526" s="548"/>
      <c r="Q526" s="548"/>
      <c r="R526" s="548"/>
      <c r="S526" s="548"/>
      <c r="T526" s="548"/>
      <c r="U526" s="548"/>
      <c r="V526" s="548"/>
      <c r="W526" s="548"/>
      <c r="X526" s="548"/>
      <c r="Y526" s="548"/>
      <c r="Z526" s="548"/>
      <c r="AA526" s="548"/>
      <c r="AB526" s="548"/>
      <c r="AC526" s="548"/>
      <c r="AD526" s="548"/>
      <c r="AE526" s="548"/>
      <c r="AF526" s="548"/>
      <c r="AG526" s="548"/>
      <c r="AH526" s="548"/>
      <c r="AI526" s="548"/>
      <c r="AJ526" s="548"/>
      <c r="AK526" s="548"/>
      <c r="AL526" s="548"/>
      <c r="AM526" s="548"/>
      <c r="AN526" s="548"/>
      <c r="AO526" s="548"/>
    </row>
    <row r="527">
      <c r="G527" s="548"/>
      <c r="H527" s="548"/>
      <c r="I527" s="548"/>
      <c r="J527" s="548"/>
      <c r="K527" s="548"/>
      <c r="L527" s="548"/>
      <c r="M527" s="548"/>
      <c r="N527" s="548"/>
      <c r="O527" s="548"/>
      <c r="P527" s="548"/>
      <c r="Q527" s="548"/>
      <c r="R527" s="548"/>
      <c r="S527" s="548"/>
      <c r="T527" s="548"/>
      <c r="U527" s="548"/>
      <c r="V527" s="548"/>
      <c r="W527" s="548"/>
      <c r="X527" s="548"/>
      <c r="Y527" s="548"/>
      <c r="Z527" s="548"/>
      <c r="AA527" s="548"/>
      <c r="AB527" s="548"/>
      <c r="AC527" s="548"/>
      <c r="AD527" s="548"/>
      <c r="AE527" s="548"/>
      <c r="AF527" s="548"/>
      <c r="AG527" s="548"/>
      <c r="AH527" s="548"/>
      <c r="AI527" s="548"/>
      <c r="AJ527" s="548"/>
      <c r="AK527" s="548"/>
      <c r="AL527" s="548"/>
      <c r="AM527" s="548"/>
      <c r="AN527" s="548"/>
      <c r="AO527" s="548"/>
    </row>
    <row r="528">
      <c r="G528" s="548"/>
      <c r="H528" s="548"/>
      <c r="I528" s="548"/>
      <c r="J528" s="548"/>
      <c r="K528" s="548"/>
      <c r="L528" s="548"/>
      <c r="M528" s="548"/>
      <c r="N528" s="548"/>
      <c r="O528" s="548"/>
      <c r="P528" s="548"/>
      <c r="Q528" s="548"/>
      <c r="R528" s="548"/>
      <c r="S528" s="548"/>
      <c r="T528" s="548"/>
      <c r="U528" s="548"/>
      <c r="V528" s="548"/>
      <c r="W528" s="548"/>
      <c r="X528" s="548"/>
      <c r="Y528" s="548"/>
      <c r="Z528" s="548"/>
      <c r="AA528" s="548"/>
      <c r="AB528" s="548"/>
      <c r="AC528" s="548"/>
      <c r="AD528" s="548"/>
      <c r="AE528" s="548"/>
      <c r="AF528" s="548"/>
      <c r="AG528" s="548"/>
      <c r="AH528" s="548"/>
      <c r="AI528" s="548"/>
      <c r="AJ528" s="548"/>
      <c r="AK528" s="548"/>
      <c r="AL528" s="548"/>
      <c r="AM528" s="548"/>
      <c r="AN528" s="548"/>
      <c r="AO528" s="548"/>
    </row>
    <row r="529">
      <c r="G529" s="548"/>
      <c r="H529" s="548"/>
      <c r="I529" s="548"/>
      <c r="J529" s="548"/>
      <c r="K529" s="548"/>
      <c r="L529" s="548"/>
      <c r="M529" s="548"/>
      <c r="N529" s="548"/>
      <c r="O529" s="548"/>
      <c r="P529" s="548"/>
      <c r="Q529" s="548"/>
      <c r="R529" s="548"/>
      <c r="S529" s="548"/>
      <c r="T529" s="548"/>
      <c r="U529" s="548"/>
      <c r="V529" s="548"/>
      <c r="W529" s="548"/>
      <c r="X529" s="548"/>
      <c r="Y529" s="548"/>
      <c r="Z529" s="548"/>
      <c r="AA529" s="548"/>
      <c r="AB529" s="548"/>
      <c r="AC529" s="548"/>
      <c r="AD529" s="548"/>
      <c r="AE529" s="548"/>
      <c r="AF529" s="548"/>
      <c r="AG529" s="548"/>
      <c r="AH529" s="548"/>
      <c r="AI529" s="548"/>
      <c r="AJ529" s="548"/>
      <c r="AK529" s="548"/>
      <c r="AL529" s="548"/>
      <c r="AM529" s="548"/>
      <c r="AN529" s="548"/>
      <c r="AO529" s="548"/>
    </row>
    <row r="530">
      <c r="G530" s="548"/>
      <c r="H530" s="548"/>
      <c r="I530" s="548"/>
      <c r="J530" s="548"/>
      <c r="K530" s="548"/>
      <c r="L530" s="548"/>
      <c r="M530" s="548"/>
      <c r="N530" s="548"/>
      <c r="O530" s="548"/>
      <c r="P530" s="548"/>
      <c r="Q530" s="548"/>
      <c r="R530" s="548"/>
      <c r="S530" s="548"/>
      <c r="T530" s="548"/>
      <c r="U530" s="548"/>
      <c r="V530" s="548"/>
      <c r="W530" s="548"/>
      <c r="X530" s="548"/>
      <c r="Y530" s="548"/>
      <c r="Z530" s="548"/>
      <c r="AA530" s="548"/>
      <c r="AB530" s="548"/>
      <c r="AC530" s="548"/>
      <c r="AD530" s="548"/>
      <c r="AE530" s="548"/>
      <c r="AF530" s="548"/>
      <c r="AG530" s="548"/>
      <c r="AH530" s="548"/>
      <c r="AI530" s="548"/>
      <c r="AJ530" s="548"/>
      <c r="AK530" s="548"/>
      <c r="AL530" s="548"/>
      <c r="AM530" s="548"/>
      <c r="AN530" s="548"/>
      <c r="AO530" s="548"/>
    </row>
    <row r="531">
      <c r="G531" s="548"/>
      <c r="H531" s="548"/>
      <c r="I531" s="548"/>
      <c r="J531" s="548"/>
      <c r="K531" s="548"/>
      <c r="L531" s="548"/>
      <c r="M531" s="548"/>
      <c r="N531" s="548"/>
      <c r="O531" s="548"/>
      <c r="P531" s="548"/>
      <c r="Q531" s="548"/>
      <c r="R531" s="548"/>
      <c r="S531" s="548"/>
      <c r="T531" s="548"/>
      <c r="U531" s="548"/>
      <c r="V531" s="548"/>
      <c r="W531" s="548"/>
      <c r="X531" s="548"/>
      <c r="Y531" s="548"/>
      <c r="Z531" s="548"/>
      <c r="AA531" s="548"/>
      <c r="AB531" s="548"/>
      <c r="AC531" s="548"/>
      <c r="AD531" s="548"/>
      <c r="AE531" s="548"/>
      <c r="AF531" s="548"/>
      <c r="AG531" s="548"/>
      <c r="AH531" s="548"/>
      <c r="AI531" s="548"/>
      <c r="AJ531" s="548"/>
      <c r="AK531" s="548"/>
      <c r="AL531" s="548"/>
      <c r="AM531" s="548"/>
      <c r="AN531" s="548"/>
      <c r="AO531" s="548"/>
    </row>
    <row r="532">
      <c r="G532" s="548"/>
      <c r="H532" s="548"/>
      <c r="I532" s="548"/>
      <c r="J532" s="548"/>
      <c r="K532" s="548"/>
      <c r="L532" s="548"/>
      <c r="M532" s="548"/>
      <c r="N532" s="548"/>
      <c r="O532" s="548"/>
      <c r="P532" s="548"/>
      <c r="Q532" s="548"/>
      <c r="R532" s="548"/>
      <c r="S532" s="548"/>
      <c r="T532" s="548"/>
      <c r="U532" s="548"/>
      <c r="V532" s="548"/>
      <c r="W532" s="548"/>
      <c r="X532" s="548"/>
      <c r="Y532" s="548"/>
      <c r="Z532" s="548"/>
      <c r="AA532" s="548"/>
      <c r="AB532" s="548"/>
      <c r="AC532" s="548"/>
      <c r="AD532" s="548"/>
      <c r="AE532" s="548"/>
      <c r="AF532" s="548"/>
      <c r="AG532" s="548"/>
      <c r="AH532" s="548"/>
      <c r="AI532" s="548"/>
      <c r="AJ532" s="548"/>
      <c r="AK532" s="548"/>
      <c r="AL532" s="548"/>
      <c r="AM532" s="548"/>
      <c r="AN532" s="548"/>
      <c r="AO532" s="548"/>
    </row>
    <row r="533">
      <c r="G533" s="548"/>
      <c r="H533" s="548"/>
      <c r="I533" s="548"/>
      <c r="J533" s="548"/>
      <c r="K533" s="548"/>
      <c r="L533" s="548"/>
      <c r="M533" s="548"/>
      <c r="N533" s="548"/>
      <c r="O533" s="548"/>
      <c r="P533" s="548"/>
      <c r="Q533" s="548"/>
      <c r="R533" s="548"/>
      <c r="S533" s="548"/>
      <c r="T533" s="548"/>
      <c r="U533" s="548"/>
      <c r="V533" s="548"/>
      <c r="W533" s="548"/>
      <c r="X533" s="548"/>
      <c r="Y533" s="548"/>
      <c r="Z533" s="548"/>
      <c r="AA533" s="548"/>
      <c r="AB533" s="548"/>
      <c r="AC533" s="548"/>
      <c r="AD533" s="548"/>
      <c r="AE533" s="548"/>
      <c r="AF533" s="548"/>
      <c r="AG533" s="548"/>
      <c r="AH533" s="548"/>
      <c r="AI533" s="548"/>
      <c r="AJ533" s="548"/>
      <c r="AK533" s="548"/>
      <c r="AL533" s="548"/>
      <c r="AM533" s="548"/>
      <c r="AN533" s="548"/>
      <c r="AO533" s="548"/>
    </row>
    <row r="534">
      <c r="G534" s="548"/>
      <c r="H534" s="548"/>
      <c r="I534" s="548"/>
      <c r="J534" s="548"/>
      <c r="K534" s="548"/>
      <c r="L534" s="548"/>
      <c r="M534" s="548"/>
      <c r="N534" s="548"/>
      <c r="O534" s="548"/>
      <c r="P534" s="548"/>
      <c r="Q534" s="548"/>
      <c r="R534" s="548"/>
      <c r="S534" s="548"/>
      <c r="T534" s="548"/>
      <c r="U534" s="548"/>
      <c r="V534" s="548"/>
      <c r="W534" s="548"/>
      <c r="X534" s="548"/>
      <c r="Y534" s="548"/>
      <c r="Z534" s="548"/>
      <c r="AA534" s="548"/>
      <c r="AB534" s="548"/>
      <c r="AC534" s="548"/>
      <c r="AD534" s="548"/>
      <c r="AE534" s="548"/>
      <c r="AF534" s="548"/>
      <c r="AG534" s="548"/>
      <c r="AH534" s="548"/>
      <c r="AI534" s="548"/>
      <c r="AJ534" s="548"/>
      <c r="AK534" s="548"/>
      <c r="AL534" s="548"/>
      <c r="AM534" s="548"/>
      <c r="AN534" s="548"/>
      <c r="AO534" s="548"/>
    </row>
    <row r="535">
      <c r="G535" s="548"/>
      <c r="H535" s="548"/>
      <c r="I535" s="548"/>
      <c r="J535" s="548"/>
      <c r="K535" s="548"/>
      <c r="L535" s="548"/>
      <c r="M535" s="548"/>
      <c r="N535" s="548"/>
      <c r="O535" s="548"/>
      <c r="P535" s="548"/>
      <c r="Q535" s="548"/>
      <c r="R535" s="548"/>
      <c r="S535" s="548"/>
      <c r="T535" s="548"/>
      <c r="U535" s="548"/>
      <c r="V535" s="548"/>
      <c r="W535" s="548"/>
      <c r="X535" s="548"/>
      <c r="Y535" s="548"/>
      <c r="Z535" s="548"/>
      <c r="AA535" s="548"/>
      <c r="AB535" s="548"/>
      <c r="AC535" s="548"/>
      <c r="AD535" s="548"/>
      <c r="AE535" s="548"/>
      <c r="AF535" s="548"/>
      <c r="AG535" s="548"/>
      <c r="AH535" s="548"/>
      <c r="AI535" s="548"/>
      <c r="AJ535" s="548"/>
      <c r="AK535" s="548"/>
      <c r="AL535" s="548"/>
      <c r="AM535" s="548"/>
      <c r="AN535" s="548"/>
      <c r="AO535" s="548"/>
    </row>
    <row r="536">
      <c r="G536" s="548"/>
      <c r="H536" s="548"/>
      <c r="I536" s="548"/>
      <c r="J536" s="548"/>
      <c r="K536" s="548"/>
      <c r="L536" s="548"/>
      <c r="M536" s="548"/>
      <c r="N536" s="548"/>
      <c r="O536" s="548"/>
      <c r="P536" s="548"/>
      <c r="Q536" s="548"/>
      <c r="R536" s="548"/>
      <c r="S536" s="548"/>
      <c r="T536" s="548"/>
      <c r="U536" s="548"/>
      <c r="V536" s="548"/>
      <c r="W536" s="548"/>
      <c r="X536" s="548"/>
      <c r="Y536" s="548"/>
      <c r="Z536" s="548"/>
      <c r="AA536" s="548"/>
      <c r="AB536" s="548"/>
      <c r="AC536" s="548"/>
      <c r="AD536" s="548"/>
      <c r="AE536" s="548"/>
      <c r="AF536" s="548"/>
      <c r="AG536" s="548"/>
      <c r="AH536" s="548"/>
      <c r="AI536" s="548"/>
      <c r="AJ536" s="548"/>
      <c r="AK536" s="548"/>
      <c r="AL536" s="548"/>
      <c r="AM536" s="548"/>
      <c r="AN536" s="548"/>
      <c r="AO536" s="548"/>
    </row>
    <row r="537">
      <c r="G537" s="548"/>
      <c r="H537" s="548"/>
      <c r="I537" s="548"/>
      <c r="J537" s="548"/>
      <c r="K537" s="548"/>
      <c r="L537" s="548"/>
      <c r="M537" s="548"/>
      <c r="N537" s="548"/>
      <c r="O537" s="548"/>
      <c r="P537" s="548"/>
      <c r="Q537" s="548"/>
      <c r="R537" s="548"/>
      <c r="S537" s="548"/>
      <c r="T537" s="548"/>
      <c r="U537" s="548"/>
      <c r="V537" s="548"/>
      <c r="W537" s="548"/>
      <c r="X537" s="548"/>
      <c r="Y537" s="548"/>
      <c r="Z537" s="548"/>
      <c r="AA537" s="548"/>
      <c r="AB537" s="548"/>
      <c r="AC537" s="548"/>
      <c r="AD537" s="548"/>
      <c r="AE537" s="548"/>
      <c r="AF537" s="548"/>
      <c r="AG537" s="548"/>
      <c r="AH537" s="548"/>
      <c r="AI537" s="548"/>
      <c r="AJ537" s="548"/>
      <c r="AK537" s="548"/>
      <c r="AL537" s="548"/>
      <c r="AM537" s="548"/>
      <c r="AN537" s="548"/>
      <c r="AO537" s="548"/>
    </row>
    <row r="538">
      <c r="G538" s="548"/>
      <c r="H538" s="548"/>
      <c r="I538" s="548"/>
      <c r="J538" s="548"/>
      <c r="K538" s="548"/>
      <c r="L538" s="548"/>
      <c r="M538" s="548"/>
      <c r="N538" s="548"/>
      <c r="O538" s="548"/>
      <c r="P538" s="548"/>
      <c r="Q538" s="548"/>
      <c r="R538" s="548"/>
      <c r="S538" s="548"/>
      <c r="T538" s="548"/>
      <c r="U538" s="548"/>
      <c r="V538" s="548"/>
      <c r="W538" s="548"/>
      <c r="X538" s="548"/>
      <c r="Y538" s="548"/>
      <c r="Z538" s="548"/>
      <c r="AA538" s="548"/>
      <c r="AB538" s="548"/>
      <c r="AC538" s="548"/>
      <c r="AD538" s="548"/>
      <c r="AE538" s="548"/>
      <c r="AF538" s="548"/>
      <c r="AG538" s="548"/>
      <c r="AH538" s="548"/>
      <c r="AI538" s="548"/>
      <c r="AJ538" s="548"/>
      <c r="AK538" s="548"/>
      <c r="AL538" s="548"/>
      <c r="AM538" s="548"/>
      <c r="AN538" s="548"/>
      <c r="AO538" s="548"/>
    </row>
    <row r="539">
      <c r="G539" s="548"/>
      <c r="H539" s="548"/>
      <c r="I539" s="548"/>
      <c r="J539" s="548"/>
      <c r="K539" s="548"/>
      <c r="L539" s="548"/>
      <c r="M539" s="548"/>
      <c r="N539" s="548"/>
      <c r="O539" s="548"/>
      <c r="P539" s="548"/>
      <c r="Q539" s="548"/>
      <c r="R539" s="548"/>
      <c r="S539" s="548"/>
      <c r="T539" s="548"/>
      <c r="U539" s="548"/>
      <c r="V539" s="548"/>
      <c r="W539" s="548"/>
      <c r="X539" s="548"/>
      <c r="Y539" s="548"/>
      <c r="Z539" s="548"/>
      <c r="AA539" s="548"/>
      <c r="AB539" s="548"/>
      <c r="AC539" s="548"/>
      <c r="AD539" s="548"/>
      <c r="AE539" s="548"/>
      <c r="AF539" s="548"/>
      <c r="AG539" s="548"/>
      <c r="AH539" s="548"/>
      <c r="AI539" s="548"/>
      <c r="AJ539" s="548"/>
      <c r="AK539" s="548"/>
      <c r="AL539" s="548"/>
      <c r="AM539" s="548"/>
      <c r="AN539" s="548"/>
      <c r="AO539" s="548"/>
    </row>
    <row r="540">
      <c r="G540" s="548"/>
      <c r="H540" s="548"/>
      <c r="I540" s="548"/>
      <c r="J540" s="548"/>
      <c r="K540" s="548"/>
      <c r="L540" s="548"/>
      <c r="M540" s="548"/>
      <c r="N540" s="548"/>
      <c r="O540" s="548"/>
      <c r="P540" s="548"/>
      <c r="Q540" s="548"/>
      <c r="R540" s="548"/>
      <c r="S540" s="548"/>
      <c r="T540" s="548"/>
      <c r="U540" s="548"/>
      <c r="V540" s="548"/>
      <c r="W540" s="548"/>
      <c r="X540" s="548"/>
      <c r="Y540" s="548"/>
      <c r="Z540" s="548"/>
      <c r="AA540" s="548"/>
      <c r="AB540" s="548"/>
      <c r="AC540" s="548"/>
      <c r="AD540" s="548"/>
      <c r="AE540" s="548"/>
      <c r="AF540" s="548"/>
      <c r="AG540" s="548"/>
      <c r="AH540" s="548"/>
      <c r="AI540" s="548"/>
      <c r="AJ540" s="548"/>
      <c r="AK540" s="548"/>
      <c r="AL540" s="548"/>
      <c r="AM540" s="548"/>
      <c r="AN540" s="548"/>
      <c r="AO540" s="548"/>
    </row>
    <row r="541">
      <c r="G541" s="548"/>
      <c r="H541" s="548"/>
      <c r="I541" s="548"/>
      <c r="J541" s="548"/>
      <c r="K541" s="548"/>
      <c r="L541" s="548"/>
      <c r="M541" s="548"/>
      <c r="N541" s="548"/>
      <c r="O541" s="548"/>
      <c r="P541" s="548"/>
      <c r="Q541" s="548"/>
      <c r="R541" s="548"/>
      <c r="S541" s="548"/>
      <c r="T541" s="548"/>
      <c r="U541" s="548"/>
      <c r="V541" s="548"/>
      <c r="W541" s="548"/>
      <c r="X541" s="548"/>
      <c r="Y541" s="548"/>
      <c r="Z541" s="548"/>
      <c r="AA541" s="548"/>
      <c r="AB541" s="548"/>
      <c r="AC541" s="548"/>
      <c r="AD541" s="548"/>
      <c r="AE541" s="548"/>
      <c r="AF541" s="548"/>
      <c r="AG541" s="548"/>
      <c r="AH541" s="548"/>
      <c r="AI541" s="548"/>
      <c r="AJ541" s="548"/>
      <c r="AK541" s="548"/>
      <c r="AL541" s="548"/>
      <c r="AM541" s="548"/>
      <c r="AN541" s="548"/>
      <c r="AO541" s="548"/>
    </row>
    <row r="542">
      <c r="G542" s="548"/>
      <c r="H542" s="548"/>
      <c r="I542" s="548"/>
      <c r="J542" s="548"/>
      <c r="K542" s="548"/>
      <c r="L542" s="548"/>
      <c r="M542" s="548"/>
      <c r="N542" s="548"/>
      <c r="O542" s="548"/>
      <c r="P542" s="548"/>
      <c r="Q542" s="548"/>
      <c r="R542" s="548"/>
      <c r="S542" s="548"/>
      <c r="T542" s="548"/>
      <c r="U542" s="548"/>
      <c r="V542" s="548"/>
      <c r="W542" s="548"/>
      <c r="X542" s="548"/>
      <c r="Y542" s="548"/>
      <c r="Z542" s="548"/>
      <c r="AA542" s="548"/>
      <c r="AB542" s="548"/>
      <c r="AC542" s="548"/>
      <c r="AD542" s="548"/>
      <c r="AE542" s="548"/>
      <c r="AF542" s="548"/>
      <c r="AG542" s="548"/>
      <c r="AH542" s="548"/>
      <c r="AI542" s="548"/>
      <c r="AJ542" s="548"/>
      <c r="AK542" s="548"/>
      <c r="AL542" s="548"/>
      <c r="AM542" s="548"/>
      <c r="AN542" s="548"/>
      <c r="AO542" s="548"/>
    </row>
    <row r="543">
      <c r="G543" s="548"/>
      <c r="H543" s="548"/>
      <c r="I543" s="548"/>
      <c r="J543" s="548"/>
      <c r="K543" s="548"/>
      <c r="L543" s="548"/>
      <c r="M543" s="548"/>
      <c r="N543" s="548"/>
      <c r="O543" s="548"/>
      <c r="P543" s="548"/>
      <c r="Q543" s="548"/>
      <c r="R543" s="548"/>
      <c r="S543" s="548"/>
      <c r="T543" s="548"/>
      <c r="U543" s="548"/>
      <c r="V543" s="548"/>
      <c r="W543" s="548"/>
      <c r="X543" s="548"/>
      <c r="Y543" s="548"/>
      <c r="Z543" s="548"/>
      <c r="AA543" s="548"/>
      <c r="AB543" s="548"/>
      <c r="AC543" s="548"/>
      <c r="AD543" s="548"/>
      <c r="AE543" s="548"/>
      <c r="AF543" s="548"/>
      <c r="AG543" s="548"/>
      <c r="AH543" s="548"/>
      <c r="AI543" s="548"/>
      <c r="AJ543" s="548"/>
      <c r="AK543" s="548"/>
      <c r="AL543" s="548"/>
      <c r="AM543" s="548"/>
      <c r="AN543" s="548"/>
      <c r="AO543" s="548"/>
    </row>
    <row r="544">
      <c r="G544" s="548"/>
      <c r="H544" s="548"/>
      <c r="I544" s="548"/>
      <c r="J544" s="548"/>
      <c r="K544" s="548"/>
      <c r="L544" s="548"/>
      <c r="M544" s="548"/>
      <c r="N544" s="548"/>
      <c r="O544" s="548"/>
      <c r="P544" s="548"/>
      <c r="Q544" s="548"/>
      <c r="R544" s="548"/>
      <c r="S544" s="548"/>
      <c r="T544" s="548"/>
      <c r="U544" s="548"/>
      <c r="V544" s="548"/>
      <c r="W544" s="548"/>
      <c r="X544" s="548"/>
      <c r="Y544" s="548"/>
      <c r="Z544" s="548"/>
      <c r="AA544" s="548"/>
      <c r="AB544" s="548"/>
      <c r="AC544" s="548"/>
      <c r="AD544" s="548"/>
      <c r="AE544" s="548"/>
      <c r="AF544" s="548"/>
      <c r="AG544" s="548"/>
      <c r="AH544" s="548"/>
      <c r="AI544" s="548"/>
      <c r="AJ544" s="548"/>
      <c r="AK544" s="548"/>
      <c r="AL544" s="548"/>
      <c r="AM544" s="548"/>
      <c r="AN544" s="548"/>
      <c r="AO544" s="548"/>
    </row>
    <row r="545">
      <c r="G545" s="548"/>
      <c r="H545" s="548"/>
      <c r="I545" s="548"/>
      <c r="J545" s="548"/>
      <c r="K545" s="548"/>
      <c r="L545" s="548"/>
      <c r="M545" s="548"/>
      <c r="N545" s="548"/>
      <c r="O545" s="548"/>
      <c r="P545" s="548"/>
      <c r="Q545" s="548"/>
      <c r="R545" s="548"/>
      <c r="S545" s="548"/>
      <c r="T545" s="548"/>
      <c r="U545" s="548"/>
      <c r="V545" s="548"/>
      <c r="W545" s="548"/>
      <c r="X545" s="548"/>
      <c r="Y545" s="548"/>
      <c r="Z545" s="548"/>
      <c r="AA545" s="548"/>
      <c r="AB545" s="548"/>
      <c r="AC545" s="548"/>
      <c r="AD545" s="548"/>
      <c r="AE545" s="548"/>
      <c r="AF545" s="548"/>
      <c r="AG545" s="548"/>
      <c r="AH545" s="548"/>
      <c r="AI545" s="548"/>
      <c r="AJ545" s="548"/>
      <c r="AK545" s="548"/>
      <c r="AL545" s="548"/>
      <c r="AM545" s="548"/>
      <c r="AN545" s="548"/>
      <c r="AO545" s="548"/>
    </row>
    <row r="546">
      <c r="G546" s="548"/>
      <c r="H546" s="548"/>
      <c r="I546" s="548"/>
      <c r="J546" s="548"/>
      <c r="K546" s="548"/>
      <c r="L546" s="548"/>
      <c r="M546" s="548"/>
      <c r="N546" s="548"/>
      <c r="O546" s="548"/>
      <c r="P546" s="548"/>
      <c r="Q546" s="548"/>
      <c r="R546" s="548"/>
      <c r="S546" s="548"/>
      <c r="T546" s="548"/>
      <c r="U546" s="548"/>
      <c r="V546" s="548"/>
      <c r="W546" s="548"/>
      <c r="X546" s="548"/>
      <c r="Y546" s="548"/>
      <c r="Z546" s="548"/>
      <c r="AA546" s="548"/>
      <c r="AB546" s="548"/>
      <c r="AC546" s="548"/>
      <c r="AD546" s="548"/>
      <c r="AE546" s="548"/>
      <c r="AF546" s="548"/>
      <c r="AG546" s="548"/>
      <c r="AH546" s="548"/>
      <c r="AI546" s="548"/>
      <c r="AJ546" s="548"/>
      <c r="AK546" s="548"/>
      <c r="AL546" s="548"/>
      <c r="AM546" s="548"/>
      <c r="AN546" s="548"/>
      <c r="AO546" s="548"/>
    </row>
    <row r="547">
      <c r="G547" s="548"/>
      <c r="H547" s="548"/>
      <c r="I547" s="548"/>
      <c r="J547" s="548"/>
      <c r="K547" s="548"/>
      <c r="L547" s="548"/>
      <c r="M547" s="548"/>
      <c r="N547" s="548"/>
      <c r="O547" s="548"/>
      <c r="P547" s="548"/>
      <c r="Q547" s="548"/>
      <c r="R547" s="548"/>
      <c r="S547" s="548"/>
      <c r="T547" s="548"/>
      <c r="U547" s="548"/>
      <c r="V547" s="548"/>
      <c r="W547" s="548"/>
      <c r="X547" s="548"/>
      <c r="Y547" s="548"/>
      <c r="Z547" s="548"/>
      <c r="AA547" s="548"/>
      <c r="AB547" s="548"/>
      <c r="AC547" s="548"/>
      <c r="AD547" s="548"/>
      <c r="AE547" s="548"/>
      <c r="AF547" s="548"/>
      <c r="AG547" s="548"/>
      <c r="AH547" s="548"/>
      <c r="AI547" s="548"/>
      <c r="AJ547" s="548"/>
      <c r="AK547" s="548"/>
      <c r="AL547" s="548"/>
      <c r="AM547" s="548"/>
      <c r="AN547" s="548"/>
      <c r="AO547" s="548"/>
    </row>
    <row r="548">
      <c r="G548" s="548"/>
      <c r="H548" s="548"/>
      <c r="I548" s="548"/>
      <c r="J548" s="548"/>
      <c r="K548" s="548"/>
      <c r="L548" s="548"/>
      <c r="M548" s="548"/>
      <c r="N548" s="548"/>
      <c r="O548" s="548"/>
      <c r="P548" s="548"/>
      <c r="Q548" s="548"/>
      <c r="R548" s="548"/>
      <c r="S548" s="548"/>
      <c r="T548" s="548"/>
      <c r="U548" s="548"/>
      <c r="V548" s="548"/>
      <c r="W548" s="548"/>
      <c r="X548" s="548"/>
      <c r="Y548" s="548"/>
      <c r="Z548" s="548"/>
      <c r="AA548" s="548"/>
      <c r="AB548" s="548"/>
      <c r="AC548" s="548"/>
      <c r="AD548" s="548"/>
      <c r="AE548" s="548"/>
      <c r="AF548" s="548"/>
      <c r="AG548" s="548"/>
      <c r="AH548" s="548"/>
      <c r="AI548" s="548"/>
      <c r="AJ548" s="548"/>
      <c r="AK548" s="548"/>
      <c r="AL548" s="548"/>
      <c r="AM548" s="548"/>
      <c r="AN548" s="548"/>
      <c r="AO548" s="548"/>
    </row>
    <row r="549">
      <c r="G549" s="548"/>
      <c r="H549" s="548"/>
      <c r="I549" s="548"/>
      <c r="J549" s="548"/>
      <c r="K549" s="548"/>
      <c r="L549" s="548"/>
      <c r="M549" s="548"/>
      <c r="N549" s="548"/>
      <c r="O549" s="548"/>
      <c r="P549" s="548"/>
      <c r="Q549" s="548"/>
      <c r="R549" s="548"/>
      <c r="S549" s="548"/>
      <c r="T549" s="548"/>
      <c r="U549" s="548"/>
      <c r="V549" s="548"/>
      <c r="W549" s="548"/>
      <c r="X549" s="548"/>
      <c r="Y549" s="548"/>
      <c r="Z549" s="548"/>
      <c r="AA549" s="548"/>
      <c r="AB549" s="548"/>
      <c r="AC549" s="548"/>
      <c r="AD549" s="548"/>
      <c r="AE549" s="548"/>
      <c r="AF549" s="548"/>
      <c r="AG549" s="548"/>
      <c r="AH549" s="548"/>
      <c r="AI549" s="548"/>
      <c r="AJ549" s="548"/>
      <c r="AK549" s="548"/>
      <c r="AL549" s="548"/>
      <c r="AM549" s="548"/>
      <c r="AN549" s="548"/>
      <c r="AO549" s="548"/>
    </row>
    <row r="550">
      <c r="G550" s="548"/>
      <c r="H550" s="548"/>
      <c r="I550" s="548"/>
      <c r="J550" s="548"/>
      <c r="K550" s="548"/>
      <c r="L550" s="548"/>
      <c r="M550" s="548"/>
      <c r="N550" s="548"/>
      <c r="O550" s="548"/>
      <c r="P550" s="548"/>
      <c r="Q550" s="548"/>
      <c r="R550" s="548"/>
      <c r="S550" s="548"/>
      <c r="T550" s="548"/>
      <c r="U550" s="548"/>
      <c r="V550" s="548"/>
      <c r="W550" s="548"/>
      <c r="X550" s="548"/>
      <c r="Y550" s="548"/>
      <c r="Z550" s="548"/>
      <c r="AA550" s="548"/>
      <c r="AB550" s="548"/>
      <c r="AC550" s="548"/>
      <c r="AD550" s="548"/>
      <c r="AE550" s="548"/>
      <c r="AF550" s="548"/>
      <c r="AG550" s="548"/>
      <c r="AH550" s="548"/>
      <c r="AI550" s="548"/>
      <c r="AJ550" s="548"/>
      <c r="AK550" s="548"/>
      <c r="AL550" s="548"/>
      <c r="AM550" s="548"/>
      <c r="AN550" s="548"/>
      <c r="AO550" s="548"/>
    </row>
    <row r="551">
      <c r="G551" s="548"/>
      <c r="H551" s="548"/>
      <c r="I551" s="548"/>
      <c r="J551" s="548"/>
      <c r="K551" s="548"/>
      <c r="L551" s="548"/>
      <c r="M551" s="548"/>
      <c r="N551" s="548"/>
      <c r="O551" s="548"/>
      <c r="P551" s="548"/>
      <c r="Q551" s="548"/>
      <c r="R551" s="548"/>
      <c r="S551" s="548"/>
      <c r="T551" s="548"/>
      <c r="U551" s="548"/>
      <c r="V551" s="548"/>
      <c r="W551" s="548"/>
      <c r="X551" s="548"/>
      <c r="Y551" s="548"/>
      <c r="Z551" s="548"/>
      <c r="AA551" s="548"/>
      <c r="AB551" s="548"/>
      <c r="AC551" s="548"/>
      <c r="AD551" s="548"/>
      <c r="AE551" s="548"/>
      <c r="AF551" s="548"/>
      <c r="AG551" s="548"/>
      <c r="AH551" s="548"/>
      <c r="AI551" s="548"/>
      <c r="AJ551" s="548"/>
      <c r="AK551" s="548"/>
      <c r="AL551" s="548"/>
      <c r="AM551" s="548"/>
      <c r="AN551" s="548"/>
      <c r="AO551" s="548"/>
    </row>
    <row r="552">
      <c r="G552" s="548"/>
      <c r="H552" s="548"/>
      <c r="I552" s="548"/>
      <c r="J552" s="548"/>
      <c r="K552" s="548"/>
      <c r="L552" s="548"/>
      <c r="M552" s="548"/>
      <c r="N552" s="548"/>
      <c r="O552" s="548"/>
      <c r="P552" s="548"/>
      <c r="Q552" s="548"/>
      <c r="R552" s="548"/>
      <c r="S552" s="548"/>
      <c r="T552" s="548"/>
      <c r="U552" s="548"/>
      <c r="V552" s="548"/>
      <c r="W552" s="548"/>
      <c r="X552" s="548"/>
      <c r="Y552" s="548"/>
      <c r="Z552" s="548"/>
      <c r="AA552" s="548"/>
      <c r="AB552" s="548"/>
      <c r="AC552" s="548"/>
      <c r="AD552" s="548"/>
      <c r="AE552" s="548"/>
      <c r="AF552" s="548"/>
      <c r="AG552" s="548"/>
      <c r="AH552" s="548"/>
      <c r="AI552" s="548"/>
      <c r="AJ552" s="548"/>
      <c r="AK552" s="548"/>
      <c r="AL552" s="548"/>
      <c r="AM552" s="548"/>
      <c r="AN552" s="548"/>
      <c r="AO552" s="548"/>
    </row>
    <row r="553">
      <c r="G553" s="548"/>
      <c r="H553" s="548"/>
      <c r="I553" s="548"/>
      <c r="J553" s="548"/>
      <c r="K553" s="548"/>
      <c r="L553" s="548"/>
      <c r="M553" s="548"/>
      <c r="N553" s="548"/>
      <c r="O553" s="548"/>
      <c r="P553" s="548"/>
      <c r="Q553" s="548"/>
      <c r="R553" s="548"/>
      <c r="S553" s="548"/>
      <c r="T553" s="548"/>
      <c r="U553" s="548"/>
      <c r="V553" s="548"/>
      <c r="W553" s="548"/>
      <c r="X553" s="548"/>
      <c r="Y553" s="548"/>
      <c r="Z553" s="548"/>
      <c r="AA553" s="548"/>
      <c r="AB553" s="548"/>
      <c r="AC553" s="548"/>
      <c r="AD553" s="548"/>
      <c r="AE553" s="548"/>
      <c r="AF553" s="548"/>
      <c r="AG553" s="548"/>
      <c r="AH553" s="548"/>
      <c r="AI553" s="548"/>
      <c r="AJ553" s="548"/>
      <c r="AK553" s="548"/>
      <c r="AL553" s="548"/>
      <c r="AM553" s="548"/>
      <c r="AN553" s="548"/>
      <c r="AO553" s="548"/>
    </row>
    <row r="554">
      <c r="G554" s="548"/>
      <c r="H554" s="548"/>
      <c r="I554" s="548"/>
      <c r="J554" s="548"/>
      <c r="K554" s="548"/>
      <c r="L554" s="548"/>
      <c r="M554" s="548"/>
      <c r="N554" s="548"/>
      <c r="O554" s="548"/>
      <c r="P554" s="548"/>
      <c r="Q554" s="548"/>
      <c r="R554" s="548"/>
      <c r="S554" s="548"/>
      <c r="T554" s="548"/>
      <c r="U554" s="548"/>
      <c r="V554" s="548"/>
      <c r="W554" s="548"/>
      <c r="X554" s="548"/>
      <c r="Y554" s="548"/>
      <c r="Z554" s="548"/>
      <c r="AA554" s="548"/>
      <c r="AB554" s="548"/>
      <c r="AC554" s="548"/>
      <c r="AD554" s="548"/>
      <c r="AE554" s="548"/>
      <c r="AF554" s="548"/>
      <c r="AG554" s="548"/>
      <c r="AH554" s="548"/>
      <c r="AI554" s="548"/>
      <c r="AJ554" s="548"/>
      <c r="AK554" s="548"/>
      <c r="AL554" s="548"/>
      <c r="AM554" s="548"/>
      <c r="AN554" s="548"/>
      <c r="AO554" s="548"/>
    </row>
    <row r="555">
      <c r="G555" s="548"/>
      <c r="H555" s="548"/>
      <c r="I555" s="548"/>
      <c r="J555" s="548"/>
      <c r="K555" s="548"/>
      <c r="L555" s="548"/>
      <c r="M555" s="548"/>
      <c r="N555" s="548"/>
      <c r="O555" s="548"/>
      <c r="P555" s="548"/>
      <c r="Q555" s="548"/>
      <c r="R555" s="548"/>
      <c r="S555" s="548"/>
      <c r="T555" s="548"/>
      <c r="U555" s="548"/>
      <c r="V555" s="548"/>
      <c r="W555" s="548"/>
      <c r="X555" s="548"/>
      <c r="Y555" s="548"/>
      <c r="Z555" s="548"/>
      <c r="AA555" s="548"/>
      <c r="AB555" s="548"/>
      <c r="AC555" s="548"/>
      <c r="AD555" s="548"/>
      <c r="AE555" s="548"/>
      <c r="AF555" s="548"/>
      <c r="AG555" s="548"/>
      <c r="AH555" s="548"/>
      <c r="AI555" s="548"/>
      <c r="AJ555" s="548"/>
      <c r="AK555" s="548"/>
      <c r="AL555" s="548"/>
      <c r="AM555" s="548"/>
      <c r="AN555" s="548"/>
      <c r="AO555" s="548"/>
    </row>
    <row r="556">
      <c r="G556" s="548"/>
      <c r="H556" s="548"/>
      <c r="I556" s="548"/>
      <c r="J556" s="548"/>
      <c r="K556" s="548"/>
      <c r="L556" s="548"/>
      <c r="M556" s="548"/>
      <c r="N556" s="548"/>
      <c r="O556" s="548"/>
      <c r="P556" s="548"/>
      <c r="Q556" s="548"/>
      <c r="R556" s="548"/>
      <c r="S556" s="548"/>
      <c r="T556" s="548"/>
      <c r="U556" s="548"/>
      <c r="V556" s="548"/>
      <c r="W556" s="548"/>
      <c r="X556" s="548"/>
      <c r="Y556" s="548"/>
      <c r="Z556" s="548"/>
      <c r="AA556" s="548"/>
      <c r="AB556" s="548"/>
      <c r="AC556" s="548"/>
      <c r="AD556" s="548"/>
      <c r="AE556" s="548"/>
      <c r="AF556" s="548"/>
      <c r="AG556" s="548"/>
      <c r="AH556" s="548"/>
      <c r="AI556" s="548"/>
      <c r="AJ556" s="548"/>
      <c r="AK556" s="548"/>
      <c r="AL556" s="548"/>
      <c r="AM556" s="548"/>
      <c r="AN556" s="548"/>
      <c r="AO556" s="548"/>
    </row>
    <row r="557">
      <c r="G557" s="548"/>
      <c r="H557" s="548"/>
      <c r="I557" s="548"/>
      <c r="J557" s="548"/>
      <c r="K557" s="548"/>
      <c r="L557" s="548"/>
      <c r="M557" s="548"/>
      <c r="N557" s="548"/>
      <c r="O557" s="548"/>
      <c r="P557" s="548"/>
      <c r="Q557" s="548"/>
      <c r="R557" s="548"/>
      <c r="S557" s="548"/>
      <c r="T557" s="548"/>
      <c r="U557" s="548"/>
      <c r="V557" s="548"/>
      <c r="W557" s="548"/>
      <c r="X557" s="548"/>
      <c r="Y557" s="548"/>
      <c r="Z557" s="548"/>
      <c r="AA557" s="548"/>
      <c r="AB557" s="548"/>
      <c r="AC557" s="548"/>
      <c r="AD557" s="548"/>
      <c r="AE557" s="548"/>
      <c r="AF557" s="548"/>
      <c r="AG557" s="548"/>
      <c r="AH557" s="548"/>
      <c r="AI557" s="548"/>
      <c r="AJ557" s="548"/>
      <c r="AK557" s="548"/>
      <c r="AL557" s="548"/>
      <c r="AM557" s="548"/>
      <c r="AN557" s="548"/>
      <c r="AO557" s="548"/>
    </row>
    <row r="558">
      <c r="G558" s="548"/>
      <c r="H558" s="548"/>
      <c r="I558" s="548"/>
      <c r="J558" s="548"/>
      <c r="K558" s="548"/>
      <c r="L558" s="548"/>
      <c r="M558" s="548"/>
      <c r="N558" s="548"/>
      <c r="O558" s="548"/>
      <c r="P558" s="548"/>
      <c r="Q558" s="548"/>
      <c r="R558" s="548"/>
      <c r="S558" s="548"/>
      <c r="T558" s="548"/>
      <c r="U558" s="548"/>
      <c r="V558" s="548"/>
      <c r="W558" s="548"/>
      <c r="X558" s="548"/>
      <c r="Y558" s="548"/>
      <c r="Z558" s="548"/>
      <c r="AA558" s="548"/>
      <c r="AB558" s="548"/>
      <c r="AC558" s="548"/>
      <c r="AD558" s="548"/>
      <c r="AE558" s="548"/>
      <c r="AF558" s="548"/>
      <c r="AG558" s="548"/>
      <c r="AH558" s="548"/>
      <c r="AI558" s="548"/>
      <c r="AJ558" s="548"/>
      <c r="AK558" s="548"/>
      <c r="AL558" s="548"/>
      <c r="AM558" s="548"/>
      <c r="AN558" s="548"/>
      <c r="AO558" s="548"/>
    </row>
    <row r="559">
      <c r="G559" s="548"/>
      <c r="H559" s="548"/>
      <c r="I559" s="548"/>
      <c r="J559" s="548"/>
      <c r="K559" s="548"/>
      <c r="L559" s="548"/>
      <c r="M559" s="548"/>
      <c r="N559" s="548"/>
      <c r="O559" s="548"/>
      <c r="P559" s="548"/>
      <c r="Q559" s="548"/>
      <c r="R559" s="548"/>
      <c r="S559" s="548"/>
      <c r="T559" s="548"/>
      <c r="U559" s="548"/>
      <c r="V559" s="548"/>
      <c r="W559" s="548"/>
      <c r="X559" s="548"/>
      <c r="Y559" s="548"/>
      <c r="Z559" s="548"/>
      <c r="AA559" s="548"/>
      <c r="AB559" s="548"/>
      <c r="AC559" s="548"/>
      <c r="AD559" s="548"/>
      <c r="AE559" s="548"/>
      <c r="AF559" s="548"/>
      <c r="AG559" s="548"/>
      <c r="AH559" s="548"/>
      <c r="AI559" s="548"/>
      <c r="AJ559" s="548"/>
      <c r="AK559" s="548"/>
      <c r="AL559" s="548"/>
      <c r="AM559" s="548"/>
      <c r="AN559" s="548"/>
      <c r="AO559" s="548"/>
    </row>
    <row r="560">
      <c r="G560" s="548"/>
      <c r="H560" s="548"/>
      <c r="I560" s="548"/>
      <c r="J560" s="548"/>
      <c r="K560" s="548"/>
      <c r="L560" s="548"/>
      <c r="M560" s="548"/>
      <c r="N560" s="548"/>
      <c r="O560" s="548"/>
      <c r="P560" s="548"/>
      <c r="Q560" s="548"/>
      <c r="R560" s="548"/>
      <c r="S560" s="548"/>
      <c r="T560" s="548"/>
      <c r="U560" s="548"/>
      <c r="V560" s="548"/>
      <c r="W560" s="548"/>
      <c r="X560" s="548"/>
      <c r="Y560" s="548"/>
      <c r="Z560" s="548"/>
      <c r="AA560" s="548"/>
      <c r="AB560" s="548"/>
      <c r="AC560" s="548"/>
      <c r="AD560" s="548"/>
      <c r="AE560" s="548"/>
      <c r="AF560" s="548"/>
      <c r="AG560" s="548"/>
      <c r="AH560" s="548"/>
      <c r="AI560" s="548"/>
      <c r="AJ560" s="548"/>
      <c r="AK560" s="548"/>
      <c r="AL560" s="548"/>
      <c r="AM560" s="548"/>
      <c r="AN560" s="548"/>
      <c r="AO560" s="548"/>
    </row>
    <row r="561">
      <c r="G561" s="548"/>
      <c r="H561" s="548"/>
      <c r="I561" s="548"/>
      <c r="J561" s="548"/>
      <c r="K561" s="548"/>
      <c r="L561" s="548"/>
      <c r="M561" s="548"/>
      <c r="N561" s="548"/>
      <c r="O561" s="548"/>
      <c r="P561" s="548"/>
      <c r="Q561" s="548"/>
      <c r="R561" s="548"/>
      <c r="S561" s="548"/>
      <c r="T561" s="548"/>
      <c r="U561" s="548"/>
      <c r="V561" s="548"/>
      <c r="W561" s="548"/>
      <c r="X561" s="548"/>
      <c r="Y561" s="548"/>
      <c r="Z561" s="548"/>
      <c r="AA561" s="548"/>
      <c r="AB561" s="548"/>
      <c r="AC561" s="548"/>
      <c r="AD561" s="548"/>
      <c r="AE561" s="548"/>
      <c r="AF561" s="548"/>
      <c r="AG561" s="548"/>
      <c r="AH561" s="548"/>
      <c r="AI561" s="548"/>
      <c r="AJ561" s="548"/>
      <c r="AK561" s="548"/>
      <c r="AL561" s="548"/>
      <c r="AM561" s="548"/>
      <c r="AN561" s="548"/>
      <c r="AO561" s="548"/>
    </row>
    <row r="562">
      <c r="G562" s="548"/>
      <c r="H562" s="548"/>
      <c r="I562" s="548"/>
      <c r="J562" s="548"/>
      <c r="K562" s="548"/>
      <c r="L562" s="548"/>
      <c r="M562" s="548"/>
      <c r="N562" s="548"/>
      <c r="O562" s="548"/>
      <c r="P562" s="548"/>
      <c r="Q562" s="548"/>
      <c r="R562" s="548"/>
      <c r="S562" s="548"/>
      <c r="T562" s="548"/>
      <c r="U562" s="548"/>
      <c r="V562" s="548"/>
      <c r="W562" s="548"/>
      <c r="X562" s="548"/>
      <c r="Y562" s="548"/>
      <c r="Z562" s="548"/>
      <c r="AA562" s="548"/>
      <c r="AB562" s="548"/>
      <c r="AC562" s="548"/>
      <c r="AD562" s="548"/>
      <c r="AE562" s="548"/>
      <c r="AF562" s="548"/>
      <c r="AG562" s="548"/>
      <c r="AH562" s="548"/>
      <c r="AI562" s="548"/>
      <c r="AJ562" s="548"/>
      <c r="AK562" s="548"/>
      <c r="AL562" s="548"/>
      <c r="AM562" s="548"/>
      <c r="AN562" s="548"/>
      <c r="AO562" s="548"/>
    </row>
    <row r="563">
      <c r="G563" s="548"/>
      <c r="H563" s="548"/>
      <c r="I563" s="548"/>
      <c r="J563" s="548"/>
      <c r="K563" s="548"/>
      <c r="L563" s="548"/>
      <c r="M563" s="548"/>
      <c r="N563" s="548"/>
      <c r="O563" s="548"/>
      <c r="P563" s="548"/>
      <c r="Q563" s="548"/>
      <c r="R563" s="548"/>
      <c r="S563" s="548"/>
      <c r="T563" s="548"/>
      <c r="U563" s="548"/>
      <c r="V563" s="548"/>
      <c r="W563" s="548"/>
      <c r="X563" s="548"/>
      <c r="Y563" s="548"/>
      <c r="Z563" s="548"/>
      <c r="AA563" s="548"/>
      <c r="AB563" s="548"/>
      <c r="AC563" s="548"/>
      <c r="AD563" s="548"/>
      <c r="AE563" s="548"/>
      <c r="AF563" s="548"/>
      <c r="AG563" s="548"/>
      <c r="AH563" s="548"/>
      <c r="AI563" s="548"/>
      <c r="AJ563" s="548"/>
      <c r="AK563" s="548"/>
      <c r="AL563" s="548"/>
      <c r="AM563" s="548"/>
      <c r="AN563" s="548"/>
      <c r="AO563" s="548"/>
    </row>
    <row r="564">
      <c r="G564" s="548"/>
      <c r="H564" s="548"/>
      <c r="I564" s="548"/>
      <c r="J564" s="548"/>
      <c r="K564" s="548"/>
      <c r="L564" s="548"/>
      <c r="M564" s="548"/>
      <c r="N564" s="548"/>
      <c r="O564" s="548"/>
      <c r="P564" s="548"/>
      <c r="Q564" s="548"/>
      <c r="R564" s="548"/>
      <c r="S564" s="548"/>
      <c r="T564" s="548"/>
      <c r="U564" s="548"/>
      <c r="V564" s="548"/>
      <c r="W564" s="548"/>
      <c r="X564" s="548"/>
      <c r="Y564" s="548"/>
      <c r="Z564" s="548"/>
      <c r="AA564" s="548"/>
      <c r="AB564" s="548"/>
      <c r="AC564" s="548"/>
      <c r="AD564" s="548"/>
      <c r="AE564" s="548"/>
      <c r="AF564" s="548"/>
      <c r="AG564" s="548"/>
      <c r="AH564" s="548"/>
      <c r="AI564" s="548"/>
      <c r="AJ564" s="548"/>
      <c r="AK564" s="548"/>
      <c r="AL564" s="548"/>
      <c r="AM564" s="548"/>
      <c r="AN564" s="548"/>
      <c r="AO564" s="548"/>
    </row>
    <row r="565">
      <c r="G565" s="548"/>
      <c r="H565" s="548"/>
      <c r="I565" s="548"/>
      <c r="J565" s="548"/>
      <c r="K565" s="548"/>
      <c r="L565" s="548"/>
      <c r="M565" s="548"/>
      <c r="N565" s="548"/>
      <c r="O565" s="548"/>
      <c r="P565" s="548"/>
      <c r="Q565" s="548"/>
      <c r="R565" s="548"/>
      <c r="S565" s="548"/>
      <c r="T565" s="548"/>
      <c r="U565" s="548"/>
      <c r="V565" s="548"/>
      <c r="W565" s="548"/>
      <c r="X565" s="548"/>
      <c r="Y565" s="548"/>
      <c r="Z565" s="548"/>
      <c r="AA565" s="548"/>
      <c r="AB565" s="548"/>
      <c r="AC565" s="548"/>
      <c r="AD565" s="548"/>
      <c r="AE565" s="548"/>
      <c r="AF565" s="548"/>
      <c r="AG565" s="548"/>
      <c r="AH565" s="548"/>
      <c r="AI565" s="548"/>
      <c r="AJ565" s="548"/>
      <c r="AK565" s="548"/>
      <c r="AL565" s="548"/>
      <c r="AM565" s="548"/>
      <c r="AN565" s="548"/>
      <c r="AO565" s="548"/>
    </row>
    <row r="566">
      <c r="G566" s="548"/>
      <c r="H566" s="548"/>
      <c r="I566" s="548"/>
      <c r="J566" s="548"/>
      <c r="K566" s="548"/>
      <c r="L566" s="548"/>
      <c r="M566" s="548"/>
      <c r="N566" s="548"/>
      <c r="O566" s="548"/>
      <c r="P566" s="548"/>
      <c r="Q566" s="548"/>
      <c r="R566" s="548"/>
      <c r="S566" s="548"/>
      <c r="T566" s="548"/>
      <c r="U566" s="548"/>
      <c r="V566" s="548"/>
      <c r="W566" s="548"/>
      <c r="X566" s="548"/>
      <c r="Y566" s="548"/>
      <c r="Z566" s="548"/>
      <c r="AA566" s="548"/>
      <c r="AB566" s="548"/>
      <c r="AC566" s="548"/>
      <c r="AD566" s="548"/>
      <c r="AE566" s="548"/>
      <c r="AF566" s="548"/>
      <c r="AG566" s="548"/>
      <c r="AH566" s="548"/>
      <c r="AI566" s="548"/>
      <c r="AJ566" s="548"/>
      <c r="AK566" s="548"/>
      <c r="AL566" s="548"/>
      <c r="AM566" s="548"/>
      <c r="AN566" s="548"/>
      <c r="AO566" s="548"/>
    </row>
    <row r="567">
      <c r="G567" s="548"/>
      <c r="H567" s="548"/>
      <c r="I567" s="548"/>
      <c r="J567" s="548"/>
      <c r="K567" s="548"/>
      <c r="L567" s="548"/>
      <c r="M567" s="548"/>
      <c r="N567" s="548"/>
      <c r="O567" s="548"/>
      <c r="P567" s="548"/>
      <c r="Q567" s="548"/>
      <c r="R567" s="548"/>
      <c r="S567" s="548"/>
      <c r="T567" s="548"/>
      <c r="U567" s="548"/>
      <c r="V567" s="548"/>
      <c r="W567" s="548"/>
      <c r="X567" s="548"/>
      <c r="Y567" s="548"/>
      <c r="Z567" s="548"/>
      <c r="AA567" s="548"/>
      <c r="AB567" s="548"/>
      <c r="AC567" s="548"/>
      <c r="AD567" s="548"/>
      <c r="AE567" s="548"/>
      <c r="AF567" s="548"/>
      <c r="AG567" s="548"/>
      <c r="AH567" s="548"/>
      <c r="AI567" s="548"/>
      <c r="AJ567" s="548"/>
      <c r="AK567" s="548"/>
      <c r="AL567" s="548"/>
      <c r="AM567" s="548"/>
      <c r="AN567" s="548"/>
      <c r="AO567" s="548"/>
    </row>
    <row r="568">
      <c r="G568" s="548"/>
      <c r="H568" s="548"/>
      <c r="I568" s="548"/>
      <c r="J568" s="548"/>
      <c r="K568" s="548"/>
      <c r="L568" s="548"/>
      <c r="M568" s="548"/>
      <c r="N568" s="548"/>
      <c r="O568" s="548"/>
      <c r="P568" s="548"/>
      <c r="Q568" s="548"/>
      <c r="R568" s="548"/>
      <c r="S568" s="548"/>
      <c r="T568" s="548"/>
      <c r="U568" s="548"/>
      <c r="V568" s="548"/>
      <c r="W568" s="548"/>
      <c r="X568" s="548"/>
      <c r="Y568" s="548"/>
      <c r="Z568" s="548"/>
      <c r="AA568" s="548"/>
      <c r="AB568" s="548"/>
      <c r="AC568" s="548"/>
      <c r="AD568" s="548"/>
      <c r="AE568" s="548"/>
      <c r="AF568" s="548"/>
      <c r="AG568" s="548"/>
      <c r="AH568" s="548"/>
      <c r="AI568" s="548"/>
      <c r="AJ568" s="548"/>
      <c r="AK568" s="548"/>
      <c r="AL568" s="548"/>
      <c r="AM568" s="548"/>
      <c r="AN568" s="548"/>
      <c r="AO568" s="548"/>
    </row>
    <row r="569">
      <c r="G569" s="548"/>
      <c r="H569" s="548"/>
      <c r="I569" s="548"/>
      <c r="J569" s="548"/>
      <c r="K569" s="548"/>
      <c r="L569" s="548"/>
      <c r="M569" s="548"/>
      <c r="N569" s="548"/>
      <c r="O569" s="548"/>
      <c r="P569" s="548"/>
      <c r="Q569" s="548"/>
      <c r="R569" s="548"/>
      <c r="S569" s="548"/>
      <c r="T569" s="548"/>
      <c r="U569" s="548"/>
      <c r="V569" s="548"/>
      <c r="W569" s="548"/>
      <c r="X569" s="548"/>
      <c r="Y569" s="548"/>
      <c r="Z569" s="548"/>
      <c r="AA569" s="548"/>
      <c r="AB569" s="548"/>
      <c r="AC569" s="548"/>
      <c r="AD569" s="548"/>
      <c r="AE569" s="548"/>
      <c r="AF569" s="548"/>
      <c r="AG569" s="548"/>
      <c r="AH569" s="548"/>
      <c r="AI569" s="548"/>
      <c r="AJ569" s="548"/>
      <c r="AK569" s="548"/>
      <c r="AL569" s="548"/>
      <c r="AM569" s="548"/>
      <c r="AN569" s="548"/>
      <c r="AO569" s="548"/>
    </row>
    <row r="570">
      <c r="G570" s="548"/>
      <c r="H570" s="548"/>
      <c r="I570" s="548"/>
      <c r="J570" s="548"/>
      <c r="K570" s="548"/>
      <c r="L570" s="548"/>
      <c r="M570" s="548"/>
      <c r="N570" s="548"/>
      <c r="O570" s="548"/>
      <c r="P570" s="548"/>
      <c r="Q570" s="548"/>
      <c r="R570" s="548"/>
      <c r="S570" s="548"/>
      <c r="T570" s="548"/>
      <c r="U570" s="548"/>
      <c r="V570" s="548"/>
      <c r="W570" s="548"/>
      <c r="X570" s="548"/>
      <c r="Y570" s="548"/>
      <c r="Z570" s="548"/>
      <c r="AA570" s="548"/>
      <c r="AB570" s="548"/>
      <c r="AC570" s="548"/>
      <c r="AD570" s="548"/>
      <c r="AE570" s="548"/>
      <c r="AF570" s="548"/>
      <c r="AG570" s="548"/>
      <c r="AH570" s="548"/>
      <c r="AI570" s="548"/>
      <c r="AJ570" s="548"/>
      <c r="AK570" s="548"/>
      <c r="AL570" s="548"/>
      <c r="AM570" s="548"/>
      <c r="AN570" s="548"/>
      <c r="AO570" s="548"/>
    </row>
    <row r="571">
      <c r="G571" s="548"/>
      <c r="H571" s="548"/>
      <c r="I571" s="548"/>
      <c r="J571" s="548"/>
      <c r="K571" s="548"/>
      <c r="L571" s="548"/>
      <c r="M571" s="548"/>
      <c r="N571" s="548"/>
      <c r="O571" s="548"/>
      <c r="P571" s="548"/>
      <c r="Q571" s="548"/>
      <c r="R571" s="548"/>
      <c r="S571" s="548"/>
      <c r="T571" s="548"/>
      <c r="U571" s="548"/>
      <c r="V571" s="548"/>
      <c r="W571" s="548"/>
      <c r="X571" s="548"/>
      <c r="Y571" s="548"/>
      <c r="Z571" s="548"/>
      <c r="AA571" s="548"/>
      <c r="AB571" s="548"/>
      <c r="AC571" s="548"/>
      <c r="AD571" s="548"/>
      <c r="AE571" s="548"/>
      <c r="AF571" s="548"/>
      <c r="AG571" s="548"/>
      <c r="AH571" s="548"/>
      <c r="AI571" s="548"/>
      <c r="AJ571" s="548"/>
      <c r="AK571" s="548"/>
      <c r="AL571" s="548"/>
      <c r="AM571" s="548"/>
      <c r="AN571" s="548"/>
      <c r="AO571" s="548"/>
    </row>
    <row r="572">
      <c r="G572" s="548"/>
      <c r="H572" s="548"/>
      <c r="I572" s="548"/>
      <c r="J572" s="548"/>
      <c r="K572" s="548"/>
      <c r="L572" s="548"/>
      <c r="M572" s="548"/>
      <c r="N572" s="548"/>
      <c r="O572" s="548"/>
      <c r="P572" s="548"/>
      <c r="Q572" s="548"/>
      <c r="R572" s="548"/>
      <c r="S572" s="548"/>
      <c r="T572" s="548"/>
      <c r="U572" s="548"/>
      <c r="V572" s="548"/>
      <c r="W572" s="548"/>
      <c r="X572" s="548"/>
      <c r="Y572" s="548"/>
      <c r="Z572" s="548"/>
      <c r="AA572" s="548"/>
      <c r="AB572" s="548"/>
      <c r="AC572" s="548"/>
      <c r="AD572" s="548"/>
      <c r="AE572" s="548"/>
      <c r="AF572" s="548"/>
      <c r="AG572" s="548"/>
      <c r="AH572" s="548"/>
      <c r="AI572" s="548"/>
      <c r="AJ572" s="548"/>
      <c r="AK572" s="548"/>
      <c r="AL572" s="548"/>
      <c r="AM572" s="548"/>
      <c r="AN572" s="548"/>
      <c r="AO572" s="548"/>
    </row>
    <row r="573">
      <c r="G573" s="548"/>
      <c r="H573" s="548"/>
      <c r="I573" s="548"/>
      <c r="J573" s="548"/>
      <c r="K573" s="548"/>
      <c r="L573" s="548"/>
      <c r="M573" s="548"/>
      <c r="N573" s="548"/>
      <c r="O573" s="548"/>
      <c r="P573" s="548"/>
      <c r="Q573" s="548"/>
      <c r="R573" s="548"/>
      <c r="S573" s="548"/>
      <c r="T573" s="548"/>
      <c r="U573" s="548"/>
      <c r="V573" s="548"/>
      <c r="W573" s="548"/>
      <c r="X573" s="548"/>
      <c r="Y573" s="548"/>
      <c r="Z573" s="548"/>
      <c r="AA573" s="548"/>
      <c r="AB573" s="548"/>
      <c r="AC573" s="548"/>
      <c r="AD573" s="548"/>
      <c r="AE573" s="548"/>
      <c r="AF573" s="548"/>
      <c r="AG573" s="548"/>
      <c r="AH573" s="548"/>
      <c r="AI573" s="548"/>
      <c r="AJ573" s="548"/>
      <c r="AK573" s="548"/>
      <c r="AL573" s="548"/>
      <c r="AM573" s="548"/>
      <c r="AN573" s="548"/>
      <c r="AO573" s="548"/>
    </row>
    <row r="574">
      <c r="G574" s="548"/>
      <c r="H574" s="548"/>
      <c r="I574" s="548"/>
      <c r="J574" s="548"/>
      <c r="K574" s="548"/>
      <c r="L574" s="548"/>
      <c r="M574" s="548"/>
      <c r="N574" s="548"/>
      <c r="O574" s="548"/>
      <c r="P574" s="548"/>
      <c r="Q574" s="548"/>
      <c r="R574" s="548"/>
      <c r="S574" s="548"/>
      <c r="T574" s="548"/>
      <c r="U574" s="548"/>
      <c r="V574" s="548"/>
      <c r="W574" s="548"/>
      <c r="X574" s="548"/>
      <c r="Y574" s="548"/>
      <c r="Z574" s="548"/>
      <c r="AA574" s="548"/>
      <c r="AB574" s="548"/>
      <c r="AC574" s="548"/>
      <c r="AD574" s="548"/>
      <c r="AE574" s="548"/>
      <c r="AF574" s="548"/>
      <c r="AG574" s="548"/>
      <c r="AH574" s="548"/>
      <c r="AI574" s="548"/>
      <c r="AJ574" s="548"/>
      <c r="AK574" s="548"/>
      <c r="AL574" s="548"/>
      <c r="AM574" s="548"/>
      <c r="AN574" s="548"/>
      <c r="AO574" s="548"/>
    </row>
    <row r="575">
      <c r="G575" s="548"/>
      <c r="H575" s="548"/>
      <c r="I575" s="548"/>
      <c r="J575" s="548"/>
      <c r="K575" s="548"/>
      <c r="L575" s="548"/>
      <c r="M575" s="548"/>
      <c r="N575" s="548"/>
      <c r="O575" s="548"/>
      <c r="P575" s="548"/>
      <c r="Q575" s="548"/>
      <c r="R575" s="548"/>
      <c r="S575" s="548"/>
      <c r="T575" s="548"/>
      <c r="U575" s="548"/>
      <c r="V575" s="548"/>
      <c r="W575" s="548"/>
      <c r="X575" s="548"/>
      <c r="Y575" s="548"/>
      <c r="Z575" s="548"/>
      <c r="AA575" s="548"/>
      <c r="AB575" s="548"/>
      <c r="AC575" s="548"/>
      <c r="AD575" s="548"/>
      <c r="AE575" s="548"/>
      <c r="AF575" s="548"/>
      <c r="AG575" s="548"/>
      <c r="AH575" s="548"/>
      <c r="AI575" s="548"/>
      <c r="AJ575" s="548"/>
      <c r="AK575" s="548"/>
      <c r="AL575" s="548"/>
      <c r="AM575" s="548"/>
      <c r="AN575" s="548"/>
      <c r="AO575" s="548"/>
    </row>
    <row r="576">
      <c r="G576" s="548"/>
      <c r="H576" s="548"/>
      <c r="I576" s="548"/>
      <c r="J576" s="548"/>
      <c r="K576" s="548"/>
      <c r="L576" s="548"/>
      <c r="M576" s="548"/>
      <c r="N576" s="548"/>
      <c r="O576" s="548"/>
      <c r="P576" s="548"/>
      <c r="Q576" s="548"/>
      <c r="R576" s="548"/>
      <c r="S576" s="548"/>
      <c r="T576" s="548"/>
      <c r="U576" s="548"/>
      <c r="V576" s="548"/>
      <c r="W576" s="548"/>
      <c r="X576" s="548"/>
      <c r="Y576" s="548"/>
      <c r="Z576" s="548"/>
      <c r="AA576" s="548"/>
      <c r="AB576" s="548"/>
      <c r="AC576" s="548"/>
      <c r="AD576" s="548"/>
      <c r="AE576" s="548"/>
      <c r="AF576" s="548"/>
      <c r="AG576" s="548"/>
      <c r="AH576" s="548"/>
      <c r="AI576" s="548"/>
      <c r="AJ576" s="548"/>
      <c r="AK576" s="548"/>
      <c r="AL576" s="548"/>
      <c r="AM576" s="548"/>
      <c r="AN576" s="548"/>
      <c r="AO576" s="548"/>
    </row>
    <row r="577">
      <c r="G577" s="548"/>
      <c r="H577" s="548"/>
      <c r="I577" s="548"/>
      <c r="J577" s="548"/>
      <c r="K577" s="548"/>
      <c r="L577" s="548"/>
      <c r="M577" s="548"/>
      <c r="N577" s="548"/>
      <c r="O577" s="548"/>
      <c r="P577" s="548"/>
      <c r="Q577" s="548"/>
      <c r="R577" s="548"/>
      <c r="S577" s="548"/>
      <c r="T577" s="548"/>
      <c r="U577" s="548"/>
      <c r="V577" s="548"/>
      <c r="W577" s="548"/>
      <c r="X577" s="548"/>
      <c r="Y577" s="548"/>
      <c r="Z577" s="548"/>
      <c r="AA577" s="548"/>
      <c r="AB577" s="548"/>
      <c r="AC577" s="548"/>
      <c r="AD577" s="548"/>
      <c r="AE577" s="548"/>
      <c r="AF577" s="548"/>
      <c r="AG577" s="548"/>
      <c r="AH577" s="548"/>
      <c r="AI577" s="548"/>
      <c r="AJ577" s="548"/>
      <c r="AK577" s="548"/>
      <c r="AL577" s="548"/>
      <c r="AM577" s="548"/>
      <c r="AN577" s="548"/>
      <c r="AO577" s="548"/>
    </row>
    <row r="578">
      <c r="G578" s="548"/>
      <c r="H578" s="548"/>
      <c r="I578" s="548"/>
      <c r="J578" s="548"/>
      <c r="K578" s="548"/>
      <c r="L578" s="548"/>
      <c r="M578" s="548"/>
      <c r="N578" s="548"/>
      <c r="O578" s="548"/>
      <c r="P578" s="548"/>
      <c r="Q578" s="548"/>
      <c r="R578" s="548"/>
      <c r="S578" s="548"/>
      <c r="T578" s="548"/>
      <c r="U578" s="548"/>
      <c r="V578" s="548"/>
      <c r="W578" s="548"/>
      <c r="X578" s="548"/>
      <c r="Y578" s="548"/>
      <c r="Z578" s="548"/>
      <c r="AA578" s="548"/>
      <c r="AB578" s="548"/>
      <c r="AC578" s="548"/>
      <c r="AD578" s="548"/>
      <c r="AE578" s="548"/>
      <c r="AF578" s="548"/>
      <c r="AG578" s="548"/>
      <c r="AH578" s="548"/>
      <c r="AI578" s="548"/>
      <c r="AJ578" s="548"/>
      <c r="AK578" s="548"/>
      <c r="AL578" s="548"/>
      <c r="AM578" s="548"/>
      <c r="AN578" s="548"/>
      <c r="AO578" s="548"/>
    </row>
    <row r="579">
      <c r="G579" s="548"/>
      <c r="H579" s="548"/>
      <c r="I579" s="548"/>
      <c r="J579" s="548"/>
      <c r="K579" s="548"/>
      <c r="L579" s="548"/>
      <c r="M579" s="548"/>
      <c r="N579" s="548"/>
      <c r="O579" s="548"/>
      <c r="P579" s="548"/>
      <c r="Q579" s="548"/>
      <c r="R579" s="548"/>
      <c r="S579" s="548"/>
      <c r="T579" s="548"/>
      <c r="U579" s="548"/>
      <c r="V579" s="548"/>
      <c r="W579" s="548"/>
      <c r="X579" s="548"/>
      <c r="Y579" s="548"/>
      <c r="Z579" s="548"/>
      <c r="AA579" s="548"/>
      <c r="AB579" s="548"/>
      <c r="AC579" s="548"/>
      <c r="AD579" s="548"/>
      <c r="AE579" s="548"/>
      <c r="AF579" s="548"/>
      <c r="AG579" s="548"/>
      <c r="AH579" s="548"/>
      <c r="AI579" s="548"/>
      <c r="AJ579" s="548"/>
      <c r="AK579" s="548"/>
      <c r="AL579" s="548"/>
      <c r="AM579" s="548"/>
      <c r="AN579" s="548"/>
      <c r="AO579" s="548"/>
    </row>
    <row r="580">
      <c r="G580" s="548"/>
      <c r="H580" s="548"/>
      <c r="I580" s="548"/>
      <c r="J580" s="548"/>
      <c r="K580" s="548"/>
      <c r="L580" s="548"/>
      <c r="M580" s="548"/>
      <c r="N580" s="548"/>
      <c r="O580" s="548"/>
      <c r="P580" s="548"/>
      <c r="Q580" s="548"/>
      <c r="R580" s="548"/>
      <c r="S580" s="548"/>
      <c r="T580" s="548"/>
      <c r="U580" s="548"/>
      <c r="V580" s="548"/>
      <c r="W580" s="548"/>
      <c r="X580" s="548"/>
      <c r="Y580" s="548"/>
      <c r="Z580" s="548"/>
      <c r="AA580" s="548"/>
      <c r="AB580" s="548"/>
      <c r="AC580" s="548"/>
      <c r="AD580" s="548"/>
      <c r="AE580" s="548"/>
      <c r="AF580" s="548"/>
      <c r="AG580" s="548"/>
      <c r="AH580" s="548"/>
      <c r="AI580" s="548"/>
      <c r="AJ580" s="548"/>
      <c r="AK580" s="548"/>
      <c r="AL580" s="548"/>
      <c r="AM580" s="548"/>
      <c r="AN580" s="548"/>
      <c r="AO580" s="548"/>
    </row>
    <row r="581">
      <c r="G581" s="548"/>
      <c r="H581" s="548"/>
      <c r="I581" s="548"/>
      <c r="J581" s="548"/>
      <c r="K581" s="548"/>
      <c r="L581" s="548"/>
      <c r="M581" s="548"/>
      <c r="N581" s="548"/>
      <c r="O581" s="548"/>
      <c r="P581" s="548"/>
      <c r="Q581" s="548"/>
      <c r="R581" s="548"/>
      <c r="S581" s="548"/>
      <c r="T581" s="548"/>
      <c r="U581" s="548"/>
      <c r="V581" s="548"/>
      <c r="W581" s="548"/>
      <c r="X581" s="548"/>
      <c r="Y581" s="548"/>
      <c r="Z581" s="548"/>
      <c r="AA581" s="548"/>
      <c r="AB581" s="548"/>
      <c r="AC581" s="548"/>
      <c r="AD581" s="548"/>
      <c r="AE581" s="548"/>
      <c r="AF581" s="548"/>
      <c r="AG581" s="548"/>
      <c r="AH581" s="548"/>
      <c r="AI581" s="548"/>
      <c r="AJ581" s="548"/>
      <c r="AK581" s="548"/>
      <c r="AL581" s="548"/>
      <c r="AM581" s="548"/>
      <c r="AN581" s="548"/>
      <c r="AO581" s="548"/>
    </row>
    <row r="582">
      <c r="G582" s="548"/>
      <c r="H582" s="548"/>
      <c r="I582" s="548"/>
      <c r="J582" s="548"/>
      <c r="K582" s="548"/>
      <c r="L582" s="548"/>
      <c r="M582" s="548"/>
      <c r="N582" s="548"/>
      <c r="O582" s="548"/>
      <c r="P582" s="548"/>
      <c r="Q582" s="548"/>
      <c r="R582" s="548"/>
      <c r="S582" s="548"/>
      <c r="T582" s="548"/>
      <c r="U582" s="548"/>
      <c r="V582" s="548"/>
      <c r="W582" s="548"/>
      <c r="X582" s="548"/>
      <c r="Y582" s="548"/>
      <c r="Z582" s="548"/>
      <c r="AA582" s="548"/>
      <c r="AB582" s="548"/>
      <c r="AC582" s="548"/>
      <c r="AD582" s="548"/>
      <c r="AE582" s="548"/>
      <c r="AF582" s="548"/>
      <c r="AG582" s="548"/>
      <c r="AH582" s="548"/>
      <c r="AI582" s="548"/>
      <c r="AJ582" s="548"/>
      <c r="AK582" s="548"/>
      <c r="AL582" s="548"/>
      <c r="AM582" s="548"/>
      <c r="AN582" s="548"/>
      <c r="AO582" s="548"/>
    </row>
    <row r="583">
      <c r="G583" s="548"/>
      <c r="H583" s="548"/>
      <c r="I583" s="548"/>
      <c r="J583" s="548"/>
      <c r="K583" s="548"/>
      <c r="L583" s="548"/>
      <c r="M583" s="548"/>
      <c r="N583" s="548"/>
      <c r="O583" s="548"/>
      <c r="P583" s="548"/>
      <c r="Q583" s="548"/>
      <c r="R583" s="548"/>
      <c r="S583" s="548"/>
      <c r="T583" s="548"/>
      <c r="U583" s="548"/>
      <c r="V583" s="548"/>
      <c r="W583" s="548"/>
      <c r="X583" s="548"/>
      <c r="Y583" s="548"/>
      <c r="Z583" s="548"/>
      <c r="AA583" s="548"/>
      <c r="AB583" s="548"/>
      <c r="AC583" s="548"/>
      <c r="AD583" s="548"/>
      <c r="AE583" s="548"/>
      <c r="AF583" s="548"/>
      <c r="AG583" s="548"/>
      <c r="AH583" s="548"/>
      <c r="AI583" s="548"/>
      <c r="AJ583" s="548"/>
      <c r="AK583" s="548"/>
      <c r="AL583" s="548"/>
      <c r="AM583" s="548"/>
      <c r="AN583" s="548"/>
      <c r="AO583" s="548"/>
    </row>
    <row r="584">
      <c r="G584" s="548"/>
      <c r="H584" s="548"/>
      <c r="I584" s="548"/>
      <c r="J584" s="548"/>
      <c r="K584" s="548"/>
      <c r="L584" s="548"/>
      <c r="M584" s="548"/>
      <c r="N584" s="548"/>
      <c r="O584" s="548"/>
      <c r="P584" s="548"/>
      <c r="Q584" s="548"/>
      <c r="R584" s="548"/>
      <c r="S584" s="548"/>
      <c r="T584" s="548"/>
      <c r="U584" s="548"/>
      <c r="V584" s="548"/>
      <c r="W584" s="548"/>
      <c r="X584" s="548"/>
      <c r="Y584" s="548"/>
      <c r="Z584" s="548"/>
      <c r="AA584" s="548"/>
      <c r="AB584" s="548"/>
      <c r="AC584" s="548"/>
      <c r="AD584" s="548"/>
      <c r="AE584" s="548"/>
      <c r="AF584" s="548"/>
      <c r="AG584" s="548"/>
      <c r="AH584" s="548"/>
      <c r="AI584" s="548"/>
      <c r="AJ584" s="548"/>
      <c r="AK584" s="548"/>
      <c r="AL584" s="548"/>
      <c r="AM584" s="548"/>
      <c r="AN584" s="548"/>
      <c r="AO584" s="548"/>
    </row>
    <row r="585">
      <c r="G585" s="548"/>
      <c r="H585" s="548"/>
      <c r="I585" s="548"/>
      <c r="J585" s="548"/>
      <c r="K585" s="548"/>
      <c r="L585" s="548"/>
      <c r="M585" s="548"/>
      <c r="N585" s="548"/>
      <c r="O585" s="548"/>
      <c r="P585" s="548"/>
      <c r="Q585" s="548"/>
      <c r="R585" s="548"/>
      <c r="S585" s="548"/>
      <c r="T585" s="548"/>
      <c r="U585" s="548"/>
      <c r="V585" s="548"/>
      <c r="W585" s="548"/>
      <c r="X585" s="548"/>
      <c r="Y585" s="548"/>
      <c r="Z585" s="548"/>
      <c r="AA585" s="548"/>
      <c r="AB585" s="548"/>
      <c r="AC585" s="548"/>
      <c r="AD585" s="548"/>
      <c r="AE585" s="548"/>
      <c r="AF585" s="548"/>
      <c r="AG585" s="548"/>
      <c r="AH585" s="548"/>
      <c r="AI585" s="548"/>
      <c r="AJ585" s="548"/>
      <c r="AK585" s="548"/>
      <c r="AL585" s="548"/>
      <c r="AM585" s="548"/>
      <c r="AN585" s="548"/>
      <c r="AO585" s="548"/>
    </row>
    <row r="586">
      <c r="G586" s="548"/>
      <c r="H586" s="548"/>
      <c r="I586" s="548"/>
      <c r="J586" s="548"/>
      <c r="K586" s="548"/>
      <c r="L586" s="548"/>
      <c r="M586" s="548"/>
      <c r="N586" s="548"/>
      <c r="O586" s="548"/>
      <c r="P586" s="548"/>
      <c r="Q586" s="548"/>
      <c r="R586" s="548"/>
      <c r="S586" s="548"/>
      <c r="T586" s="548"/>
      <c r="U586" s="548"/>
      <c r="V586" s="548"/>
      <c r="W586" s="548"/>
      <c r="X586" s="548"/>
      <c r="Y586" s="548"/>
      <c r="Z586" s="548"/>
      <c r="AA586" s="548"/>
      <c r="AB586" s="548"/>
      <c r="AC586" s="548"/>
      <c r="AD586" s="548"/>
      <c r="AE586" s="548"/>
      <c r="AF586" s="548"/>
      <c r="AG586" s="548"/>
      <c r="AH586" s="548"/>
      <c r="AI586" s="548"/>
      <c r="AJ586" s="548"/>
      <c r="AK586" s="548"/>
      <c r="AL586" s="548"/>
      <c r="AM586" s="548"/>
      <c r="AN586" s="548"/>
      <c r="AO586" s="548"/>
    </row>
    <row r="587">
      <c r="G587" s="548"/>
      <c r="H587" s="548"/>
      <c r="I587" s="548"/>
      <c r="J587" s="548"/>
      <c r="K587" s="548"/>
      <c r="L587" s="548"/>
      <c r="M587" s="548"/>
      <c r="N587" s="548"/>
      <c r="O587" s="548"/>
      <c r="P587" s="548"/>
      <c r="Q587" s="548"/>
      <c r="R587" s="548"/>
      <c r="S587" s="548"/>
      <c r="T587" s="548"/>
      <c r="U587" s="548"/>
      <c r="V587" s="548"/>
      <c r="W587" s="548"/>
      <c r="X587" s="548"/>
      <c r="Y587" s="548"/>
      <c r="Z587" s="548"/>
      <c r="AA587" s="548"/>
      <c r="AB587" s="548"/>
      <c r="AC587" s="548"/>
      <c r="AD587" s="548"/>
      <c r="AE587" s="548"/>
      <c r="AF587" s="548"/>
      <c r="AG587" s="548"/>
      <c r="AH587" s="548"/>
      <c r="AI587" s="548"/>
      <c r="AJ587" s="548"/>
      <c r="AK587" s="548"/>
      <c r="AL587" s="548"/>
      <c r="AM587" s="548"/>
      <c r="AN587" s="548"/>
      <c r="AO587" s="548"/>
    </row>
    <row r="588">
      <c r="G588" s="548"/>
      <c r="H588" s="548"/>
      <c r="I588" s="548"/>
      <c r="J588" s="548"/>
      <c r="K588" s="548"/>
      <c r="L588" s="548"/>
      <c r="M588" s="548"/>
      <c r="N588" s="548"/>
      <c r="O588" s="548"/>
      <c r="P588" s="548"/>
      <c r="Q588" s="548"/>
      <c r="R588" s="548"/>
      <c r="S588" s="548"/>
      <c r="T588" s="548"/>
      <c r="U588" s="548"/>
      <c r="V588" s="548"/>
      <c r="W588" s="548"/>
      <c r="X588" s="548"/>
      <c r="Y588" s="548"/>
      <c r="Z588" s="548"/>
      <c r="AA588" s="548"/>
      <c r="AB588" s="548"/>
      <c r="AC588" s="548"/>
      <c r="AD588" s="548"/>
      <c r="AE588" s="548"/>
      <c r="AF588" s="548"/>
      <c r="AG588" s="548"/>
      <c r="AH588" s="548"/>
      <c r="AI588" s="548"/>
      <c r="AJ588" s="548"/>
      <c r="AK588" s="548"/>
      <c r="AL588" s="548"/>
      <c r="AM588" s="548"/>
      <c r="AN588" s="548"/>
      <c r="AO588" s="548"/>
    </row>
    <row r="589">
      <c r="G589" s="548"/>
      <c r="H589" s="548"/>
      <c r="I589" s="548"/>
      <c r="J589" s="548"/>
      <c r="K589" s="548"/>
      <c r="L589" s="548"/>
      <c r="M589" s="548"/>
      <c r="N589" s="548"/>
      <c r="O589" s="548"/>
      <c r="P589" s="548"/>
      <c r="Q589" s="548"/>
      <c r="R589" s="548"/>
      <c r="S589" s="548"/>
      <c r="T589" s="548"/>
      <c r="U589" s="548"/>
      <c r="V589" s="548"/>
      <c r="W589" s="548"/>
      <c r="X589" s="548"/>
      <c r="Y589" s="548"/>
      <c r="Z589" s="548"/>
      <c r="AA589" s="548"/>
      <c r="AB589" s="548"/>
      <c r="AC589" s="548"/>
      <c r="AD589" s="548"/>
      <c r="AE589" s="548"/>
      <c r="AF589" s="548"/>
      <c r="AG589" s="548"/>
      <c r="AH589" s="548"/>
      <c r="AI589" s="548"/>
      <c r="AJ589" s="548"/>
      <c r="AK589" s="548"/>
      <c r="AL589" s="548"/>
      <c r="AM589" s="548"/>
      <c r="AN589" s="548"/>
      <c r="AO589" s="548"/>
    </row>
    <row r="590">
      <c r="G590" s="548"/>
      <c r="H590" s="548"/>
      <c r="I590" s="548"/>
      <c r="J590" s="548"/>
      <c r="K590" s="548"/>
      <c r="L590" s="548"/>
      <c r="M590" s="548"/>
      <c r="N590" s="548"/>
      <c r="O590" s="548"/>
      <c r="P590" s="548"/>
      <c r="Q590" s="548"/>
      <c r="R590" s="548"/>
      <c r="S590" s="548"/>
      <c r="T590" s="548"/>
      <c r="U590" s="548"/>
      <c r="V590" s="548"/>
      <c r="W590" s="548"/>
      <c r="X590" s="548"/>
      <c r="Y590" s="548"/>
      <c r="Z590" s="548"/>
      <c r="AA590" s="548"/>
      <c r="AB590" s="548"/>
      <c r="AC590" s="548"/>
      <c r="AD590" s="548"/>
      <c r="AE590" s="548"/>
      <c r="AF590" s="548"/>
      <c r="AG590" s="548"/>
      <c r="AH590" s="548"/>
      <c r="AI590" s="548"/>
      <c r="AJ590" s="548"/>
      <c r="AK590" s="548"/>
      <c r="AL590" s="548"/>
      <c r="AM590" s="548"/>
      <c r="AN590" s="548"/>
      <c r="AO590" s="548"/>
    </row>
    <row r="591">
      <c r="G591" s="548"/>
      <c r="H591" s="548"/>
      <c r="I591" s="548"/>
      <c r="J591" s="548"/>
      <c r="K591" s="548"/>
      <c r="L591" s="548"/>
      <c r="M591" s="548"/>
      <c r="N591" s="548"/>
      <c r="O591" s="548"/>
      <c r="P591" s="548"/>
      <c r="Q591" s="548"/>
      <c r="R591" s="548"/>
      <c r="S591" s="548"/>
      <c r="T591" s="548"/>
      <c r="U591" s="548"/>
      <c r="V591" s="548"/>
      <c r="W591" s="548"/>
      <c r="X591" s="548"/>
      <c r="Y591" s="548"/>
      <c r="Z591" s="548"/>
      <c r="AA591" s="548"/>
      <c r="AB591" s="548"/>
      <c r="AC591" s="548"/>
      <c r="AD591" s="548"/>
      <c r="AE591" s="548"/>
      <c r="AF591" s="548"/>
      <c r="AG591" s="548"/>
      <c r="AH591" s="548"/>
      <c r="AI591" s="548"/>
      <c r="AJ591" s="548"/>
      <c r="AK591" s="548"/>
      <c r="AL591" s="548"/>
      <c r="AM591" s="548"/>
      <c r="AN591" s="548"/>
      <c r="AO591" s="548"/>
    </row>
    <row r="592">
      <c r="G592" s="548"/>
      <c r="H592" s="548"/>
      <c r="I592" s="548"/>
      <c r="J592" s="548"/>
      <c r="K592" s="548"/>
      <c r="L592" s="548"/>
      <c r="M592" s="548"/>
      <c r="N592" s="548"/>
      <c r="O592" s="548"/>
      <c r="P592" s="548"/>
      <c r="Q592" s="548"/>
      <c r="R592" s="548"/>
      <c r="S592" s="548"/>
      <c r="T592" s="548"/>
      <c r="U592" s="548"/>
      <c r="V592" s="548"/>
      <c r="W592" s="548"/>
      <c r="X592" s="548"/>
      <c r="Y592" s="548"/>
      <c r="Z592" s="548"/>
      <c r="AA592" s="548"/>
      <c r="AB592" s="548"/>
      <c r="AC592" s="548"/>
      <c r="AD592" s="548"/>
      <c r="AE592" s="548"/>
      <c r="AF592" s="548"/>
      <c r="AG592" s="548"/>
      <c r="AH592" s="548"/>
      <c r="AI592" s="548"/>
      <c r="AJ592" s="548"/>
      <c r="AK592" s="548"/>
      <c r="AL592" s="548"/>
      <c r="AM592" s="548"/>
      <c r="AN592" s="548"/>
      <c r="AO592" s="548"/>
    </row>
    <row r="593">
      <c r="G593" s="548"/>
      <c r="H593" s="548"/>
      <c r="I593" s="548"/>
      <c r="J593" s="548"/>
      <c r="K593" s="548"/>
      <c r="L593" s="548"/>
      <c r="M593" s="548"/>
      <c r="N593" s="548"/>
      <c r="O593" s="548"/>
      <c r="P593" s="548"/>
      <c r="Q593" s="548"/>
      <c r="R593" s="548"/>
      <c r="S593" s="548"/>
      <c r="T593" s="548"/>
      <c r="U593" s="548"/>
      <c r="V593" s="548"/>
      <c r="W593" s="548"/>
      <c r="X593" s="548"/>
      <c r="Y593" s="548"/>
      <c r="Z593" s="548"/>
      <c r="AA593" s="548"/>
      <c r="AB593" s="548"/>
      <c r="AC593" s="548"/>
      <c r="AD593" s="548"/>
      <c r="AE593" s="548"/>
      <c r="AF593" s="548"/>
      <c r="AG593" s="548"/>
      <c r="AH593" s="548"/>
      <c r="AI593" s="548"/>
      <c r="AJ593" s="548"/>
      <c r="AK593" s="548"/>
      <c r="AL593" s="548"/>
      <c r="AM593" s="548"/>
      <c r="AN593" s="548"/>
      <c r="AO593" s="548"/>
    </row>
    <row r="594">
      <c r="G594" s="548"/>
      <c r="H594" s="548"/>
      <c r="I594" s="548"/>
      <c r="J594" s="548"/>
      <c r="K594" s="548"/>
      <c r="L594" s="548"/>
      <c r="M594" s="548"/>
      <c r="N594" s="548"/>
      <c r="O594" s="548"/>
      <c r="P594" s="548"/>
      <c r="Q594" s="548"/>
      <c r="R594" s="548"/>
      <c r="S594" s="548"/>
      <c r="T594" s="548"/>
      <c r="U594" s="548"/>
      <c r="V594" s="548"/>
      <c r="W594" s="548"/>
      <c r="X594" s="548"/>
      <c r="Y594" s="548"/>
      <c r="Z594" s="548"/>
      <c r="AA594" s="548"/>
      <c r="AB594" s="548"/>
      <c r="AC594" s="548"/>
      <c r="AD594" s="548"/>
      <c r="AE594" s="548"/>
      <c r="AF594" s="548"/>
      <c r="AG594" s="548"/>
      <c r="AH594" s="548"/>
      <c r="AI594" s="548"/>
      <c r="AJ594" s="548"/>
      <c r="AK594" s="548"/>
      <c r="AL594" s="548"/>
      <c r="AM594" s="548"/>
      <c r="AN594" s="548"/>
      <c r="AO594" s="548"/>
    </row>
    <row r="595">
      <c r="G595" s="548"/>
      <c r="H595" s="548"/>
      <c r="I595" s="548"/>
      <c r="J595" s="548"/>
      <c r="K595" s="548"/>
      <c r="L595" s="548"/>
      <c r="M595" s="548"/>
      <c r="N595" s="548"/>
      <c r="O595" s="548"/>
      <c r="P595" s="548"/>
      <c r="Q595" s="548"/>
      <c r="R595" s="548"/>
      <c r="S595" s="548"/>
      <c r="T595" s="548"/>
      <c r="U595" s="548"/>
      <c r="V595" s="548"/>
      <c r="W595" s="548"/>
      <c r="X595" s="548"/>
      <c r="Y595" s="548"/>
      <c r="Z595" s="548"/>
      <c r="AA595" s="548"/>
      <c r="AB595" s="548"/>
      <c r="AC595" s="548"/>
      <c r="AD595" s="548"/>
      <c r="AE595" s="548"/>
      <c r="AF595" s="548"/>
      <c r="AG595" s="548"/>
      <c r="AH595" s="548"/>
      <c r="AI595" s="548"/>
      <c r="AJ595" s="548"/>
      <c r="AK595" s="548"/>
      <c r="AL595" s="548"/>
      <c r="AM595" s="548"/>
      <c r="AN595" s="548"/>
      <c r="AO595" s="548"/>
    </row>
    <row r="596">
      <c r="G596" s="548"/>
      <c r="H596" s="548"/>
      <c r="I596" s="548"/>
      <c r="J596" s="548"/>
      <c r="K596" s="548"/>
      <c r="L596" s="548"/>
      <c r="M596" s="548"/>
      <c r="N596" s="548"/>
      <c r="O596" s="548"/>
      <c r="P596" s="548"/>
      <c r="Q596" s="548"/>
      <c r="R596" s="548"/>
      <c r="S596" s="548"/>
      <c r="T596" s="548"/>
      <c r="U596" s="548"/>
      <c r="V596" s="548"/>
      <c r="W596" s="548"/>
      <c r="X596" s="548"/>
      <c r="Y596" s="548"/>
      <c r="Z596" s="548"/>
      <c r="AA596" s="548"/>
      <c r="AB596" s="548"/>
      <c r="AC596" s="548"/>
      <c r="AD596" s="548"/>
      <c r="AE596" s="548"/>
      <c r="AF596" s="548"/>
      <c r="AG596" s="548"/>
      <c r="AH596" s="548"/>
      <c r="AI596" s="548"/>
      <c r="AJ596" s="548"/>
      <c r="AK596" s="548"/>
      <c r="AL596" s="548"/>
      <c r="AM596" s="548"/>
      <c r="AN596" s="548"/>
      <c r="AO596" s="548"/>
    </row>
    <row r="597">
      <c r="G597" s="548"/>
      <c r="H597" s="548"/>
      <c r="I597" s="548"/>
      <c r="J597" s="548"/>
      <c r="K597" s="548"/>
      <c r="L597" s="548"/>
      <c r="M597" s="548"/>
      <c r="N597" s="548"/>
      <c r="O597" s="548"/>
      <c r="P597" s="548"/>
      <c r="Q597" s="548"/>
      <c r="R597" s="548"/>
      <c r="S597" s="548"/>
      <c r="T597" s="548"/>
      <c r="U597" s="548"/>
      <c r="V597" s="548"/>
      <c r="W597" s="548"/>
      <c r="X597" s="548"/>
      <c r="Y597" s="548"/>
      <c r="Z597" s="548"/>
      <c r="AA597" s="548"/>
      <c r="AB597" s="548"/>
      <c r="AC597" s="548"/>
      <c r="AD597" s="548"/>
      <c r="AE597" s="548"/>
      <c r="AF597" s="548"/>
      <c r="AG597" s="548"/>
      <c r="AH597" s="548"/>
      <c r="AI597" s="548"/>
      <c r="AJ597" s="548"/>
      <c r="AK597" s="548"/>
      <c r="AL597" s="548"/>
      <c r="AM597" s="548"/>
      <c r="AN597" s="548"/>
      <c r="AO597" s="548"/>
    </row>
    <row r="598">
      <c r="G598" s="548"/>
      <c r="H598" s="548"/>
      <c r="I598" s="548"/>
      <c r="J598" s="548"/>
      <c r="K598" s="548"/>
      <c r="L598" s="548"/>
      <c r="M598" s="548"/>
      <c r="N598" s="548"/>
      <c r="O598" s="548"/>
      <c r="P598" s="548"/>
      <c r="Q598" s="548"/>
      <c r="R598" s="548"/>
      <c r="S598" s="548"/>
      <c r="T598" s="548"/>
      <c r="U598" s="548"/>
      <c r="V598" s="548"/>
      <c r="W598" s="548"/>
      <c r="X598" s="548"/>
      <c r="Y598" s="548"/>
      <c r="Z598" s="548"/>
      <c r="AA598" s="548"/>
      <c r="AB598" s="548"/>
      <c r="AC598" s="548"/>
      <c r="AD598" s="548"/>
      <c r="AE598" s="548"/>
      <c r="AF598" s="548"/>
      <c r="AG598" s="548"/>
      <c r="AH598" s="548"/>
      <c r="AI598" s="548"/>
      <c r="AJ598" s="548"/>
      <c r="AK598" s="548"/>
      <c r="AL598" s="548"/>
      <c r="AM598" s="548"/>
      <c r="AN598" s="548"/>
      <c r="AO598" s="548"/>
    </row>
    <row r="599">
      <c r="G599" s="548"/>
      <c r="H599" s="548"/>
      <c r="I599" s="548"/>
      <c r="J599" s="548"/>
      <c r="K599" s="548"/>
      <c r="L599" s="548"/>
      <c r="M599" s="548"/>
      <c r="N599" s="548"/>
      <c r="O599" s="548"/>
      <c r="P599" s="548"/>
      <c r="Q599" s="548"/>
      <c r="R599" s="548"/>
      <c r="S599" s="548"/>
      <c r="T599" s="548"/>
      <c r="U599" s="548"/>
      <c r="V599" s="548"/>
      <c r="W599" s="548"/>
      <c r="X599" s="548"/>
      <c r="Y599" s="548"/>
      <c r="Z599" s="548"/>
      <c r="AA599" s="548"/>
      <c r="AB599" s="548"/>
      <c r="AC599" s="548"/>
      <c r="AD599" s="548"/>
      <c r="AE599" s="548"/>
      <c r="AF599" s="548"/>
      <c r="AG599" s="548"/>
      <c r="AH599" s="548"/>
      <c r="AI599" s="548"/>
      <c r="AJ599" s="548"/>
      <c r="AK599" s="548"/>
      <c r="AL599" s="548"/>
      <c r="AM599" s="548"/>
      <c r="AN599" s="548"/>
      <c r="AO599" s="548"/>
    </row>
    <row r="600">
      <c r="G600" s="548"/>
      <c r="H600" s="548"/>
      <c r="I600" s="548"/>
      <c r="J600" s="548"/>
      <c r="K600" s="548"/>
      <c r="L600" s="548"/>
      <c r="M600" s="548"/>
      <c r="N600" s="548"/>
      <c r="O600" s="548"/>
      <c r="P600" s="548"/>
      <c r="Q600" s="548"/>
      <c r="R600" s="548"/>
      <c r="S600" s="548"/>
      <c r="T600" s="548"/>
      <c r="U600" s="548"/>
      <c r="V600" s="548"/>
      <c r="W600" s="548"/>
      <c r="X600" s="548"/>
      <c r="Y600" s="548"/>
      <c r="Z600" s="548"/>
      <c r="AA600" s="548"/>
      <c r="AB600" s="548"/>
      <c r="AC600" s="548"/>
      <c r="AD600" s="548"/>
      <c r="AE600" s="548"/>
      <c r="AF600" s="548"/>
      <c r="AG600" s="548"/>
      <c r="AH600" s="548"/>
      <c r="AI600" s="548"/>
      <c r="AJ600" s="548"/>
      <c r="AK600" s="548"/>
      <c r="AL600" s="548"/>
      <c r="AM600" s="548"/>
      <c r="AN600" s="548"/>
      <c r="AO600" s="548"/>
    </row>
    <row r="601">
      <c r="G601" s="548"/>
      <c r="H601" s="548"/>
      <c r="I601" s="548"/>
      <c r="J601" s="548"/>
      <c r="K601" s="548"/>
      <c r="L601" s="548"/>
      <c r="M601" s="548"/>
      <c r="N601" s="548"/>
      <c r="O601" s="548"/>
      <c r="P601" s="548"/>
      <c r="Q601" s="548"/>
      <c r="R601" s="548"/>
      <c r="S601" s="548"/>
      <c r="T601" s="548"/>
      <c r="U601" s="548"/>
      <c r="V601" s="548"/>
      <c r="W601" s="548"/>
      <c r="X601" s="548"/>
      <c r="Y601" s="548"/>
      <c r="Z601" s="548"/>
      <c r="AA601" s="548"/>
      <c r="AB601" s="548"/>
      <c r="AC601" s="548"/>
      <c r="AD601" s="548"/>
      <c r="AE601" s="548"/>
      <c r="AF601" s="548"/>
      <c r="AG601" s="548"/>
      <c r="AH601" s="548"/>
      <c r="AI601" s="548"/>
      <c r="AJ601" s="548"/>
      <c r="AK601" s="548"/>
      <c r="AL601" s="548"/>
      <c r="AM601" s="548"/>
      <c r="AN601" s="548"/>
      <c r="AO601" s="548"/>
    </row>
    <row r="602">
      <c r="G602" s="548"/>
      <c r="H602" s="548"/>
      <c r="I602" s="548"/>
      <c r="J602" s="548"/>
      <c r="K602" s="548"/>
      <c r="L602" s="548"/>
      <c r="M602" s="548"/>
      <c r="N602" s="548"/>
      <c r="O602" s="548"/>
      <c r="P602" s="548"/>
      <c r="Q602" s="548"/>
      <c r="R602" s="548"/>
      <c r="S602" s="548"/>
      <c r="T602" s="548"/>
      <c r="U602" s="548"/>
      <c r="V602" s="548"/>
      <c r="W602" s="548"/>
      <c r="X602" s="548"/>
      <c r="Y602" s="548"/>
      <c r="Z602" s="548"/>
      <c r="AA602" s="548"/>
      <c r="AB602" s="548"/>
      <c r="AC602" s="548"/>
      <c r="AD602" s="548"/>
      <c r="AE602" s="548"/>
      <c r="AF602" s="548"/>
      <c r="AG602" s="548"/>
      <c r="AH602" s="548"/>
      <c r="AI602" s="548"/>
      <c r="AJ602" s="548"/>
      <c r="AK602" s="548"/>
      <c r="AL602" s="548"/>
      <c r="AM602" s="548"/>
      <c r="AN602" s="548"/>
      <c r="AO602" s="548"/>
    </row>
    <row r="603">
      <c r="G603" s="548"/>
      <c r="H603" s="548"/>
      <c r="I603" s="548"/>
      <c r="J603" s="548"/>
      <c r="K603" s="548"/>
      <c r="L603" s="548"/>
      <c r="M603" s="548"/>
      <c r="N603" s="548"/>
      <c r="O603" s="548"/>
      <c r="P603" s="548"/>
      <c r="Q603" s="548"/>
      <c r="R603" s="548"/>
      <c r="S603" s="548"/>
      <c r="T603" s="548"/>
      <c r="U603" s="548"/>
      <c r="V603" s="548"/>
      <c r="W603" s="548"/>
      <c r="X603" s="548"/>
      <c r="Y603" s="548"/>
      <c r="Z603" s="548"/>
      <c r="AA603" s="548"/>
      <c r="AB603" s="548"/>
      <c r="AC603" s="548"/>
      <c r="AD603" s="548"/>
      <c r="AE603" s="548"/>
      <c r="AF603" s="548"/>
      <c r="AG603" s="548"/>
      <c r="AH603" s="548"/>
      <c r="AI603" s="548"/>
      <c r="AJ603" s="548"/>
      <c r="AK603" s="548"/>
      <c r="AL603" s="548"/>
      <c r="AM603" s="548"/>
      <c r="AN603" s="548"/>
      <c r="AO603" s="548"/>
    </row>
    <row r="604">
      <c r="G604" s="548"/>
      <c r="H604" s="548"/>
      <c r="I604" s="548"/>
      <c r="J604" s="548"/>
      <c r="K604" s="548"/>
      <c r="L604" s="548"/>
      <c r="M604" s="548"/>
      <c r="N604" s="548"/>
      <c r="O604" s="548"/>
      <c r="P604" s="548"/>
      <c r="Q604" s="548"/>
      <c r="R604" s="548"/>
      <c r="S604" s="548"/>
      <c r="T604" s="548"/>
      <c r="U604" s="548"/>
      <c r="V604" s="548"/>
      <c r="W604" s="548"/>
      <c r="X604" s="548"/>
      <c r="Y604" s="548"/>
      <c r="Z604" s="548"/>
      <c r="AA604" s="548"/>
      <c r="AB604" s="548"/>
      <c r="AC604" s="548"/>
      <c r="AD604" s="548"/>
      <c r="AE604" s="548"/>
      <c r="AF604" s="548"/>
      <c r="AG604" s="548"/>
      <c r="AH604" s="548"/>
      <c r="AI604" s="548"/>
      <c r="AJ604" s="548"/>
      <c r="AK604" s="548"/>
      <c r="AL604" s="548"/>
      <c r="AM604" s="548"/>
      <c r="AN604" s="548"/>
      <c r="AO604" s="548"/>
    </row>
    <row r="605">
      <c r="G605" s="548"/>
      <c r="H605" s="548"/>
      <c r="I605" s="548"/>
      <c r="J605" s="548"/>
      <c r="K605" s="548"/>
      <c r="L605" s="548"/>
      <c r="M605" s="548"/>
      <c r="N605" s="548"/>
      <c r="O605" s="548"/>
      <c r="P605" s="548"/>
      <c r="Q605" s="548"/>
      <c r="R605" s="548"/>
      <c r="S605" s="548"/>
      <c r="T605" s="548"/>
      <c r="U605" s="548"/>
      <c r="V605" s="548"/>
      <c r="W605" s="548"/>
      <c r="X605" s="548"/>
      <c r="Y605" s="548"/>
      <c r="Z605" s="548"/>
      <c r="AA605" s="548"/>
      <c r="AB605" s="548"/>
      <c r="AC605" s="548"/>
      <c r="AD605" s="548"/>
      <c r="AE605" s="548"/>
      <c r="AF605" s="548"/>
      <c r="AG605" s="548"/>
      <c r="AH605" s="548"/>
      <c r="AI605" s="548"/>
      <c r="AJ605" s="548"/>
      <c r="AK605" s="548"/>
      <c r="AL605" s="548"/>
      <c r="AM605" s="548"/>
      <c r="AN605" s="548"/>
      <c r="AO605" s="548"/>
    </row>
    <row r="606">
      <c r="G606" s="548"/>
      <c r="H606" s="548"/>
      <c r="I606" s="548"/>
      <c r="J606" s="548"/>
      <c r="K606" s="548"/>
      <c r="L606" s="548"/>
      <c r="M606" s="548"/>
      <c r="N606" s="548"/>
      <c r="O606" s="548"/>
      <c r="P606" s="548"/>
      <c r="Q606" s="548"/>
      <c r="R606" s="548"/>
      <c r="S606" s="548"/>
      <c r="T606" s="548"/>
      <c r="U606" s="548"/>
      <c r="V606" s="548"/>
      <c r="W606" s="548"/>
      <c r="X606" s="548"/>
      <c r="Y606" s="548"/>
      <c r="Z606" s="548"/>
      <c r="AA606" s="548"/>
      <c r="AB606" s="548"/>
      <c r="AC606" s="548"/>
      <c r="AD606" s="548"/>
      <c r="AE606" s="548"/>
      <c r="AF606" s="548"/>
      <c r="AG606" s="548"/>
      <c r="AH606" s="548"/>
      <c r="AI606" s="548"/>
      <c r="AJ606" s="548"/>
      <c r="AK606" s="548"/>
      <c r="AL606" s="548"/>
      <c r="AM606" s="548"/>
      <c r="AN606" s="548"/>
      <c r="AO606" s="548"/>
    </row>
    <row r="607">
      <c r="G607" s="548"/>
      <c r="H607" s="548"/>
      <c r="I607" s="548"/>
      <c r="J607" s="548"/>
      <c r="K607" s="548"/>
      <c r="L607" s="548"/>
      <c r="M607" s="548"/>
      <c r="N607" s="548"/>
      <c r="O607" s="548"/>
      <c r="P607" s="548"/>
      <c r="Q607" s="548"/>
      <c r="R607" s="548"/>
      <c r="S607" s="548"/>
      <c r="T607" s="548"/>
      <c r="U607" s="548"/>
      <c r="V607" s="548"/>
      <c r="W607" s="548"/>
      <c r="X607" s="548"/>
      <c r="Y607" s="548"/>
      <c r="Z607" s="548"/>
      <c r="AA607" s="548"/>
      <c r="AB607" s="548"/>
      <c r="AC607" s="548"/>
      <c r="AD607" s="548"/>
      <c r="AE607" s="548"/>
      <c r="AF607" s="548"/>
      <c r="AG607" s="548"/>
      <c r="AH607" s="548"/>
      <c r="AI607" s="548"/>
      <c r="AJ607" s="548"/>
      <c r="AK607" s="548"/>
      <c r="AL607" s="548"/>
      <c r="AM607" s="548"/>
      <c r="AN607" s="548"/>
      <c r="AO607" s="548"/>
    </row>
    <row r="608">
      <c r="G608" s="548"/>
      <c r="H608" s="548"/>
      <c r="I608" s="548"/>
      <c r="J608" s="548"/>
      <c r="K608" s="548"/>
      <c r="L608" s="548"/>
      <c r="M608" s="548"/>
      <c r="N608" s="548"/>
      <c r="O608" s="548"/>
      <c r="P608" s="548"/>
      <c r="Q608" s="548"/>
      <c r="R608" s="548"/>
      <c r="S608" s="548"/>
      <c r="T608" s="548"/>
      <c r="U608" s="548"/>
      <c r="V608" s="548"/>
      <c r="W608" s="548"/>
      <c r="X608" s="548"/>
      <c r="Y608" s="548"/>
      <c r="Z608" s="548"/>
      <c r="AA608" s="548"/>
      <c r="AB608" s="548"/>
      <c r="AC608" s="548"/>
      <c r="AD608" s="548"/>
      <c r="AE608" s="548"/>
      <c r="AF608" s="548"/>
      <c r="AG608" s="548"/>
      <c r="AH608" s="548"/>
      <c r="AI608" s="548"/>
      <c r="AJ608" s="548"/>
      <c r="AK608" s="548"/>
      <c r="AL608" s="548"/>
      <c r="AM608" s="548"/>
      <c r="AN608" s="548"/>
      <c r="AO608" s="548"/>
    </row>
    <row r="609">
      <c r="G609" s="548"/>
      <c r="H609" s="548"/>
      <c r="I609" s="548"/>
      <c r="J609" s="548"/>
      <c r="K609" s="548"/>
      <c r="L609" s="548"/>
      <c r="M609" s="548"/>
      <c r="N609" s="548"/>
      <c r="O609" s="548"/>
      <c r="P609" s="548"/>
      <c r="Q609" s="548"/>
      <c r="R609" s="548"/>
      <c r="S609" s="548"/>
      <c r="T609" s="548"/>
      <c r="U609" s="548"/>
      <c r="V609" s="548"/>
      <c r="W609" s="548"/>
      <c r="X609" s="548"/>
      <c r="Y609" s="548"/>
      <c r="Z609" s="548"/>
      <c r="AA609" s="548"/>
      <c r="AB609" s="548"/>
      <c r="AC609" s="548"/>
      <c r="AD609" s="548"/>
      <c r="AE609" s="548"/>
      <c r="AF609" s="548"/>
      <c r="AG609" s="548"/>
      <c r="AH609" s="548"/>
      <c r="AI609" s="548"/>
      <c r="AJ609" s="548"/>
      <c r="AK609" s="548"/>
      <c r="AL609" s="548"/>
      <c r="AM609" s="548"/>
      <c r="AN609" s="548"/>
      <c r="AO609" s="548"/>
    </row>
    <row r="610">
      <c r="G610" s="548"/>
      <c r="H610" s="548"/>
      <c r="I610" s="548"/>
      <c r="J610" s="548"/>
      <c r="K610" s="548"/>
      <c r="L610" s="548"/>
      <c r="M610" s="548"/>
      <c r="N610" s="548"/>
      <c r="O610" s="548"/>
      <c r="P610" s="548"/>
      <c r="Q610" s="548"/>
      <c r="R610" s="548"/>
      <c r="S610" s="548"/>
      <c r="T610" s="548"/>
      <c r="U610" s="548"/>
      <c r="V610" s="548"/>
      <c r="W610" s="548"/>
      <c r="X610" s="548"/>
      <c r="Y610" s="548"/>
      <c r="Z610" s="548"/>
      <c r="AA610" s="548"/>
      <c r="AB610" s="548"/>
      <c r="AC610" s="548"/>
      <c r="AD610" s="548"/>
      <c r="AE610" s="548"/>
      <c r="AF610" s="548"/>
      <c r="AG610" s="548"/>
      <c r="AH610" s="548"/>
      <c r="AI610" s="548"/>
      <c r="AJ610" s="548"/>
      <c r="AK610" s="548"/>
      <c r="AL610" s="548"/>
      <c r="AM610" s="548"/>
      <c r="AN610" s="548"/>
      <c r="AO610" s="548"/>
    </row>
    <row r="611">
      <c r="G611" s="548"/>
      <c r="H611" s="548"/>
      <c r="I611" s="548"/>
      <c r="J611" s="548"/>
      <c r="K611" s="548"/>
      <c r="L611" s="548"/>
      <c r="M611" s="548"/>
      <c r="N611" s="548"/>
      <c r="O611" s="548"/>
      <c r="P611" s="548"/>
      <c r="Q611" s="548"/>
      <c r="R611" s="548"/>
      <c r="S611" s="548"/>
      <c r="T611" s="548"/>
      <c r="U611" s="548"/>
      <c r="V611" s="548"/>
      <c r="W611" s="548"/>
      <c r="X611" s="548"/>
      <c r="Y611" s="548"/>
      <c r="Z611" s="548"/>
      <c r="AA611" s="548"/>
      <c r="AB611" s="548"/>
      <c r="AC611" s="548"/>
      <c r="AD611" s="548"/>
      <c r="AE611" s="548"/>
      <c r="AF611" s="548"/>
      <c r="AG611" s="548"/>
      <c r="AH611" s="548"/>
      <c r="AI611" s="548"/>
      <c r="AJ611" s="548"/>
      <c r="AK611" s="548"/>
      <c r="AL611" s="548"/>
      <c r="AM611" s="548"/>
      <c r="AN611" s="548"/>
      <c r="AO611" s="548"/>
    </row>
    <row r="612">
      <c r="G612" s="548"/>
      <c r="H612" s="548"/>
      <c r="I612" s="548"/>
      <c r="J612" s="548"/>
      <c r="K612" s="548"/>
      <c r="L612" s="548"/>
      <c r="M612" s="548"/>
      <c r="N612" s="548"/>
      <c r="O612" s="548"/>
      <c r="P612" s="548"/>
      <c r="Q612" s="548"/>
      <c r="R612" s="548"/>
      <c r="S612" s="548"/>
      <c r="T612" s="548"/>
      <c r="U612" s="548"/>
      <c r="V612" s="548"/>
      <c r="W612" s="548"/>
      <c r="X612" s="548"/>
      <c r="Y612" s="548"/>
      <c r="Z612" s="548"/>
      <c r="AA612" s="548"/>
      <c r="AB612" s="548"/>
      <c r="AC612" s="548"/>
      <c r="AD612" s="548"/>
      <c r="AE612" s="548"/>
      <c r="AF612" s="548"/>
      <c r="AG612" s="548"/>
      <c r="AH612" s="548"/>
      <c r="AI612" s="548"/>
      <c r="AJ612" s="548"/>
      <c r="AK612" s="548"/>
      <c r="AL612" s="548"/>
      <c r="AM612" s="548"/>
      <c r="AN612" s="548"/>
      <c r="AO612" s="548"/>
    </row>
    <row r="613">
      <c r="G613" s="548"/>
      <c r="H613" s="548"/>
      <c r="I613" s="548"/>
      <c r="J613" s="548"/>
      <c r="K613" s="548"/>
      <c r="L613" s="548"/>
      <c r="M613" s="548"/>
      <c r="N613" s="548"/>
      <c r="O613" s="548"/>
      <c r="P613" s="548"/>
      <c r="Q613" s="548"/>
      <c r="R613" s="548"/>
      <c r="S613" s="548"/>
      <c r="T613" s="548"/>
      <c r="U613" s="548"/>
      <c r="V613" s="548"/>
      <c r="W613" s="548"/>
      <c r="X613" s="548"/>
      <c r="Y613" s="548"/>
      <c r="Z613" s="548"/>
      <c r="AA613" s="548"/>
      <c r="AB613" s="548"/>
      <c r="AC613" s="548"/>
      <c r="AD613" s="548"/>
      <c r="AE613" s="548"/>
      <c r="AF613" s="548"/>
      <c r="AG613" s="548"/>
      <c r="AH613" s="548"/>
      <c r="AI613" s="548"/>
      <c r="AJ613" s="548"/>
      <c r="AK613" s="548"/>
      <c r="AL613" s="548"/>
      <c r="AM613" s="548"/>
      <c r="AN613" s="548"/>
      <c r="AO613" s="548"/>
    </row>
    <row r="614">
      <c r="G614" s="548"/>
      <c r="H614" s="548"/>
      <c r="I614" s="548"/>
      <c r="J614" s="548"/>
      <c r="K614" s="548"/>
      <c r="L614" s="548"/>
      <c r="M614" s="548"/>
      <c r="N614" s="548"/>
      <c r="O614" s="548"/>
      <c r="P614" s="548"/>
      <c r="Q614" s="548"/>
      <c r="R614" s="548"/>
      <c r="S614" s="548"/>
      <c r="T614" s="548"/>
      <c r="U614" s="548"/>
      <c r="V614" s="548"/>
      <c r="W614" s="548"/>
      <c r="X614" s="548"/>
      <c r="Y614" s="548"/>
      <c r="Z614" s="548"/>
      <c r="AA614" s="548"/>
      <c r="AB614" s="548"/>
      <c r="AC614" s="548"/>
      <c r="AD614" s="548"/>
      <c r="AE614" s="548"/>
      <c r="AF614" s="548"/>
      <c r="AG614" s="548"/>
      <c r="AH614" s="548"/>
      <c r="AI614" s="548"/>
      <c r="AJ614" s="548"/>
      <c r="AK614" s="548"/>
      <c r="AL614" s="548"/>
      <c r="AM614" s="548"/>
      <c r="AN614" s="548"/>
      <c r="AO614" s="548"/>
    </row>
    <row r="615">
      <c r="G615" s="548"/>
      <c r="H615" s="548"/>
      <c r="I615" s="548"/>
      <c r="J615" s="548"/>
      <c r="K615" s="548"/>
      <c r="L615" s="548"/>
      <c r="M615" s="548"/>
      <c r="N615" s="548"/>
      <c r="O615" s="548"/>
      <c r="P615" s="548"/>
      <c r="Q615" s="548"/>
      <c r="R615" s="548"/>
      <c r="S615" s="548"/>
      <c r="T615" s="548"/>
      <c r="U615" s="548"/>
      <c r="V615" s="548"/>
      <c r="W615" s="548"/>
      <c r="X615" s="548"/>
      <c r="Y615" s="548"/>
      <c r="Z615" s="548"/>
      <c r="AA615" s="548"/>
      <c r="AB615" s="548"/>
      <c r="AC615" s="548"/>
      <c r="AD615" s="548"/>
      <c r="AE615" s="548"/>
      <c r="AF615" s="548"/>
      <c r="AG615" s="548"/>
      <c r="AH615" s="548"/>
      <c r="AI615" s="548"/>
      <c r="AJ615" s="548"/>
      <c r="AK615" s="548"/>
      <c r="AL615" s="548"/>
      <c r="AM615" s="548"/>
      <c r="AN615" s="548"/>
      <c r="AO615" s="548"/>
    </row>
    <row r="616">
      <c r="G616" s="548"/>
      <c r="H616" s="548"/>
      <c r="I616" s="548"/>
      <c r="J616" s="548"/>
      <c r="K616" s="548"/>
      <c r="L616" s="548"/>
      <c r="M616" s="548"/>
      <c r="N616" s="548"/>
      <c r="O616" s="548"/>
      <c r="P616" s="548"/>
      <c r="Q616" s="548"/>
      <c r="R616" s="548"/>
      <c r="S616" s="548"/>
      <c r="T616" s="548"/>
      <c r="U616" s="548"/>
      <c r="V616" s="548"/>
      <c r="W616" s="548"/>
      <c r="X616" s="548"/>
      <c r="Y616" s="548"/>
      <c r="Z616" s="548"/>
      <c r="AA616" s="548"/>
      <c r="AB616" s="548"/>
      <c r="AC616" s="548"/>
      <c r="AD616" s="548"/>
      <c r="AE616" s="548"/>
      <c r="AF616" s="548"/>
      <c r="AG616" s="548"/>
      <c r="AH616" s="548"/>
      <c r="AI616" s="548"/>
      <c r="AJ616" s="548"/>
      <c r="AK616" s="548"/>
      <c r="AL616" s="548"/>
      <c r="AM616" s="548"/>
      <c r="AN616" s="548"/>
      <c r="AO616" s="548"/>
    </row>
    <row r="617">
      <c r="G617" s="548"/>
      <c r="H617" s="548"/>
      <c r="I617" s="548"/>
      <c r="J617" s="548"/>
      <c r="K617" s="548"/>
      <c r="L617" s="548"/>
      <c r="M617" s="548"/>
      <c r="N617" s="548"/>
      <c r="O617" s="548"/>
      <c r="P617" s="548"/>
      <c r="Q617" s="548"/>
      <c r="R617" s="548"/>
      <c r="S617" s="548"/>
      <c r="T617" s="548"/>
      <c r="U617" s="548"/>
      <c r="V617" s="548"/>
      <c r="W617" s="548"/>
      <c r="X617" s="548"/>
      <c r="Y617" s="548"/>
      <c r="Z617" s="548"/>
      <c r="AA617" s="548"/>
      <c r="AB617" s="548"/>
      <c r="AC617" s="548"/>
      <c r="AD617" s="548"/>
      <c r="AE617" s="548"/>
      <c r="AF617" s="548"/>
      <c r="AG617" s="548"/>
      <c r="AH617" s="548"/>
      <c r="AI617" s="548"/>
      <c r="AJ617" s="548"/>
      <c r="AK617" s="548"/>
      <c r="AL617" s="548"/>
      <c r="AM617" s="548"/>
      <c r="AN617" s="548"/>
      <c r="AO617" s="548"/>
    </row>
    <row r="618">
      <c r="G618" s="548"/>
      <c r="H618" s="548"/>
      <c r="I618" s="548"/>
      <c r="J618" s="548"/>
      <c r="K618" s="548"/>
      <c r="L618" s="548"/>
      <c r="M618" s="548"/>
      <c r="N618" s="548"/>
      <c r="O618" s="548"/>
      <c r="P618" s="548"/>
      <c r="Q618" s="548"/>
      <c r="R618" s="548"/>
      <c r="S618" s="548"/>
      <c r="T618" s="548"/>
      <c r="U618" s="548"/>
      <c r="V618" s="548"/>
      <c r="W618" s="548"/>
      <c r="X618" s="548"/>
      <c r="Y618" s="548"/>
      <c r="Z618" s="548"/>
      <c r="AA618" s="548"/>
      <c r="AB618" s="548"/>
      <c r="AC618" s="548"/>
      <c r="AD618" s="548"/>
      <c r="AE618" s="548"/>
      <c r="AF618" s="548"/>
      <c r="AG618" s="548"/>
      <c r="AH618" s="548"/>
      <c r="AI618" s="548"/>
      <c r="AJ618" s="548"/>
      <c r="AK618" s="548"/>
      <c r="AL618" s="548"/>
      <c r="AM618" s="548"/>
      <c r="AN618" s="548"/>
      <c r="AO618" s="548"/>
    </row>
    <row r="619">
      <c r="G619" s="548"/>
      <c r="H619" s="548"/>
      <c r="I619" s="548"/>
      <c r="J619" s="548"/>
      <c r="K619" s="548"/>
      <c r="L619" s="548"/>
      <c r="M619" s="548"/>
      <c r="N619" s="548"/>
      <c r="O619" s="548"/>
      <c r="P619" s="548"/>
      <c r="Q619" s="548"/>
      <c r="R619" s="548"/>
      <c r="S619" s="548"/>
      <c r="T619" s="548"/>
      <c r="U619" s="548"/>
      <c r="V619" s="548"/>
      <c r="W619" s="548"/>
      <c r="X619" s="548"/>
      <c r="Y619" s="548"/>
      <c r="Z619" s="548"/>
      <c r="AA619" s="548"/>
      <c r="AB619" s="548"/>
      <c r="AC619" s="548"/>
      <c r="AD619" s="548"/>
      <c r="AE619" s="548"/>
      <c r="AF619" s="548"/>
      <c r="AG619" s="548"/>
      <c r="AH619" s="548"/>
      <c r="AI619" s="548"/>
      <c r="AJ619" s="548"/>
      <c r="AK619" s="548"/>
      <c r="AL619" s="548"/>
      <c r="AM619" s="548"/>
      <c r="AN619" s="548"/>
      <c r="AO619" s="548"/>
    </row>
    <row r="620">
      <c r="G620" s="548"/>
      <c r="H620" s="548"/>
      <c r="I620" s="548"/>
      <c r="J620" s="548"/>
      <c r="K620" s="548"/>
      <c r="L620" s="548"/>
      <c r="M620" s="548"/>
      <c r="N620" s="548"/>
      <c r="O620" s="548"/>
      <c r="P620" s="548"/>
      <c r="Q620" s="548"/>
      <c r="R620" s="548"/>
      <c r="S620" s="548"/>
      <c r="T620" s="548"/>
      <c r="U620" s="548"/>
      <c r="V620" s="548"/>
      <c r="W620" s="548"/>
      <c r="X620" s="548"/>
      <c r="Y620" s="548"/>
      <c r="Z620" s="548"/>
      <c r="AA620" s="548"/>
      <c r="AB620" s="548"/>
      <c r="AC620" s="548"/>
      <c r="AD620" s="548"/>
      <c r="AE620" s="548"/>
      <c r="AF620" s="548"/>
      <c r="AG620" s="548"/>
      <c r="AH620" s="548"/>
      <c r="AI620" s="548"/>
      <c r="AJ620" s="548"/>
      <c r="AK620" s="548"/>
      <c r="AL620" s="548"/>
      <c r="AM620" s="548"/>
      <c r="AN620" s="548"/>
      <c r="AO620" s="548"/>
    </row>
    <row r="621">
      <c r="G621" s="548"/>
      <c r="H621" s="548"/>
      <c r="I621" s="548"/>
      <c r="J621" s="548"/>
      <c r="K621" s="548"/>
      <c r="L621" s="548"/>
      <c r="M621" s="548"/>
      <c r="N621" s="548"/>
      <c r="O621" s="548"/>
      <c r="P621" s="548"/>
      <c r="Q621" s="548"/>
      <c r="R621" s="548"/>
      <c r="S621" s="548"/>
      <c r="T621" s="548"/>
      <c r="U621" s="548"/>
      <c r="V621" s="548"/>
      <c r="W621" s="548"/>
      <c r="X621" s="548"/>
      <c r="Y621" s="548"/>
      <c r="Z621" s="548"/>
      <c r="AA621" s="548"/>
      <c r="AB621" s="548"/>
      <c r="AC621" s="548"/>
      <c r="AD621" s="548"/>
      <c r="AE621" s="548"/>
      <c r="AF621" s="548"/>
      <c r="AG621" s="548"/>
      <c r="AH621" s="548"/>
      <c r="AI621" s="548"/>
      <c r="AJ621" s="548"/>
      <c r="AK621" s="548"/>
      <c r="AL621" s="548"/>
      <c r="AM621" s="548"/>
      <c r="AN621" s="548"/>
      <c r="AO621" s="548"/>
    </row>
    <row r="622">
      <c r="G622" s="548"/>
      <c r="H622" s="548"/>
      <c r="I622" s="548"/>
      <c r="J622" s="548"/>
      <c r="K622" s="548"/>
      <c r="L622" s="548"/>
      <c r="M622" s="548"/>
      <c r="N622" s="548"/>
      <c r="O622" s="548"/>
      <c r="P622" s="548"/>
      <c r="Q622" s="548"/>
      <c r="R622" s="548"/>
      <c r="S622" s="548"/>
      <c r="T622" s="548"/>
      <c r="U622" s="548"/>
      <c r="V622" s="548"/>
      <c r="W622" s="548"/>
      <c r="X622" s="548"/>
      <c r="Y622" s="548"/>
      <c r="Z622" s="548"/>
      <c r="AA622" s="548"/>
      <c r="AB622" s="548"/>
      <c r="AC622" s="548"/>
      <c r="AD622" s="548"/>
      <c r="AE622" s="548"/>
      <c r="AF622" s="548"/>
      <c r="AG622" s="548"/>
      <c r="AH622" s="548"/>
      <c r="AI622" s="548"/>
      <c r="AJ622" s="548"/>
      <c r="AK622" s="548"/>
      <c r="AL622" s="548"/>
      <c r="AM622" s="548"/>
      <c r="AN622" s="548"/>
      <c r="AO622" s="548"/>
    </row>
    <row r="623">
      <c r="G623" s="548"/>
      <c r="H623" s="548"/>
      <c r="I623" s="548"/>
      <c r="J623" s="548"/>
      <c r="K623" s="548"/>
      <c r="L623" s="548"/>
      <c r="M623" s="548"/>
      <c r="N623" s="548"/>
      <c r="O623" s="548"/>
      <c r="P623" s="548"/>
      <c r="Q623" s="548"/>
      <c r="R623" s="548"/>
      <c r="S623" s="548"/>
      <c r="T623" s="548"/>
      <c r="U623" s="548"/>
      <c r="V623" s="548"/>
      <c r="W623" s="548"/>
      <c r="X623" s="548"/>
      <c r="Y623" s="548"/>
      <c r="Z623" s="548"/>
      <c r="AA623" s="548"/>
      <c r="AB623" s="548"/>
      <c r="AC623" s="548"/>
      <c r="AD623" s="548"/>
      <c r="AE623" s="548"/>
      <c r="AF623" s="548"/>
      <c r="AG623" s="548"/>
      <c r="AH623" s="548"/>
      <c r="AI623" s="548"/>
      <c r="AJ623" s="548"/>
      <c r="AK623" s="548"/>
      <c r="AL623" s="548"/>
      <c r="AM623" s="548"/>
      <c r="AN623" s="548"/>
      <c r="AO623" s="548"/>
    </row>
    <row r="624">
      <c r="G624" s="548"/>
      <c r="H624" s="548"/>
      <c r="I624" s="548"/>
      <c r="J624" s="548"/>
      <c r="K624" s="548"/>
      <c r="L624" s="548"/>
      <c r="M624" s="548"/>
      <c r="N624" s="548"/>
      <c r="O624" s="548"/>
      <c r="P624" s="548"/>
      <c r="Q624" s="548"/>
      <c r="R624" s="548"/>
      <c r="S624" s="548"/>
      <c r="T624" s="548"/>
      <c r="U624" s="548"/>
      <c r="V624" s="548"/>
      <c r="W624" s="548"/>
      <c r="X624" s="548"/>
      <c r="Y624" s="548"/>
      <c r="Z624" s="548"/>
      <c r="AA624" s="548"/>
      <c r="AB624" s="548"/>
      <c r="AC624" s="548"/>
      <c r="AD624" s="548"/>
      <c r="AE624" s="548"/>
      <c r="AF624" s="548"/>
      <c r="AG624" s="548"/>
      <c r="AH624" s="548"/>
      <c r="AI624" s="548"/>
      <c r="AJ624" s="548"/>
      <c r="AK624" s="548"/>
      <c r="AL624" s="548"/>
      <c r="AM624" s="548"/>
      <c r="AN624" s="548"/>
      <c r="AO624" s="548"/>
    </row>
    <row r="625">
      <c r="G625" s="548"/>
      <c r="H625" s="548"/>
      <c r="I625" s="548"/>
      <c r="J625" s="548"/>
      <c r="K625" s="548"/>
      <c r="L625" s="548"/>
      <c r="M625" s="548"/>
      <c r="N625" s="548"/>
      <c r="O625" s="548"/>
      <c r="P625" s="548"/>
      <c r="Q625" s="548"/>
      <c r="R625" s="548"/>
      <c r="S625" s="548"/>
      <c r="T625" s="548"/>
      <c r="U625" s="548"/>
      <c r="V625" s="548"/>
      <c r="W625" s="548"/>
      <c r="X625" s="548"/>
      <c r="Y625" s="548"/>
      <c r="Z625" s="548"/>
      <c r="AA625" s="548"/>
      <c r="AB625" s="548"/>
      <c r="AC625" s="548"/>
      <c r="AD625" s="548"/>
      <c r="AE625" s="548"/>
      <c r="AF625" s="548"/>
      <c r="AG625" s="548"/>
      <c r="AH625" s="548"/>
      <c r="AI625" s="548"/>
      <c r="AJ625" s="548"/>
      <c r="AK625" s="548"/>
      <c r="AL625" s="548"/>
      <c r="AM625" s="548"/>
      <c r="AN625" s="548"/>
      <c r="AO625" s="548"/>
    </row>
    <row r="626">
      <c r="G626" s="548"/>
      <c r="H626" s="548"/>
      <c r="I626" s="548"/>
      <c r="J626" s="548"/>
      <c r="K626" s="548"/>
      <c r="L626" s="548"/>
      <c r="M626" s="548"/>
      <c r="N626" s="548"/>
      <c r="O626" s="548"/>
      <c r="P626" s="548"/>
      <c r="Q626" s="548"/>
      <c r="R626" s="548"/>
      <c r="S626" s="548"/>
      <c r="T626" s="548"/>
      <c r="U626" s="548"/>
      <c r="V626" s="548"/>
      <c r="W626" s="548"/>
      <c r="X626" s="548"/>
      <c r="Y626" s="548"/>
      <c r="Z626" s="548"/>
      <c r="AA626" s="548"/>
      <c r="AB626" s="548"/>
      <c r="AC626" s="548"/>
      <c r="AD626" s="548"/>
      <c r="AE626" s="548"/>
      <c r="AF626" s="548"/>
      <c r="AG626" s="548"/>
      <c r="AH626" s="548"/>
      <c r="AI626" s="548"/>
      <c r="AJ626" s="548"/>
      <c r="AK626" s="548"/>
      <c r="AL626" s="548"/>
      <c r="AM626" s="548"/>
      <c r="AN626" s="548"/>
      <c r="AO626" s="548"/>
    </row>
    <row r="627">
      <c r="G627" s="548"/>
      <c r="H627" s="548"/>
      <c r="I627" s="548"/>
      <c r="J627" s="548"/>
      <c r="K627" s="548"/>
      <c r="L627" s="548"/>
      <c r="M627" s="548"/>
      <c r="N627" s="548"/>
      <c r="O627" s="548"/>
      <c r="P627" s="548"/>
      <c r="Q627" s="548"/>
      <c r="R627" s="548"/>
      <c r="S627" s="548"/>
      <c r="T627" s="548"/>
      <c r="U627" s="548"/>
      <c r="V627" s="548"/>
      <c r="W627" s="548"/>
      <c r="X627" s="548"/>
      <c r="Y627" s="548"/>
      <c r="Z627" s="548"/>
      <c r="AA627" s="548"/>
      <c r="AB627" s="548"/>
      <c r="AC627" s="548"/>
      <c r="AD627" s="548"/>
      <c r="AE627" s="548"/>
      <c r="AF627" s="548"/>
      <c r="AG627" s="548"/>
      <c r="AH627" s="548"/>
      <c r="AI627" s="548"/>
      <c r="AJ627" s="548"/>
      <c r="AK627" s="548"/>
      <c r="AL627" s="548"/>
      <c r="AM627" s="548"/>
      <c r="AN627" s="548"/>
      <c r="AO627" s="548"/>
    </row>
    <row r="628">
      <c r="G628" s="548"/>
      <c r="H628" s="548"/>
      <c r="I628" s="548"/>
      <c r="J628" s="548"/>
      <c r="K628" s="548"/>
      <c r="L628" s="548"/>
      <c r="M628" s="548"/>
      <c r="N628" s="548"/>
      <c r="O628" s="548"/>
      <c r="P628" s="548"/>
      <c r="Q628" s="548"/>
      <c r="R628" s="548"/>
      <c r="S628" s="548"/>
      <c r="T628" s="548"/>
      <c r="U628" s="548"/>
      <c r="V628" s="548"/>
      <c r="W628" s="548"/>
      <c r="X628" s="548"/>
      <c r="Y628" s="548"/>
      <c r="Z628" s="548"/>
      <c r="AA628" s="548"/>
      <c r="AB628" s="548"/>
      <c r="AC628" s="548"/>
      <c r="AD628" s="548"/>
      <c r="AE628" s="548"/>
      <c r="AF628" s="548"/>
      <c r="AG628" s="548"/>
      <c r="AH628" s="548"/>
      <c r="AI628" s="548"/>
      <c r="AJ628" s="548"/>
      <c r="AK628" s="548"/>
      <c r="AL628" s="548"/>
      <c r="AM628" s="548"/>
      <c r="AN628" s="548"/>
      <c r="AO628" s="548"/>
    </row>
    <row r="629">
      <c r="G629" s="548"/>
      <c r="H629" s="548"/>
      <c r="I629" s="548"/>
      <c r="J629" s="548"/>
      <c r="K629" s="548"/>
      <c r="L629" s="548"/>
      <c r="M629" s="548"/>
      <c r="N629" s="548"/>
      <c r="O629" s="548"/>
      <c r="P629" s="548"/>
      <c r="Q629" s="548"/>
      <c r="R629" s="548"/>
      <c r="S629" s="548"/>
      <c r="T629" s="548"/>
      <c r="U629" s="548"/>
      <c r="V629" s="548"/>
      <c r="W629" s="548"/>
      <c r="X629" s="548"/>
      <c r="Y629" s="548"/>
      <c r="Z629" s="548"/>
      <c r="AA629" s="548"/>
      <c r="AB629" s="548"/>
      <c r="AC629" s="548"/>
      <c r="AD629" s="548"/>
      <c r="AE629" s="548"/>
      <c r="AF629" s="548"/>
      <c r="AG629" s="548"/>
      <c r="AH629" s="548"/>
      <c r="AI629" s="548"/>
      <c r="AJ629" s="548"/>
      <c r="AK629" s="548"/>
      <c r="AL629" s="548"/>
      <c r="AM629" s="548"/>
      <c r="AN629" s="548"/>
      <c r="AO629" s="548"/>
    </row>
    <row r="630">
      <c r="G630" s="548"/>
      <c r="H630" s="548"/>
      <c r="I630" s="548"/>
      <c r="J630" s="548"/>
      <c r="K630" s="548"/>
      <c r="L630" s="548"/>
      <c r="M630" s="548"/>
      <c r="N630" s="548"/>
      <c r="O630" s="548"/>
      <c r="P630" s="548"/>
      <c r="Q630" s="548"/>
      <c r="R630" s="548"/>
      <c r="S630" s="548"/>
      <c r="T630" s="548"/>
      <c r="U630" s="548"/>
      <c r="V630" s="548"/>
      <c r="W630" s="548"/>
      <c r="X630" s="548"/>
      <c r="Y630" s="548"/>
      <c r="Z630" s="548"/>
      <c r="AA630" s="548"/>
      <c r="AB630" s="548"/>
      <c r="AC630" s="548"/>
      <c r="AD630" s="548"/>
      <c r="AE630" s="548"/>
      <c r="AF630" s="548"/>
      <c r="AG630" s="548"/>
      <c r="AH630" s="548"/>
      <c r="AI630" s="548"/>
      <c r="AJ630" s="548"/>
      <c r="AK630" s="548"/>
      <c r="AL630" s="548"/>
      <c r="AM630" s="548"/>
      <c r="AN630" s="548"/>
      <c r="AO630" s="548"/>
    </row>
    <row r="631">
      <c r="G631" s="548"/>
      <c r="H631" s="548"/>
      <c r="I631" s="548"/>
      <c r="J631" s="548"/>
      <c r="K631" s="548"/>
      <c r="L631" s="548"/>
      <c r="M631" s="548"/>
      <c r="N631" s="548"/>
      <c r="O631" s="548"/>
      <c r="P631" s="548"/>
      <c r="Q631" s="548"/>
      <c r="R631" s="548"/>
      <c r="S631" s="548"/>
      <c r="T631" s="548"/>
      <c r="U631" s="548"/>
      <c r="V631" s="548"/>
      <c r="W631" s="548"/>
      <c r="X631" s="548"/>
      <c r="Y631" s="548"/>
      <c r="Z631" s="548"/>
      <c r="AA631" s="548"/>
      <c r="AB631" s="548"/>
      <c r="AC631" s="548"/>
      <c r="AD631" s="548"/>
      <c r="AE631" s="548"/>
      <c r="AF631" s="548"/>
      <c r="AG631" s="548"/>
      <c r="AH631" s="548"/>
      <c r="AI631" s="548"/>
      <c r="AJ631" s="548"/>
      <c r="AK631" s="548"/>
      <c r="AL631" s="548"/>
      <c r="AM631" s="548"/>
      <c r="AN631" s="548"/>
      <c r="AO631" s="548"/>
    </row>
    <row r="632">
      <c r="G632" s="548"/>
      <c r="H632" s="548"/>
      <c r="I632" s="548"/>
      <c r="J632" s="548"/>
      <c r="K632" s="548"/>
      <c r="L632" s="548"/>
      <c r="M632" s="548"/>
      <c r="N632" s="548"/>
      <c r="O632" s="548"/>
      <c r="P632" s="548"/>
      <c r="Q632" s="548"/>
      <c r="R632" s="548"/>
      <c r="S632" s="548"/>
      <c r="T632" s="548"/>
      <c r="U632" s="548"/>
      <c r="V632" s="548"/>
      <c r="W632" s="548"/>
      <c r="X632" s="548"/>
      <c r="Y632" s="548"/>
      <c r="Z632" s="548"/>
      <c r="AA632" s="548"/>
      <c r="AB632" s="548"/>
      <c r="AC632" s="548"/>
      <c r="AD632" s="548"/>
      <c r="AE632" s="548"/>
      <c r="AF632" s="548"/>
      <c r="AG632" s="548"/>
      <c r="AH632" s="548"/>
      <c r="AI632" s="548"/>
      <c r="AJ632" s="548"/>
      <c r="AK632" s="548"/>
      <c r="AL632" s="548"/>
      <c r="AM632" s="548"/>
      <c r="AN632" s="548"/>
      <c r="AO632" s="548"/>
    </row>
    <row r="633">
      <c r="G633" s="548"/>
      <c r="H633" s="548"/>
      <c r="I633" s="548"/>
      <c r="J633" s="548"/>
      <c r="K633" s="548"/>
      <c r="L633" s="548"/>
      <c r="M633" s="548"/>
      <c r="N633" s="548"/>
      <c r="O633" s="548"/>
      <c r="P633" s="548"/>
      <c r="Q633" s="548"/>
      <c r="R633" s="548"/>
      <c r="S633" s="548"/>
      <c r="T633" s="548"/>
      <c r="U633" s="548"/>
      <c r="V633" s="548"/>
      <c r="W633" s="548"/>
      <c r="X633" s="548"/>
      <c r="Y633" s="548"/>
      <c r="Z633" s="548"/>
      <c r="AA633" s="548"/>
      <c r="AB633" s="548"/>
      <c r="AC633" s="548"/>
      <c r="AD633" s="548"/>
      <c r="AE633" s="548"/>
      <c r="AF633" s="548"/>
      <c r="AG633" s="548"/>
      <c r="AH633" s="548"/>
      <c r="AI633" s="548"/>
      <c r="AJ633" s="548"/>
      <c r="AK633" s="548"/>
      <c r="AL633" s="548"/>
      <c r="AM633" s="548"/>
      <c r="AN633" s="548"/>
      <c r="AO633" s="548"/>
    </row>
    <row r="634">
      <c r="G634" s="548"/>
      <c r="H634" s="548"/>
      <c r="I634" s="548"/>
      <c r="J634" s="548"/>
      <c r="K634" s="548"/>
      <c r="L634" s="548"/>
      <c r="M634" s="548"/>
      <c r="N634" s="548"/>
      <c r="O634" s="548"/>
      <c r="P634" s="548"/>
      <c r="Q634" s="548"/>
      <c r="R634" s="548"/>
      <c r="S634" s="548"/>
      <c r="T634" s="548"/>
      <c r="U634" s="548"/>
      <c r="V634" s="548"/>
      <c r="W634" s="548"/>
      <c r="X634" s="548"/>
      <c r="Y634" s="548"/>
      <c r="Z634" s="548"/>
      <c r="AA634" s="548"/>
      <c r="AB634" s="548"/>
      <c r="AC634" s="548"/>
      <c r="AD634" s="548"/>
      <c r="AE634" s="548"/>
      <c r="AF634" s="548"/>
      <c r="AG634" s="548"/>
      <c r="AH634" s="548"/>
      <c r="AI634" s="548"/>
      <c r="AJ634" s="548"/>
      <c r="AK634" s="548"/>
      <c r="AL634" s="548"/>
      <c r="AM634" s="548"/>
      <c r="AN634" s="548"/>
      <c r="AO634" s="548"/>
    </row>
    <row r="635">
      <c r="G635" s="548"/>
      <c r="H635" s="548"/>
      <c r="I635" s="548"/>
      <c r="J635" s="548"/>
      <c r="K635" s="548"/>
      <c r="L635" s="548"/>
      <c r="M635" s="548"/>
      <c r="N635" s="548"/>
      <c r="O635" s="548"/>
      <c r="P635" s="548"/>
      <c r="Q635" s="548"/>
      <c r="R635" s="548"/>
      <c r="S635" s="548"/>
      <c r="T635" s="548"/>
      <c r="U635" s="548"/>
      <c r="V635" s="548"/>
      <c r="W635" s="548"/>
      <c r="X635" s="548"/>
      <c r="Y635" s="548"/>
      <c r="Z635" s="548"/>
      <c r="AA635" s="548"/>
      <c r="AB635" s="548"/>
      <c r="AC635" s="548"/>
      <c r="AD635" s="548"/>
      <c r="AE635" s="548"/>
      <c r="AF635" s="548"/>
      <c r="AG635" s="548"/>
      <c r="AH635" s="548"/>
      <c r="AI635" s="548"/>
      <c r="AJ635" s="548"/>
      <c r="AK635" s="548"/>
      <c r="AL635" s="548"/>
      <c r="AM635" s="548"/>
      <c r="AN635" s="548"/>
      <c r="AO635" s="548"/>
    </row>
    <row r="636">
      <c r="G636" s="548"/>
      <c r="H636" s="548"/>
      <c r="I636" s="548"/>
      <c r="J636" s="548"/>
      <c r="K636" s="548"/>
      <c r="L636" s="548"/>
      <c r="M636" s="548"/>
      <c r="N636" s="548"/>
      <c r="O636" s="548"/>
      <c r="P636" s="548"/>
      <c r="Q636" s="548"/>
      <c r="R636" s="548"/>
      <c r="S636" s="548"/>
      <c r="T636" s="548"/>
      <c r="U636" s="548"/>
      <c r="V636" s="548"/>
      <c r="W636" s="548"/>
      <c r="X636" s="548"/>
      <c r="Y636" s="548"/>
      <c r="Z636" s="548"/>
      <c r="AA636" s="548"/>
      <c r="AB636" s="548"/>
      <c r="AC636" s="548"/>
      <c r="AD636" s="548"/>
      <c r="AE636" s="548"/>
      <c r="AF636" s="548"/>
      <c r="AG636" s="548"/>
      <c r="AH636" s="548"/>
      <c r="AI636" s="548"/>
      <c r="AJ636" s="548"/>
      <c r="AK636" s="548"/>
      <c r="AL636" s="548"/>
      <c r="AM636" s="548"/>
      <c r="AN636" s="548"/>
      <c r="AO636" s="548"/>
    </row>
    <row r="637">
      <c r="G637" s="548"/>
      <c r="H637" s="548"/>
      <c r="I637" s="548"/>
      <c r="J637" s="548"/>
      <c r="K637" s="548"/>
      <c r="L637" s="548"/>
      <c r="M637" s="548"/>
      <c r="N637" s="548"/>
      <c r="O637" s="548"/>
      <c r="P637" s="548"/>
      <c r="Q637" s="548"/>
      <c r="R637" s="548"/>
      <c r="S637" s="548"/>
      <c r="T637" s="548"/>
      <c r="U637" s="548"/>
      <c r="V637" s="548"/>
      <c r="W637" s="548"/>
      <c r="X637" s="548"/>
      <c r="Y637" s="548"/>
      <c r="Z637" s="548"/>
      <c r="AA637" s="548"/>
      <c r="AB637" s="548"/>
      <c r="AC637" s="548"/>
      <c r="AD637" s="548"/>
      <c r="AE637" s="548"/>
      <c r="AF637" s="548"/>
      <c r="AG637" s="548"/>
      <c r="AH637" s="548"/>
      <c r="AI637" s="548"/>
      <c r="AJ637" s="548"/>
      <c r="AK637" s="548"/>
      <c r="AL637" s="548"/>
      <c r="AM637" s="548"/>
      <c r="AN637" s="548"/>
      <c r="AO637" s="548"/>
    </row>
    <row r="638">
      <c r="G638" s="548"/>
      <c r="H638" s="548"/>
      <c r="I638" s="548"/>
      <c r="J638" s="548"/>
      <c r="K638" s="548"/>
      <c r="L638" s="548"/>
      <c r="M638" s="548"/>
      <c r="N638" s="548"/>
      <c r="O638" s="548"/>
      <c r="P638" s="548"/>
      <c r="Q638" s="548"/>
      <c r="R638" s="548"/>
      <c r="S638" s="548"/>
      <c r="T638" s="548"/>
      <c r="U638" s="548"/>
      <c r="V638" s="548"/>
      <c r="W638" s="548"/>
      <c r="X638" s="548"/>
      <c r="Y638" s="548"/>
      <c r="Z638" s="548"/>
      <c r="AA638" s="548"/>
      <c r="AB638" s="548"/>
      <c r="AC638" s="548"/>
      <c r="AD638" s="548"/>
      <c r="AE638" s="548"/>
      <c r="AF638" s="548"/>
      <c r="AG638" s="548"/>
      <c r="AH638" s="548"/>
      <c r="AI638" s="548"/>
      <c r="AJ638" s="548"/>
      <c r="AK638" s="548"/>
      <c r="AL638" s="548"/>
      <c r="AM638" s="548"/>
      <c r="AN638" s="548"/>
      <c r="AO638" s="548"/>
    </row>
    <row r="639">
      <c r="G639" s="548"/>
      <c r="H639" s="548"/>
      <c r="I639" s="548"/>
      <c r="J639" s="548"/>
      <c r="K639" s="548"/>
      <c r="L639" s="548"/>
      <c r="M639" s="548"/>
      <c r="N639" s="548"/>
      <c r="O639" s="548"/>
      <c r="P639" s="548"/>
      <c r="Q639" s="548"/>
      <c r="R639" s="548"/>
      <c r="S639" s="548"/>
      <c r="T639" s="548"/>
      <c r="U639" s="548"/>
      <c r="V639" s="548"/>
      <c r="W639" s="548"/>
      <c r="X639" s="548"/>
      <c r="Y639" s="548"/>
      <c r="Z639" s="548"/>
      <c r="AA639" s="548"/>
      <c r="AB639" s="548"/>
      <c r="AC639" s="548"/>
      <c r="AD639" s="548"/>
      <c r="AE639" s="548"/>
      <c r="AF639" s="548"/>
      <c r="AG639" s="548"/>
      <c r="AH639" s="548"/>
      <c r="AI639" s="548"/>
      <c r="AJ639" s="548"/>
      <c r="AK639" s="548"/>
      <c r="AL639" s="548"/>
      <c r="AM639" s="548"/>
      <c r="AN639" s="548"/>
      <c r="AO639" s="548"/>
    </row>
    <row r="640">
      <c r="G640" s="548"/>
      <c r="H640" s="548"/>
      <c r="I640" s="548"/>
      <c r="J640" s="548"/>
      <c r="K640" s="548"/>
      <c r="L640" s="548"/>
      <c r="M640" s="548"/>
      <c r="N640" s="548"/>
      <c r="O640" s="548"/>
      <c r="P640" s="548"/>
      <c r="Q640" s="548"/>
      <c r="R640" s="548"/>
      <c r="S640" s="548"/>
      <c r="T640" s="548"/>
      <c r="U640" s="548"/>
      <c r="V640" s="548"/>
      <c r="W640" s="548"/>
      <c r="X640" s="548"/>
      <c r="Y640" s="548"/>
      <c r="Z640" s="548"/>
      <c r="AA640" s="548"/>
      <c r="AB640" s="548"/>
      <c r="AC640" s="548"/>
      <c r="AD640" s="548"/>
      <c r="AE640" s="548"/>
      <c r="AF640" s="548"/>
      <c r="AG640" s="548"/>
      <c r="AH640" s="548"/>
      <c r="AI640" s="548"/>
      <c r="AJ640" s="548"/>
      <c r="AK640" s="548"/>
      <c r="AL640" s="548"/>
      <c r="AM640" s="548"/>
      <c r="AN640" s="548"/>
      <c r="AO640" s="548"/>
    </row>
    <row r="641">
      <c r="G641" s="548"/>
      <c r="H641" s="548"/>
      <c r="I641" s="548"/>
      <c r="J641" s="548"/>
      <c r="K641" s="548"/>
      <c r="L641" s="548"/>
      <c r="M641" s="548"/>
      <c r="N641" s="548"/>
      <c r="O641" s="548"/>
      <c r="P641" s="548"/>
      <c r="Q641" s="548"/>
      <c r="R641" s="548"/>
      <c r="S641" s="548"/>
      <c r="T641" s="548"/>
      <c r="U641" s="548"/>
      <c r="V641" s="548"/>
      <c r="W641" s="548"/>
      <c r="X641" s="548"/>
      <c r="Y641" s="548"/>
      <c r="Z641" s="548"/>
      <c r="AA641" s="548"/>
      <c r="AB641" s="548"/>
      <c r="AC641" s="548"/>
      <c r="AD641" s="548"/>
      <c r="AE641" s="548"/>
      <c r="AF641" s="548"/>
      <c r="AG641" s="548"/>
      <c r="AH641" s="548"/>
      <c r="AI641" s="548"/>
      <c r="AJ641" s="548"/>
      <c r="AK641" s="548"/>
      <c r="AL641" s="548"/>
      <c r="AM641" s="548"/>
      <c r="AN641" s="548"/>
      <c r="AO641" s="548"/>
    </row>
    <row r="642">
      <c r="G642" s="548"/>
      <c r="H642" s="548"/>
      <c r="I642" s="548"/>
      <c r="J642" s="548"/>
      <c r="K642" s="548"/>
      <c r="L642" s="548"/>
      <c r="M642" s="548"/>
      <c r="N642" s="548"/>
      <c r="O642" s="548"/>
      <c r="P642" s="548"/>
      <c r="Q642" s="548"/>
      <c r="R642" s="548"/>
      <c r="S642" s="548"/>
      <c r="T642" s="548"/>
      <c r="U642" s="548"/>
      <c r="V642" s="548"/>
      <c r="W642" s="548"/>
      <c r="X642" s="548"/>
      <c r="Y642" s="548"/>
      <c r="Z642" s="548"/>
      <c r="AA642" s="548"/>
      <c r="AB642" s="548"/>
      <c r="AC642" s="548"/>
      <c r="AD642" s="548"/>
      <c r="AE642" s="548"/>
      <c r="AF642" s="548"/>
      <c r="AG642" s="548"/>
      <c r="AH642" s="548"/>
      <c r="AI642" s="548"/>
      <c r="AJ642" s="548"/>
      <c r="AK642" s="548"/>
      <c r="AL642" s="548"/>
      <c r="AM642" s="548"/>
      <c r="AN642" s="548"/>
      <c r="AO642" s="548"/>
    </row>
    <row r="643">
      <c r="G643" s="548"/>
      <c r="H643" s="548"/>
      <c r="I643" s="548"/>
      <c r="J643" s="548"/>
      <c r="K643" s="548"/>
      <c r="L643" s="548"/>
      <c r="M643" s="548"/>
      <c r="N643" s="548"/>
      <c r="O643" s="548"/>
      <c r="P643" s="548"/>
      <c r="Q643" s="548"/>
      <c r="R643" s="548"/>
      <c r="S643" s="548"/>
      <c r="T643" s="548"/>
      <c r="U643" s="548"/>
      <c r="V643" s="548"/>
      <c r="W643" s="548"/>
      <c r="X643" s="548"/>
      <c r="Y643" s="548"/>
      <c r="Z643" s="548"/>
      <c r="AA643" s="548"/>
      <c r="AB643" s="548"/>
      <c r="AC643" s="548"/>
      <c r="AD643" s="548"/>
      <c r="AE643" s="548"/>
      <c r="AF643" s="548"/>
      <c r="AG643" s="548"/>
      <c r="AH643" s="548"/>
      <c r="AI643" s="548"/>
      <c r="AJ643" s="548"/>
      <c r="AK643" s="548"/>
      <c r="AL643" s="548"/>
      <c r="AM643" s="548"/>
      <c r="AN643" s="548"/>
      <c r="AO643" s="548"/>
    </row>
    <row r="644">
      <c r="G644" s="548"/>
      <c r="H644" s="548"/>
      <c r="I644" s="548"/>
      <c r="J644" s="548"/>
      <c r="K644" s="548"/>
      <c r="L644" s="548"/>
      <c r="M644" s="548"/>
      <c r="N644" s="548"/>
      <c r="O644" s="548"/>
      <c r="P644" s="548"/>
      <c r="Q644" s="548"/>
      <c r="R644" s="548"/>
      <c r="S644" s="548"/>
      <c r="T644" s="548"/>
      <c r="U644" s="548"/>
      <c r="V644" s="548"/>
      <c r="W644" s="548"/>
      <c r="X644" s="548"/>
      <c r="Y644" s="548"/>
      <c r="Z644" s="548"/>
      <c r="AA644" s="548"/>
      <c r="AB644" s="548"/>
      <c r="AC644" s="548"/>
      <c r="AD644" s="548"/>
      <c r="AE644" s="548"/>
      <c r="AF644" s="548"/>
      <c r="AG644" s="548"/>
      <c r="AH644" s="548"/>
      <c r="AI644" s="548"/>
      <c r="AJ644" s="548"/>
      <c r="AK644" s="548"/>
      <c r="AL644" s="548"/>
      <c r="AM644" s="548"/>
      <c r="AN644" s="548"/>
      <c r="AO644" s="548"/>
    </row>
    <row r="645">
      <c r="G645" s="548"/>
      <c r="H645" s="548"/>
      <c r="I645" s="548"/>
      <c r="J645" s="548"/>
      <c r="K645" s="548"/>
      <c r="L645" s="548"/>
      <c r="M645" s="548"/>
      <c r="N645" s="548"/>
      <c r="O645" s="548"/>
      <c r="P645" s="548"/>
      <c r="Q645" s="548"/>
      <c r="R645" s="548"/>
      <c r="S645" s="548"/>
      <c r="T645" s="548"/>
      <c r="U645" s="548"/>
      <c r="V645" s="548"/>
      <c r="W645" s="548"/>
      <c r="X645" s="548"/>
      <c r="Y645" s="548"/>
      <c r="Z645" s="548"/>
      <c r="AA645" s="548"/>
      <c r="AB645" s="548"/>
      <c r="AC645" s="548"/>
      <c r="AD645" s="548"/>
      <c r="AE645" s="548"/>
      <c r="AF645" s="548"/>
      <c r="AG645" s="548"/>
      <c r="AH645" s="548"/>
      <c r="AI645" s="548"/>
      <c r="AJ645" s="548"/>
      <c r="AK645" s="548"/>
      <c r="AL645" s="548"/>
      <c r="AM645" s="548"/>
      <c r="AN645" s="548"/>
      <c r="AO645" s="548"/>
    </row>
    <row r="646">
      <c r="G646" s="548"/>
      <c r="H646" s="548"/>
      <c r="I646" s="548"/>
      <c r="J646" s="548"/>
      <c r="K646" s="548"/>
      <c r="L646" s="548"/>
      <c r="M646" s="548"/>
      <c r="N646" s="548"/>
      <c r="O646" s="548"/>
      <c r="P646" s="548"/>
      <c r="Q646" s="548"/>
      <c r="R646" s="548"/>
      <c r="S646" s="548"/>
      <c r="T646" s="548"/>
      <c r="U646" s="548"/>
      <c r="V646" s="548"/>
      <c r="W646" s="548"/>
      <c r="X646" s="548"/>
      <c r="Y646" s="548"/>
      <c r="Z646" s="548"/>
      <c r="AA646" s="548"/>
      <c r="AB646" s="548"/>
      <c r="AC646" s="548"/>
      <c r="AD646" s="548"/>
      <c r="AE646" s="548"/>
      <c r="AF646" s="548"/>
      <c r="AG646" s="548"/>
      <c r="AH646" s="548"/>
      <c r="AI646" s="548"/>
      <c r="AJ646" s="548"/>
      <c r="AK646" s="548"/>
      <c r="AL646" s="548"/>
      <c r="AM646" s="548"/>
      <c r="AN646" s="548"/>
      <c r="AO646" s="548"/>
    </row>
    <row r="647">
      <c r="G647" s="548"/>
      <c r="H647" s="548"/>
      <c r="I647" s="548"/>
      <c r="J647" s="548"/>
      <c r="K647" s="548"/>
      <c r="L647" s="548"/>
      <c r="M647" s="548"/>
      <c r="N647" s="548"/>
      <c r="O647" s="548"/>
      <c r="P647" s="548"/>
      <c r="Q647" s="548"/>
      <c r="R647" s="548"/>
      <c r="S647" s="548"/>
      <c r="T647" s="548"/>
      <c r="U647" s="548"/>
      <c r="V647" s="548"/>
      <c r="W647" s="548"/>
      <c r="X647" s="548"/>
      <c r="Y647" s="548"/>
      <c r="Z647" s="548"/>
      <c r="AA647" s="548"/>
      <c r="AB647" s="548"/>
      <c r="AC647" s="548"/>
      <c r="AD647" s="548"/>
      <c r="AE647" s="548"/>
      <c r="AF647" s="548"/>
      <c r="AG647" s="548"/>
      <c r="AH647" s="548"/>
      <c r="AI647" s="548"/>
      <c r="AJ647" s="548"/>
      <c r="AK647" s="548"/>
      <c r="AL647" s="548"/>
      <c r="AM647" s="548"/>
      <c r="AN647" s="548"/>
      <c r="AO647" s="548"/>
    </row>
    <row r="648">
      <c r="G648" s="548"/>
      <c r="H648" s="548"/>
      <c r="I648" s="548"/>
      <c r="J648" s="548"/>
      <c r="K648" s="548"/>
      <c r="L648" s="548"/>
      <c r="M648" s="548"/>
      <c r="N648" s="548"/>
      <c r="O648" s="548"/>
      <c r="P648" s="548"/>
      <c r="Q648" s="548"/>
      <c r="R648" s="548"/>
      <c r="S648" s="548"/>
      <c r="T648" s="548"/>
      <c r="U648" s="548"/>
      <c r="V648" s="548"/>
      <c r="W648" s="548"/>
      <c r="X648" s="548"/>
      <c r="Y648" s="548"/>
      <c r="Z648" s="548"/>
      <c r="AA648" s="548"/>
      <c r="AB648" s="548"/>
      <c r="AC648" s="548"/>
      <c r="AD648" s="548"/>
      <c r="AE648" s="548"/>
      <c r="AF648" s="548"/>
      <c r="AG648" s="548"/>
      <c r="AH648" s="548"/>
      <c r="AI648" s="548"/>
      <c r="AJ648" s="548"/>
      <c r="AK648" s="548"/>
      <c r="AL648" s="548"/>
      <c r="AM648" s="548"/>
      <c r="AN648" s="548"/>
      <c r="AO648" s="548"/>
    </row>
    <row r="649">
      <c r="G649" s="548"/>
      <c r="H649" s="548"/>
      <c r="I649" s="548"/>
      <c r="J649" s="548"/>
      <c r="K649" s="548"/>
      <c r="L649" s="548"/>
      <c r="M649" s="548"/>
      <c r="N649" s="548"/>
      <c r="O649" s="548"/>
      <c r="P649" s="548"/>
      <c r="Q649" s="548"/>
      <c r="R649" s="548"/>
      <c r="S649" s="548"/>
      <c r="T649" s="548"/>
      <c r="U649" s="548"/>
      <c r="V649" s="548"/>
      <c r="W649" s="548"/>
      <c r="X649" s="548"/>
      <c r="Y649" s="548"/>
      <c r="Z649" s="548"/>
      <c r="AA649" s="548"/>
      <c r="AB649" s="548"/>
      <c r="AC649" s="548"/>
      <c r="AD649" s="548"/>
      <c r="AE649" s="548"/>
      <c r="AF649" s="548"/>
      <c r="AG649" s="548"/>
      <c r="AH649" s="548"/>
      <c r="AI649" s="548"/>
      <c r="AJ649" s="548"/>
      <c r="AK649" s="548"/>
      <c r="AL649" s="548"/>
      <c r="AM649" s="548"/>
      <c r="AN649" s="548"/>
      <c r="AO649" s="548"/>
    </row>
    <row r="650">
      <c r="G650" s="548"/>
      <c r="H650" s="548"/>
      <c r="I650" s="548"/>
      <c r="J650" s="548"/>
      <c r="K650" s="548"/>
      <c r="L650" s="548"/>
      <c r="M650" s="548"/>
      <c r="N650" s="548"/>
      <c r="O650" s="548"/>
      <c r="P650" s="548"/>
      <c r="Q650" s="548"/>
      <c r="R650" s="548"/>
      <c r="S650" s="548"/>
      <c r="T650" s="548"/>
      <c r="U650" s="548"/>
      <c r="V650" s="548"/>
      <c r="W650" s="548"/>
      <c r="X650" s="548"/>
      <c r="Y650" s="548"/>
      <c r="Z650" s="548"/>
      <c r="AA650" s="548"/>
      <c r="AB650" s="548"/>
      <c r="AC650" s="548"/>
      <c r="AD650" s="548"/>
      <c r="AE650" s="548"/>
      <c r="AF650" s="548"/>
      <c r="AG650" s="548"/>
      <c r="AH650" s="548"/>
      <c r="AI650" s="548"/>
      <c r="AJ650" s="548"/>
      <c r="AK650" s="548"/>
      <c r="AL650" s="548"/>
      <c r="AM650" s="548"/>
      <c r="AN650" s="548"/>
      <c r="AO650" s="548"/>
    </row>
    <row r="651">
      <c r="G651" s="548"/>
      <c r="H651" s="548"/>
      <c r="I651" s="548"/>
      <c r="J651" s="548"/>
      <c r="K651" s="548"/>
      <c r="L651" s="548"/>
      <c r="M651" s="548"/>
      <c r="N651" s="548"/>
      <c r="O651" s="548"/>
      <c r="P651" s="548"/>
      <c r="Q651" s="548"/>
      <c r="R651" s="548"/>
      <c r="S651" s="548"/>
      <c r="T651" s="548"/>
      <c r="U651" s="548"/>
      <c r="V651" s="548"/>
      <c r="W651" s="548"/>
      <c r="X651" s="548"/>
      <c r="Y651" s="548"/>
      <c r="Z651" s="548"/>
      <c r="AA651" s="548"/>
      <c r="AB651" s="548"/>
      <c r="AC651" s="548"/>
      <c r="AD651" s="548"/>
      <c r="AE651" s="548"/>
      <c r="AF651" s="548"/>
      <c r="AG651" s="548"/>
      <c r="AH651" s="548"/>
      <c r="AI651" s="548"/>
      <c r="AJ651" s="548"/>
      <c r="AK651" s="548"/>
      <c r="AL651" s="548"/>
      <c r="AM651" s="548"/>
      <c r="AN651" s="548"/>
      <c r="AO651" s="548"/>
    </row>
    <row r="652">
      <c r="G652" s="548"/>
      <c r="H652" s="548"/>
      <c r="I652" s="548"/>
      <c r="J652" s="548"/>
      <c r="K652" s="548"/>
      <c r="L652" s="548"/>
      <c r="M652" s="548"/>
      <c r="N652" s="548"/>
      <c r="O652" s="548"/>
      <c r="P652" s="548"/>
      <c r="Q652" s="548"/>
      <c r="R652" s="548"/>
      <c r="S652" s="548"/>
      <c r="T652" s="548"/>
      <c r="U652" s="548"/>
      <c r="V652" s="548"/>
      <c r="W652" s="548"/>
      <c r="X652" s="548"/>
      <c r="Y652" s="548"/>
      <c r="Z652" s="548"/>
      <c r="AA652" s="548"/>
      <c r="AB652" s="548"/>
      <c r="AC652" s="548"/>
      <c r="AD652" s="548"/>
      <c r="AE652" s="548"/>
      <c r="AF652" s="548"/>
      <c r="AG652" s="548"/>
      <c r="AH652" s="548"/>
      <c r="AI652" s="548"/>
      <c r="AJ652" s="548"/>
      <c r="AK652" s="548"/>
      <c r="AL652" s="548"/>
      <c r="AM652" s="548"/>
      <c r="AN652" s="548"/>
      <c r="AO652" s="548"/>
    </row>
    <row r="653">
      <c r="G653" s="548"/>
      <c r="H653" s="548"/>
      <c r="I653" s="548"/>
      <c r="J653" s="548"/>
      <c r="K653" s="548"/>
      <c r="L653" s="548"/>
      <c r="M653" s="548"/>
      <c r="N653" s="548"/>
      <c r="O653" s="548"/>
      <c r="P653" s="548"/>
      <c r="Q653" s="548"/>
      <c r="R653" s="548"/>
      <c r="S653" s="548"/>
      <c r="T653" s="548"/>
      <c r="U653" s="548"/>
      <c r="V653" s="548"/>
      <c r="W653" s="548"/>
      <c r="X653" s="548"/>
      <c r="Y653" s="548"/>
      <c r="Z653" s="548"/>
      <c r="AA653" s="548"/>
      <c r="AB653" s="548"/>
      <c r="AC653" s="548"/>
      <c r="AD653" s="548"/>
      <c r="AE653" s="548"/>
      <c r="AF653" s="548"/>
      <c r="AG653" s="548"/>
      <c r="AH653" s="548"/>
      <c r="AI653" s="548"/>
      <c r="AJ653" s="548"/>
      <c r="AK653" s="548"/>
      <c r="AL653" s="548"/>
      <c r="AM653" s="548"/>
      <c r="AN653" s="548"/>
      <c r="AO653" s="548"/>
    </row>
    <row r="654">
      <c r="G654" s="548"/>
      <c r="H654" s="548"/>
      <c r="I654" s="548"/>
      <c r="J654" s="548"/>
      <c r="K654" s="548"/>
      <c r="L654" s="548"/>
      <c r="M654" s="548"/>
      <c r="N654" s="548"/>
      <c r="O654" s="548"/>
      <c r="P654" s="548"/>
      <c r="Q654" s="548"/>
      <c r="R654" s="548"/>
      <c r="S654" s="548"/>
      <c r="T654" s="548"/>
      <c r="U654" s="548"/>
      <c r="V654" s="548"/>
      <c r="W654" s="548"/>
      <c r="X654" s="548"/>
      <c r="Y654" s="548"/>
      <c r="Z654" s="548"/>
      <c r="AA654" s="548"/>
      <c r="AB654" s="548"/>
      <c r="AC654" s="548"/>
      <c r="AD654" s="548"/>
      <c r="AE654" s="548"/>
      <c r="AF654" s="548"/>
      <c r="AG654" s="548"/>
      <c r="AH654" s="548"/>
      <c r="AI654" s="548"/>
      <c r="AJ654" s="548"/>
      <c r="AK654" s="548"/>
      <c r="AL654" s="548"/>
      <c r="AM654" s="548"/>
      <c r="AN654" s="548"/>
      <c r="AO654" s="548"/>
    </row>
    <row r="655">
      <c r="G655" s="548"/>
      <c r="H655" s="548"/>
      <c r="I655" s="548"/>
      <c r="J655" s="548"/>
      <c r="K655" s="548"/>
      <c r="L655" s="548"/>
      <c r="M655" s="548"/>
      <c r="N655" s="548"/>
      <c r="O655" s="548"/>
      <c r="P655" s="548"/>
      <c r="Q655" s="548"/>
      <c r="R655" s="548"/>
      <c r="S655" s="548"/>
      <c r="T655" s="548"/>
      <c r="U655" s="548"/>
      <c r="V655" s="548"/>
      <c r="W655" s="548"/>
      <c r="X655" s="548"/>
      <c r="Y655" s="548"/>
      <c r="Z655" s="548"/>
      <c r="AA655" s="548"/>
      <c r="AB655" s="548"/>
      <c r="AC655" s="548"/>
      <c r="AD655" s="548"/>
      <c r="AE655" s="548"/>
      <c r="AF655" s="548"/>
      <c r="AG655" s="548"/>
      <c r="AH655" s="548"/>
      <c r="AI655" s="548"/>
      <c r="AJ655" s="548"/>
      <c r="AK655" s="548"/>
      <c r="AL655" s="548"/>
      <c r="AM655" s="548"/>
      <c r="AN655" s="548"/>
      <c r="AO655" s="548"/>
    </row>
    <row r="656">
      <c r="G656" s="548"/>
      <c r="H656" s="548"/>
      <c r="I656" s="548"/>
      <c r="J656" s="548"/>
      <c r="K656" s="548"/>
      <c r="L656" s="548"/>
      <c r="M656" s="548"/>
      <c r="N656" s="548"/>
      <c r="O656" s="548"/>
      <c r="P656" s="548"/>
      <c r="Q656" s="548"/>
      <c r="R656" s="548"/>
      <c r="S656" s="548"/>
      <c r="T656" s="548"/>
      <c r="U656" s="548"/>
      <c r="V656" s="548"/>
      <c r="W656" s="548"/>
      <c r="X656" s="548"/>
      <c r="Y656" s="548"/>
      <c r="Z656" s="548"/>
      <c r="AA656" s="548"/>
      <c r="AB656" s="548"/>
      <c r="AC656" s="548"/>
      <c r="AD656" s="548"/>
      <c r="AE656" s="548"/>
      <c r="AF656" s="548"/>
      <c r="AG656" s="548"/>
      <c r="AH656" s="548"/>
      <c r="AI656" s="548"/>
      <c r="AJ656" s="548"/>
      <c r="AK656" s="548"/>
      <c r="AL656" s="548"/>
      <c r="AM656" s="548"/>
      <c r="AN656" s="548"/>
      <c r="AO656" s="548"/>
    </row>
    <row r="657">
      <c r="G657" s="548"/>
      <c r="H657" s="548"/>
      <c r="I657" s="548"/>
      <c r="J657" s="548"/>
      <c r="K657" s="548"/>
      <c r="L657" s="548"/>
      <c r="M657" s="548"/>
      <c r="N657" s="548"/>
      <c r="O657" s="548"/>
      <c r="P657" s="548"/>
      <c r="Q657" s="548"/>
      <c r="R657" s="548"/>
      <c r="S657" s="548"/>
      <c r="T657" s="548"/>
      <c r="U657" s="548"/>
      <c r="V657" s="548"/>
      <c r="W657" s="548"/>
      <c r="X657" s="548"/>
      <c r="Y657" s="548"/>
      <c r="Z657" s="548"/>
      <c r="AA657" s="548"/>
      <c r="AB657" s="548"/>
      <c r="AC657" s="548"/>
      <c r="AD657" s="548"/>
      <c r="AE657" s="548"/>
      <c r="AF657" s="548"/>
      <c r="AG657" s="548"/>
      <c r="AH657" s="548"/>
      <c r="AI657" s="548"/>
      <c r="AJ657" s="548"/>
      <c r="AK657" s="548"/>
      <c r="AL657" s="548"/>
      <c r="AM657" s="548"/>
      <c r="AN657" s="548"/>
      <c r="AO657" s="548"/>
    </row>
    <row r="658">
      <c r="G658" s="548"/>
      <c r="H658" s="548"/>
      <c r="I658" s="548"/>
      <c r="J658" s="548"/>
      <c r="K658" s="548"/>
      <c r="L658" s="548"/>
      <c r="M658" s="548"/>
      <c r="N658" s="548"/>
      <c r="O658" s="548"/>
      <c r="P658" s="548"/>
      <c r="Q658" s="548"/>
      <c r="R658" s="548"/>
      <c r="S658" s="548"/>
      <c r="T658" s="548"/>
      <c r="U658" s="548"/>
      <c r="V658" s="548"/>
      <c r="W658" s="548"/>
      <c r="X658" s="548"/>
      <c r="Y658" s="548"/>
      <c r="Z658" s="548"/>
      <c r="AA658" s="548"/>
      <c r="AB658" s="548"/>
      <c r="AC658" s="548"/>
      <c r="AD658" s="548"/>
      <c r="AE658" s="548"/>
      <c r="AF658" s="548"/>
      <c r="AG658" s="548"/>
      <c r="AH658" s="548"/>
      <c r="AI658" s="548"/>
      <c r="AJ658" s="548"/>
      <c r="AK658" s="548"/>
      <c r="AL658" s="548"/>
      <c r="AM658" s="548"/>
      <c r="AN658" s="548"/>
      <c r="AO658" s="548"/>
    </row>
    <row r="659">
      <c r="G659" s="548"/>
      <c r="H659" s="548"/>
      <c r="I659" s="548"/>
      <c r="J659" s="548"/>
      <c r="K659" s="548"/>
      <c r="L659" s="548"/>
      <c r="M659" s="548"/>
      <c r="N659" s="548"/>
      <c r="O659" s="548"/>
      <c r="P659" s="548"/>
      <c r="Q659" s="548"/>
      <c r="R659" s="548"/>
      <c r="S659" s="548"/>
      <c r="T659" s="548"/>
      <c r="U659" s="548"/>
      <c r="V659" s="548"/>
      <c r="W659" s="548"/>
      <c r="X659" s="548"/>
      <c r="Y659" s="548"/>
      <c r="Z659" s="548"/>
      <c r="AA659" s="548"/>
      <c r="AB659" s="548"/>
      <c r="AC659" s="548"/>
      <c r="AD659" s="548"/>
      <c r="AE659" s="548"/>
      <c r="AF659" s="548"/>
      <c r="AG659" s="548"/>
      <c r="AH659" s="548"/>
      <c r="AI659" s="548"/>
      <c r="AJ659" s="548"/>
      <c r="AK659" s="548"/>
      <c r="AL659" s="548"/>
      <c r="AM659" s="548"/>
      <c r="AN659" s="548"/>
      <c r="AO659" s="548"/>
    </row>
    <row r="660">
      <c r="G660" s="548"/>
      <c r="H660" s="548"/>
      <c r="I660" s="548"/>
      <c r="J660" s="548"/>
      <c r="K660" s="548"/>
      <c r="L660" s="548"/>
      <c r="M660" s="548"/>
      <c r="N660" s="548"/>
      <c r="O660" s="548"/>
      <c r="P660" s="548"/>
      <c r="Q660" s="548"/>
      <c r="R660" s="548"/>
      <c r="S660" s="548"/>
      <c r="T660" s="548"/>
      <c r="U660" s="548"/>
      <c r="V660" s="548"/>
      <c r="W660" s="548"/>
      <c r="X660" s="548"/>
      <c r="Y660" s="548"/>
      <c r="Z660" s="548"/>
      <c r="AA660" s="548"/>
      <c r="AB660" s="548"/>
      <c r="AC660" s="548"/>
      <c r="AD660" s="548"/>
      <c r="AE660" s="548"/>
      <c r="AF660" s="548"/>
      <c r="AG660" s="548"/>
      <c r="AH660" s="548"/>
      <c r="AI660" s="548"/>
      <c r="AJ660" s="548"/>
      <c r="AK660" s="548"/>
      <c r="AL660" s="548"/>
      <c r="AM660" s="548"/>
      <c r="AN660" s="548"/>
      <c r="AO660" s="548"/>
    </row>
    <row r="661">
      <c r="G661" s="548"/>
      <c r="H661" s="548"/>
      <c r="I661" s="548"/>
      <c r="J661" s="548"/>
      <c r="K661" s="548"/>
      <c r="L661" s="548"/>
      <c r="M661" s="548"/>
      <c r="N661" s="548"/>
      <c r="O661" s="548"/>
      <c r="P661" s="548"/>
      <c r="Q661" s="548"/>
      <c r="R661" s="548"/>
      <c r="S661" s="548"/>
      <c r="T661" s="548"/>
      <c r="U661" s="548"/>
      <c r="V661" s="548"/>
      <c r="W661" s="548"/>
      <c r="X661" s="548"/>
      <c r="Y661" s="548"/>
      <c r="Z661" s="548"/>
      <c r="AA661" s="548"/>
      <c r="AB661" s="548"/>
      <c r="AC661" s="548"/>
      <c r="AD661" s="548"/>
      <c r="AE661" s="548"/>
      <c r="AF661" s="548"/>
      <c r="AG661" s="548"/>
      <c r="AH661" s="548"/>
      <c r="AI661" s="548"/>
      <c r="AJ661" s="548"/>
      <c r="AK661" s="548"/>
      <c r="AL661" s="548"/>
      <c r="AM661" s="548"/>
      <c r="AN661" s="548"/>
      <c r="AO661" s="548"/>
    </row>
    <row r="662">
      <c r="G662" s="548"/>
      <c r="H662" s="548"/>
      <c r="I662" s="548"/>
      <c r="J662" s="548"/>
      <c r="K662" s="548"/>
      <c r="L662" s="548"/>
      <c r="M662" s="548"/>
      <c r="N662" s="548"/>
      <c r="O662" s="548"/>
      <c r="P662" s="548"/>
      <c r="Q662" s="548"/>
      <c r="R662" s="548"/>
      <c r="S662" s="548"/>
      <c r="T662" s="548"/>
      <c r="U662" s="548"/>
      <c r="V662" s="548"/>
      <c r="W662" s="548"/>
      <c r="X662" s="548"/>
      <c r="Y662" s="548"/>
      <c r="Z662" s="548"/>
      <c r="AA662" s="548"/>
      <c r="AB662" s="548"/>
      <c r="AC662" s="548"/>
      <c r="AD662" s="548"/>
      <c r="AE662" s="548"/>
      <c r="AF662" s="548"/>
      <c r="AG662" s="548"/>
      <c r="AH662" s="548"/>
      <c r="AI662" s="548"/>
      <c r="AJ662" s="548"/>
      <c r="AK662" s="548"/>
      <c r="AL662" s="548"/>
      <c r="AM662" s="548"/>
      <c r="AN662" s="548"/>
      <c r="AO662" s="548"/>
    </row>
    <row r="663">
      <c r="G663" s="548"/>
      <c r="H663" s="548"/>
      <c r="I663" s="548"/>
      <c r="J663" s="548"/>
      <c r="K663" s="548"/>
      <c r="L663" s="548"/>
      <c r="M663" s="548"/>
      <c r="N663" s="548"/>
      <c r="O663" s="548"/>
      <c r="P663" s="548"/>
      <c r="Q663" s="548"/>
      <c r="R663" s="548"/>
      <c r="S663" s="548"/>
      <c r="T663" s="548"/>
      <c r="U663" s="548"/>
      <c r="V663" s="548"/>
      <c r="W663" s="548"/>
      <c r="X663" s="548"/>
      <c r="Y663" s="548"/>
      <c r="Z663" s="548"/>
      <c r="AA663" s="548"/>
      <c r="AB663" s="548"/>
      <c r="AC663" s="548"/>
      <c r="AD663" s="548"/>
      <c r="AE663" s="548"/>
      <c r="AF663" s="548"/>
      <c r="AG663" s="548"/>
      <c r="AH663" s="548"/>
      <c r="AI663" s="548"/>
      <c r="AJ663" s="548"/>
      <c r="AK663" s="548"/>
      <c r="AL663" s="548"/>
      <c r="AM663" s="548"/>
      <c r="AN663" s="548"/>
      <c r="AO663" s="548"/>
    </row>
    <row r="664">
      <c r="G664" s="548"/>
      <c r="H664" s="548"/>
      <c r="I664" s="548"/>
      <c r="J664" s="548"/>
      <c r="K664" s="548"/>
      <c r="L664" s="548"/>
      <c r="M664" s="548"/>
      <c r="N664" s="548"/>
      <c r="O664" s="548"/>
      <c r="P664" s="548"/>
      <c r="Q664" s="548"/>
      <c r="R664" s="548"/>
      <c r="S664" s="548"/>
      <c r="T664" s="548"/>
      <c r="U664" s="548"/>
      <c r="V664" s="548"/>
      <c r="W664" s="548"/>
      <c r="X664" s="548"/>
      <c r="Y664" s="548"/>
      <c r="Z664" s="548"/>
      <c r="AA664" s="548"/>
      <c r="AB664" s="548"/>
      <c r="AC664" s="548"/>
      <c r="AD664" s="548"/>
      <c r="AE664" s="548"/>
      <c r="AF664" s="548"/>
      <c r="AG664" s="548"/>
      <c r="AH664" s="548"/>
      <c r="AI664" s="548"/>
      <c r="AJ664" s="548"/>
      <c r="AK664" s="548"/>
      <c r="AL664" s="548"/>
      <c r="AM664" s="548"/>
      <c r="AN664" s="548"/>
      <c r="AO664" s="548"/>
    </row>
    <row r="665">
      <c r="G665" s="548"/>
      <c r="H665" s="548"/>
      <c r="I665" s="548"/>
      <c r="J665" s="548"/>
      <c r="K665" s="548"/>
      <c r="L665" s="548"/>
      <c r="M665" s="548"/>
      <c r="N665" s="548"/>
      <c r="O665" s="548"/>
      <c r="P665" s="548"/>
      <c r="Q665" s="548"/>
      <c r="R665" s="548"/>
      <c r="S665" s="548"/>
      <c r="T665" s="548"/>
      <c r="U665" s="548"/>
      <c r="V665" s="548"/>
      <c r="W665" s="548"/>
      <c r="X665" s="548"/>
      <c r="Y665" s="548"/>
      <c r="Z665" s="548"/>
      <c r="AA665" s="548"/>
      <c r="AB665" s="548"/>
      <c r="AC665" s="548"/>
      <c r="AD665" s="548"/>
      <c r="AE665" s="548"/>
      <c r="AF665" s="548"/>
      <c r="AG665" s="548"/>
      <c r="AH665" s="548"/>
      <c r="AI665" s="548"/>
      <c r="AJ665" s="548"/>
      <c r="AK665" s="548"/>
      <c r="AL665" s="548"/>
      <c r="AM665" s="548"/>
      <c r="AN665" s="548"/>
      <c r="AO665" s="548"/>
    </row>
    <row r="666">
      <c r="G666" s="548"/>
      <c r="H666" s="548"/>
      <c r="I666" s="548"/>
      <c r="J666" s="548"/>
      <c r="K666" s="548"/>
      <c r="L666" s="548"/>
      <c r="M666" s="548"/>
      <c r="N666" s="548"/>
      <c r="O666" s="548"/>
      <c r="P666" s="548"/>
      <c r="Q666" s="548"/>
      <c r="R666" s="548"/>
      <c r="S666" s="548"/>
      <c r="T666" s="548"/>
      <c r="U666" s="548"/>
      <c r="V666" s="548"/>
      <c r="W666" s="548"/>
      <c r="X666" s="548"/>
      <c r="Y666" s="548"/>
      <c r="Z666" s="548"/>
      <c r="AA666" s="548"/>
      <c r="AB666" s="548"/>
      <c r="AC666" s="548"/>
      <c r="AD666" s="548"/>
      <c r="AE666" s="548"/>
      <c r="AF666" s="548"/>
      <c r="AG666" s="548"/>
      <c r="AH666" s="548"/>
      <c r="AI666" s="548"/>
      <c r="AJ666" s="548"/>
      <c r="AK666" s="548"/>
      <c r="AL666" s="548"/>
      <c r="AM666" s="548"/>
      <c r="AN666" s="548"/>
      <c r="AO666" s="548"/>
    </row>
    <row r="667">
      <c r="G667" s="548"/>
      <c r="H667" s="548"/>
      <c r="I667" s="548"/>
      <c r="J667" s="548"/>
      <c r="K667" s="548"/>
      <c r="L667" s="548"/>
      <c r="M667" s="548"/>
      <c r="N667" s="548"/>
      <c r="O667" s="548"/>
      <c r="P667" s="548"/>
      <c r="Q667" s="548"/>
      <c r="R667" s="548"/>
      <c r="S667" s="548"/>
      <c r="T667" s="548"/>
      <c r="U667" s="548"/>
      <c r="V667" s="548"/>
      <c r="W667" s="548"/>
      <c r="X667" s="548"/>
      <c r="Y667" s="548"/>
      <c r="Z667" s="548"/>
      <c r="AA667" s="548"/>
      <c r="AB667" s="548"/>
      <c r="AC667" s="548"/>
      <c r="AD667" s="548"/>
      <c r="AE667" s="548"/>
      <c r="AF667" s="548"/>
      <c r="AG667" s="548"/>
      <c r="AH667" s="548"/>
      <c r="AI667" s="548"/>
      <c r="AJ667" s="548"/>
      <c r="AK667" s="548"/>
      <c r="AL667" s="548"/>
      <c r="AM667" s="548"/>
      <c r="AN667" s="548"/>
      <c r="AO667" s="548"/>
    </row>
    <row r="668">
      <c r="G668" s="548"/>
      <c r="H668" s="548"/>
      <c r="I668" s="548"/>
      <c r="J668" s="548"/>
      <c r="K668" s="548"/>
      <c r="L668" s="548"/>
      <c r="M668" s="548"/>
      <c r="N668" s="548"/>
      <c r="O668" s="548"/>
      <c r="P668" s="548"/>
      <c r="Q668" s="548"/>
      <c r="R668" s="548"/>
      <c r="S668" s="548"/>
      <c r="T668" s="548"/>
      <c r="U668" s="548"/>
      <c r="V668" s="548"/>
      <c r="W668" s="548"/>
      <c r="X668" s="548"/>
      <c r="Y668" s="548"/>
      <c r="Z668" s="548"/>
      <c r="AA668" s="548"/>
      <c r="AB668" s="548"/>
      <c r="AC668" s="548"/>
      <c r="AD668" s="548"/>
      <c r="AE668" s="548"/>
      <c r="AF668" s="548"/>
      <c r="AG668" s="548"/>
      <c r="AH668" s="548"/>
      <c r="AI668" s="548"/>
      <c r="AJ668" s="548"/>
      <c r="AK668" s="548"/>
      <c r="AL668" s="548"/>
      <c r="AM668" s="548"/>
      <c r="AN668" s="548"/>
      <c r="AO668" s="548"/>
    </row>
    <row r="669">
      <c r="G669" s="548"/>
      <c r="H669" s="548"/>
      <c r="I669" s="548"/>
      <c r="J669" s="548"/>
      <c r="K669" s="548"/>
      <c r="L669" s="548"/>
      <c r="M669" s="548"/>
      <c r="N669" s="548"/>
      <c r="O669" s="548"/>
      <c r="P669" s="548"/>
      <c r="Q669" s="548"/>
      <c r="R669" s="548"/>
      <c r="S669" s="548"/>
      <c r="T669" s="548"/>
      <c r="U669" s="548"/>
      <c r="V669" s="548"/>
      <c r="W669" s="548"/>
      <c r="X669" s="548"/>
      <c r="Y669" s="548"/>
      <c r="Z669" s="548"/>
      <c r="AA669" s="548"/>
      <c r="AB669" s="548"/>
      <c r="AC669" s="548"/>
      <c r="AD669" s="548"/>
      <c r="AE669" s="548"/>
      <c r="AF669" s="548"/>
      <c r="AG669" s="548"/>
      <c r="AH669" s="548"/>
      <c r="AI669" s="548"/>
      <c r="AJ669" s="548"/>
      <c r="AK669" s="548"/>
      <c r="AL669" s="548"/>
      <c r="AM669" s="548"/>
      <c r="AN669" s="548"/>
      <c r="AO669" s="548"/>
    </row>
    <row r="670">
      <c r="G670" s="548"/>
      <c r="H670" s="548"/>
      <c r="I670" s="548"/>
      <c r="J670" s="548"/>
      <c r="K670" s="548"/>
      <c r="L670" s="548"/>
      <c r="M670" s="548"/>
      <c r="N670" s="548"/>
      <c r="O670" s="548"/>
      <c r="P670" s="548"/>
      <c r="Q670" s="548"/>
      <c r="R670" s="548"/>
      <c r="S670" s="548"/>
      <c r="T670" s="548"/>
      <c r="U670" s="548"/>
      <c r="V670" s="548"/>
      <c r="W670" s="548"/>
      <c r="X670" s="548"/>
      <c r="Y670" s="548"/>
      <c r="Z670" s="548"/>
      <c r="AA670" s="548"/>
      <c r="AB670" s="548"/>
      <c r="AC670" s="548"/>
      <c r="AD670" s="548"/>
      <c r="AE670" s="548"/>
      <c r="AF670" s="548"/>
      <c r="AG670" s="548"/>
      <c r="AH670" s="548"/>
      <c r="AI670" s="548"/>
      <c r="AJ670" s="548"/>
      <c r="AK670" s="548"/>
      <c r="AL670" s="548"/>
      <c r="AM670" s="548"/>
      <c r="AN670" s="548"/>
      <c r="AO670" s="548"/>
    </row>
    <row r="671">
      <c r="G671" s="548"/>
      <c r="H671" s="548"/>
      <c r="I671" s="548"/>
      <c r="J671" s="548"/>
      <c r="K671" s="548"/>
      <c r="L671" s="548"/>
      <c r="M671" s="548"/>
      <c r="N671" s="548"/>
      <c r="O671" s="548"/>
      <c r="P671" s="548"/>
      <c r="Q671" s="548"/>
      <c r="R671" s="548"/>
      <c r="S671" s="548"/>
      <c r="T671" s="548"/>
      <c r="U671" s="548"/>
      <c r="V671" s="548"/>
      <c r="W671" s="548"/>
      <c r="X671" s="548"/>
      <c r="Y671" s="548"/>
      <c r="Z671" s="548"/>
      <c r="AA671" s="548"/>
      <c r="AB671" s="548"/>
      <c r="AC671" s="548"/>
      <c r="AD671" s="548"/>
      <c r="AE671" s="548"/>
      <c r="AF671" s="548"/>
      <c r="AG671" s="548"/>
      <c r="AH671" s="548"/>
      <c r="AI671" s="548"/>
      <c r="AJ671" s="548"/>
      <c r="AK671" s="548"/>
      <c r="AL671" s="548"/>
      <c r="AM671" s="548"/>
      <c r="AN671" s="548"/>
      <c r="AO671" s="548"/>
    </row>
    <row r="672">
      <c r="G672" s="548"/>
      <c r="H672" s="548"/>
      <c r="I672" s="548"/>
      <c r="J672" s="548"/>
      <c r="K672" s="548"/>
      <c r="L672" s="548"/>
      <c r="M672" s="548"/>
      <c r="N672" s="548"/>
      <c r="O672" s="548"/>
      <c r="P672" s="548"/>
      <c r="Q672" s="548"/>
      <c r="R672" s="548"/>
      <c r="S672" s="548"/>
      <c r="T672" s="548"/>
      <c r="U672" s="548"/>
      <c r="V672" s="548"/>
      <c r="W672" s="548"/>
      <c r="X672" s="548"/>
      <c r="Y672" s="548"/>
      <c r="Z672" s="548"/>
      <c r="AA672" s="548"/>
      <c r="AB672" s="548"/>
      <c r="AC672" s="548"/>
      <c r="AD672" s="548"/>
      <c r="AE672" s="548"/>
      <c r="AF672" s="548"/>
      <c r="AG672" s="548"/>
      <c r="AH672" s="548"/>
      <c r="AI672" s="548"/>
      <c r="AJ672" s="548"/>
      <c r="AK672" s="548"/>
      <c r="AL672" s="548"/>
      <c r="AM672" s="548"/>
      <c r="AN672" s="548"/>
      <c r="AO672" s="548"/>
    </row>
    <row r="673">
      <c r="G673" s="548"/>
      <c r="H673" s="548"/>
      <c r="I673" s="548"/>
      <c r="J673" s="548"/>
      <c r="K673" s="548"/>
      <c r="L673" s="548"/>
      <c r="M673" s="548"/>
      <c r="N673" s="548"/>
      <c r="O673" s="548"/>
      <c r="P673" s="548"/>
      <c r="Q673" s="548"/>
      <c r="R673" s="548"/>
      <c r="S673" s="548"/>
      <c r="T673" s="548"/>
      <c r="U673" s="548"/>
      <c r="V673" s="548"/>
      <c r="W673" s="548"/>
      <c r="X673" s="548"/>
      <c r="Y673" s="548"/>
      <c r="Z673" s="548"/>
      <c r="AA673" s="548"/>
      <c r="AB673" s="548"/>
      <c r="AC673" s="548"/>
      <c r="AD673" s="548"/>
      <c r="AE673" s="548"/>
      <c r="AF673" s="548"/>
      <c r="AG673" s="548"/>
      <c r="AH673" s="548"/>
      <c r="AI673" s="548"/>
      <c r="AJ673" s="548"/>
      <c r="AK673" s="548"/>
      <c r="AL673" s="548"/>
      <c r="AM673" s="548"/>
      <c r="AN673" s="548"/>
      <c r="AO673" s="548"/>
    </row>
    <row r="674">
      <c r="G674" s="548"/>
      <c r="H674" s="548"/>
      <c r="I674" s="548"/>
      <c r="J674" s="548"/>
      <c r="K674" s="548"/>
      <c r="L674" s="548"/>
      <c r="M674" s="548"/>
      <c r="N674" s="548"/>
      <c r="O674" s="548"/>
      <c r="P674" s="548"/>
      <c r="Q674" s="548"/>
      <c r="R674" s="548"/>
      <c r="S674" s="548"/>
      <c r="T674" s="548"/>
      <c r="U674" s="548"/>
      <c r="V674" s="548"/>
      <c r="W674" s="548"/>
      <c r="X674" s="548"/>
      <c r="Y674" s="548"/>
      <c r="Z674" s="548"/>
      <c r="AA674" s="548"/>
      <c r="AB674" s="548"/>
      <c r="AC674" s="548"/>
      <c r="AD674" s="548"/>
      <c r="AE674" s="548"/>
      <c r="AF674" s="548"/>
      <c r="AG674" s="548"/>
      <c r="AH674" s="548"/>
      <c r="AI674" s="548"/>
      <c r="AJ674" s="548"/>
      <c r="AK674" s="548"/>
      <c r="AL674" s="548"/>
      <c r="AM674" s="548"/>
      <c r="AN674" s="548"/>
      <c r="AO674" s="548"/>
    </row>
    <row r="675">
      <c r="G675" s="548"/>
      <c r="H675" s="548"/>
      <c r="I675" s="548"/>
      <c r="J675" s="548"/>
      <c r="K675" s="548"/>
      <c r="L675" s="548"/>
      <c r="M675" s="548"/>
      <c r="N675" s="548"/>
      <c r="O675" s="548"/>
      <c r="P675" s="548"/>
      <c r="Q675" s="548"/>
      <c r="R675" s="548"/>
      <c r="S675" s="548"/>
      <c r="T675" s="548"/>
      <c r="U675" s="548"/>
      <c r="V675" s="548"/>
      <c r="W675" s="548"/>
      <c r="X675" s="548"/>
      <c r="Y675" s="548"/>
      <c r="Z675" s="548"/>
      <c r="AA675" s="548"/>
      <c r="AB675" s="548"/>
      <c r="AC675" s="548"/>
      <c r="AD675" s="548"/>
      <c r="AE675" s="548"/>
      <c r="AF675" s="548"/>
      <c r="AG675" s="548"/>
      <c r="AH675" s="548"/>
      <c r="AI675" s="548"/>
      <c r="AJ675" s="548"/>
      <c r="AK675" s="548"/>
      <c r="AL675" s="548"/>
      <c r="AM675" s="548"/>
      <c r="AN675" s="548"/>
      <c r="AO675" s="548"/>
    </row>
    <row r="676">
      <c r="G676" s="548"/>
      <c r="H676" s="548"/>
      <c r="I676" s="548"/>
      <c r="J676" s="548"/>
      <c r="K676" s="548"/>
      <c r="L676" s="548"/>
      <c r="M676" s="548"/>
      <c r="N676" s="548"/>
      <c r="O676" s="548"/>
      <c r="P676" s="548"/>
      <c r="Q676" s="548"/>
      <c r="R676" s="548"/>
      <c r="S676" s="548"/>
      <c r="T676" s="548"/>
      <c r="U676" s="548"/>
      <c r="V676" s="548"/>
      <c r="W676" s="548"/>
      <c r="X676" s="548"/>
      <c r="Y676" s="548"/>
      <c r="Z676" s="548"/>
      <c r="AA676" s="548"/>
      <c r="AB676" s="548"/>
      <c r="AC676" s="548"/>
      <c r="AD676" s="548"/>
      <c r="AE676" s="548"/>
      <c r="AF676" s="548"/>
      <c r="AG676" s="548"/>
      <c r="AH676" s="548"/>
      <c r="AI676" s="548"/>
      <c r="AJ676" s="548"/>
      <c r="AK676" s="548"/>
      <c r="AL676" s="548"/>
      <c r="AM676" s="548"/>
      <c r="AN676" s="548"/>
      <c r="AO676" s="548"/>
    </row>
    <row r="677">
      <c r="G677" s="548"/>
      <c r="H677" s="548"/>
      <c r="I677" s="548"/>
      <c r="J677" s="548"/>
      <c r="K677" s="548"/>
      <c r="L677" s="548"/>
      <c r="M677" s="548"/>
      <c r="N677" s="548"/>
      <c r="O677" s="548"/>
      <c r="P677" s="548"/>
      <c r="Q677" s="548"/>
      <c r="R677" s="548"/>
      <c r="S677" s="548"/>
      <c r="T677" s="548"/>
      <c r="U677" s="548"/>
      <c r="V677" s="548"/>
      <c r="W677" s="548"/>
      <c r="X677" s="548"/>
      <c r="Y677" s="548"/>
      <c r="Z677" s="548"/>
      <c r="AA677" s="548"/>
      <c r="AB677" s="548"/>
      <c r="AC677" s="548"/>
      <c r="AD677" s="548"/>
      <c r="AE677" s="548"/>
      <c r="AF677" s="548"/>
      <c r="AG677" s="548"/>
      <c r="AH677" s="548"/>
      <c r="AI677" s="548"/>
      <c r="AJ677" s="548"/>
      <c r="AK677" s="548"/>
      <c r="AL677" s="548"/>
      <c r="AM677" s="548"/>
      <c r="AN677" s="548"/>
      <c r="AO677" s="548"/>
    </row>
    <row r="678">
      <c r="G678" s="548"/>
      <c r="H678" s="548"/>
      <c r="I678" s="548"/>
      <c r="J678" s="548"/>
      <c r="K678" s="548"/>
      <c r="L678" s="548"/>
      <c r="M678" s="548"/>
      <c r="N678" s="548"/>
      <c r="O678" s="548"/>
      <c r="P678" s="548"/>
      <c r="Q678" s="548"/>
      <c r="R678" s="548"/>
      <c r="S678" s="548"/>
      <c r="T678" s="548"/>
      <c r="U678" s="548"/>
      <c r="V678" s="548"/>
      <c r="W678" s="548"/>
      <c r="X678" s="548"/>
      <c r="Y678" s="548"/>
      <c r="Z678" s="548"/>
      <c r="AA678" s="548"/>
      <c r="AB678" s="548"/>
      <c r="AC678" s="548"/>
      <c r="AD678" s="548"/>
      <c r="AE678" s="548"/>
      <c r="AF678" s="548"/>
      <c r="AG678" s="548"/>
      <c r="AH678" s="548"/>
      <c r="AI678" s="548"/>
      <c r="AJ678" s="548"/>
      <c r="AK678" s="548"/>
      <c r="AL678" s="548"/>
      <c r="AM678" s="548"/>
      <c r="AN678" s="548"/>
      <c r="AO678" s="548"/>
    </row>
    <row r="679">
      <c r="G679" s="548"/>
      <c r="H679" s="548"/>
      <c r="I679" s="548"/>
      <c r="J679" s="548"/>
      <c r="K679" s="548"/>
      <c r="L679" s="548"/>
      <c r="M679" s="548"/>
      <c r="N679" s="548"/>
      <c r="O679" s="548"/>
      <c r="P679" s="548"/>
      <c r="Q679" s="548"/>
      <c r="R679" s="548"/>
      <c r="S679" s="548"/>
      <c r="T679" s="548"/>
      <c r="U679" s="548"/>
      <c r="V679" s="548"/>
      <c r="W679" s="548"/>
      <c r="X679" s="548"/>
      <c r="Y679" s="548"/>
      <c r="Z679" s="548"/>
      <c r="AA679" s="548"/>
      <c r="AB679" s="548"/>
      <c r="AC679" s="548"/>
      <c r="AD679" s="548"/>
      <c r="AE679" s="548"/>
      <c r="AF679" s="548"/>
      <c r="AG679" s="548"/>
      <c r="AH679" s="548"/>
      <c r="AI679" s="548"/>
      <c r="AJ679" s="548"/>
      <c r="AK679" s="548"/>
      <c r="AL679" s="548"/>
      <c r="AM679" s="548"/>
      <c r="AN679" s="548"/>
      <c r="AO679" s="548"/>
    </row>
    <row r="680">
      <c r="G680" s="548"/>
      <c r="H680" s="548"/>
      <c r="I680" s="548"/>
      <c r="J680" s="548"/>
      <c r="K680" s="548"/>
      <c r="L680" s="548"/>
      <c r="M680" s="548"/>
      <c r="N680" s="548"/>
      <c r="O680" s="548"/>
      <c r="P680" s="548"/>
      <c r="Q680" s="548"/>
      <c r="R680" s="548"/>
      <c r="S680" s="548"/>
      <c r="T680" s="548"/>
      <c r="U680" s="548"/>
      <c r="V680" s="548"/>
      <c r="W680" s="548"/>
      <c r="X680" s="548"/>
      <c r="Y680" s="548"/>
      <c r="Z680" s="548"/>
      <c r="AA680" s="548"/>
      <c r="AB680" s="548"/>
      <c r="AC680" s="548"/>
      <c r="AD680" s="548"/>
      <c r="AE680" s="548"/>
      <c r="AF680" s="548"/>
      <c r="AG680" s="548"/>
      <c r="AH680" s="548"/>
      <c r="AI680" s="548"/>
      <c r="AJ680" s="548"/>
      <c r="AK680" s="548"/>
      <c r="AL680" s="548"/>
      <c r="AM680" s="548"/>
      <c r="AN680" s="548"/>
      <c r="AO680" s="548"/>
    </row>
    <row r="681">
      <c r="G681" s="548"/>
      <c r="H681" s="548"/>
      <c r="I681" s="548"/>
      <c r="J681" s="548"/>
      <c r="K681" s="548"/>
      <c r="L681" s="548"/>
      <c r="M681" s="548"/>
      <c r="N681" s="548"/>
      <c r="O681" s="548"/>
      <c r="P681" s="548"/>
      <c r="Q681" s="548"/>
      <c r="R681" s="548"/>
      <c r="S681" s="548"/>
      <c r="T681" s="548"/>
      <c r="U681" s="548"/>
      <c r="V681" s="548"/>
      <c r="W681" s="548"/>
      <c r="X681" s="548"/>
      <c r="Y681" s="548"/>
      <c r="Z681" s="548"/>
      <c r="AA681" s="548"/>
      <c r="AB681" s="548"/>
      <c r="AC681" s="548"/>
      <c r="AD681" s="548"/>
      <c r="AE681" s="548"/>
      <c r="AF681" s="548"/>
      <c r="AG681" s="548"/>
      <c r="AH681" s="548"/>
      <c r="AI681" s="548"/>
      <c r="AJ681" s="548"/>
      <c r="AK681" s="548"/>
      <c r="AL681" s="548"/>
      <c r="AM681" s="548"/>
      <c r="AN681" s="548"/>
      <c r="AO681" s="548"/>
    </row>
    <row r="682">
      <c r="G682" s="548"/>
      <c r="H682" s="548"/>
      <c r="I682" s="548"/>
      <c r="J682" s="548"/>
      <c r="K682" s="548"/>
      <c r="L682" s="548"/>
      <c r="M682" s="548"/>
      <c r="N682" s="548"/>
      <c r="O682" s="548"/>
      <c r="P682" s="548"/>
      <c r="Q682" s="548"/>
      <c r="R682" s="548"/>
      <c r="S682" s="548"/>
      <c r="T682" s="548"/>
      <c r="U682" s="548"/>
      <c r="V682" s="548"/>
      <c r="W682" s="548"/>
      <c r="X682" s="548"/>
      <c r="Y682" s="548"/>
      <c r="Z682" s="548"/>
      <c r="AA682" s="548"/>
      <c r="AB682" s="548"/>
      <c r="AC682" s="548"/>
      <c r="AD682" s="548"/>
      <c r="AE682" s="548"/>
      <c r="AF682" s="548"/>
      <c r="AG682" s="548"/>
      <c r="AH682" s="548"/>
      <c r="AI682" s="548"/>
      <c r="AJ682" s="548"/>
      <c r="AK682" s="548"/>
      <c r="AL682" s="548"/>
      <c r="AM682" s="548"/>
      <c r="AN682" s="548"/>
      <c r="AO682" s="548"/>
    </row>
    <row r="683">
      <c r="G683" s="548"/>
      <c r="H683" s="548"/>
      <c r="I683" s="548"/>
      <c r="J683" s="548"/>
      <c r="K683" s="548"/>
      <c r="L683" s="548"/>
      <c r="M683" s="548"/>
      <c r="N683" s="548"/>
      <c r="O683" s="548"/>
      <c r="P683" s="548"/>
      <c r="Q683" s="548"/>
      <c r="R683" s="548"/>
      <c r="S683" s="548"/>
      <c r="T683" s="548"/>
      <c r="U683" s="548"/>
      <c r="V683" s="548"/>
      <c r="W683" s="548"/>
      <c r="X683" s="548"/>
      <c r="Y683" s="548"/>
      <c r="Z683" s="548"/>
      <c r="AA683" s="548"/>
      <c r="AB683" s="548"/>
      <c r="AC683" s="548"/>
      <c r="AD683" s="548"/>
      <c r="AE683" s="548"/>
      <c r="AF683" s="548"/>
      <c r="AG683" s="548"/>
      <c r="AH683" s="548"/>
      <c r="AI683" s="548"/>
      <c r="AJ683" s="548"/>
      <c r="AK683" s="548"/>
      <c r="AL683" s="548"/>
      <c r="AM683" s="548"/>
      <c r="AN683" s="548"/>
      <c r="AO683" s="548"/>
    </row>
    <row r="684">
      <c r="G684" s="548"/>
      <c r="H684" s="548"/>
      <c r="I684" s="548"/>
      <c r="J684" s="548"/>
      <c r="K684" s="548"/>
      <c r="L684" s="548"/>
      <c r="M684" s="548"/>
      <c r="N684" s="548"/>
      <c r="O684" s="548"/>
      <c r="P684" s="548"/>
      <c r="Q684" s="548"/>
      <c r="R684" s="548"/>
      <c r="S684" s="548"/>
      <c r="T684" s="548"/>
      <c r="U684" s="548"/>
      <c r="V684" s="548"/>
      <c r="W684" s="548"/>
      <c r="X684" s="548"/>
      <c r="Y684" s="548"/>
      <c r="Z684" s="548"/>
      <c r="AA684" s="548"/>
      <c r="AB684" s="548"/>
      <c r="AC684" s="548"/>
      <c r="AD684" s="548"/>
      <c r="AE684" s="548"/>
      <c r="AF684" s="548"/>
      <c r="AG684" s="548"/>
      <c r="AH684" s="548"/>
      <c r="AI684" s="548"/>
      <c r="AJ684" s="548"/>
      <c r="AK684" s="548"/>
      <c r="AL684" s="548"/>
      <c r="AM684" s="548"/>
      <c r="AN684" s="548"/>
      <c r="AO684" s="548"/>
    </row>
    <row r="685">
      <c r="G685" s="548"/>
      <c r="H685" s="548"/>
      <c r="I685" s="548"/>
      <c r="J685" s="548"/>
      <c r="K685" s="548"/>
      <c r="L685" s="548"/>
      <c r="M685" s="548"/>
      <c r="N685" s="548"/>
      <c r="O685" s="548"/>
      <c r="P685" s="548"/>
      <c r="Q685" s="548"/>
      <c r="R685" s="548"/>
      <c r="S685" s="548"/>
      <c r="T685" s="548"/>
      <c r="U685" s="548"/>
      <c r="V685" s="548"/>
      <c r="W685" s="548"/>
      <c r="X685" s="548"/>
      <c r="Y685" s="548"/>
      <c r="Z685" s="548"/>
      <c r="AA685" s="548"/>
      <c r="AB685" s="548"/>
      <c r="AC685" s="548"/>
      <c r="AD685" s="548"/>
      <c r="AE685" s="548"/>
      <c r="AF685" s="548"/>
      <c r="AG685" s="548"/>
      <c r="AH685" s="548"/>
      <c r="AI685" s="548"/>
      <c r="AJ685" s="548"/>
      <c r="AK685" s="548"/>
      <c r="AL685" s="548"/>
      <c r="AM685" s="548"/>
      <c r="AN685" s="548"/>
      <c r="AO685" s="548"/>
    </row>
    <row r="686">
      <c r="G686" s="548"/>
      <c r="H686" s="548"/>
      <c r="I686" s="548"/>
      <c r="J686" s="548"/>
      <c r="K686" s="548"/>
      <c r="L686" s="548"/>
      <c r="M686" s="548"/>
      <c r="N686" s="548"/>
      <c r="O686" s="548"/>
      <c r="P686" s="548"/>
      <c r="Q686" s="548"/>
      <c r="R686" s="548"/>
      <c r="S686" s="548"/>
      <c r="T686" s="548"/>
      <c r="U686" s="548"/>
      <c r="V686" s="548"/>
      <c r="W686" s="548"/>
      <c r="X686" s="548"/>
      <c r="Y686" s="548"/>
      <c r="Z686" s="548"/>
      <c r="AA686" s="548"/>
      <c r="AB686" s="548"/>
      <c r="AC686" s="548"/>
      <c r="AD686" s="548"/>
      <c r="AE686" s="548"/>
      <c r="AF686" s="548"/>
      <c r="AG686" s="548"/>
      <c r="AH686" s="548"/>
      <c r="AI686" s="548"/>
      <c r="AJ686" s="548"/>
      <c r="AK686" s="548"/>
      <c r="AL686" s="548"/>
      <c r="AM686" s="548"/>
      <c r="AN686" s="548"/>
      <c r="AO686" s="548"/>
    </row>
    <row r="687">
      <c r="G687" s="548"/>
      <c r="H687" s="548"/>
      <c r="I687" s="548"/>
      <c r="J687" s="548"/>
      <c r="K687" s="548"/>
      <c r="L687" s="548"/>
      <c r="M687" s="548"/>
      <c r="N687" s="548"/>
      <c r="O687" s="548"/>
      <c r="P687" s="548"/>
      <c r="Q687" s="548"/>
      <c r="R687" s="548"/>
      <c r="S687" s="548"/>
      <c r="T687" s="548"/>
      <c r="U687" s="548"/>
      <c r="V687" s="548"/>
      <c r="W687" s="548"/>
      <c r="X687" s="548"/>
      <c r="Y687" s="548"/>
      <c r="Z687" s="548"/>
      <c r="AA687" s="548"/>
      <c r="AB687" s="548"/>
      <c r="AC687" s="548"/>
      <c r="AD687" s="548"/>
      <c r="AE687" s="548"/>
      <c r="AF687" s="548"/>
      <c r="AG687" s="548"/>
      <c r="AH687" s="548"/>
      <c r="AI687" s="548"/>
      <c r="AJ687" s="548"/>
      <c r="AK687" s="548"/>
      <c r="AL687" s="548"/>
      <c r="AM687" s="548"/>
      <c r="AN687" s="548"/>
      <c r="AO687" s="548"/>
    </row>
    <row r="688">
      <c r="G688" s="548"/>
      <c r="H688" s="548"/>
      <c r="I688" s="548"/>
      <c r="J688" s="548"/>
      <c r="K688" s="548"/>
      <c r="L688" s="548"/>
      <c r="M688" s="548"/>
      <c r="N688" s="548"/>
      <c r="O688" s="548"/>
      <c r="P688" s="548"/>
      <c r="Q688" s="548"/>
      <c r="R688" s="548"/>
      <c r="S688" s="548"/>
      <c r="T688" s="548"/>
      <c r="U688" s="548"/>
      <c r="V688" s="548"/>
      <c r="W688" s="548"/>
      <c r="X688" s="548"/>
      <c r="Y688" s="548"/>
      <c r="Z688" s="548"/>
      <c r="AA688" s="548"/>
      <c r="AB688" s="548"/>
      <c r="AC688" s="548"/>
      <c r="AD688" s="548"/>
      <c r="AE688" s="548"/>
      <c r="AF688" s="548"/>
      <c r="AG688" s="548"/>
      <c r="AH688" s="548"/>
      <c r="AI688" s="548"/>
      <c r="AJ688" s="548"/>
      <c r="AK688" s="548"/>
      <c r="AL688" s="548"/>
      <c r="AM688" s="548"/>
      <c r="AN688" s="548"/>
      <c r="AO688" s="548"/>
    </row>
    <row r="689">
      <c r="G689" s="548"/>
      <c r="H689" s="548"/>
      <c r="I689" s="548"/>
      <c r="J689" s="548"/>
      <c r="K689" s="548"/>
      <c r="L689" s="548"/>
      <c r="M689" s="548"/>
      <c r="N689" s="548"/>
      <c r="O689" s="548"/>
      <c r="P689" s="548"/>
      <c r="Q689" s="548"/>
      <c r="R689" s="548"/>
      <c r="S689" s="548"/>
      <c r="T689" s="548"/>
      <c r="U689" s="548"/>
      <c r="V689" s="548"/>
      <c r="W689" s="548"/>
      <c r="X689" s="548"/>
      <c r="Y689" s="548"/>
      <c r="Z689" s="548"/>
      <c r="AA689" s="548"/>
      <c r="AB689" s="548"/>
      <c r="AC689" s="548"/>
      <c r="AD689" s="548"/>
      <c r="AE689" s="548"/>
      <c r="AF689" s="548"/>
      <c r="AG689" s="548"/>
      <c r="AH689" s="548"/>
      <c r="AI689" s="548"/>
      <c r="AJ689" s="548"/>
      <c r="AK689" s="548"/>
      <c r="AL689" s="548"/>
      <c r="AM689" s="548"/>
      <c r="AN689" s="548"/>
      <c r="AO689" s="548"/>
    </row>
    <row r="690">
      <c r="G690" s="548"/>
      <c r="H690" s="548"/>
      <c r="I690" s="548"/>
      <c r="J690" s="548"/>
      <c r="K690" s="548"/>
      <c r="L690" s="548"/>
      <c r="M690" s="548"/>
      <c r="N690" s="548"/>
      <c r="O690" s="548"/>
      <c r="P690" s="548"/>
      <c r="Q690" s="548"/>
      <c r="R690" s="548"/>
      <c r="S690" s="548"/>
      <c r="T690" s="548"/>
      <c r="U690" s="548"/>
      <c r="V690" s="548"/>
      <c r="W690" s="548"/>
      <c r="X690" s="548"/>
      <c r="Y690" s="548"/>
      <c r="Z690" s="548"/>
      <c r="AA690" s="548"/>
      <c r="AB690" s="548"/>
      <c r="AC690" s="548"/>
      <c r="AD690" s="548"/>
      <c r="AE690" s="548"/>
      <c r="AF690" s="548"/>
      <c r="AG690" s="548"/>
      <c r="AH690" s="548"/>
      <c r="AI690" s="548"/>
      <c r="AJ690" s="548"/>
      <c r="AK690" s="548"/>
      <c r="AL690" s="548"/>
      <c r="AM690" s="548"/>
      <c r="AN690" s="548"/>
      <c r="AO690" s="548"/>
    </row>
    <row r="691">
      <c r="G691" s="548"/>
      <c r="H691" s="548"/>
      <c r="I691" s="548"/>
      <c r="J691" s="548"/>
      <c r="K691" s="548"/>
      <c r="L691" s="548"/>
      <c r="M691" s="548"/>
      <c r="N691" s="548"/>
      <c r="O691" s="548"/>
      <c r="P691" s="548"/>
      <c r="Q691" s="548"/>
      <c r="R691" s="548"/>
      <c r="S691" s="548"/>
      <c r="T691" s="548"/>
      <c r="U691" s="548"/>
      <c r="V691" s="548"/>
      <c r="W691" s="548"/>
      <c r="X691" s="548"/>
      <c r="Y691" s="548"/>
      <c r="Z691" s="548"/>
      <c r="AA691" s="548"/>
      <c r="AB691" s="548"/>
      <c r="AC691" s="548"/>
      <c r="AD691" s="548"/>
      <c r="AE691" s="548"/>
      <c r="AF691" s="548"/>
      <c r="AG691" s="548"/>
      <c r="AH691" s="548"/>
      <c r="AI691" s="548"/>
      <c r="AJ691" s="548"/>
      <c r="AK691" s="548"/>
      <c r="AL691" s="548"/>
      <c r="AM691" s="548"/>
      <c r="AN691" s="548"/>
      <c r="AO691" s="548"/>
    </row>
    <row r="692">
      <c r="G692" s="548"/>
      <c r="H692" s="548"/>
      <c r="I692" s="548"/>
      <c r="J692" s="548"/>
      <c r="K692" s="548"/>
      <c r="L692" s="548"/>
      <c r="M692" s="548"/>
      <c r="N692" s="548"/>
      <c r="O692" s="548"/>
      <c r="P692" s="548"/>
      <c r="Q692" s="548"/>
      <c r="R692" s="548"/>
      <c r="S692" s="548"/>
      <c r="T692" s="548"/>
      <c r="U692" s="548"/>
      <c r="V692" s="548"/>
      <c r="W692" s="548"/>
      <c r="X692" s="548"/>
      <c r="Y692" s="548"/>
      <c r="Z692" s="548"/>
      <c r="AA692" s="548"/>
      <c r="AB692" s="548"/>
      <c r="AC692" s="548"/>
      <c r="AD692" s="548"/>
      <c r="AE692" s="548"/>
      <c r="AF692" s="548"/>
      <c r="AG692" s="548"/>
      <c r="AH692" s="548"/>
      <c r="AI692" s="548"/>
      <c r="AJ692" s="548"/>
      <c r="AK692" s="548"/>
      <c r="AL692" s="548"/>
      <c r="AM692" s="548"/>
      <c r="AN692" s="548"/>
      <c r="AO692" s="548"/>
    </row>
    <row r="693">
      <c r="G693" s="548"/>
      <c r="H693" s="548"/>
      <c r="I693" s="548"/>
      <c r="J693" s="548"/>
      <c r="K693" s="548"/>
      <c r="L693" s="548"/>
      <c r="M693" s="548"/>
      <c r="N693" s="548"/>
      <c r="O693" s="548"/>
      <c r="P693" s="548"/>
      <c r="Q693" s="548"/>
      <c r="R693" s="548"/>
      <c r="S693" s="548"/>
      <c r="T693" s="548"/>
      <c r="U693" s="548"/>
      <c r="V693" s="548"/>
      <c r="W693" s="548"/>
      <c r="X693" s="548"/>
      <c r="Y693" s="548"/>
      <c r="Z693" s="548"/>
      <c r="AA693" s="548"/>
      <c r="AB693" s="548"/>
      <c r="AC693" s="548"/>
      <c r="AD693" s="548"/>
      <c r="AE693" s="548"/>
      <c r="AF693" s="548"/>
      <c r="AG693" s="548"/>
      <c r="AH693" s="548"/>
      <c r="AI693" s="548"/>
      <c r="AJ693" s="548"/>
      <c r="AK693" s="548"/>
      <c r="AL693" s="548"/>
      <c r="AM693" s="548"/>
      <c r="AN693" s="548"/>
      <c r="AO693" s="548"/>
    </row>
    <row r="694">
      <c r="G694" s="548"/>
      <c r="H694" s="548"/>
      <c r="I694" s="548"/>
      <c r="J694" s="548"/>
      <c r="K694" s="548"/>
      <c r="L694" s="548"/>
      <c r="M694" s="548"/>
      <c r="N694" s="548"/>
      <c r="O694" s="548"/>
      <c r="P694" s="548"/>
      <c r="Q694" s="548"/>
      <c r="R694" s="548"/>
      <c r="S694" s="548"/>
      <c r="T694" s="548"/>
      <c r="U694" s="548"/>
      <c r="V694" s="548"/>
      <c r="W694" s="548"/>
      <c r="X694" s="548"/>
      <c r="Y694" s="548"/>
      <c r="Z694" s="548"/>
      <c r="AA694" s="548"/>
      <c r="AB694" s="548"/>
      <c r="AC694" s="548"/>
      <c r="AD694" s="548"/>
      <c r="AE694" s="548"/>
      <c r="AF694" s="548"/>
      <c r="AG694" s="548"/>
      <c r="AH694" s="548"/>
      <c r="AI694" s="548"/>
      <c r="AJ694" s="548"/>
      <c r="AK694" s="548"/>
      <c r="AL694" s="548"/>
      <c r="AM694" s="548"/>
      <c r="AN694" s="548"/>
      <c r="AO694" s="548"/>
    </row>
    <row r="695">
      <c r="G695" s="548"/>
      <c r="H695" s="548"/>
      <c r="I695" s="548"/>
      <c r="J695" s="548"/>
      <c r="K695" s="548"/>
      <c r="L695" s="548"/>
      <c r="M695" s="548"/>
      <c r="N695" s="548"/>
      <c r="O695" s="548"/>
      <c r="P695" s="548"/>
      <c r="Q695" s="548"/>
      <c r="R695" s="548"/>
      <c r="S695" s="548"/>
      <c r="T695" s="548"/>
      <c r="U695" s="548"/>
      <c r="V695" s="548"/>
      <c r="W695" s="548"/>
      <c r="X695" s="548"/>
      <c r="Y695" s="548"/>
      <c r="Z695" s="548"/>
      <c r="AA695" s="548"/>
      <c r="AB695" s="548"/>
      <c r="AC695" s="548"/>
      <c r="AD695" s="548"/>
      <c r="AE695" s="548"/>
      <c r="AF695" s="548"/>
      <c r="AG695" s="548"/>
      <c r="AH695" s="548"/>
      <c r="AI695" s="548"/>
      <c r="AJ695" s="548"/>
      <c r="AK695" s="548"/>
      <c r="AL695" s="548"/>
      <c r="AM695" s="548"/>
      <c r="AN695" s="548"/>
      <c r="AO695" s="548"/>
    </row>
    <row r="696">
      <c r="G696" s="548"/>
      <c r="H696" s="548"/>
      <c r="I696" s="548"/>
      <c r="J696" s="548"/>
      <c r="K696" s="548"/>
      <c r="L696" s="548"/>
      <c r="M696" s="548"/>
      <c r="N696" s="548"/>
      <c r="O696" s="548"/>
      <c r="P696" s="548"/>
      <c r="Q696" s="548"/>
      <c r="R696" s="548"/>
      <c r="S696" s="548"/>
      <c r="T696" s="548"/>
      <c r="U696" s="548"/>
      <c r="V696" s="548"/>
      <c r="W696" s="548"/>
      <c r="X696" s="548"/>
      <c r="Y696" s="548"/>
      <c r="Z696" s="548"/>
      <c r="AA696" s="548"/>
      <c r="AB696" s="548"/>
      <c r="AC696" s="548"/>
      <c r="AD696" s="548"/>
      <c r="AE696" s="548"/>
      <c r="AF696" s="548"/>
      <c r="AG696" s="548"/>
      <c r="AH696" s="548"/>
      <c r="AI696" s="548"/>
      <c r="AJ696" s="548"/>
      <c r="AK696" s="548"/>
      <c r="AL696" s="548"/>
      <c r="AM696" s="548"/>
      <c r="AN696" s="548"/>
      <c r="AO696" s="548"/>
    </row>
    <row r="697">
      <c r="G697" s="548"/>
      <c r="H697" s="548"/>
      <c r="I697" s="548"/>
      <c r="J697" s="548"/>
      <c r="K697" s="548"/>
      <c r="L697" s="548"/>
      <c r="M697" s="548"/>
      <c r="N697" s="548"/>
      <c r="O697" s="548"/>
      <c r="P697" s="548"/>
      <c r="Q697" s="548"/>
      <c r="R697" s="548"/>
      <c r="S697" s="548"/>
      <c r="T697" s="548"/>
      <c r="U697" s="548"/>
      <c r="V697" s="548"/>
      <c r="W697" s="548"/>
      <c r="X697" s="548"/>
      <c r="Y697" s="548"/>
      <c r="Z697" s="548"/>
      <c r="AA697" s="548"/>
      <c r="AB697" s="548"/>
      <c r="AC697" s="548"/>
      <c r="AD697" s="548"/>
      <c r="AE697" s="548"/>
      <c r="AF697" s="548"/>
      <c r="AG697" s="548"/>
      <c r="AH697" s="548"/>
      <c r="AI697" s="548"/>
      <c r="AJ697" s="548"/>
      <c r="AK697" s="548"/>
      <c r="AL697" s="548"/>
      <c r="AM697" s="548"/>
      <c r="AN697" s="548"/>
      <c r="AO697" s="548"/>
    </row>
    <row r="698">
      <c r="G698" s="548"/>
      <c r="H698" s="548"/>
      <c r="I698" s="548"/>
      <c r="J698" s="548"/>
      <c r="K698" s="548"/>
      <c r="L698" s="548"/>
      <c r="M698" s="548"/>
      <c r="N698" s="548"/>
      <c r="O698" s="548"/>
      <c r="P698" s="548"/>
      <c r="Q698" s="548"/>
      <c r="R698" s="548"/>
      <c r="S698" s="548"/>
      <c r="T698" s="548"/>
      <c r="U698" s="548"/>
      <c r="V698" s="548"/>
      <c r="W698" s="548"/>
      <c r="X698" s="548"/>
      <c r="Y698" s="548"/>
      <c r="Z698" s="548"/>
      <c r="AA698" s="548"/>
      <c r="AB698" s="548"/>
      <c r="AC698" s="548"/>
      <c r="AD698" s="548"/>
      <c r="AE698" s="548"/>
      <c r="AF698" s="548"/>
      <c r="AG698" s="548"/>
      <c r="AH698" s="548"/>
      <c r="AI698" s="548"/>
      <c r="AJ698" s="548"/>
      <c r="AK698" s="548"/>
      <c r="AL698" s="548"/>
      <c r="AM698" s="548"/>
      <c r="AN698" s="548"/>
      <c r="AO698" s="548"/>
    </row>
    <row r="699">
      <c r="G699" s="548"/>
      <c r="H699" s="548"/>
      <c r="I699" s="548"/>
      <c r="J699" s="548"/>
      <c r="K699" s="548"/>
      <c r="L699" s="548"/>
      <c r="M699" s="548"/>
      <c r="N699" s="548"/>
      <c r="O699" s="548"/>
      <c r="P699" s="548"/>
      <c r="Q699" s="548"/>
      <c r="R699" s="548"/>
      <c r="S699" s="548"/>
      <c r="T699" s="548"/>
      <c r="U699" s="548"/>
      <c r="V699" s="548"/>
      <c r="W699" s="548"/>
      <c r="X699" s="548"/>
      <c r="Y699" s="548"/>
      <c r="Z699" s="548"/>
      <c r="AA699" s="548"/>
      <c r="AB699" s="548"/>
      <c r="AC699" s="548"/>
      <c r="AD699" s="548"/>
      <c r="AE699" s="548"/>
      <c r="AF699" s="548"/>
      <c r="AG699" s="548"/>
      <c r="AH699" s="548"/>
      <c r="AI699" s="548"/>
      <c r="AJ699" s="548"/>
      <c r="AK699" s="548"/>
      <c r="AL699" s="548"/>
      <c r="AM699" s="548"/>
      <c r="AN699" s="548"/>
      <c r="AO699" s="548"/>
    </row>
    <row r="700">
      <c r="G700" s="548"/>
      <c r="H700" s="548"/>
      <c r="I700" s="548"/>
      <c r="J700" s="548"/>
      <c r="K700" s="548"/>
      <c r="L700" s="548"/>
      <c r="M700" s="548"/>
      <c r="N700" s="548"/>
      <c r="O700" s="548"/>
      <c r="P700" s="548"/>
      <c r="Q700" s="548"/>
      <c r="R700" s="548"/>
      <c r="S700" s="548"/>
      <c r="T700" s="548"/>
      <c r="U700" s="548"/>
      <c r="V700" s="548"/>
      <c r="W700" s="548"/>
      <c r="X700" s="548"/>
      <c r="Y700" s="548"/>
      <c r="Z700" s="548"/>
      <c r="AA700" s="548"/>
      <c r="AB700" s="548"/>
      <c r="AC700" s="548"/>
      <c r="AD700" s="548"/>
      <c r="AE700" s="548"/>
      <c r="AF700" s="548"/>
      <c r="AG700" s="548"/>
      <c r="AH700" s="548"/>
      <c r="AI700" s="548"/>
      <c r="AJ700" s="548"/>
      <c r="AK700" s="548"/>
      <c r="AL700" s="548"/>
      <c r="AM700" s="548"/>
      <c r="AN700" s="548"/>
      <c r="AO700" s="548"/>
    </row>
    <row r="701">
      <c r="G701" s="548"/>
      <c r="H701" s="548"/>
      <c r="I701" s="548"/>
      <c r="J701" s="548"/>
      <c r="K701" s="548"/>
      <c r="L701" s="548"/>
      <c r="M701" s="548"/>
      <c r="N701" s="548"/>
      <c r="O701" s="548"/>
      <c r="P701" s="548"/>
      <c r="Q701" s="548"/>
      <c r="R701" s="548"/>
      <c r="S701" s="548"/>
      <c r="T701" s="548"/>
      <c r="U701" s="548"/>
      <c r="V701" s="548"/>
      <c r="W701" s="548"/>
      <c r="X701" s="548"/>
      <c r="Y701" s="548"/>
      <c r="Z701" s="548"/>
      <c r="AA701" s="548"/>
      <c r="AB701" s="548"/>
      <c r="AC701" s="548"/>
      <c r="AD701" s="548"/>
      <c r="AE701" s="548"/>
      <c r="AF701" s="548"/>
      <c r="AG701" s="548"/>
      <c r="AH701" s="548"/>
      <c r="AI701" s="548"/>
      <c r="AJ701" s="548"/>
      <c r="AK701" s="548"/>
      <c r="AL701" s="548"/>
      <c r="AM701" s="548"/>
      <c r="AN701" s="548"/>
      <c r="AO701" s="548"/>
    </row>
    <row r="702">
      <c r="G702" s="548"/>
      <c r="H702" s="548"/>
      <c r="I702" s="548"/>
      <c r="J702" s="548"/>
      <c r="K702" s="548"/>
      <c r="L702" s="548"/>
      <c r="M702" s="548"/>
      <c r="N702" s="548"/>
      <c r="O702" s="548"/>
      <c r="P702" s="548"/>
      <c r="Q702" s="548"/>
      <c r="R702" s="548"/>
      <c r="S702" s="548"/>
      <c r="T702" s="548"/>
      <c r="U702" s="548"/>
      <c r="V702" s="548"/>
      <c r="W702" s="548"/>
      <c r="X702" s="548"/>
      <c r="Y702" s="548"/>
      <c r="Z702" s="548"/>
      <c r="AA702" s="548"/>
      <c r="AB702" s="548"/>
      <c r="AC702" s="548"/>
      <c r="AD702" s="548"/>
      <c r="AE702" s="548"/>
      <c r="AF702" s="548"/>
      <c r="AG702" s="548"/>
      <c r="AH702" s="548"/>
      <c r="AI702" s="548"/>
      <c r="AJ702" s="548"/>
      <c r="AK702" s="548"/>
      <c r="AL702" s="548"/>
      <c r="AM702" s="548"/>
      <c r="AN702" s="548"/>
      <c r="AO702" s="548"/>
    </row>
    <row r="703">
      <c r="G703" s="548"/>
      <c r="H703" s="548"/>
      <c r="I703" s="548"/>
      <c r="J703" s="548"/>
      <c r="K703" s="548"/>
      <c r="L703" s="548"/>
      <c r="M703" s="548"/>
      <c r="N703" s="548"/>
      <c r="O703" s="548"/>
      <c r="P703" s="548"/>
      <c r="Q703" s="548"/>
      <c r="R703" s="548"/>
      <c r="S703" s="548"/>
      <c r="T703" s="548"/>
      <c r="U703" s="548"/>
      <c r="V703" s="548"/>
      <c r="W703" s="548"/>
      <c r="X703" s="548"/>
      <c r="Y703" s="548"/>
      <c r="Z703" s="548"/>
      <c r="AA703" s="548"/>
      <c r="AB703" s="548"/>
      <c r="AC703" s="548"/>
      <c r="AD703" s="548"/>
      <c r="AE703" s="548"/>
      <c r="AF703" s="548"/>
      <c r="AG703" s="548"/>
      <c r="AH703" s="548"/>
      <c r="AI703" s="548"/>
      <c r="AJ703" s="548"/>
      <c r="AK703" s="548"/>
      <c r="AL703" s="548"/>
      <c r="AM703" s="548"/>
      <c r="AN703" s="548"/>
      <c r="AO703" s="548"/>
    </row>
    <row r="704">
      <c r="G704" s="548"/>
      <c r="H704" s="548"/>
      <c r="I704" s="548"/>
      <c r="J704" s="548"/>
      <c r="K704" s="548"/>
      <c r="L704" s="548"/>
      <c r="M704" s="548"/>
      <c r="N704" s="548"/>
      <c r="O704" s="548"/>
      <c r="P704" s="548"/>
      <c r="Q704" s="548"/>
      <c r="R704" s="548"/>
      <c r="S704" s="548"/>
      <c r="T704" s="548"/>
      <c r="U704" s="548"/>
      <c r="V704" s="548"/>
      <c r="W704" s="548"/>
      <c r="X704" s="548"/>
      <c r="Y704" s="548"/>
      <c r="Z704" s="548"/>
      <c r="AA704" s="548"/>
      <c r="AB704" s="548"/>
      <c r="AC704" s="548"/>
      <c r="AD704" s="548"/>
      <c r="AE704" s="548"/>
      <c r="AF704" s="548"/>
      <c r="AG704" s="548"/>
      <c r="AH704" s="548"/>
      <c r="AI704" s="548"/>
      <c r="AJ704" s="548"/>
      <c r="AK704" s="548"/>
      <c r="AL704" s="548"/>
      <c r="AM704" s="548"/>
      <c r="AN704" s="548"/>
      <c r="AO704" s="548"/>
    </row>
    <row r="705">
      <c r="G705" s="548"/>
      <c r="H705" s="548"/>
      <c r="I705" s="548"/>
      <c r="J705" s="548"/>
      <c r="K705" s="548"/>
      <c r="L705" s="548"/>
      <c r="M705" s="548"/>
      <c r="N705" s="548"/>
      <c r="O705" s="548"/>
      <c r="P705" s="548"/>
      <c r="Q705" s="548"/>
      <c r="R705" s="548"/>
      <c r="S705" s="548"/>
      <c r="T705" s="548"/>
      <c r="U705" s="548"/>
      <c r="V705" s="548"/>
      <c r="W705" s="548"/>
      <c r="X705" s="548"/>
      <c r="Y705" s="548"/>
      <c r="Z705" s="548"/>
      <c r="AA705" s="548"/>
      <c r="AB705" s="548"/>
      <c r="AC705" s="548"/>
      <c r="AD705" s="548"/>
      <c r="AE705" s="548"/>
      <c r="AF705" s="548"/>
      <c r="AG705" s="548"/>
      <c r="AH705" s="548"/>
      <c r="AI705" s="548"/>
      <c r="AJ705" s="548"/>
      <c r="AK705" s="548"/>
      <c r="AL705" s="548"/>
      <c r="AM705" s="548"/>
      <c r="AN705" s="548"/>
      <c r="AO705" s="548"/>
    </row>
    <row r="706">
      <c r="G706" s="548"/>
      <c r="H706" s="548"/>
      <c r="I706" s="548"/>
      <c r="J706" s="548"/>
      <c r="K706" s="548"/>
      <c r="L706" s="548"/>
      <c r="M706" s="548"/>
      <c r="N706" s="548"/>
      <c r="O706" s="548"/>
      <c r="P706" s="548"/>
      <c r="Q706" s="548"/>
      <c r="R706" s="548"/>
      <c r="S706" s="548"/>
      <c r="T706" s="548"/>
      <c r="U706" s="548"/>
      <c r="V706" s="548"/>
      <c r="W706" s="548"/>
      <c r="X706" s="548"/>
      <c r="Y706" s="548"/>
      <c r="Z706" s="548"/>
      <c r="AA706" s="548"/>
      <c r="AB706" s="548"/>
      <c r="AC706" s="548"/>
      <c r="AD706" s="548"/>
      <c r="AE706" s="548"/>
      <c r="AF706" s="548"/>
      <c r="AG706" s="548"/>
      <c r="AH706" s="548"/>
      <c r="AI706" s="548"/>
      <c r="AJ706" s="548"/>
      <c r="AK706" s="548"/>
      <c r="AL706" s="548"/>
      <c r="AM706" s="548"/>
      <c r="AN706" s="548"/>
      <c r="AO706" s="548"/>
    </row>
    <row r="707">
      <c r="G707" s="548"/>
      <c r="H707" s="548"/>
      <c r="I707" s="548"/>
      <c r="J707" s="548"/>
      <c r="K707" s="548"/>
      <c r="L707" s="548"/>
      <c r="M707" s="548"/>
      <c r="N707" s="548"/>
      <c r="O707" s="548"/>
      <c r="P707" s="548"/>
      <c r="Q707" s="548"/>
      <c r="R707" s="548"/>
      <c r="S707" s="548"/>
      <c r="T707" s="548"/>
      <c r="U707" s="548"/>
      <c r="V707" s="548"/>
      <c r="W707" s="548"/>
      <c r="X707" s="548"/>
      <c r="Y707" s="548"/>
      <c r="Z707" s="548"/>
      <c r="AA707" s="548"/>
      <c r="AB707" s="548"/>
      <c r="AC707" s="548"/>
      <c r="AD707" s="548"/>
      <c r="AE707" s="548"/>
      <c r="AF707" s="548"/>
      <c r="AG707" s="548"/>
      <c r="AH707" s="548"/>
      <c r="AI707" s="548"/>
      <c r="AJ707" s="548"/>
      <c r="AK707" s="548"/>
      <c r="AL707" s="548"/>
      <c r="AM707" s="548"/>
      <c r="AN707" s="548"/>
      <c r="AO707" s="548"/>
    </row>
    <row r="708">
      <c r="G708" s="548"/>
      <c r="H708" s="548"/>
      <c r="I708" s="548"/>
      <c r="J708" s="548"/>
      <c r="K708" s="548"/>
      <c r="L708" s="548"/>
      <c r="M708" s="548"/>
      <c r="N708" s="548"/>
      <c r="O708" s="548"/>
      <c r="P708" s="548"/>
      <c r="Q708" s="548"/>
      <c r="R708" s="548"/>
      <c r="S708" s="548"/>
      <c r="T708" s="548"/>
      <c r="U708" s="548"/>
      <c r="V708" s="548"/>
      <c r="W708" s="548"/>
      <c r="X708" s="548"/>
      <c r="Y708" s="548"/>
      <c r="Z708" s="548"/>
      <c r="AA708" s="548"/>
      <c r="AB708" s="548"/>
      <c r="AC708" s="548"/>
      <c r="AD708" s="548"/>
      <c r="AE708" s="548"/>
      <c r="AF708" s="548"/>
      <c r="AG708" s="548"/>
      <c r="AH708" s="548"/>
      <c r="AI708" s="548"/>
      <c r="AJ708" s="548"/>
      <c r="AK708" s="548"/>
      <c r="AL708" s="548"/>
      <c r="AM708" s="548"/>
      <c r="AN708" s="548"/>
      <c r="AO708" s="548"/>
    </row>
    <row r="709">
      <c r="G709" s="548"/>
      <c r="H709" s="548"/>
      <c r="I709" s="548"/>
      <c r="J709" s="548"/>
      <c r="K709" s="548"/>
      <c r="L709" s="548"/>
      <c r="M709" s="548"/>
      <c r="N709" s="548"/>
      <c r="O709" s="548"/>
      <c r="P709" s="548"/>
      <c r="Q709" s="548"/>
      <c r="R709" s="548"/>
      <c r="S709" s="548"/>
      <c r="T709" s="548"/>
      <c r="U709" s="548"/>
      <c r="V709" s="548"/>
      <c r="W709" s="548"/>
      <c r="X709" s="548"/>
      <c r="Y709" s="548"/>
      <c r="Z709" s="548"/>
      <c r="AA709" s="548"/>
      <c r="AB709" s="548"/>
      <c r="AC709" s="548"/>
      <c r="AD709" s="548"/>
      <c r="AE709" s="548"/>
      <c r="AF709" s="548"/>
      <c r="AG709" s="548"/>
      <c r="AH709" s="548"/>
      <c r="AI709" s="548"/>
      <c r="AJ709" s="548"/>
      <c r="AK709" s="548"/>
      <c r="AL709" s="548"/>
      <c r="AM709" s="548"/>
      <c r="AN709" s="548"/>
      <c r="AO709" s="548"/>
    </row>
    <row r="710">
      <c r="G710" s="548"/>
      <c r="H710" s="548"/>
      <c r="I710" s="548"/>
      <c r="J710" s="548"/>
      <c r="K710" s="548"/>
      <c r="L710" s="548"/>
      <c r="M710" s="548"/>
      <c r="N710" s="548"/>
      <c r="O710" s="548"/>
      <c r="P710" s="548"/>
      <c r="Q710" s="548"/>
      <c r="R710" s="548"/>
      <c r="S710" s="548"/>
      <c r="T710" s="548"/>
      <c r="U710" s="548"/>
      <c r="V710" s="548"/>
      <c r="W710" s="548"/>
      <c r="X710" s="548"/>
      <c r="Y710" s="548"/>
      <c r="Z710" s="548"/>
      <c r="AA710" s="548"/>
      <c r="AB710" s="548"/>
      <c r="AC710" s="548"/>
      <c r="AD710" s="548"/>
      <c r="AE710" s="548"/>
      <c r="AF710" s="548"/>
      <c r="AG710" s="548"/>
      <c r="AH710" s="548"/>
      <c r="AI710" s="548"/>
      <c r="AJ710" s="548"/>
      <c r="AK710" s="548"/>
      <c r="AL710" s="548"/>
      <c r="AM710" s="548"/>
      <c r="AN710" s="548"/>
      <c r="AO710" s="548"/>
    </row>
    <row r="711">
      <c r="G711" s="548"/>
      <c r="H711" s="548"/>
      <c r="I711" s="548"/>
      <c r="J711" s="548"/>
      <c r="K711" s="548"/>
      <c r="L711" s="548"/>
      <c r="M711" s="548"/>
      <c r="N711" s="548"/>
      <c r="O711" s="548"/>
      <c r="P711" s="548"/>
      <c r="Q711" s="548"/>
      <c r="R711" s="548"/>
      <c r="S711" s="548"/>
      <c r="T711" s="548"/>
      <c r="U711" s="548"/>
      <c r="V711" s="548"/>
      <c r="W711" s="548"/>
      <c r="X711" s="548"/>
      <c r="Y711" s="548"/>
      <c r="Z711" s="548"/>
      <c r="AA711" s="548"/>
      <c r="AB711" s="548"/>
      <c r="AC711" s="548"/>
      <c r="AD711" s="548"/>
      <c r="AE711" s="548"/>
      <c r="AF711" s="548"/>
      <c r="AG711" s="548"/>
      <c r="AH711" s="548"/>
      <c r="AI711" s="548"/>
      <c r="AJ711" s="548"/>
      <c r="AK711" s="548"/>
      <c r="AL711" s="548"/>
      <c r="AM711" s="548"/>
      <c r="AN711" s="548"/>
      <c r="AO711" s="548"/>
    </row>
    <row r="712">
      <c r="G712" s="548"/>
      <c r="H712" s="548"/>
      <c r="I712" s="548"/>
      <c r="J712" s="548"/>
      <c r="K712" s="548"/>
      <c r="L712" s="548"/>
      <c r="M712" s="548"/>
      <c r="N712" s="548"/>
      <c r="O712" s="548"/>
      <c r="P712" s="548"/>
      <c r="Q712" s="548"/>
      <c r="R712" s="548"/>
      <c r="S712" s="548"/>
      <c r="T712" s="548"/>
      <c r="U712" s="548"/>
      <c r="V712" s="548"/>
      <c r="W712" s="548"/>
      <c r="X712" s="548"/>
      <c r="Y712" s="548"/>
      <c r="Z712" s="548"/>
      <c r="AA712" s="548"/>
      <c r="AB712" s="548"/>
      <c r="AC712" s="548"/>
      <c r="AD712" s="548"/>
      <c r="AE712" s="548"/>
      <c r="AF712" s="548"/>
      <c r="AG712" s="548"/>
      <c r="AH712" s="548"/>
      <c r="AI712" s="548"/>
      <c r="AJ712" s="548"/>
      <c r="AK712" s="548"/>
      <c r="AL712" s="548"/>
      <c r="AM712" s="548"/>
      <c r="AN712" s="548"/>
      <c r="AO712" s="548"/>
    </row>
    <row r="713">
      <c r="G713" s="548"/>
      <c r="H713" s="548"/>
      <c r="I713" s="548"/>
      <c r="J713" s="548"/>
      <c r="K713" s="548"/>
      <c r="L713" s="548"/>
      <c r="M713" s="548"/>
      <c r="N713" s="548"/>
      <c r="O713" s="548"/>
      <c r="P713" s="548"/>
      <c r="Q713" s="548"/>
      <c r="R713" s="548"/>
      <c r="S713" s="548"/>
      <c r="T713" s="548"/>
      <c r="U713" s="548"/>
      <c r="V713" s="548"/>
      <c r="W713" s="548"/>
      <c r="X713" s="548"/>
      <c r="Y713" s="548"/>
      <c r="Z713" s="548"/>
      <c r="AA713" s="548"/>
      <c r="AB713" s="548"/>
      <c r="AC713" s="548"/>
      <c r="AD713" s="548"/>
      <c r="AE713" s="548"/>
      <c r="AF713" s="548"/>
      <c r="AG713" s="548"/>
      <c r="AH713" s="548"/>
      <c r="AI713" s="548"/>
      <c r="AJ713" s="548"/>
      <c r="AK713" s="548"/>
      <c r="AL713" s="548"/>
      <c r="AM713" s="548"/>
      <c r="AN713" s="548"/>
      <c r="AO713" s="548"/>
    </row>
    <row r="714">
      <c r="G714" s="548"/>
      <c r="H714" s="548"/>
      <c r="I714" s="548"/>
      <c r="J714" s="548"/>
      <c r="K714" s="548"/>
      <c r="L714" s="548"/>
      <c r="M714" s="548"/>
      <c r="N714" s="548"/>
      <c r="O714" s="548"/>
      <c r="P714" s="548"/>
      <c r="Q714" s="548"/>
      <c r="R714" s="548"/>
      <c r="S714" s="548"/>
      <c r="T714" s="548"/>
      <c r="U714" s="548"/>
      <c r="V714" s="548"/>
      <c r="W714" s="548"/>
      <c r="X714" s="548"/>
      <c r="Y714" s="548"/>
      <c r="Z714" s="548"/>
      <c r="AA714" s="548"/>
      <c r="AB714" s="548"/>
      <c r="AC714" s="548"/>
      <c r="AD714" s="548"/>
      <c r="AE714" s="548"/>
      <c r="AF714" s="548"/>
      <c r="AG714" s="548"/>
      <c r="AH714" s="548"/>
      <c r="AI714" s="548"/>
      <c r="AJ714" s="548"/>
      <c r="AK714" s="548"/>
      <c r="AL714" s="548"/>
      <c r="AM714" s="548"/>
      <c r="AN714" s="548"/>
      <c r="AO714" s="548"/>
    </row>
    <row r="715">
      <c r="G715" s="548"/>
      <c r="H715" s="548"/>
      <c r="I715" s="548"/>
      <c r="J715" s="548"/>
      <c r="K715" s="548"/>
      <c r="L715" s="548"/>
      <c r="M715" s="548"/>
      <c r="N715" s="548"/>
      <c r="O715" s="548"/>
      <c r="P715" s="548"/>
      <c r="Q715" s="548"/>
      <c r="R715" s="548"/>
      <c r="S715" s="548"/>
      <c r="T715" s="548"/>
      <c r="U715" s="548"/>
      <c r="V715" s="548"/>
      <c r="W715" s="548"/>
      <c r="X715" s="548"/>
      <c r="Y715" s="548"/>
      <c r="Z715" s="548"/>
      <c r="AA715" s="548"/>
      <c r="AB715" s="548"/>
      <c r="AC715" s="548"/>
      <c r="AD715" s="548"/>
      <c r="AE715" s="548"/>
      <c r="AF715" s="548"/>
      <c r="AG715" s="548"/>
      <c r="AH715" s="548"/>
      <c r="AI715" s="548"/>
      <c r="AJ715" s="548"/>
      <c r="AK715" s="548"/>
      <c r="AL715" s="548"/>
      <c r="AM715" s="548"/>
      <c r="AN715" s="548"/>
      <c r="AO715" s="548"/>
    </row>
    <row r="716">
      <c r="G716" s="548"/>
      <c r="H716" s="548"/>
      <c r="I716" s="548"/>
      <c r="J716" s="548"/>
      <c r="K716" s="548"/>
      <c r="L716" s="548"/>
      <c r="M716" s="548"/>
      <c r="N716" s="548"/>
      <c r="O716" s="548"/>
      <c r="P716" s="548"/>
      <c r="Q716" s="548"/>
      <c r="R716" s="548"/>
      <c r="S716" s="548"/>
      <c r="T716" s="548"/>
      <c r="U716" s="548"/>
      <c r="V716" s="548"/>
      <c r="W716" s="548"/>
      <c r="X716" s="548"/>
      <c r="Y716" s="548"/>
      <c r="Z716" s="548"/>
      <c r="AA716" s="548"/>
      <c r="AB716" s="548"/>
      <c r="AC716" s="548"/>
      <c r="AD716" s="548"/>
      <c r="AE716" s="548"/>
      <c r="AF716" s="548"/>
      <c r="AG716" s="548"/>
      <c r="AH716" s="548"/>
      <c r="AI716" s="548"/>
      <c r="AJ716" s="548"/>
      <c r="AK716" s="548"/>
      <c r="AL716" s="548"/>
      <c r="AM716" s="548"/>
      <c r="AN716" s="548"/>
      <c r="AO716" s="548"/>
    </row>
    <row r="717">
      <c r="G717" s="548"/>
      <c r="H717" s="548"/>
      <c r="I717" s="548"/>
      <c r="J717" s="548"/>
      <c r="K717" s="548"/>
      <c r="L717" s="548"/>
      <c r="M717" s="548"/>
      <c r="N717" s="548"/>
      <c r="O717" s="548"/>
      <c r="P717" s="548"/>
      <c r="Q717" s="548"/>
      <c r="R717" s="548"/>
      <c r="S717" s="548"/>
      <c r="T717" s="548"/>
      <c r="U717" s="548"/>
      <c r="V717" s="548"/>
      <c r="W717" s="548"/>
      <c r="X717" s="548"/>
      <c r="Y717" s="548"/>
      <c r="Z717" s="548"/>
      <c r="AA717" s="548"/>
      <c r="AB717" s="548"/>
      <c r="AC717" s="548"/>
      <c r="AD717" s="548"/>
      <c r="AE717" s="548"/>
      <c r="AF717" s="548"/>
      <c r="AG717" s="548"/>
      <c r="AH717" s="548"/>
      <c r="AI717" s="548"/>
      <c r="AJ717" s="548"/>
      <c r="AK717" s="548"/>
      <c r="AL717" s="548"/>
      <c r="AM717" s="548"/>
      <c r="AN717" s="548"/>
      <c r="AO717" s="548"/>
    </row>
    <row r="718">
      <c r="G718" s="548"/>
      <c r="H718" s="548"/>
      <c r="I718" s="548"/>
      <c r="J718" s="548"/>
      <c r="K718" s="548"/>
      <c r="L718" s="548"/>
      <c r="M718" s="548"/>
      <c r="N718" s="548"/>
      <c r="O718" s="548"/>
      <c r="P718" s="548"/>
      <c r="Q718" s="548"/>
      <c r="R718" s="548"/>
      <c r="S718" s="548"/>
      <c r="T718" s="548"/>
      <c r="U718" s="548"/>
      <c r="V718" s="548"/>
      <c r="W718" s="548"/>
      <c r="X718" s="548"/>
      <c r="Y718" s="548"/>
      <c r="Z718" s="548"/>
      <c r="AA718" s="548"/>
      <c r="AB718" s="548"/>
      <c r="AC718" s="548"/>
      <c r="AD718" s="548"/>
      <c r="AE718" s="548"/>
      <c r="AF718" s="548"/>
      <c r="AG718" s="548"/>
      <c r="AH718" s="548"/>
      <c r="AI718" s="548"/>
      <c r="AJ718" s="548"/>
      <c r="AK718" s="548"/>
      <c r="AL718" s="548"/>
      <c r="AM718" s="548"/>
      <c r="AN718" s="548"/>
      <c r="AO718" s="548"/>
    </row>
    <row r="719">
      <c r="G719" s="548"/>
      <c r="H719" s="548"/>
      <c r="I719" s="548"/>
      <c r="J719" s="548"/>
      <c r="K719" s="548"/>
      <c r="L719" s="548"/>
      <c r="M719" s="548"/>
      <c r="N719" s="548"/>
      <c r="O719" s="548"/>
      <c r="P719" s="548"/>
      <c r="Q719" s="548"/>
      <c r="R719" s="548"/>
      <c r="S719" s="548"/>
      <c r="T719" s="548"/>
      <c r="U719" s="548"/>
      <c r="V719" s="548"/>
      <c r="W719" s="548"/>
      <c r="X719" s="548"/>
      <c r="Y719" s="548"/>
      <c r="Z719" s="548"/>
      <c r="AA719" s="548"/>
      <c r="AB719" s="548"/>
      <c r="AC719" s="548"/>
      <c r="AD719" s="548"/>
      <c r="AE719" s="548"/>
      <c r="AF719" s="548"/>
      <c r="AG719" s="548"/>
      <c r="AH719" s="548"/>
      <c r="AI719" s="548"/>
      <c r="AJ719" s="548"/>
      <c r="AK719" s="548"/>
      <c r="AL719" s="548"/>
      <c r="AM719" s="548"/>
      <c r="AN719" s="548"/>
      <c r="AO719" s="548"/>
    </row>
    <row r="720">
      <c r="G720" s="548"/>
      <c r="H720" s="548"/>
      <c r="I720" s="548"/>
      <c r="J720" s="548"/>
      <c r="K720" s="548"/>
      <c r="L720" s="548"/>
      <c r="M720" s="548"/>
      <c r="N720" s="548"/>
      <c r="O720" s="548"/>
      <c r="P720" s="548"/>
      <c r="Q720" s="548"/>
      <c r="R720" s="548"/>
      <c r="S720" s="548"/>
      <c r="T720" s="548"/>
      <c r="U720" s="548"/>
      <c r="V720" s="548"/>
      <c r="W720" s="548"/>
      <c r="X720" s="548"/>
      <c r="Y720" s="548"/>
      <c r="Z720" s="548"/>
      <c r="AA720" s="548"/>
      <c r="AB720" s="548"/>
      <c r="AC720" s="548"/>
      <c r="AD720" s="548"/>
      <c r="AE720" s="548"/>
      <c r="AF720" s="548"/>
      <c r="AG720" s="548"/>
      <c r="AH720" s="548"/>
      <c r="AI720" s="548"/>
      <c r="AJ720" s="548"/>
      <c r="AK720" s="548"/>
      <c r="AL720" s="548"/>
      <c r="AM720" s="548"/>
      <c r="AN720" s="548"/>
      <c r="AO720" s="548"/>
    </row>
    <row r="721">
      <c r="G721" s="548"/>
      <c r="H721" s="548"/>
      <c r="I721" s="548"/>
      <c r="J721" s="548"/>
      <c r="K721" s="548"/>
      <c r="L721" s="548"/>
      <c r="M721" s="548"/>
      <c r="N721" s="548"/>
      <c r="O721" s="548"/>
      <c r="P721" s="548"/>
      <c r="Q721" s="548"/>
      <c r="R721" s="548"/>
      <c r="S721" s="548"/>
      <c r="T721" s="548"/>
      <c r="U721" s="548"/>
      <c r="V721" s="548"/>
      <c r="W721" s="548"/>
      <c r="X721" s="548"/>
      <c r="Y721" s="548"/>
      <c r="Z721" s="548"/>
      <c r="AA721" s="548"/>
      <c r="AB721" s="548"/>
      <c r="AC721" s="548"/>
      <c r="AD721" s="548"/>
      <c r="AE721" s="548"/>
      <c r="AF721" s="548"/>
      <c r="AG721" s="548"/>
      <c r="AH721" s="548"/>
      <c r="AI721" s="548"/>
      <c r="AJ721" s="548"/>
      <c r="AK721" s="548"/>
      <c r="AL721" s="548"/>
      <c r="AM721" s="548"/>
      <c r="AN721" s="548"/>
      <c r="AO721" s="548"/>
    </row>
    <row r="722">
      <c r="G722" s="548"/>
      <c r="H722" s="548"/>
      <c r="I722" s="548"/>
      <c r="J722" s="548"/>
      <c r="K722" s="548"/>
      <c r="L722" s="548"/>
      <c r="M722" s="548"/>
      <c r="N722" s="548"/>
      <c r="O722" s="548"/>
      <c r="P722" s="548"/>
      <c r="Q722" s="548"/>
      <c r="R722" s="548"/>
      <c r="S722" s="548"/>
      <c r="T722" s="548"/>
      <c r="U722" s="548"/>
      <c r="V722" s="548"/>
      <c r="W722" s="548"/>
      <c r="X722" s="548"/>
      <c r="Y722" s="548"/>
      <c r="Z722" s="548"/>
      <c r="AA722" s="548"/>
      <c r="AB722" s="548"/>
      <c r="AC722" s="548"/>
      <c r="AD722" s="548"/>
      <c r="AE722" s="548"/>
      <c r="AF722" s="548"/>
      <c r="AG722" s="548"/>
      <c r="AH722" s="548"/>
      <c r="AI722" s="548"/>
      <c r="AJ722" s="548"/>
      <c r="AK722" s="548"/>
      <c r="AL722" s="548"/>
      <c r="AM722" s="548"/>
      <c r="AN722" s="548"/>
      <c r="AO722" s="548"/>
    </row>
    <row r="723">
      <c r="G723" s="548"/>
      <c r="H723" s="548"/>
      <c r="I723" s="548"/>
      <c r="J723" s="548"/>
      <c r="K723" s="548"/>
      <c r="L723" s="548"/>
      <c r="M723" s="548"/>
      <c r="N723" s="548"/>
      <c r="O723" s="548"/>
      <c r="P723" s="548"/>
      <c r="Q723" s="548"/>
      <c r="R723" s="548"/>
      <c r="S723" s="548"/>
      <c r="T723" s="548"/>
      <c r="U723" s="548"/>
      <c r="V723" s="548"/>
      <c r="W723" s="548"/>
      <c r="X723" s="548"/>
      <c r="Y723" s="548"/>
      <c r="Z723" s="548"/>
      <c r="AA723" s="548"/>
      <c r="AB723" s="548"/>
      <c r="AC723" s="548"/>
      <c r="AD723" s="548"/>
      <c r="AE723" s="548"/>
      <c r="AF723" s="548"/>
      <c r="AG723" s="548"/>
      <c r="AH723" s="548"/>
      <c r="AI723" s="548"/>
      <c r="AJ723" s="548"/>
      <c r="AK723" s="548"/>
      <c r="AL723" s="548"/>
      <c r="AM723" s="548"/>
      <c r="AN723" s="548"/>
      <c r="AO723" s="548"/>
    </row>
    <row r="724">
      <c r="G724" s="548"/>
      <c r="H724" s="548"/>
      <c r="I724" s="548"/>
      <c r="J724" s="548"/>
      <c r="K724" s="548"/>
      <c r="L724" s="548"/>
      <c r="M724" s="548"/>
      <c r="N724" s="548"/>
      <c r="O724" s="548"/>
      <c r="P724" s="548"/>
      <c r="Q724" s="548"/>
      <c r="R724" s="548"/>
      <c r="S724" s="548"/>
      <c r="T724" s="548"/>
      <c r="U724" s="548"/>
      <c r="V724" s="548"/>
      <c r="W724" s="548"/>
      <c r="X724" s="548"/>
      <c r="Y724" s="548"/>
      <c r="Z724" s="548"/>
      <c r="AA724" s="548"/>
      <c r="AB724" s="548"/>
      <c r="AC724" s="548"/>
      <c r="AD724" s="548"/>
      <c r="AE724" s="548"/>
      <c r="AF724" s="548"/>
      <c r="AG724" s="548"/>
      <c r="AH724" s="548"/>
      <c r="AI724" s="548"/>
      <c r="AJ724" s="548"/>
      <c r="AK724" s="548"/>
      <c r="AL724" s="548"/>
      <c r="AM724" s="548"/>
      <c r="AN724" s="548"/>
      <c r="AO724" s="548"/>
    </row>
    <row r="725">
      <c r="G725" s="548"/>
      <c r="H725" s="548"/>
      <c r="I725" s="548"/>
      <c r="J725" s="548"/>
      <c r="K725" s="548"/>
      <c r="L725" s="548"/>
      <c r="M725" s="548"/>
      <c r="N725" s="548"/>
      <c r="O725" s="548"/>
      <c r="P725" s="548"/>
      <c r="Q725" s="548"/>
      <c r="R725" s="548"/>
      <c r="S725" s="548"/>
      <c r="T725" s="548"/>
      <c r="U725" s="548"/>
      <c r="V725" s="548"/>
      <c r="W725" s="548"/>
      <c r="X725" s="548"/>
      <c r="Y725" s="548"/>
      <c r="Z725" s="548"/>
      <c r="AA725" s="548"/>
      <c r="AB725" s="548"/>
      <c r="AC725" s="548"/>
      <c r="AD725" s="548"/>
      <c r="AE725" s="548"/>
      <c r="AF725" s="548"/>
      <c r="AG725" s="548"/>
      <c r="AH725" s="548"/>
      <c r="AI725" s="548"/>
      <c r="AJ725" s="548"/>
      <c r="AK725" s="548"/>
      <c r="AL725" s="548"/>
      <c r="AM725" s="548"/>
      <c r="AN725" s="548"/>
      <c r="AO725" s="548"/>
    </row>
    <row r="726">
      <c r="G726" s="548"/>
      <c r="H726" s="548"/>
      <c r="I726" s="548"/>
      <c r="J726" s="548"/>
      <c r="K726" s="548"/>
      <c r="L726" s="548"/>
      <c r="M726" s="548"/>
      <c r="N726" s="548"/>
      <c r="O726" s="548"/>
      <c r="P726" s="548"/>
      <c r="Q726" s="548"/>
      <c r="R726" s="548"/>
      <c r="S726" s="548"/>
      <c r="T726" s="548"/>
      <c r="U726" s="548"/>
      <c r="V726" s="548"/>
      <c r="W726" s="548"/>
      <c r="X726" s="548"/>
      <c r="Y726" s="548"/>
      <c r="Z726" s="548"/>
      <c r="AA726" s="548"/>
      <c r="AB726" s="548"/>
      <c r="AC726" s="548"/>
      <c r="AD726" s="548"/>
      <c r="AE726" s="548"/>
      <c r="AF726" s="548"/>
      <c r="AG726" s="548"/>
      <c r="AH726" s="548"/>
      <c r="AI726" s="548"/>
      <c r="AJ726" s="548"/>
      <c r="AK726" s="548"/>
      <c r="AL726" s="548"/>
      <c r="AM726" s="548"/>
      <c r="AN726" s="548"/>
      <c r="AO726" s="548"/>
    </row>
    <row r="727">
      <c r="G727" s="548"/>
      <c r="H727" s="548"/>
      <c r="I727" s="548"/>
      <c r="J727" s="548"/>
      <c r="K727" s="548"/>
      <c r="L727" s="548"/>
      <c r="M727" s="548"/>
      <c r="N727" s="548"/>
      <c r="O727" s="548"/>
      <c r="P727" s="548"/>
      <c r="Q727" s="548"/>
      <c r="R727" s="548"/>
      <c r="S727" s="548"/>
      <c r="T727" s="548"/>
      <c r="U727" s="548"/>
      <c r="V727" s="548"/>
      <c r="W727" s="548"/>
      <c r="X727" s="548"/>
      <c r="Y727" s="548"/>
      <c r="Z727" s="548"/>
      <c r="AA727" s="548"/>
      <c r="AB727" s="548"/>
      <c r="AC727" s="548"/>
      <c r="AD727" s="548"/>
      <c r="AE727" s="548"/>
      <c r="AF727" s="548"/>
      <c r="AG727" s="548"/>
      <c r="AH727" s="548"/>
      <c r="AI727" s="548"/>
      <c r="AJ727" s="548"/>
      <c r="AK727" s="548"/>
      <c r="AL727" s="548"/>
      <c r="AM727" s="548"/>
      <c r="AN727" s="548"/>
      <c r="AO727" s="548"/>
    </row>
    <row r="728">
      <c r="G728" s="548"/>
      <c r="H728" s="548"/>
      <c r="I728" s="548"/>
      <c r="J728" s="548"/>
      <c r="K728" s="548"/>
      <c r="L728" s="548"/>
      <c r="M728" s="548"/>
      <c r="N728" s="548"/>
      <c r="O728" s="548"/>
      <c r="P728" s="548"/>
      <c r="Q728" s="548"/>
      <c r="R728" s="548"/>
      <c r="S728" s="548"/>
      <c r="T728" s="548"/>
      <c r="U728" s="548"/>
      <c r="V728" s="548"/>
      <c r="W728" s="548"/>
      <c r="X728" s="548"/>
      <c r="Y728" s="548"/>
      <c r="Z728" s="548"/>
      <c r="AA728" s="548"/>
      <c r="AB728" s="548"/>
      <c r="AC728" s="548"/>
      <c r="AD728" s="548"/>
      <c r="AE728" s="548"/>
      <c r="AF728" s="548"/>
      <c r="AG728" s="548"/>
      <c r="AH728" s="548"/>
      <c r="AI728" s="548"/>
      <c r="AJ728" s="548"/>
      <c r="AK728" s="548"/>
      <c r="AL728" s="548"/>
      <c r="AM728" s="548"/>
      <c r="AN728" s="548"/>
      <c r="AO728" s="548"/>
    </row>
    <row r="729">
      <c r="G729" s="548"/>
      <c r="H729" s="548"/>
      <c r="I729" s="548"/>
      <c r="J729" s="548"/>
      <c r="K729" s="548"/>
      <c r="L729" s="548"/>
      <c r="M729" s="548"/>
      <c r="N729" s="548"/>
      <c r="O729" s="548"/>
      <c r="P729" s="548"/>
      <c r="Q729" s="548"/>
      <c r="R729" s="548"/>
      <c r="S729" s="548"/>
      <c r="T729" s="548"/>
      <c r="U729" s="548"/>
      <c r="V729" s="548"/>
      <c r="W729" s="548"/>
      <c r="X729" s="548"/>
      <c r="Y729" s="548"/>
      <c r="Z729" s="548"/>
      <c r="AA729" s="548"/>
      <c r="AB729" s="548"/>
      <c r="AC729" s="548"/>
      <c r="AD729" s="548"/>
      <c r="AE729" s="548"/>
      <c r="AF729" s="548"/>
      <c r="AG729" s="548"/>
      <c r="AH729" s="548"/>
      <c r="AI729" s="548"/>
      <c r="AJ729" s="548"/>
      <c r="AK729" s="548"/>
      <c r="AL729" s="548"/>
      <c r="AM729" s="548"/>
      <c r="AN729" s="548"/>
      <c r="AO729" s="548"/>
    </row>
    <row r="730">
      <c r="G730" s="548"/>
      <c r="H730" s="548"/>
      <c r="I730" s="548"/>
      <c r="J730" s="548"/>
      <c r="K730" s="548"/>
      <c r="L730" s="548"/>
      <c r="M730" s="548"/>
      <c r="N730" s="548"/>
      <c r="O730" s="548"/>
      <c r="P730" s="548"/>
      <c r="Q730" s="548"/>
      <c r="R730" s="548"/>
      <c r="S730" s="548"/>
      <c r="T730" s="548"/>
      <c r="U730" s="548"/>
      <c r="V730" s="548"/>
      <c r="W730" s="548"/>
      <c r="X730" s="548"/>
      <c r="Y730" s="548"/>
      <c r="Z730" s="548"/>
      <c r="AA730" s="548"/>
      <c r="AB730" s="548"/>
      <c r="AC730" s="548"/>
      <c r="AD730" s="548"/>
      <c r="AE730" s="548"/>
      <c r="AF730" s="548"/>
      <c r="AG730" s="548"/>
      <c r="AH730" s="548"/>
      <c r="AI730" s="548"/>
      <c r="AJ730" s="548"/>
      <c r="AK730" s="548"/>
      <c r="AL730" s="548"/>
      <c r="AM730" s="548"/>
      <c r="AN730" s="548"/>
      <c r="AO730" s="548"/>
    </row>
    <row r="731">
      <c r="G731" s="548"/>
      <c r="H731" s="548"/>
      <c r="I731" s="548"/>
      <c r="J731" s="548"/>
      <c r="K731" s="548"/>
      <c r="L731" s="548"/>
      <c r="M731" s="548"/>
      <c r="N731" s="548"/>
      <c r="O731" s="548"/>
      <c r="P731" s="548"/>
      <c r="Q731" s="548"/>
      <c r="R731" s="548"/>
      <c r="S731" s="548"/>
      <c r="T731" s="548"/>
      <c r="U731" s="548"/>
      <c r="V731" s="548"/>
      <c r="W731" s="548"/>
      <c r="X731" s="548"/>
      <c r="Y731" s="548"/>
      <c r="Z731" s="548"/>
      <c r="AA731" s="548"/>
      <c r="AB731" s="548"/>
      <c r="AC731" s="548"/>
      <c r="AD731" s="548"/>
      <c r="AE731" s="548"/>
      <c r="AF731" s="548"/>
      <c r="AG731" s="548"/>
      <c r="AH731" s="548"/>
      <c r="AI731" s="548"/>
      <c r="AJ731" s="548"/>
      <c r="AK731" s="548"/>
      <c r="AL731" s="548"/>
      <c r="AM731" s="548"/>
      <c r="AN731" s="548"/>
      <c r="AO731" s="548"/>
    </row>
    <row r="732">
      <c r="G732" s="548"/>
      <c r="H732" s="548"/>
      <c r="I732" s="548"/>
      <c r="J732" s="548"/>
      <c r="K732" s="548"/>
      <c r="L732" s="548"/>
      <c r="M732" s="548"/>
      <c r="N732" s="548"/>
      <c r="O732" s="548"/>
      <c r="P732" s="548"/>
      <c r="Q732" s="548"/>
      <c r="R732" s="548"/>
      <c r="S732" s="548"/>
      <c r="T732" s="548"/>
      <c r="U732" s="548"/>
      <c r="V732" s="548"/>
      <c r="W732" s="548"/>
      <c r="X732" s="548"/>
      <c r="Y732" s="548"/>
      <c r="Z732" s="548"/>
      <c r="AA732" s="548"/>
      <c r="AB732" s="548"/>
      <c r="AC732" s="548"/>
      <c r="AD732" s="548"/>
      <c r="AE732" s="548"/>
      <c r="AF732" s="548"/>
      <c r="AG732" s="548"/>
      <c r="AH732" s="548"/>
      <c r="AI732" s="548"/>
      <c r="AJ732" s="548"/>
      <c r="AK732" s="548"/>
      <c r="AL732" s="548"/>
      <c r="AM732" s="548"/>
      <c r="AN732" s="548"/>
      <c r="AO732" s="548"/>
    </row>
    <row r="733">
      <c r="G733" s="548"/>
      <c r="H733" s="548"/>
      <c r="I733" s="548"/>
      <c r="J733" s="548"/>
      <c r="K733" s="548"/>
      <c r="L733" s="548"/>
      <c r="M733" s="548"/>
      <c r="N733" s="548"/>
      <c r="O733" s="548"/>
      <c r="P733" s="548"/>
      <c r="Q733" s="548"/>
      <c r="R733" s="548"/>
      <c r="S733" s="548"/>
      <c r="T733" s="548"/>
      <c r="U733" s="548"/>
      <c r="V733" s="548"/>
      <c r="W733" s="548"/>
      <c r="X733" s="548"/>
      <c r="Y733" s="548"/>
      <c r="Z733" s="548"/>
      <c r="AA733" s="548"/>
      <c r="AB733" s="548"/>
      <c r="AC733" s="548"/>
      <c r="AD733" s="548"/>
      <c r="AE733" s="548"/>
      <c r="AF733" s="548"/>
      <c r="AG733" s="548"/>
      <c r="AH733" s="548"/>
      <c r="AI733" s="548"/>
      <c r="AJ733" s="548"/>
      <c r="AK733" s="548"/>
      <c r="AL733" s="548"/>
      <c r="AM733" s="548"/>
      <c r="AN733" s="548"/>
      <c r="AO733" s="548"/>
    </row>
    <row r="734">
      <c r="G734" s="548"/>
      <c r="H734" s="548"/>
      <c r="I734" s="548"/>
      <c r="J734" s="548"/>
      <c r="K734" s="548"/>
      <c r="L734" s="548"/>
      <c r="M734" s="548"/>
      <c r="N734" s="548"/>
      <c r="O734" s="548"/>
      <c r="P734" s="548"/>
      <c r="Q734" s="548"/>
      <c r="R734" s="548"/>
      <c r="S734" s="548"/>
      <c r="T734" s="548"/>
      <c r="U734" s="548"/>
      <c r="V734" s="548"/>
      <c r="W734" s="548"/>
      <c r="X734" s="548"/>
      <c r="Y734" s="548"/>
      <c r="Z734" s="548"/>
      <c r="AA734" s="548"/>
      <c r="AB734" s="548"/>
      <c r="AC734" s="548"/>
      <c r="AD734" s="548"/>
      <c r="AE734" s="548"/>
      <c r="AF734" s="548"/>
      <c r="AG734" s="548"/>
      <c r="AH734" s="548"/>
      <c r="AI734" s="548"/>
      <c r="AJ734" s="548"/>
      <c r="AK734" s="548"/>
      <c r="AL734" s="548"/>
      <c r="AM734" s="548"/>
      <c r="AN734" s="548"/>
      <c r="AO734" s="548"/>
    </row>
    <row r="735">
      <c r="G735" s="548"/>
      <c r="H735" s="548"/>
      <c r="I735" s="548"/>
      <c r="J735" s="548"/>
      <c r="K735" s="548"/>
      <c r="L735" s="548"/>
      <c r="M735" s="548"/>
      <c r="N735" s="548"/>
      <c r="O735" s="548"/>
      <c r="P735" s="548"/>
      <c r="Q735" s="548"/>
      <c r="R735" s="548"/>
      <c r="S735" s="548"/>
      <c r="T735" s="548"/>
      <c r="U735" s="548"/>
      <c r="V735" s="548"/>
      <c r="W735" s="548"/>
      <c r="X735" s="548"/>
      <c r="Y735" s="548"/>
      <c r="Z735" s="548"/>
      <c r="AA735" s="548"/>
      <c r="AB735" s="548"/>
      <c r="AC735" s="548"/>
      <c r="AD735" s="548"/>
      <c r="AE735" s="548"/>
      <c r="AF735" s="548"/>
      <c r="AG735" s="548"/>
      <c r="AH735" s="548"/>
      <c r="AI735" s="548"/>
      <c r="AJ735" s="548"/>
      <c r="AK735" s="548"/>
      <c r="AL735" s="548"/>
      <c r="AM735" s="548"/>
      <c r="AN735" s="548"/>
      <c r="AO735" s="548"/>
    </row>
    <row r="736">
      <c r="G736" s="548"/>
      <c r="H736" s="548"/>
      <c r="I736" s="548"/>
      <c r="J736" s="548"/>
      <c r="K736" s="548"/>
      <c r="L736" s="548"/>
      <c r="M736" s="548"/>
      <c r="N736" s="548"/>
      <c r="O736" s="548"/>
      <c r="P736" s="548"/>
      <c r="Q736" s="548"/>
      <c r="R736" s="548"/>
      <c r="S736" s="548"/>
      <c r="T736" s="548"/>
      <c r="U736" s="548"/>
      <c r="V736" s="548"/>
      <c r="W736" s="548"/>
      <c r="X736" s="548"/>
      <c r="Y736" s="548"/>
      <c r="Z736" s="548"/>
      <c r="AA736" s="548"/>
      <c r="AB736" s="548"/>
      <c r="AC736" s="548"/>
      <c r="AD736" s="548"/>
      <c r="AE736" s="548"/>
      <c r="AF736" s="548"/>
      <c r="AG736" s="548"/>
      <c r="AH736" s="548"/>
      <c r="AI736" s="548"/>
      <c r="AJ736" s="548"/>
      <c r="AK736" s="548"/>
      <c r="AL736" s="548"/>
      <c r="AM736" s="548"/>
      <c r="AN736" s="548"/>
      <c r="AO736" s="548"/>
    </row>
    <row r="737">
      <c r="G737" s="548"/>
      <c r="H737" s="548"/>
      <c r="I737" s="548"/>
      <c r="J737" s="548"/>
      <c r="K737" s="548"/>
      <c r="L737" s="548"/>
      <c r="M737" s="548"/>
      <c r="N737" s="548"/>
      <c r="O737" s="548"/>
      <c r="P737" s="548"/>
      <c r="Q737" s="548"/>
      <c r="R737" s="548"/>
      <c r="S737" s="548"/>
      <c r="T737" s="548"/>
      <c r="U737" s="548"/>
      <c r="V737" s="548"/>
      <c r="W737" s="548"/>
      <c r="X737" s="548"/>
      <c r="Y737" s="548"/>
      <c r="Z737" s="548"/>
      <c r="AA737" s="548"/>
      <c r="AB737" s="548"/>
      <c r="AC737" s="548"/>
      <c r="AD737" s="548"/>
      <c r="AE737" s="548"/>
      <c r="AF737" s="548"/>
      <c r="AG737" s="548"/>
      <c r="AH737" s="548"/>
      <c r="AI737" s="548"/>
      <c r="AJ737" s="548"/>
      <c r="AK737" s="548"/>
      <c r="AL737" s="548"/>
      <c r="AM737" s="548"/>
      <c r="AN737" s="548"/>
      <c r="AO737" s="548"/>
    </row>
    <row r="738">
      <c r="G738" s="548"/>
      <c r="H738" s="548"/>
      <c r="I738" s="548"/>
      <c r="J738" s="548"/>
      <c r="K738" s="548"/>
      <c r="L738" s="548"/>
      <c r="M738" s="548"/>
      <c r="N738" s="548"/>
      <c r="O738" s="548"/>
      <c r="P738" s="548"/>
      <c r="Q738" s="548"/>
      <c r="R738" s="548"/>
      <c r="S738" s="548"/>
      <c r="T738" s="548"/>
      <c r="U738" s="548"/>
      <c r="V738" s="548"/>
      <c r="W738" s="548"/>
      <c r="X738" s="548"/>
      <c r="Y738" s="548"/>
      <c r="Z738" s="548"/>
      <c r="AA738" s="548"/>
      <c r="AB738" s="548"/>
      <c r="AC738" s="548"/>
      <c r="AD738" s="548"/>
      <c r="AE738" s="548"/>
      <c r="AF738" s="548"/>
      <c r="AG738" s="548"/>
      <c r="AH738" s="548"/>
      <c r="AI738" s="548"/>
      <c r="AJ738" s="548"/>
      <c r="AK738" s="548"/>
      <c r="AL738" s="548"/>
      <c r="AM738" s="548"/>
      <c r="AN738" s="548"/>
      <c r="AO738" s="548"/>
    </row>
    <row r="739">
      <c r="G739" s="548"/>
      <c r="H739" s="548"/>
      <c r="I739" s="548"/>
      <c r="J739" s="548"/>
      <c r="K739" s="548"/>
      <c r="L739" s="548"/>
      <c r="M739" s="548"/>
      <c r="N739" s="548"/>
      <c r="O739" s="548"/>
      <c r="P739" s="548"/>
      <c r="Q739" s="548"/>
      <c r="R739" s="548"/>
      <c r="S739" s="548"/>
      <c r="T739" s="548"/>
      <c r="U739" s="548"/>
      <c r="V739" s="548"/>
      <c r="W739" s="548"/>
      <c r="X739" s="548"/>
      <c r="Y739" s="548"/>
      <c r="Z739" s="548"/>
      <c r="AA739" s="548"/>
      <c r="AB739" s="548"/>
      <c r="AC739" s="548"/>
      <c r="AD739" s="548"/>
      <c r="AE739" s="548"/>
      <c r="AF739" s="548"/>
      <c r="AG739" s="548"/>
      <c r="AH739" s="548"/>
      <c r="AI739" s="548"/>
      <c r="AJ739" s="548"/>
      <c r="AK739" s="548"/>
      <c r="AL739" s="548"/>
      <c r="AM739" s="548"/>
      <c r="AN739" s="548"/>
      <c r="AO739" s="548"/>
    </row>
    <row r="740">
      <c r="G740" s="548"/>
      <c r="H740" s="548"/>
      <c r="I740" s="548"/>
      <c r="J740" s="548"/>
      <c r="K740" s="548"/>
      <c r="L740" s="548"/>
      <c r="M740" s="548"/>
      <c r="N740" s="548"/>
      <c r="O740" s="548"/>
      <c r="P740" s="548"/>
      <c r="Q740" s="548"/>
      <c r="R740" s="548"/>
      <c r="S740" s="548"/>
      <c r="T740" s="548"/>
      <c r="U740" s="548"/>
      <c r="V740" s="548"/>
      <c r="W740" s="548"/>
      <c r="X740" s="548"/>
      <c r="Y740" s="548"/>
      <c r="Z740" s="548"/>
      <c r="AA740" s="548"/>
      <c r="AB740" s="548"/>
      <c r="AC740" s="548"/>
      <c r="AD740" s="548"/>
      <c r="AE740" s="548"/>
      <c r="AF740" s="548"/>
      <c r="AG740" s="548"/>
      <c r="AH740" s="548"/>
      <c r="AI740" s="548"/>
      <c r="AJ740" s="548"/>
      <c r="AK740" s="548"/>
      <c r="AL740" s="548"/>
      <c r="AM740" s="548"/>
      <c r="AN740" s="548"/>
      <c r="AO740" s="548"/>
    </row>
    <row r="741">
      <c r="G741" s="548"/>
      <c r="H741" s="548"/>
      <c r="I741" s="548"/>
      <c r="J741" s="548"/>
      <c r="K741" s="548"/>
      <c r="L741" s="548"/>
      <c r="M741" s="548"/>
      <c r="N741" s="548"/>
      <c r="O741" s="548"/>
      <c r="P741" s="548"/>
      <c r="Q741" s="548"/>
      <c r="R741" s="548"/>
      <c r="S741" s="548"/>
      <c r="T741" s="548"/>
      <c r="U741" s="548"/>
      <c r="V741" s="548"/>
      <c r="W741" s="548"/>
      <c r="X741" s="548"/>
      <c r="Y741" s="548"/>
      <c r="Z741" s="548"/>
      <c r="AA741" s="548"/>
      <c r="AB741" s="548"/>
      <c r="AC741" s="548"/>
      <c r="AD741" s="548"/>
      <c r="AE741" s="548"/>
      <c r="AF741" s="548"/>
      <c r="AG741" s="548"/>
      <c r="AH741" s="548"/>
      <c r="AI741" s="548"/>
      <c r="AJ741" s="548"/>
      <c r="AK741" s="548"/>
      <c r="AL741" s="548"/>
      <c r="AM741" s="548"/>
      <c r="AN741" s="548"/>
      <c r="AO741" s="548"/>
    </row>
    <row r="742">
      <c r="G742" s="548"/>
      <c r="H742" s="548"/>
      <c r="I742" s="548"/>
      <c r="J742" s="548"/>
      <c r="K742" s="548"/>
      <c r="L742" s="548"/>
      <c r="M742" s="548"/>
      <c r="N742" s="548"/>
      <c r="O742" s="548"/>
      <c r="P742" s="548"/>
      <c r="Q742" s="548"/>
      <c r="R742" s="548"/>
      <c r="S742" s="548"/>
      <c r="T742" s="548"/>
      <c r="U742" s="548"/>
      <c r="V742" s="548"/>
      <c r="W742" s="548"/>
      <c r="X742" s="548"/>
      <c r="Y742" s="548"/>
      <c r="Z742" s="548"/>
      <c r="AA742" s="548"/>
      <c r="AB742" s="548"/>
      <c r="AC742" s="548"/>
      <c r="AD742" s="548"/>
      <c r="AE742" s="548"/>
      <c r="AF742" s="548"/>
      <c r="AG742" s="548"/>
      <c r="AH742" s="548"/>
      <c r="AI742" s="548"/>
      <c r="AJ742" s="548"/>
      <c r="AK742" s="548"/>
      <c r="AL742" s="548"/>
      <c r="AM742" s="548"/>
      <c r="AN742" s="548"/>
      <c r="AO742" s="548"/>
    </row>
    <row r="743">
      <c r="G743" s="548"/>
      <c r="H743" s="548"/>
      <c r="I743" s="548"/>
      <c r="J743" s="548"/>
      <c r="K743" s="548"/>
      <c r="L743" s="548"/>
      <c r="M743" s="548"/>
      <c r="N743" s="548"/>
      <c r="O743" s="548"/>
      <c r="P743" s="548"/>
      <c r="Q743" s="548"/>
      <c r="R743" s="548"/>
      <c r="S743" s="548"/>
      <c r="T743" s="548"/>
      <c r="U743" s="548"/>
      <c r="V743" s="548"/>
      <c r="W743" s="548"/>
      <c r="X743" s="548"/>
      <c r="Y743" s="548"/>
      <c r="Z743" s="548"/>
      <c r="AA743" s="548"/>
      <c r="AB743" s="548"/>
      <c r="AC743" s="548"/>
      <c r="AD743" s="548"/>
      <c r="AE743" s="548"/>
      <c r="AF743" s="548"/>
      <c r="AG743" s="548"/>
      <c r="AH743" s="548"/>
      <c r="AI743" s="548"/>
      <c r="AJ743" s="548"/>
      <c r="AK743" s="548"/>
      <c r="AL743" s="548"/>
      <c r="AM743" s="548"/>
      <c r="AN743" s="548"/>
      <c r="AO743" s="548"/>
    </row>
    <row r="744">
      <c r="G744" s="548"/>
      <c r="H744" s="548"/>
      <c r="I744" s="548"/>
      <c r="J744" s="548"/>
      <c r="K744" s="548"/>
      <c r="L744" s="548"/>
      <c r="M744" s="548"/>
      <c r="N744" s="548"/>
      <c r="O744" s="548"/>
      <c r="P744" s="548"/>
      <c r="Q744" s="548"/>
      <c r="R744" s="548"/>
      <c r="S744" s="548"/>
      <c r="T744" s="548"/>
      <c r="U744" s="548"/>
      <c r="V744" s="548"/>
      <c r="W744" s="548"/>
      <c r="X744" s="548"/>
      <c r="Y744" s="548"/>
      <c r="Z744" s="548"/>
      <c r="AA744" s="548"/>
      <c r="AB744" s="548"/>
      <c r="AC744" s="548"/>
      <c r="AD744" s="548"/>
      <c r="AE744" s="548"/>
      <c r="AF744" s="548"/>
      <c r="AG744" s="548"/>
      <c r="AH744" s="548"/>
      <c r="AI744" s="548"/>
      <c r="AJ744" s="548"/>
      <c r="AK744" s="548"/>
      <c r="AL744" s="548"/>
      <c r="AM744" s="548"/>
      <c r="AN744" s="548"/>
      <c r="AO744" s="548"/>
    </row>
    <row r="745">
      <c r="G745" s="548"/>
      <c r="H745" s="548"/>
      <c r="I745" s="548"/>
      <c r="J745" s="548"/>
      <c r="K745" s="548"/>
      <c r="L745" s="548"/>
      <c r="M745" s="548"/>
      <c r="N745" s="548"/>
      <c r="O745" s="548"/>
      <c r="P745" s="548"/>
      <c r="Q745" s="548"/>
      <c r="R745" s="548"/>
      <c r="S745" s="548"/>
      <c r="T745" s="548"/>
      <c r="U745" s="548"/>
      <c r="V745" s="548"/>
      <c r="W745" s="548"/>
      <c r="X745" s="548"/>
      <c r="Y745" s="548"/>
      <c r="Z745" s="548"/>
      <c r="AA745" s="548"/>
      <c r="AB745" s="548"/>
      <c r="AC745" s="548"/>
      <c r="AD745" s="548"/>
      <c r="AE745" s="548"/>
      <c r="AF745" s="548"/>
      <c r="AG745" s="548"/>
      <c r="AH745" s="548"/>
      <c r="AI745" s="548"/>
      <c r="AJ745" s="548"/>
      <c r="AK745" s="548"/>
      <c r="AL745" s="548"/>
      <c r="AM745" s="548"/>
      <c r="AN745" s="548"/>
      <c r="AO745" s="548"/>
    </row>
    <row r="746">
      <c r="G746" s="548"/>
      <c r="H746" s="548"/>
      <c r="I746" s="548"/>
      <c r="J746" s="548"/>
      <c r="K746" s="548"/>
      <c r="L746" s="548"/>
      <c r="M746" s="548"/>
      <c r="N746" s="548"/>
      <c r="O746" s="548"/>
      <c r="P746" s="548"/>
      <c r="Q746" s="548"/>
      <c r="R746" s="548"/>
      <c r="S746" s="548"/>
      <c r="T746" s="548"/>
      <c r="U746" s="548"/>
      <c r="V746" s="548"/>
      <c r="W746" s="548"/>
      <c r="X746" s="548"/>
      <c r="Y746" s="548"/>
      <c r="Z746" s="548"/>
      <c r="AA746" s="548"/>
      <c r="AB746" s="548"/>
      <c r="AC746" s="548"/>
      <c r="AD746" s="548"/>
      <c r="AE746" s="548"/>
      <c r="AF746" s="548"/>
      <c r="AG746" s="548"/>
      <c r="AH746" s="548"/>
      <c r="AI746" s="548"/>
      <c r="AJ746" s="548"/>
      <c r="AK746" s="548"/>
      <c r="AL746" s="548"/>
      <c r="AM746" s="548"/>
      <c r="AN746" s="548"/>
      <c r="AO746" s="548"/>
    </row>
    <row r="747">
      <c r="G747" s="548"/>
      <c r="H747" s="548"/>
      <c r="I747" s="548"/>
      <c r="J747" s="548"/>
      <c r="K747" s="548"/>
      <c r="L747" s="548"/>
      <c r="M747" s="548"/>
      <c r="N747" s="548"/>
      <c r="O747" s="548"/>
      <c r="P747" s="548"/>
      <c r="Q747" s="548"/>
      <c r="R747" s="548"/>
      <c r="S747" s="548"/>
      <c r="T747" s="548"/>
      <c r="U747" s="548"/>
      <c r="V747" s="548"/>
      <c r="W747" s="548"/>
      <c r="X747" s="548"/>
      <c r="Y747" s="548"/>
      <c r="Z747" s="548"/>
      <c r="AA747" s="548"/>
      <c r="AB747" s="548"/>
      <c r="AC747" s="548"/>
      <c r="AD747" s="548"/>
      <c r="AE747" s="548"/>
      <c r="AF747" s="548"/>
      <c r="AG747" s="548"/>
      <c r="AH747" s="548"/>
      <c r="AI747" s="548"/>
      <c r="AJ747" s="548"/>
      <c r="AK747" s="548"/>
      <c r="AL747" s="548"/>
      <c r="AM747" s="548"/>
      <c r="AN747" s="548"/>
      <c r="AO747" s="548"/>
    </row>
    <row r="748">
      <c r="G748" s="548"/>
      <c r="H748" s="548"/>
      <c r="I748" s="548"/>
      <c r="J748" s="548"/>
      <c r="K748" s="548"/>
      <c r="L748" s="548"/>
      <c r="M748" s="548"/>
      <c r="N748" s="548"/>
      <c r="O748" s="548"/>
      <c r="P748" s="548"/>
      <c r="Q748" s="548"/>
      <c r="R748" s="548"/>
      <c r="S748" s="548"/>
      <c r="T748" s="548"/>
      <c r="U748" s="548"/>
      <c r="V748" s="548"/>
      <c r="W748" s="548"/>
      <c r="X748" s="548"/>
      <c r="Y748" s="548"/>
      <c r="Z748" s="548"/>
      <c r="AA748" s="548"/>
      <c r="AB748" s="548"/>
      <c r="AC748" s="548"/>
      <c r="AD748" s="548"/>
      <c r="AE748" s="548"/>
      <c r="AF748" s="548"/>
      <c r="AG748" s="548"/>
      <c r="AH748" s="548"/>
      <c r="AI748" s="548"/>
      <c r="AJ748" s="548"/>
      <c r="AK748" s="548"/>
      <c r="AL748" s="548"/>
      <c r="AM748" s="548"/>
      <c r="AN748" s="548"/>
      <c r="AO748" s="548"/>
    </row>
    <row r="749">
      <c r="G749" s="548"/>
      <c r="H749" s="548"/>
      <c r="I749" s="548"/>
      <c r="J749" s="548"/>
      <c r="K749" s="548"/>
      <c r="L749" s="548"/>
      <c r="M749" s="548"/>
      <c r="N749" s="548"/>
      <c r="O749" s="548"/>
      <c r="P749" s="548"/>
      <c r="Q749" s="548"/>
      <c r="R749" s="548"/>
      <c r="S749" s="548"/>
      <c r="T749" s="548"/>
      <c r="U749" s="548"/>
      <c r="V749" s="548"/>
      <c r="W749" s="548"/>
      <c r="X749" s="548"/>
      <c r="Y749" s="548"/>
      <c r="Z749" s="548"/>
      <c r="AA749" s="548"/>
      <c r="AB749" s="548"/>
      <c r="AC749" s="548"/>
      <c r="AD749" s="548"/>
      <c r="AE749" s="548"/>
      <c r="AF749" s="548"/>
      <c r="AG749" s="548"/>
      <c r="AH749" s="548"/>
      <c r="AI749" s="548"/>
      <c r="AJ749" s="548"/>
      <c r="AK749" s="548"/>
      <c r="AL749" s="548"/>
      <c r="AM749" s="548"/>
      <c r="AN749" s="548"/>
      <c r="AO749" s="548"/>
    </row>
    <row r="750">
      <c r="G750" s="548"/>
      <c r="H750" s="548"/>
      <c r="I750" s="548"/>
      <c r="J750" s="548"/>
      <c r="K750" s="548"/>
      <c r="L750" s="548"/>
      <c r="M750" s="548"/>
      <c r="N750" s="548"/>
      <c r="O750" s="548"/>
      <c r="P750" s="548"/>
      <c r="Q750" s="548"/>
      <c r="R750" s="548"/>
      <c r="S750" s="548"/>
      <c r="T750" s="548"/>
      <c r="U750" s="548"/>
      <c r="V750" s="548"/>
      <c r="W750" s="548"/>
      <c r="X750" s="548"/>
      <c r="Y750" s="548"/>
      <c r="Z750" s="548"/>
      <c r="AA750" s="548"/>
      <c r="AB750" s="548"/>
      <c r="AC750" s="548"/>
      <c r="AD750" s="548"/>
      <c r="AE750" s="548"/>
      <c r="AF750" s="548"/>
      <c r="AG750" s="548"/>
      <c r="AH750" s="548"/>
      <c r="AI750" s="548"/>
      <c r="AJ750" s="548"/>
      <c r="AK750" s="548"/>
      <c r="AL750" s="548"/>
      <c r="AM750" s="548"/>
      <c r="AN750" s="548"/>
      <c r="AO750" s="548"/>
    </row>
    <row r="751">
      <c r="G751" s="548"/>
      <c r="H751" s="548"/>
      <c r="I751" s="548"/>
      <c r="J751" s="548"/>
      <c r="K751" s="548"/>
      <c r="L751" s="548"/>
      <c r="M751" s="548"/>
      <c r="N751" s="548"/>
      <c r="O751" s="548"/>
      <c r="P751" s="548"/>
      <c r="Q751" s="548"/>
      <c r="R751" s="548"/>
      <c r="S751" s="548"/>
      <c r="T751" s="548"/>
      <c r="U751" s="548"/>
      <c r="V751" s="548"/>
      <c r="W751" s="548"/>
      <c r="X751" s="548"/>
      <c r="Y751" s="548"/>
      <c r="Z751" s="548"/>
      <c r="AA751" s="548"/>
      <c r="AB751" s="548"/>
      <c r="AC751" s="548"/>
      <c r="AD751" s="548"/>
      <c r="AE751" s="548"/>
      <c r="AF751" s="548"/>
      <c r="AG751" s="548"/>
      <c r="AH751" s="548"/>
      <c r="AI751" s="548"/>
      <c r="AJ751" s="548"/>
      <c r="AK751" s="548"/>
      <c r="AL751" s="548"/>
      <c r="AM751" s="548"/>
      <c r="AN751" s="548"/>
      <c r="AO751" s="548"/>
    </row>
    <row r="752">
      <c r="G752" s="548"/>
      <c r="H752" s="548"/>
      <c r="I752" s="548"/>
      <c r="J752" s="548"/>
      <c r="K752" s="548"/>
      <c r="L752" s="548"/>
      <c r="M752" s="548"/>
      <c r="N752" s="548"/>
      <c r="O752" s="548"/>
      <c r="P752" s="548"/>
      <c r="Q752" s="548"/>
      <c r="R752" s="548"/>
      <c r="S752" s="548"/>
      <c r="T752" s="548"/>
      <c r="U752" s="548"/>
      <c r="V752" s="548"/>
      <c r="W752" s="548"/>
      <c r="X752" s="548"/>
      <c r="Y752" s="548"/>
      <c r="Z752" s="548"/>
      <c r="AA752" s="548"/>
      <c r="AB752" s="548"/>
      <c r="AC752" s="548"/>
      <c r="AD752" s="548"/>
      <c r="AE752" s="548"/>
      <c r="AF752" s="548"/>
      <c r="AG752" s="548"/>
      <c r="AH752" s="548"/>
      <c r="AI752" s="548"/>
      <c r="AJ752" s="548"/>
      <c r="AK752" s="548"/>
      <c r="AL752" s="548"/>
      <c r="AM752" s="548"/>
      <c r="AN752" s="548"/>
      <c r="AO752" s="548"/>
    </row>
    <row r="753">
      <c r="G753" s="548"/>
      <c r="H753" s="548"/>
      <c r="I753" s="548"/>
      <c r="J753" s="548"/>
      <c r="K753" s="548"/>
      <c r="L753" s="548"/>
      <c r="M753" s="548"/>
      <c r="N753" s="548"/>
      <c r="O753" s="548"/>
      <c r="P753" s="548"/>
      <c r="Q753" s="548"/>
      <c r="R753" s="548"/>
      <c r="S753" s="548"/>
      <c r="T753" s="548"/>
      <c r="U753" s="548"/>
      <c r="V753" s="548"/>
      <c r="W753" s="548"/>
      <c r="X753" s="548"/>
      <c r="Y753" s="548"/>
      <c r="Z753" s="548"/>
      <c r="AA753" s="548"/>
      <c r="AB753" s="548"/>
      <c r="AC753" s="548"/>
      <c r="AD753" s="548"/>
      <c r="AE753" s="548"/>
      <c r="AF753" s="548"/>
      <c r="AG753" s="548"/>
      <c r="AH753" s="548"/>
      <c r="AI753" s="548"/>
      <c r="AJ753" s="548"/>
      <c r="AK753" s="548"/>
      <c r="AL753" s="548"/>
      <c r="AM753" s="548"/>
      <c r="AN753" s="548"/>
      <c r="AO753" s="548"/>
    </row>
    <row r="754">
      <c r="G754" s="548"/>
      <c r="H754" s="548"/>
      <c r="I754" s="548"/>
      <c r="J754" s="548"/>
      <c r="K754" s="548"/>
      <c r="L754" s="548"/>
      <c r="M754" s="548"/>
      <c r="N754" s="548"/>
      <c r="O754" s="548"/>
      <c r="P754" s="548"/>
      <c r="Q754" s="548"/>
      <c r="R754" s="548"/>
      <c r="S754" s="548"/>
      <c r="T754" s="548"/>
      <c r="U754" s="548"/>
      <c r="V754" s="548"/>
      <c r="W754" s="548"/>
      <c r="X754" s="548"/>
      <c r="Y754" s="548"/>
      <c r="Z754" s="548"/>
      <c r="AA754" s="548"/>
      <c r="AB754" s="548"/>
      <c r="AC754" s="548"/>
      <c r="AD754" s="548"/>
      <c r="AE754" s="548"/>
      <c r="AF754" s="548"/>
      <c r="AG754" s="548"/>
      <c r="AH754" s="548"/>
      <c r="AI754" s="548"/>
      <c r="AJ754" s="548"/>
      <c r="AK754" s="548"/>
      <c r="AL754" s="548"/>
      <c r="AM754" s="548"/>
      <c r="AN754" s="548"/>
      <c r="AO754" s="548"/>
    </row>
    <row r="755">
      <c r="G755" s="548"/>
      <c r="H755" s="548"/>
      <c r="I755" s="548"/>
      <c r="J755" s="548"/>
      <c r="K755" s="548"/>
      <c r="L755" s="548"/>
      <c r="M755" s="548"/>
      <c r="N755" s="548"/>
      <c r="O755" s="548"/>
      <c r="P755" s="548"/>
      <c r="Q755" s="548"/>
      <c r="R755" s="548"/>
      <c r="S755" s="548"/>
      <c r="T755" s="548"/>
      <c r="U755" s="548"/>
      <c r="V755" s="548"/>
      <c r="W755" s="548"/>
      <c r="X755" s="548"/>
      <c r="Y755" s="548"/>
      <c r="Z755" s="548"/>
      <c r="AA755" s="548"/>
      <c r="AB755" s="548"/>
      <c r="AC755" s="548"/>
      <c r="AD755" s="548"/>
      <c r="AE755" s="548"/>
      <c r="AF755" s="548"/>
      <c r="AG755" s="548"/>
      <c r="AH755" s="548"/>
      <c r="AI755" s="548"/>
      <c r="AJ755" s="548"/>
      <c r="AK755" s="548"/>
      <c r="AL755" s="548"/>
      <c r="AM755" s="548"/>
      <c r="AN755" s="548"/>
      <c r="AO755" s="548"/>
    </row>
    <row r="756">
      <c r="G756" s="548"/>
      <c r="H756" s="548"/>
      <c r="I756" s="548"/>
      <c r="J756" s="548"/>
      <c r="K756" s="548"/>
      <c r="L756" s="548"/>
      <c r="M756" s="548"/>
      <c r="N756" s="548"/>
      <c r="O756" s="548"/>
      <c r="P756" s="548"/>
      <c r="Q756" s="548"/>
      <c r="R756" s="548"/>
      <c r="S756" s="548"/>
      <c r="T756" s="548"/>
      <c r="U756" s="548"/>
      <c r="V756" s="548"/>
      <c r="W756" s="548"/>
      <c r="X756" s="548"/>
      <c r="Y756" s="548"/>
      <c r="Z756" s="548"/>
      <c r="AA756" s="548"/>
      <c r="AB756" s="548"/>
      <c r="AC756" s="548"/>
      <c r="AD756" s="548"/>
      <c r="AE756" s="548"/>
      <c r="AF756" s="548"/>
      <c r="AG756" s="548"/>
      <c r="AH756" s="548"/>
      <c r="AI756" s="548"/>
      <c r="AJ756" s="548"/>
      <c r="AK756" s="548"/>
      <c r="AL756" s="548"/>
      <c r="AM756" s="548"/>
      <c r="AN756" s="548"/>
      <c r="AO756" s="548"/>
    </row>
    <row r="757">
      <c r="G757" s="548"/>
      <c r="H757" s="548"/>
      <c r="I757" s="548"/>
      <c r="J757" s="548"/>
      <c r="K757" s="548"/>
      <c r="L757" s="548"/>
      <c r="M757" s="548"/>
      <c r="N757" s="548"/>
      <c r="O757" s="548"/>
      <c r="P757" s="548"/>
      <c r="Q757" s="548"/>
      <c r="R757" s="548"/>
      <c r="S757" s="548"/>
      <c r="T757" s="548"/>
      <c r="U757" s="548"/>
      <c r="V757" s="548"/>
      <c r="W757" s="548"/>
      <c r="X757" s="548"/>
      <c r="Y757" s="548"/>
      <c r="Z757" s="548"/>
      <c r="AA757" s="548"/>
      <c r="AB757" s="548"/>
      <c r="AC757" s="548"/>
      <c r="AD757" s="548"/>
      <c r="AE757" s="548"/>
      <c r="AF757" s="548"/>
      <c r="AG757" s="548"/>
      <c r="AH757" s="548"/>
      <c r="AI757" s="548"/>
      <c r="AJ757" s="548"/>
      <c r="AK757" s="548"/>
      <c r="AL757" s="548"/>
      <c r="AM757" s="548"/>
      <c r="AN757" s="548"/>
      <c r="AO757" s="548"/>
    </row>
    <row r="758">
      <c r="G758" s="548"/>
      <c r="H758" s="548"/>
      <c r="I758" s="548"/>
      <c r="J758" s="548"/>
      <c r="K758" s="548"/>
      <c r="L758" s="548"/>
      <c r="M758" s="548"/>
      <c r="N758" s="548"/>
      <c r="O758" s="548"/>
      <c r="P758" s="548"/>
      <c r="Q758" s="548"/>
      <c r="R758" s="548"/>
      <c r="S758" s="548"/>
      <c r="T758" s="548"/>
      <c r="U758" s="548"/>
      <c r="V758" s="548"/>
      <c r="W758" s="548"/>
      <c r="X758" s="548"/>
      <c r="Y758" s="548"/>
      <c r="Z758" s="548"/>
      <c r="AA758" s="548"/>
      <c r="AB758" s="548"/>
      <c r="AC758" s="548"/>
      <c r="AD758" s="548"/>
      <c r="AE758" s="548"/>
      <c r="AF758" s="548"/>
      <c r="AG758" s="548"/>
      <c r="AH758" s="548"/>
      <c r="AI758" s="548"/>
      <c r="AJ758" s="548"/>
      <c r="AK758" s="548"/>
      <c r="AL758" s="548"/>
      <c r="AM758" s="548"/>
      <c r="AN758" s="548"/>
      <c r="AO758" s="548"/>
    </row>
    <row r="759">
      <c r="G759" s="548"/>
      <c r="H759" s="548"/>
      <c r="I759" s="548"/>
      <c r="J759" s="548"/>
      <c r="K759" s="548"/>
      <c r="L759" s="548"/>
      <c r="M759" s="548"/>
      <c r="N759" s="548"/>
      <c r="O759" s="548"/>
      <c r="P759" s="548"/>
      <c r="Q759" s="548"/>
      <c r="R759" s="548"/>
      <c r="S759" s="548"/>
      <c r="T759" s="548"/>
      <c r="U759" s="548"/>
      <c r="V759" s="548"/>
      <c r="W759" s="548"/>
      <c r="X759" s="548"/>
      <c r="Y759" s="548"/>
      <c r="Z759" s="548"/>
      <c r="AA759" s="548"/>
      <c r="AB759" s="548"/>
      <c r="AC759" s="548"/>
      <c r="AD759" s="548"/>
      <c r="AE759" s="548"/>
      <c r="AF759" s="548"/>
      <c r="AG759" s="548"/>
      <c r="AH759" s="548"/>
      <c r="AI759" s="548"/>
      <c r="AJ759" s="548"/>
      <c r="AK759" s="548"/>
      <c r="AL759" s="548"/>
      <c r="AM759" s="548"/>
      <c r="AN759" s="548"/>
      <c r="AO759" s="548"/>
    </row>
    <row r="760">
      <c r="G760" s="548"/>
      <c r="H760" s="548"/>
      <c r="I760" s="548"/>
      <c r="J760" s="548"/>
      <c r="K760" s="548"/>
      <c r="L760" s="548"/>
      <c r="M760" s="548"/>
      <c r="N760" s="548"/>
      <c r="O760" s="548"/>
      <c r="P760" s="548"/>
      <c r="Q760" s="548"/>
      <c r="R760" s="548"/>
      <c r="S760" s="548"/>
      <c r="T760" s="548"/>
      <c r="U760" s="548"/>
      <c r="V760" s="548"/>
      <c r="W760" s="548"/>
      <c r="X760" s="548"/>
      <c r="Y760" s="548"/>
      <c r="Z760" s="548"/>
      <c r="AA760" s="548"/>
      <c r="AB760" s="548"/>
      <c r="AC760" s="548"/>
      <c r="AD760" s="548"/>
      <c r="AE760" s="548"/>
      <c r="AF760" s="548"/>
      <c r="AG760" s="548"/>
      <c r="AH760" s="548"/>
      <c r="AI760" s="548"/>
      <c r="AJ760" s="548"/>
      <c r="AK760" s="548"/>
      <c r="AL760" s="548"/>
      <c r="AM760" s="548"/>
      <c r="AN760" s="548"/>
      <c r="AO760" s="548"/>
    </row>
    <row r="761">
      <c r="G761" s="548"/>
      <c r="H761" s="548"/>
      <c r="I761" s="548"/>
      <c r="J761" s="548"/>
      <c r="K761" s="548"/>
      <c r="L761" s="548"/>
      <c r="M761" s="548"/>
      <c r="N761" s="548"/>
      <c r="O761" s="548"/>
      <c r="P761" s="548"/>
      <c r="Q761" s="548"/>
      <c r="R761" s="548"/>
      <c r="S761" s="548"/>
      <c r="T761" s="548"/>
      <c r="U761" s="548"/>
      <c r="V761" s="548"/>
      <c r="W761" s="548"/>
      <c r="X761" s="548"/>
      <c r="Y761" s="548"/>
      <c r="Z761" s="548"/>
      <c r="AA761" s="548"/>
      <c r="AB761" s="548"/>
      <c r="AC761" s="548"/>
      <c r="AD761" s="548"/>
      <c r="AE761" s="548"/>
      <c r="AF761" s="548"/>
      <c r="AG761" s="548"/>
      <c r="AH761" s="548"/>
      <c r="AI761" s="548"/>
      <c r="AJ761" s="548"/>
      <c r="AK761" s="548"/>
      <c r="AL761" s="548"/>
      <c r="AM761" s="548"/>
      <c r="AN761" s="548"/>
      <c r="AO761" s="548"/>
    </row>
    <row r="762">
      <c r="G762" s="548"/>
      <c r="H762" s="548"/>
      <c r="I762" s="548"/>
      <c r="J762" s="548"/>
      <c r="K762" s="548"/>
      <c r="L762" s="548"/>
      <c r="M762" s="548"/>
      <c r="N762" s="548"/>
      <c r="O762" s="548"/>
      <c r="P762" s="548"/>
      <c r="Q762" s="548"/>
      <c r="R762" s="548"/>
      <c r="S762" s="548"/>
      <c r="T762" s="548"/>
      <c r="U762" s="548"/>
      <c r="V762" s="548"/>
      <c r="W762" s="548"/>
      <c r="X762" s="548"/>
      <c r="Y762" s="548"/>
      <c r="Z762" s="548"/>
      <c r="AA762" s="548"/>
      <c r="AB762" s="548"/>
      <c r="AC762" s="548"/>
      <c r="AD762" s="548"/>
      <c r="AE762" s="548"/>
      <c r="AF762" s="548"/>
      <c r="AG762" s="548"/>
      <c r="AH762" s="548"/>
      <c r="AI762" s="548"/>
      <c r="AJ762" s="548"/>
      <c r="AK762" s="548"/>
      <c r="AL762" s="548"/>
      <c r="AM762" s="548"/>
      <c r="AN762" s="548"/>
      <c r="AO762" s="548"/>
    </row>
    <row r="763">
      <c r="G763" s="548"/>
      <c r="H763" s="548"/>
      <c r="I763" s="548"/>
      <c r="J763" s="548"/>
      <c r="K763" s="548"/>
      <c r="L763" s="548"/>
      <c r="M763" s="548"/>
      <c r="N763" s="548"/>
      <c r="O763" s="548"/>
      <c r="P763" s="548"/>
      <c r="Q763" s="548"/>
      <c r="R763" s="548"/>
      <c r="S763" s="548"/>
      <c r="T763" s="548"/>
      <c r="U763" s="548"/>
      <c r="V763" s="548"/>
      <c r="W763" s="548"/>
      <c r="X763" s="548"/>
      <c r="Y763" s="548"/>
      <c r="Z763" s="548"/>
      <c r="AA763" s="548"/>
      <c r="AB763" s="548"/>
      <c r="AC763" s="548"/>
      <c r="AD763" s="548"/>
      <c r="AE763" s="548"/>
      <c r="AF763" s="548"/>
      <c r="AG763" s="548"/>
      <c r="AH763" s="548"/>
      <c r="AI763" s="548"/>
      <c r="AJ763" s="548"/>
      <c r="AK763" s="548"/>
      <c r="AL763" s="548"/>
      <c r="AM763" s="548"/>
      <c r="AN763" s="548"/>
      <c r="AO763" s="548"/>
    </row>
    <row r="764">
      <c r="G764" s="548"/>
      <c r="H764" s="548"/>
      <c r="I764" s="548"/>
      <c r="J764" s="548"/>
      <c r="K764" s="548"/>
      <c r="L764" s="548"/>
      <c r="M764" s="548"/>
      <c r="N764" s="548"/>
      <c r="O764" s="548"/>
      <c r="P764" s="548"/>
      <c r="Q764" s="548"/>
      <c r="R764" s="548"/>
      <c r="S764" s="548"/>
      <c r="T764" s="548"/>
      <c r="U764" s="548"/>
      <c r="V764" s="548"/>
      <c r="W764" s="548"/>
      <c r="X764" s="548"/>
      <c r="Y764" s="548"/>
      <c r="Z764" s="548"/>
      <c r="AA764" s="548"/>
      <c r="AB764" s="548"/>
      <c r="AC764" s="548"/>
      <c r="AD764" s="548"/>
      <c r="AE764" s="548"/>
      <c r="AF764" s="548"/>
      <c r="AG764" s="548"/>
      <c r="AH764" s="548"/>
      <c r="AI764" s="548"/>
      <c r="AJ764" s="548"/>
      <c r="AK764" s="548"/>
      <c r="AL764" s="548"/>
      <c r="AM764" s="548"/>
      <c r="AN764" s="548"/>
      <c r="AO764" s="548"/>
    </row>
    <row r="765">
      <c r="G765" s="548"/>
      <c r="H765" s="548"/>
      <c r="I765" s="548"/>
      <c r="J765" s="548"/>
      <c r="K765" s="548"/>
      <c r="L765" s="548"/>
      <c r="M765" s="548"/>
      <c r="N765" s="548"/>
      <c r="O765" s="548"/>
      <c r="P765" s="548"/>
      <c r="Q765" s="548"/>
      <c r="R765" s="548"/>
      <c r="S765" s="548"/>
      <c r="T765" s="548"/>
      <c r="U765" s="548"/>
      <c r="V765" s="548"/>
      <c r="W765" s="548"/>
      <c r="X765" s="548"/>
      <c r="Y765" s="548"/>
      <c r="Z765" s="548"/>
      <c r="AA765" s="548"/>
      <c r="AB765" s="548"/>
      <c r="AC765" s="548"/>
      <c r="AD765" s="548"/>
      <c r="AE765" s="548"/>
      <c r="AF765" s="548"/>
      <c r="AG765" s="548"/>
      <c r="AH765" s="548"/>
      <c r="AI765" s="548"/>
      <c r="AJ765" s="548"/>
      <c r="AK765" s="548"/>
      <c r="AL765" s="548"/>
      <c r="AM765" s="548"/>
      <c r="AN765" s="548"/>
      <c r="AO765" s="548"/>
    </row>
    <row r="766">
      <c r="G766" s="548"/>
      <c r="H766" s="548"/>
      <c r="I766" s="548"/>
      <c r="J766" s="548"/>
      <c r="K766" s="548"/>
      <c r="L766" s="548"/>
      <c r="M766" s="548"/>
      <c r="N766" s="548"/>
      <c r="O766" s="548"/>
      <c r="P766" s="548"/>
      <c r="Q766" s="548"/>
      <c r="R766" s="548"/>
      <c r="S766" s="548"/>
      <c r="T766" s="548"/>
      <c r="U766" s="548"/>
      <c r="V766" s="548"/>
      <c r="W766" s="548"/>
      <c r="X766" s="548"/>
      <c r="Y766" s="548"/>
      <c r="Z766" s="548"/>
      <c r="AA766" s="548"/>
      <c r="AB766" s="548"/>
      <c r="AC766" s="548"/>
      <c r="AD766" s="548"/>
      <c r="AE766" s="548"/>
      <c r="AF766" s="548"/>
      <c r="AG766" s="548"/>
      <c r="AH766" s="548"/>
      <c r="AI766" s="548"/>
      <c r="AJ766" s="548"/>
      <c r="AK766" s="548"/>
      <c r="AL766" s="548"/>
      <c r="AM766" s="548"/>
      <c r="AN766" s="548"/>
      <c r="AO766" s="548"/>
    </row>
    <row r="767">
      <c r="G767" s="548"/>
      <c r="H767" s="548"/>
      <c r="I767" s="548"/>
      <c r="J767" s="548"/>
      <c r="K767" s="548"/>
      <c r="L767" s="548"/>
      <c r="M767" s="548"/>
      <c r="N767" s="548"/>
      <c r="O767" s="548"/>
      <c r="P767" s="548"/>
      <c r="Q767" s="548"/>
      <c r="R767" s="548"/>
      <c r="S767" s="548"/>
      <c r="T767" s="548"/>
      <c r="U767" s="548"/>
      <c r="V767" s="548"/>
      <c r="W767" s="548"/>
      <c r="X767" s="548"/>
      <c r="Y767" s="548"/>
      <c r="Z767" s="548"/>
      <c r="AA767" s="548"/>
      <c r="AB767" s="548"/>
      <c r="AC767" s="548"/>
      <c r="AD767" s="548"/>
      <c r="AE767" s="548"/>
      <c r="AF767" s="548"/>
      <c r="AG767" s="548"/>
      <c r="AH767" s="548"/>
      <c r="AI767" s="548"/>
      <c r="AJ767" s="548"/>
      <c r="AK767" s="548"/>
      <c r="AL767" s="548"/>
      <c r="AM767" s="548"/>
      <c r="AN767" s="548"/>
      <c r="AO767" s="548"/>
    </row>
    <row r="768">
      <c r="G768" s="548"/>
      <c r="H768" s="548"/>
      <c r="I768" s="548"/>
      <c r="J768" s="548"/>
      <c r="K768" s="548"/>
      <c r="L768" s="548"/>
      <c r="M768" s="548"/>
      <c r="N768" s="548"/>
      <c r="O768" s="548"/>
      <c r="P768" s="548"/>
      <c r="Q768" s="548"/>
      <c r="R768" s="548"/>
      <c r="S768" s="548"/>
      <c r="T768" s="548"/>
      <c r="U768" s="548"/>
      <c r="V768" s="548"/>
      <c r="W768" s="548"/>
      <c r="X768" s="548"/>
      <c r="Y768" s="548"/>
      <c r="Z768" s="548"/>
      <c r="AA768" s="548"/>
      <c r="AB768" s="548"/>
      <c r="AC768" s="548"/>
      <c r="AD768" s="548"/>
      <c r="AE768" s="548"/>
      <c r="AF768" s="548"/>
      <c r="AG768" s="548"/>
      <c r="AH768" s="548"/>
      <c r="AI768" s="548"/>
      <c r="AJ768" s="548"/>
      <c r="AK768" s="548"/>
      <c r="AL768" s="548"/>
      <c r="AM768" s="548"/>
      <c r="AN768" s="548"/>
      <c r="AO768" s="548"/>
    </row>
    <row r="769">
      <c r="G769" s="548"/>
      <c r="H769" s="548"/>
      <c r="I769" s="548"/>
      <c r="J769" s="548"/>
      <c r="K769" s="548"/>
      <c r="L769" s="548"/>
      <c r="M769" s="548"/>
      <c r="N769" s="548"/>
      <c r="O769" s="548"/>
      <c r="P769" s="548"/>
      <c r="Q769" s="548"/>
      <c r="R769" s="548"/>
      <c r="S769" s="548"/>
      <c r="T769" s="548"/>
      <c r="U769" s="548"/>
      <c r="V769" s="548"/>
      <c r="W769" s="548"/>
      <c r="X769" s="548"/>
      <c r="Y769" s="548"/>
      <c r="Z769" s="548"/>
      <c r="AA769" s="548"/>
      <c r="AB769" s="548"/>
      <c r="AC769" s="548"/>
      <c r="AD769" s="548"/>
      <c r="AE769" s="548"/>
      <c r="AF769" s="548"/>
      <c r="AG769" s="548"/>
      <c r="AH769" s="548"/>
      <c r="AI769" s="548"/>
      <c r="AJ769" s="548"/>
      <c r="AK769" s="548"/>
      <c r="AL769" s="548"/>
      <c r="AM769" s="548"/>
      <c r="AN769" s="548"/>
      <c r="AO769" s="548"/>
    </row>
    <row r="770">
      <c r="G770" s="548"/>
      <c r="H770" s="548"/>
      <c r="I770" s="548"/>
      <c r="J770" s="548"/>
      <c r="K770" s="548"/>
      <c r="L770" s="548"/>
      <c r="M770" s="548"/>
      <c r="N770" s="548"/>
      <c r="O770" s="548"/>
      <c r="P770" s="548"/>
      <c r="Q770" s="548"/>
      <c r="R770" s="548"/>
      <c r="S770" s="548"/>
      <c r="T770" s="548"/>
      <c r="U770" s="548"/>
      <c r="V770" s="548"/>
      <c r="W770" s="548"/>
      <c r="X770" s="548"/>
      <c r="Y770" s="548"/>
      <c r="Z770" s="548"/>
      <c r="AA770" s="548"/>
      <c r="AB770" s="548"/>
      <c r="AC770" s="548"/>
      <c r="AD770" s="548"/>
      <c r="AE770" s="548"/>
      <c r="AF770" s="548"/>
      <c r="AG770" s="548"/>
      <c r="AH770" s="548"/>
      <c r="AI770" s="548"/>
      <c r="AJ770" s="548"/>
      <c r="AK770" s="548"/>
      <c r="AL770" s="548"/>
      <c r="AM770" s="548"/>
      <c r="AN770" s="548"/>
      <c r="AO770" s="548"/>
    </row>
    <row r="771">
      <c r="G771" s="548"/>
      <c r="H771" s="548"/>
      <c r="I771" s="548"/>
      <c r="J771" s="548"/>
      <c r="K771" s="548"/>
      <c r="L771" s="548"/>
      <c r="M771" s="548"/>
      <c r="N771" s="548"/>
      <c r="O771" s="548"/>
      <c r="P771" s="548"/>
      <c r="Q771" s="548"/>
      <c r="R771" s="548"/>
      <c r="S771" s="548"/>
      <c r="T771" s="548"/>
      <c r="U771" s="548"/>
      <c r="V771" s="548"/>
      <c r="W771" s="548"/>
      <c r="X771" s="548"/>
      <c r="Y771" s="548"/>
      <c r="Z771" s="548"/>
      <c r="AA771" s="548"/>
      <c r="AB771" s="548"/>
      <c r="AC771" s="548"/>
      <c r="AD771" s="548"/>
      <c r="AE771" s="548"/>
      <c r="AF771" s="548"/>
      <c r="AG771" s="548"/>
      <c r="AH771" s="548"/>
      <c r="AI771" s="548"/>
      <c r="AJ771" s="548"/>
      <c r="AK771" s="548"/>
      <c r="AL771" s="548"/>
      <c r="AM771" s="548"/>
      <c r="AN771" s="548"/>
      <c r="AO771" s="548"/>
    </row>
    <row r="772">
      <c r="G772" s="548"/>
      <c r="H772" s="548"/>
      <c r="I772" s="548"/>
      <c r="J772" s="548"/>
      <c r="K772" s="548"/>
      <c r="L772" s="548"/>
      <c r="M772" s="548"/>
      <c r="N772" s="548"/>
      <c r="O772" s="548"/>
      <c r="P772" s="548"/>
      <c r="Q772" s="548"/>
      <c r="R772" s="548"/>
      <c r="S772" s="548"/>
      <c r="T772" s="548"/>
      <c r="U772" s="548"/>
      <c r="V772" s="548"/>
      <c r="W772" s="548"/>
      <c r="X772" s="548"/>
      <c r="Y772" s="548"/>
      <c r="Z772" s="548"/>
      <c r="AA772" s="548"/>
      <c r="AB772" s="548"/>
      <c r="AC772" s="548"/>
      <c r="AD772" s="548"/>
      <c r="AE772" s="548"/>
      <c r="AF772" s="548"/>
      <c r="AG772" s="548"/>
      <c r="AH772" s="548"/>
      <c r="AI772" s="548"/>
      <c r="AJ772" s="548"/>
      <c r="AK772" s="548"/>
      <c r="AL772" s="548"/>
      <c r="AM772" s="548"/>
      <c r="AN772" s="548"/>
      <c r="AO772" s="548"/>
    </row>
    <row r="773">
      <c r="G773" s="548"/>
      <c r="H773" s="548"/>
      <c r="I773" s="548"/>
      <c r="J773" s="548"/>
      <c r="K773" s="548"/>
      <c r="L773" s="548"/>
      <c r="M773" s="548"/>
      <c r="N773" s="548"/>
      <c r="O773" s="548"/>
      <c r="P773" s="548"/>
      <c r="Q773" s="548"/>
      <c r="R773" s="548"/>
      <c r="S773" s="548"/>
      <c r="T773" s="548"/>
      <c r="U773" s="548"/>
      <c r="V773" s="548"/>
      <c r="W773" s="548"/>
      <c r="X773" s="548"/>
      <c r="Y773" s="548"/>
      <c r="Z773" s="548"/>
      <c r="AA773" s="548"/>
      <c r="AB773" s="548"/>
      <c r="AC773" s="548"/>
      <c r="AD773" s="548"/>
      <c r="AE773" s="548"/>
      <c r="AF773" s="548"/>
      <c r="AG773" s="548"/>
      <c r="AH773" s="548"/>
      <c r="AI773" s="548"/>
      <c r="AJ773" s="548"/>
      <c r="AK773" s="548"/>
      <c r="AL773" s="548"/>
      <c r="AM773" s="548"/>
      <c r="AN773" s="548"/>
      <c r="AO773" s="548"/>
    </row>
    <row r="774">
      <c r="G774" s="548"/>
      <c r="H774" s="548"/>
      <c r="I774" s="548"/>
      <c r="J774" s="548"/>
      <c r="K774" s="548"/>
      <c r="L774" s="548"/>
      <c r="M774" s="548"/>
      <c r="N774" s="548"/>
      <c r="O774" s="548"/>
      <c r="P774" s="548"/>
      <c r="Q774" s="548"/>
      <c r="R774" s="548"/>
      <c r="S774" s="548"/>
      <c r="T774" s="548"/>
      <c r="U774" s="548"/>
      <c r="V774" s="548"/>
      <c r="W774" s="548"/>
      <c r="X774" s="548"/>
      <c r="Y774" s="548"/>
      <c r="Z774" s="548"/>
      <c r="AA774" s="548"/>
      <c r="AB774" s="548"/>
      <c r="AC774" s="548"/>
      <c r="AD774" s="548"/>
      <c r="AE774" s="548"/>
      <c r="AF774" s="548"/>
      <c r="AG774" s="548"/>
      <c r="AH774" s="548"/>
      <c r="AI774" s="548"/>
      <c r="AJ774" s="548"/>
      <c r="AK774" s="548"/>
      <c r="AL774" s="548"/>
      <c r="AM774" s="548"/>
      <c r="AN774" s="548"/>
      <c r="AO774" s="548"/>
    </row>
    <row r="775">
      <c r="G775" s="548"/>
      <c r="H775" s="548"/>
      <c r="I775" s="548"/>
      <c r="J775" s="548"/>
      <c r="K775" s="548"/>
      <c r="L775" s="548"/>
      <c r="M775" s="548"/>
      <c r="N775" s="548"/>
      <c r="O775" s="548"/>
      <c r="P775" s="548"/>
      <c r="Q775" s="548"/>
      <c r="R775" s="548"/>
      <c r="S775" s="548"/>
      <c r="T775" s="548"/>
      <c r="U775" s="548"/>
      <c r="V775" s="548"/>
      <c r="W775" s="548"/>
      <c r="X775" s="548"/>
      <c r="Y775" s="548"/>
      <c r="Z775" s="548"/>
      <c r="AA775" s="548"/>
      <c r="AB775" s="548"/>
      <c r="AC775" s="548"/>
      <c r="AD775" s="548"/>
      <c r="AE775" s="548"/>
      <c r="AF775" s="548"/>
      <c r="AG775" s="548"/>
      <c r="AH775" s="548"/>
      <c r="AI775" s="548"/>
      <c r="AJ775" s="548"/>
      <c r="AK775" s="548"/>
      <c r="AL775" s="548"/>
      <c r="AM775" s="548"/>
      <c r="AN775" s="548"/>
      <c r="AO775" s="548"/>
    </row>
    <row r="776">
      <c r="G776" s="548"/>
      <c r="H776" s="548"/>
      <c r="I776" s="548"/>
      <c r="J776" s="548"/>
      <c r="K776" s="548"/>
      <c r="L776" s="548"/>
      <c r="M776" s="548"/>
      <c r="N776" s="548"/>
      <c r="O776" s="548"/>
      <c r="P776" s="548"/>
      <c r="Q776" s="548"/>
      <c r="R776" s="548"/>
      <c r="S776" s="548"/>
      <c r="T776" s="548"/>
      <c r="U776" s="548"/>
      <c r="V776" s="548"/>
      <c r="W776" s="548"/>
      <c r="X776" s="548"/>
      <c r="Y776" s="548"/>
      <c r="Z776" s="548"/>
      <c r="AA776" s="548"/>
      <c r="AB776" s="548"/>
      <c r="AC776" s="548"/>
      <c r="AD776" s="548"/>
      <c r="AE776" s="548"/>
      <c r="AF776" s="548"/>
      <c r="AG776" s="548"/>
      <c r="AH776" s="548"/>
      <c r="AI776" s="548"/>
      <c r="AJ776" s="548"/>
      <c r="AK776" s="548"/>
      <c r="AL776" s="548"/>
      <c r="AM776" s="548"/>
      <c r="AN776" s="548"/>
      <c r="AO776" s="548"/>
    </row>
    <row r="777">
      <c r="G777" s="548"/>
      <c r="H777" s="548"/>
      <c r="I777" s="548"/>
      <c r="J777" s="548"/>
      <c r="K777" s="548"/>
      <c r="L777" s="548"/>
      <c r="M777" s="548"/>
      <c r="N777" s="548"/>
      <c r="O777" s="548"/>
      <c r="P777" s="548"/>
      <c r="Q777" s="548"/>
      <c r="R777" s="548"/>
      <c r="S777" s="548"/>
      <c r="T777" s="548"/>
      <c r="U777" s="548"/>
      <c r="V777" s="548"/>
      <c r="W777" s="548"/>
      <c r="X777" s="548"/>
      <c r="Y777" s="548"/>
      <c r="Z777" s="548"/>
      <c r="AA777" s="548"/>
      <c r="AB777" s="548"/>
      <c r="AC777" s="548"/>
      <c r="AD777" s="548"/>
      <c r="AE777" s="548"/>
      <c r="AF777" s="548"/>
      <c r="AG777" s="548"/>
      <c r="AH777" s="548"/>
      <c r="AI777" s="548"/>
      <c r="AJ777" s="548"/>
      <c r="AK777" s="548"/>
      <c r="AL777" s="548"/>
      <c r="AM777" s="548"/>
      <c r="AN777" s="548"/>
      <c r="AO777" s="548"/>
    </row>
    <row r="778">
      <c r="G778" s="548"/>
      <c r="H778" s="548"/>
      <c r="I778" s="548"/>
      <c r="J778" s="548"/>
      <c r="K778" s="548"/>
      <c r="L778" s="548"/>
      <c r="M778" s="548"/>
      <c r="N778" s="548"/>
      <c r="O778" s="548"/>
      <c r="P778" s="548"/>
      <c r="Q778" s="548"/>
      <c r="R778" s="548"/>
      <c r="S778" s="548"/>
      <c r="T778" s="548"/>
      <c r="U778" s="548"/>
      <c r="V778" s="548"/>
      <c r="W778" s="548"/>
      <c r="X778" s="548"/>
      <c r="Y778" s="548"/>
      <c r="Z778" s="548"/>
      <c r="AA778" s="548"/>
      <c r="AB778" s="548"/>
      <c r="AC778" s="548"/>
      <c r="AD778" s="548"/>
      <c r="AE778" s="548"/>
      <c r="AF778" s="548"/>
      <c r="AG778" s="548"/>
      <c r="AH778" s="548"/>
      <c r="AI778" s="548"/>
      <c r="AJ778" s="548"/>
      <c r="AK778" s="548"/>
      <c r="AL778" s="548"/>
      <c r="AM778" s="548"/>
      <c r="AN778" s="548"/>
      <c r="AO778" s="548"/>
    </row>
    <row r="779">
      <c r="G779" s="548"/>
      <c r="H779" s="548"/>
      <c r="I779" s="548"/>
      <c r="J779" s="548"/>
      <c r="K779" s="548"/>
      <c r="L779" s="548"/>
      <c r="M779" s="548"/>
      <c r="N779" s="548"/>
      <c r="O779" s="548"/>
      <c r="P779" s="548"/>
      <c r="Q779" s="548"/>
      <c r="R779" s="548"/>
      <c r="S779" s="548"/>
      <c r="T779" s="548"/>
      <c r="U779" s="548"/>
      <c r="V779" s="548"/>
      <c r="W779" s="548"/>
      <c r="X779" s="548"/>
      <c r="Y779" s="548"/>
      <c r="Z779" s="548"/>
      <c r="AA779" s="548"/>
      <c r="AB779" s="548"/>
      <c r="AC779" s="548"/>
      <c r="AD779" s="548"/>
      <c r="AE779" s="548"/>
      <c r="AF779" s="548"/>
      <c r="AG779" s="548"/>
      <c r="AH779" s="548"/>
      <c r="AI779" s="548"/>
      <c r="AJ779" s="548"/>
      <c r="AK779" s="548"/>
      <c r="AL779" s="548"/>
      <c r="AM779" s="548"/>
      <c r="AN779" s="548"/>
      <c r="AO779" s="548"/>
    </row>
    <row r="780">
      <c r="G780" s="548"/>
      <c r="H780" s="548"/>
      <c r="I780" s="548"/>
      <c r="J780" s="548"/>
      <c r="K780" s="548"/>
      <c r="L780" s="548"/>
      <c r="M780" s="548"/>
      <c r="N780" s="548"/>
      <c r="O780" s="548"/>
      <c r="P780" s="548"/>
      <c r="Q780" s="548"/>
      <c r="R780" s="548"/>
      <c r="S780" s="548"/>
      <c r="T780" s="548"/>
      <c r="U780" s="548"/>
      <c r="V780" s="548"/>
      <c r="W780" s="548"/>
      <c r="X780" s="548"/>
      <c r="Y780" s="548"/>
      <c r="Z780" s="548"/>
      <c r="AA780" s="548"/>
      <c r="AB780" s="548"/>
      <c r="AC780" s="548"/>
      <c r="AD780" s="548"/>
      <c r="AE780" s="548"/>
      <c r="AF780" s="548"/>
      <c r="AG780" s="548"/>
      <c r="AH780" s="548"/>
      <c r="AI780" s="548"/>
      <c r="AJ780" s="548"/>
      <c r="AK780" s="548"/>
      <c r="AL780" s="548"/>
      <c r="AM780" s="548"/>
      <c r="AN780" s="548"/>
      <c r="AO780" s="548"/>
    </row>
    <row r="781">
      <c r="G781" s="548"/>
      <c r="H781" s="548"/>
      <c r="I781" s="548"/>
      <c r="J781" s="548"/>
      <c r="K781" s="548"/>
      <c r="L781" s="548"/>
      <c r="M781" s="548"/>
      <c r="N781" s="548"/>
      <c r="O781" s="548"/>
      <c r="P781" s="548"/>
      <c r="Q781" s="548"/>
      <c r="R781" s="548"/>
      <c r="S781" s="548"/>
      <c r="T781" s="548"/>
      <c r="U781" s="548"/>
      <c r="V781" s="548"/>
      <c r="W781" s="548"/>
      <c r="X781" s="548"/>
      <c r="Y781" s="548"/>
      <c r="Z781" s="548"/>
      <c r="AA781" s="548"/>
      <c r="AB781" s="548"/>
      <c r="AC781" s="548"/>
      <c r="AD781" s="548"/>
      <c r="AE781" s="548"/>
      <c r="AF781" s="548"/>
      <c r="AG781" s="548"/>
      <c r="AH781" s="548"/>
      <c r="AI781" s="548"/>
      <c r="AJ781" s="548"/>
      <c r="AK781" s="548"/>
      <c r="AL781" s="548"/>
      <c r="AM781" s="548"/>
      <c r="AN781" s="548"/>
      <c r="AO781" s="548"/>
    </row>
    <row r="782">
      <c r="G782" s="548"/>
      <c r="H782" s="548"/>
      <c r="I782" s="548"/>
      <c r="J782" s="548"/>
      <c r="K782" s="548"/>
      <c r="L782" s="548"/>
      <c r="M782" s="548"/>
      <c r="N782" s="548"/>
      <c r="O782" s="548"/>
      <c r="P782" s="548"/>
      <c r="Q782" s="548"/>
      <c r="R782" s="548"/>
      <c r="S782" s="548"/>
      <c r="T782" s="548"/>
      <c r="U782" s="548"/>
      <c r="V782" s="548"/>
      <c r="W782" s="548"/>
      <c r="X782" s="548"/>
      <c r="Y782" s="548"/>
      <c r="Z782" s="548"/>
      <c r="AA782" s="548"/>
      <c r="AB782" s="548"/>
      <c r="AC782" s="548"/>
      <c r="AD782" s="548"/>
      <c r="AE782" s="548"/>
      <c r="AF782" s="548"/>
      <c r="AG782" s="548"/>
      <c r="AH782" s="548"/>
      <c r="AI782" s="548"/>
      <c r="AJ782" s="548"/>
      <c r="AK782" s="548"/>
      <c r="AL782" s="548"/>
      <c r="AM782" s="548"/>
      <c r="AN782" s="548"/>
      <c r="AO782" s="548"/>
    </row>
    <row r="783">
      <c r="G783" s="548"/>
      <c r="H783" s="548"/>
      <c r="I783" s="548"/>
      <c r="J783" s="548"/>
      <c r="K783" s="548"/>
      <c r="L783" s="548"/>
      <c r="M783" s="548"/>
      <c r="N783" s="548"/>
      <c r="O783" s="548"/>
      <c r="P783" s="548"/>
      <c r="Q783" s="548"/>
      <c r="R783" s="548"/>
      <c r="S783" s="548"/>
      <c r="T783" s="548"/>
      <c r="U783" s="548"/>
      <c r="V783" s="548"/>
      <c r="W783" s="548"/>
      <c r="X783" s="548"/>
      <c r="Y783" s="548"/>
      <c r="Z783" s="548"/>
      <c r="AA783" s="548"/>
      <c r="AB783" s="548"/>
      <c r="AC783" s="548"/>
      <c r="AD783" s="548"/>
      <c r="AE783" s="548"/>
      <c r="AF783" s="548"/>
      <c r="AG783" s="548"/>
      <c r="AH783" s="548"/>
      <c r="AI783" s="548"/>
      <c r="AJ783" s="548"/>
      <c r="AK783" s="548"/>
      <c r="AL783" s="548"/>
      <c r="AM783" s="548"/>
      <c r="AN783" s="548"/>
      <c r="AO783" s="548"/>
    </row>
    <row r="784">
      <c r="G784" s="548"/>
      <c r="H784" s="548"/>
      <c r="I784" s="548"/>
      <c r="J784" s="548"/>
      <c r="K784" s="548"/>
      <c r="L784" s="548"/>
      <c r="M784" s="548"/>
      <c r="N784" s="548"/>
      <c r="O784" s="548"/>
      <c r="P784" s="548"/>
      <c r="Q784" s="548"/>
      <c r="R784" s="548"/>
      <c r="S784" s="548"/>
      <c r="T784" s="548"/>
      <c r="U784" s="548"/>
      <c r="V784" s="548"/>
      <c r="W784" s="548"/>
      <c r="X784" s="548"/>
      <c r="Y784" s="548"/>
      <c r="Z784" s="548"/>
      <c r="AA784" s="548"/>
      <c r="AB784" s="548"/>
      <c r="AC784" s="548"/>
      <c r="AD784" s="548"/>
      <c r="AE784" s="548"/>
      <c r="AF784" s="548"/>
      <c r="AG784" s="548"/>
      <c r="AH784" s="548"/>
      <c r="AI784" s="548"/>
      <c r="AJ784" s="548"/>
      <c r="AK784" s="548"/>
      <c r="AL784" s="548"/>
      <c r="AM784" s="548"/>
      <c r="AN784" s="548"/>
      <c r="AO784" s="548"/>
    </row>
    <row r="785">
      <c r="G785" s="548"/>
      <c r="H785" s="548"/>
      <c r="I785" s="548"/>
      <c r="J785" s="548"/>
      <c r="K785" s="548"/>
      <c r="L785" s="548"/>
      <c r="M785" s="548"/>
      <c r="N785" s="548"/>
      <c r="O785" s="548"/>
      <c r="P785" s="548"/>
      <c r="Q785" s="548"/>
      <c r="R785" s="548"/>
      <c r="S785" s="548"/>
      <c r="T785" s="548"/>
      <c r="U785" s="548"/>
      <c r="V785" s="548"/>
      <c r="W785" s="548"/>
      <c r="X785" s="548"/>
      <c r="Y785" s="548"/>
      <c r="Z785" s="548"/>
      <c r="AA785" s="548"/>
      <c r="AB785" s="548"/>
      <c r="AC785" s="548"/>
      <c r="AD785" s="548"/>
      <c r="AE785" s="548"/>
      <c r="AF785" s="548"/>
      <c r="AG785" s="548"/>
      <c r="AH785" s="548"/>
      <c r="AI785" s="548"/>
      <c r="AJ785" s="548"/>
      <c r="AK785" s="548"/>
      <c r="AL785" s="548"/>
      <c r="AM785" s="548"/>
      <c r="AN785" s="548"/>
      <c r="AO785" s="548"/>
    </row>
    <row r="786">
      <c r="G786" s="548"/>
      <c r="H786" s="548"/>
      <c r="I786" s="548"/>
      <c r="J786" s="548"/>
      <c r="K786" s="548"/>
      <c r="L786" s="548"/>
      <c r="M786" s="548"/>
      <c r="N786" s="548"/>
      <c r="O786" s="548"/>
      <c r="P786" s="548"/>
      <c r="Q786" s="548"/>
      <c r="R786" s="548"/>
      <c r="S786" s="548"/>
      <c r="T786" s="548"/>
      <c r="U786" s="548"/>
      <c r="V786" s="548"/>
      <c r="W786" s="548"/>
      <c r="X786" s="548"/>
      <c r="Y786" s="548"/>
      <c r="Z786" s="548"/>
      <c r="AA786" s="548"/>
      <c r="AB786" s="548"/>
      <c r="AC786" s="548"/>
      <c r="AD786" s="548"/>
      <c r="AE786" s="548"/>
      <c r="AF786" s="548"/>
      <c r="AG786" s="548"/>
      <c r="AH786" s="548"/>
      <c r="AI786" s="548"/>
      <c r="AJ786" s="548"/>
      <c r="AK786" s="548"/>
      <c r="AL786" s="548"/>
      <c r="AM786" s="548"/>
      <c r="AN786" s="548"/>
      <c r="AO786" s="548"/>
    </row>
    <row r="787">
      <c r="G787" s="548"/>
      <c r="H787" s="548"/>
      <c r="I787" s="548"/>
      <c r="J787" s="548"/>
      <c r="K787" s="548"/>
      <c r="L787" s="548"/>
      <c r="M787" s="548"/>
      <c r="N787" s="548"/>
      <c r="O787" s="548"/>
      <c r="P787" s="548"/>
      <c r="Q787" s="548"/>
      <c r="R787" s="548"/>
      <c r="S787" s="548"/>
      <c r="T787" s="548"/>
      <c r="U787" s="548"/>
      <c r="V787" s="548"/>
      <c r="W787" s="548"/>
      <c r="X787" s="548"/>
      <c r="Y787" s="548"/>
      <c r="Z787" s="548"/>
      <c r="AA787" s="548"/>
      <c r="AB787" s="548"/>
      <c r="AC787" s="548"/>
      <c r="AD787" s="548"/>
      <c r="AE787" s="548"/>
      <c r="AF787" s="548"/>
      <c r="AG787" s="548"/>
      <c r="AH787" s="548"/>
      <c r="AI787" s="548"/>
      <c r="AJ787" s="548"/>
      <c r="AK787" s="548"/>
      <c r="AL787" s="548"/>
      <c r="AM787" s="548"/>
      <c r="AN787" s="548"/>
      <c r="AO787" s="548"/>
    </row>
    <row r="788">
      <c r="G788" s="548"/>
      <c r="H788" s="548"/>
      <c r="I788" s="548"/>
      <c r="J788" s="548"/>
      <c r="K788" s="548"/>
      <c r="L788" s="548"/>
      <c r="M788" s="548"/>
      <c r="N788" s="548"/>
      <c r="O788" s="548"/>
      <c r="P788" s="548"/>
      <c r="Q788" s="548"/>
      <c r="R788" s="548"/>
      <c r="S788" s="548"/>
      <c r="T788" s="548"/>
      <c r="U788" s="548"/>
      <c r="V788" s="548"/>
      <c r="W788" s="548"/>
      <c r="X788" s="548"/>
      <c r="Y788" s="548"/>
      <c r="Z788" s="548"/>
      <c r="AA788" s="548"/>
      <c r="AB788" s="548"/>
      <c r="AC788" s="548"/>
      <c r="AD788" s="548"/>
      <c r="AE788" s="548"/>
      <c r="AF788" s="548"/>
      <c r="AG788" s="548"/>
      <c r="AH788" s="548"/>
      <c r="AI788" s="548"/>
      <c r="AJ788" s="548"/>
      <c r="AK788" s="548"/>
      <c r="AL788" s="548"/>
      <c r="AM788" s="548"/>
      <c r="AN788" s="548"/>
      <c r="AO788" s="548"/>
    </row>
    <row r="789">
      <c r="G789" s="548"/>
      <c r="H789" s="548"/>
      <c r="I789" s="548"/>
      <c r="J789" s="548"/>
      <c r="K789" s="548"/>
      <c r="L789" s="548"/>
      <c r="M789" s="548"/>
      <c r="N789" s="548"/>
      <c r="O789" s="548"/>
      <c r="P789" s="548"/>
      <c r="Q789" s="548"/>
      <c r="R789" s="548"/>
      <c r="S789" s="548"/>
      <c r="T789" s="548"/>
      <c r="U789" s="548"/>
      <c r="V789" s="548"/>
      <c r="W789" s="548"/>
      <c r="X789" s="548"/>
      <c r="Y789" s="548"/>
      <c r="Z789" s="548"/>
      <c r="AA789" s="548"/>
      <c r="AB789" s="548"/>
      <c r="AC789" s="548"/>
      <c r="AD789" s="548"/>
      <c r="AE789" s="548"/>
      <c r="AF789" s="548"/>
      <c r="AG789" s="548"/>
      <c r="AH789" s="548"/>
      <c r="AI789" s="548"/>
      <c r="AJ789" s="548"/>
      <c r="AK789" s="548"/>
      <c r="AL789" s="548"/>
      <c r="AM789" s="548"/>
      <c r="AN789" s="548"/>
      <c r="AO789" s="548"/>
    </row>
    <row r="790">
      <c r="G790" s="548"/>
      <c r="H790" s="548"/>
      <c r="I790" s="548"/>
      <c r="J790" s="548"/>
      <c r="K790" s="548"/>
      <c r="L790" s="548"/>
      <c r="M790" s="548"/>
      <c r="N790" s="548"/>
      <c r="O790" s="548"/>
      <c r="P790" s="548"/>
      <c r="Q790" s="548"/>
      <c r="R790" s="548"/>
      <c r="S790" s="548"/>
      <c r="T790" s="548"/>
      <c r="U790" s="548"/>
      <c r="V790" s="548"/>
      <c r="W790" s="548"/>
      <c r="X790" s="548"/>
      <c r="Y790" s="548"/>
      <c r="Z790" s="548"/>
      <c r="AA790" s="548"/>
      <c r="AB790" s="548"/>
      <c r="AC790" s="548"/>
      <c r="AD790" s="548"/>
      <c r="AE790" s="548"/>
      <c r="AF790" s="548"/>
      <c r="AG790" s="548"/>
      <c r="AH790" s="548"/>
      <c r="AI790" s="548"/>
      <c r="AJ790" s="548"/>
      <c r="AK790" s="548"/>
      <c r="AL790" s="548"/>
      <c r="AM790" s="548"/>
      <c r="AN790" s="548"/>
      <c r="AO790" s="548"/>
    </row>
    <row r="791">
      <c r="G791" s="548"/>
      <c r="H791" s="548"/>
      <c r="I791" s="548"/>
      <c r="J791" s="548"/>
      <c r="K791" s="548"/>
      <c r="L791" s="548"/>
      <c r="M791" s="548"/>
      <c r="N791" s="548"/>
      <c r="O791" s="548"/>
      <c r="P791" s="548"/>
      <c r="Q791" s="548"/>
      <c r="R791" s="548"/>
      <c r="S791" s="548"/>
      <c r="T791" s="548"/>
      <c r="U791" s="548"/>
      <c r="V791" s="548"/>
      <c r="W791" s="548"/>
      <c r="X791" s="548"/>
      <c r="Y791" s="548"/>
      <c r="Z791" s="548"/>
      <c r="AA791" s="548"/>
      <c r="AB791" s="548"/>
      <c r="AC791" s="548"/>
      <c r="AD791" s="548"/>
      <c r="AE791" s="548"/>
      <c r="AF791" s="548"/>
      <c r="AG791" s="548"/>
      <c r="AH791" s="548"/>
      <c r="AI791" s="548"/>
      <c r="AJ791" s="548"/>
      <c r="AK791" s="548"/>
      <c r="AL791" s="548"/>
      <c r="AM791" s="548"/>
      <c r="AN791" s="548"/>
      <c r="AO791" s="548"/>
    </row>
    <row r="792">
      <c r="G792" s="548"/>
      <c r="H792" s="548"/>
      <c r="I792" s="548"/>
      <c r="J792" s="548"/>
      <c r="K792" s="548"/>
      <c r="L792" s="548"/>
      <c r="M792" s="548"/>
      <c r="N792" s="548"/>
      <c r="O792" s="548"/>
      <c r="P792" s="548"/>
      <c r="Q792" s="548"/>
      <c r="R792" s="548"/>
      <c r="S792" s="548"/>
      <c r="T792" s="548"/>
      <c r="U792" s="548"/>
      <c r="V792" s="548"/>
      <c r="W792" s="548"/>
      <c r="X792" s="548"/>
      <c r="Y792" s="548"/>
      <c r="Z792" s="548"/>
      <c r="AA792" s="548"/>
      <c r="AB792" s="548"/>
      <c r="AC792" s="548"/>
      <c r="AD792" s="548"/>
      <c r="AE792" s="548"/>
      <c r="AF792" s="548"/>
      <c r="AG792" s="548"/>
      <c r="AH792" s="548"/>
      <c r="AI792" s="548"/>
      <c r="AJ792" s="548"/>
      <c r="AK792" s="548"/>
      <c r="AL792" s="548"/>
      <c r="AM792" s="548"/>
      <c r="AN792" s="548"/>
      <c r="AO792" s="548"/>
    </row>
    <row r="793">
      <c r="G793" s="548"/>
      <c r="H793" s="548"/>
      <c r="I793" s="548"/>
      <c r="J793" s="548"/>
      <c r="K793" s="548"/>
      <c r="L793" s="548"/>
      <c r="M793" s="548"/>
      <c r="N793" s="548"/>
      <c r="O793" s="548"/>
      <c r="P793" s="548"/>
      <c r="Q793" s="548"/>
      <c r="R793" s="548"/>
      <c r="S793" s="548"/>
      <c r="T793" s="548"/>
      <c r="U793" s="548"/>
      <c r="V793" s="548"/>
      <c r="W793" s="548"/>
      <c r="X793" s="548"/>
      <c r="Y793" s="548"/>
      <c r="Z793" s="548"/>
      <c r="AA793" s="548"/>
      <c r="AB793" s="548"/>
      <c r="AC793" s="548"/>
      <c r="AD793" s="548"/>
      <c r="AE793" s="548"/>
      <c r="AF793" s="548"/>
      <c r="AG793" s="548"/>
      <c r="AH793" s="548"/>
      <c r="AI793" s="548"/>
      <c r="AJ793" s="548"/>
      <c r="AK793" s="548"/>
      <c r="AL793" s="548"/>
      <c r="AM793" s="548"/>
      <c r="AN793" s="548"/>
      <c r="AO793" s="548"/>
    </row>
    <row r="794">
      <c r="G794" s="548"/>
      <c r="H794" s="548"/>
      <c r="I794" s="548"/>
      <c r="J794" s="548"/>
      <c r="K794" s="548"/>
      <c r="L794" s="548"/>
      <c r="M794" s="548"/>
      <c r="N794" s="548"/>
      <c r="O794" s="548"/>
      <c r="P794" s="548"/>
      <c r="Q794" s="548"/>
      <c r="R794" s="548"/>
      <c r="S794" s="548"/>
      <c r="T794" s="548"/>
      <c r="U794" s="548"/>
      <c r="V794" s="548"/>
      <c r="W794" s="548"/>
      <c r="X794" s="548"/>
      <c r="Y794" s="548"/>
      <c r="Z794" s="548"/>
      <c r="AA794" s="548"/>
      <c r="AB794" s="548"/>
      <c r="AC794" s="548"/>
      <c r="AD794" s="548"/>
      <c r="AE794" s="548"/>
      <c r="AF794" s="548"/>
      <c r="AG794" s="548"/>
      <c r="AH794" s="548"/>
      <c r="AI794" s="548"/>
      <c r="AJ794" s="548"/>
      <c r="AK794" s="548"/>
      <c r="AL794" s="548"/>
      <c r="AM794" s="548"/>
      <c r="AN794" s="548"/>
      <c r="AO794" s="548"/>
    </row>
    <row r="795">
      <c r="G795" s="548"/>
      <c r="H795" s="548"/>
      <c r="I795" s="548"/>
      <c r="J795" s="548"/>
      <c r="K795" s="548"/>
      <c r="L795" s="548"/>
      <c r="M795" s="548"/>
      <c r="N795" s="548"/>
      <c r="O795" s="548"/>
      <c r="P795" s="548"/>
      <c r="Q795" s="548"/>
      <c r="R795" s="548"/>
      <c r="S795" s="548"/>
      <c r="T795" s="548"/>
      <c r="U795" s="548"/>
      <c r="V795" s="548"/>
      <c r="W795" s="548"/>
      <c r="X795" s="548"/>
      <c r="Y795" s="548"/>
      <c r="Z795" s="548"/>
      <c r="AA795" s="548"/>
      <c r="AB795" s="548"/>
      <c r="AC795" s="548"/>
      <c r="AD795" s="548"/>
      <c r="AE795" s="548"/>
      <c r="AF795" s="548"/>
      <c r="AG795" s="548"/>
      <c r="AH795" s="548"/>
      <c r="AI795" s="548"/>
      <c r="AJ795" s="548"/>
      <c r="AK795" s="548"/>
      <c r="AL795" s="548"/>
      <c r="AM795" s="548"/>
      <c r="AN795" s="548"/>
      <c r="AO795" s="548"/>
    </row>
    <row r="796">
      <c r="G796" s="548"/>
      <c r="H796" s="548"/>
      <c r="I796" s="548"/>
      <c r="J796" s="548"/>
      <c r="K796" s="548"/>
      <c r="L796" s="548"/>
      <c r="M796" s="548"/>
      <c r="N796" s="548"/>
      <c r="O796" s="548"/>
      <c r="P796" s="548"/>
      <c r="Q796" s="548"/>
      <c r="R796" s="548"/>
      <c r="S796" s="548"/>
      <c r="T796" s="548"/>
      <c r="U796" s="548"/>
      <c r="V796" s="548"/>
      <c r="W796" s="548"/>
      <c r="X796" s="548"/>
      <c r="Y796" s="548"/>
      <c r="Z796" s="548"/>
      <c r="AA796" s="548"/>
      <c r="AB796" s="548"/>
      <c r="AC796" s="548"/>
      <c r="AD796" s="548"/>
      <c r="AE796" s="548"/>
      <c r="AF796" s="548"/>
      <c r="AG796" s="548"/>
      <c r="AH796" s="548"/>
      <c r="AI796" s="548"/>
      <c r="AJ796" s="548"/>
      <c r="AK796" s="548"/>
      <c r="AL796" s="548"/>
      <c r="AM796" s="548"/>
      <c r="AN796" s="548"/>
      <c r="AO796" s="548"/>
    </row>
    <row r="797">
      <c r="G797" s="548"/>
      <c r="H797" s="548"/>
      <c r="I797" s="548"/>
      <c r="J797" s="548"/>
      <c r="K797" s="548"/>
      <c r="L797" s="548"/>
      <c r="M797" s="548"/>
      <c r="N797" s="548"/>
      <c r="O797" s="548"/>
      <c r="P797" s="548"/>
      <c r="Q797" s="548"/>
      <c r="R797" s="548"/>
      <c r="S797" s="548"/>
      <c r="T797" s="548"/>
      <c r="U797" s="548"/>
      <c r="V797" s="548"/>
      <c r="W797" s="548"/>
      <c r="X797" s="548"/>
      <c r="Y797" s="548"/>
      <c r="Z797" s="548"/>
      <c r="AA797" s="548"/>
      <c r="AB797" s="548"/>
      <c r="AC797" s="548"/>
      <c r="AD797" s="548"/>
      <c r="AE797" s="548"/>
      <c r="AF797" s="548"/>
      <c r="AG797" s="548"/>
      <c r="AH797" s="548"/>
      <c r="AI797" s="548"/>
      <c r="AJ797" s="548"/>
      <c r="AK797" s="548"/>
      <c r="AL797" s="548"/>
      <c r="AM797" s="548"/>
      <c r="AN797" s="548"/>
      <c r="AO797" s="548"/>
    </row>
    <row r="798">
      <c r="G798" s="548"/>
      <c r="H798" s="548"/>
      <c r="I798" s="548"/>
      <c r="J798" s="548"/>
      <c r="K798" s="548"/>
      <c r="L798" s="548"/>
      <c r="M798" s="548"/>
      <c r="N798" s="548"/>
      <c r="O798" s="548"/>
      <c r="P798" s="548"/>
      <c r="Q798" s="548"/>
      <c r="R798" s="548"/>
      <c r="S798" s="548"/>
      <c r="T798" s="548"/>
      <c r="U798" s="548"/>
      <c r="V798" s="548"/>
      <c r="W798" s="548"/>
      <c r="X798" s="548"/>
      <c r="Y798" s="548"/>
      <c r="Z798" s="548"/>
      <c r="AA798" s="548"/>
      <c r="AB798" s="548"/>
      <c r="AC798" s="548"/>
      <c r="AD798" s="548"/>
      <c r="AE798" s="548"/>
      <c r="AF798" s="548"/>
      <c r="AG798" s="548"/>
      <c r="AH798" s="548"/>
      <c r="AI798" s="548"/>
      <c r="AJ798" s="548"/>
      <c r="AK798" s="548"/>
      <c r="AL798" s="548"/>
      <c r="AM798" s="548"/>
      <c r="AN798" s="548"/>
      <c r="AO798" s="548"/>
    </row>
    <row r="799">
      <c r="G799" s="548"/>
      <c r="H799" s="548"/>
      <c r="I799" s="548"/>
      <c r="J799" s="548"/>
      <c r="K799" s="548"/>
      <c r="L799" s="548"/>
      <c r="M799" s="548"/>
      <c r="N799" s="548"/>
      <c r="O799" s="548"/>
      <c r="P799" s="548"/>
      <c r="Q799" s="548"/>
      <c r="R799" s="548"/>
      <c r="S799" s="548"/>
      <c r="T799" s="548"/>
      <c r="U799" s="548"/>
      <c r="V799" s="548"/>
      <c r="W799" s="548"/>
      <c r="X799" s="548"/>
      <c r="Y799" s="548"/>
      <c r="Z799" s="548"/>
      <c r="AA799" s="548"/>
      <c r="AB799" s="548"/>
      <c r="AC799" s="548"/>
      <c r="AD799" s="548"/>
      <c r="AE799" s="548"/>
      <c r="AF799" s="548"/>
      <c r="AG799" s="548"/>
      <c r="AH799" s="548"/>
      <c r="AI799" s="548"/>
      <c r="AJ799" s="548"/>
      <c r="AK799" s="548"/>
      <c r="AL799" s="548"/>
      <c r="AM799" s="548"/>
      <c r="AN799" s="548"/>
      <c r="AO799" s="548"/>
    </row>
    <row r="800">
      <c r="G800" s="548"/>
      <c r="H800" s="548"/>
      <c r="I800" s="548"/>
      <c r="J800" s="548"/>
      <c r="K800" s="548"/>
      <c r="L800" s="548"/>
      <c r="M800" s="548"/>
      <c r="N800" s="548"/>
      <c r="O800" s="548"/>
      <c r="P800" s="548"/>
      <c r="Q800" s="548"/>
      <c r="R800" s="548"/>
      <c r="S800" s="548"/>
      <c r="T800" s="548"/>
      <c r="U800" s="548"/>
      <c r="V800" s="548"/>
      <c r="W800" s="548"/>
      <c r="X800" s="548"/>
      <c r="Y800" s="548"/>
      <c r="Z800" s="548"/>
      <c r="AA800" s="548"/>
      <c r="AB800" s="548"/>
      <c r="AC800" s="548"/>
      <c r="AD800" s="548"/>
      <c r="AE800" s="548"/>
      <c r="AF800" s="548"/>
      <c r="AG800" s="548"/>
      <c r="AH800" s="548"/>
      <c r="AI800" s="548"/>
      <c r="AJ800" s="548"/>
      <c r="AK800" s="548"/>
      <c r="AL800" s="548"/>
      <c r="AM800" s="548"/>
      <c r="AN800" s="548"/>
      <c r="AO800" s="548"/>
    </row>
    <row r="801">
      <c r="G801" s="548"/>
      <c r="H801" s="548"/>
      <c r="I801" s="548"/>
      <c r="J801" s="548"/>
      <c r="K801" s="548"/>
      <c r="L801" s="548"/>
      <c r="M801" s="548"/>
      <c r="N801" s="548"/>
      <c r="O801" s="548"/>
      <c r="P801" s="548"/>
      <c r="Q801" s="548"/>
      <c r="R801" s="548"/>
      <c r="S801" s="548"/>
      <c r="T801" s="548"/>
      <c r="U801" s="548"/>
      <c r="V801" s="548"/>
      <c r="W801" s="548"/>
      <c r="X801" s="548"/>
      <c r="Y801" s="548"/>
      <c r="Z801" s="548"/>
      <c r="AA801" s="548"/>
      <c r="AB801" s="548"/>
      <c r="AC801" s="548"/>
      <c r="AD801" s="548"/>
      <c r="AE801" s="548"/>
      <c r="AF801" s="548"/>
      <c r="AG801" s="548"/>
      <c r="AH801" s="548"/>
      <c r="AI801" s="548"/>
      <c r="AJ801" s="548"/>
      <c r="AK801" s="548"/>
      <c r="AL801" s="548"/>
      <c r="AM801" s="548"/>
      <c r="AN801" s="548"/>
      <c r="AO801" s="548"/>
    </row>
    <row r="802">
      <c r="G802" s="548"/>
      <c r="H802" s="548"/>
      <c r="I802" s="548"/>
      <c r="J802" s="548"/>
      <c r="K802" s="548"/>
      <c r="L802" s="548"/>
      <c r="M802" s="548"/>
      <c r="N802" s="548"/>
      <c r="O802" s="548"/>
      <c r="P802" s="548"/>
      <c r="Q802" s="548"/>
      <c r="R802" s="548"/>
      <c r="S802" s="548"/>
      <c r="T802" s="548"/>
      <c r="U802" s="548"/>
      <c r="V802" s="548"/>
      <c r="W802" s="548"/>
      <c r="X802" s="548"/>
      <c r="Y802" s="548"/>
      <c r="Z802" s="548"/>
      <c r="AA802" s="548"/>
      <c r="AB802" s="548"/>
      <c r="AC802" s="548"/>
      <c r="AD802" s="548"/>
      <c r="AE802" s="548"/>
      <c r="AF802" s="548"/>
      <c r="AG802" s="548"/>
      <c r="AH802" s="548"/>
      <c r="AI802" s="548"/>
      <c r="AJ802" s="548"/>
      <c r="AK802" s="548"/>
      <c r="AL802" s="548"/>
      <c r="AM802" s="548"/>
      <c r="AN802" s="548"/>
      <c r="AO802" s="548"/>
    </row>
    <row r="803">
      <c r="G803" s="548"/>
      <c r="H803" s="548"/>
      <c r="I803" s="548"/>
      <c r="J803" s="548"/>
      <c r="K803" s="548"/>
      <c r="L803" s="548"/>
      <c r="M803" s="548"/>
      <c r="N803" s="548"/>
      <c r="O803" s="548"/>
      <c r="P803" s="548"/>
      <c r="Q803" s="548"/>
      <c r="R803" s="548"/>
      <c r="S803" s="548"/>
      <c r="T803" s="548"/>
      <c r="U803" s="548"/>
      <c r="V803" s="548"/>
      <c r="W803" s="548"/>
      <c r="X803" s="548"/>
      <c r="Y803" s="548"/>
      <c r="Z803" s="548"/>
      <c r="AA803" s="548"/>
      <c r="AB803" s="548"/>
      <c r="AC803" s="548"/>
      <c r="AD803" s="548"/>
      <c r="AE803" s="548"/>
      <c r="AF803" s="548"/>
      <c r="AG803" s="548"/>
      <c r="AH803" s="548"/>
      <c r="AI803" s="548"/>
      <c r="AJ803" s="548"/>
      <c r="AK803" s="548"/>
      <c r="AL803" s="548"/>
      <c r="AM803" s="548"/>
      <c r="AN803" s="548"/>
      <c r="AO803" s="548"/>
    </row>
    <row r="804">
      <c r="G804" s="548"/>
      <c r="H804" s="548"/>
      <c r="I804" s="548"/>
      <c r="J804" s="548"/>
      <c r="K804" s="548"/>
      <c r="L804" s="548"/>
      <c r="M804" s="548"/>
      <c r="N804" s="548"/>
      <c r="O804" s="548"/>
      <c r="P804" s="548"/>
      <c r="Q804" s="548"/>
      <c r="R804" s="548"/>
      <c r="S804" s="548"/>
      <c r="T804" s="548"/>
      <c r="U804" s="548"/>
      <c r="V804" s="548"/>
      <c r="W804" s="548"/>
      <c r="X804" s="548"/>
      <c r="Y804" s="548"/>
      <c r="Z804" s="548"/>
      <c r="AA804" s="548"/>
      <c r="AB804" s="548"/>
      <c r="AC804" s="548"/>
      <c r="AD804" s="548"/>
      <c r="AE804" s="548"/>
      <c r="AF804" s="548"/>
      <c r="AG804" s="548"/>
      <c r="AH804" s="548"/>
      <c r="AI804" s="548"/>
      <c r="AJ804" s="548"/>
      <c r="AK804" s="548"/>
      <c r="AL804" s="548"/>
      <c r="AM804" s="548"/>
      <c r="AN804" s="548"/>
      <c r="AO804" s="548"/>
    </row>
    <row r="805">
      <c r="G805" s="548"/>
      <c r="H805" s="548"/>
      <c r="I805" s="548"/>
      <c r="J805" s="548"/>
      <c r="K805" s="548"/>
      <c r="L805" s="548"/>
      <c r="M805" s="548"/>
      <c r="N805" s="548"/>
      <c r="O805" s="548"/>
      <c r="P805" s="548"/>
      <c r="Q805" s="548"/>
      <c r="R805" s="548"/>
      <c r="S805" s="548"/>
      <c r="T805" s="548"/>
      <c r="U805" s="548"/>
      <c r="V805" s="548"/>
      <c r="W805" s="548"/>
      <c r="X805" s="548"/>
      <c r="Y805" s="548"/>
      <c r="Z805" s="548"/>
      <c r="AA805" s="548"/>
      <c r="AB805" s="548"/>
      <c r="AC805" s="548"/>
      <c r="AD805" s="548"/>
      <c r="AE805" s="548"/>
      <c r="AF805" s="548"/>
      <c r="AG805" s="548"/>
      <c r="AH805" s="548"/>
      <c r="AI805" s="548"/>
      <c r="AJ805" s="548"/>
      <c r="AK805" s="548"/>
      <c r="AL805" s="548"/>
      <c r="AM805" s="548"/>
      <c r="AN805" s="548"/>
      <c r="AO805" s="548"/>
    </row>
    <row r="806">
      <c r="G806" s="548"/>
      <c r="H806" s="548"/>
      <c r="I806" s="548"/>
      <c r="J806" s="548"/>
      <c r="K806" s="548"/>
      <c r="L806" s="548"/>
      <c r="M806" s="548"/>
      <c r="N806" s="548"/>
      <c r="O806" s="548"/>
      <c r="P806" s="548"/>
      <c r="Q806" s="548"/>
      <c r="R806" s="548"/>
      <c r="S806" s="548"/>
      <c r="T806" s="548"/>
      <c r="U806" s="548"/>
      <c r="V806" s="548"/>
      <c r="W806" s="548"/>
      <c r="X806" s="548"/>
      <c r="Y806" s="548"/>
      <c r="Z806" s="548"/>
      <c r="AA806" s="548"/>
      <c r="AB806" s="548"/>
      <c r="AC806" s="548"/>
      <c r="AD806" s="548"/>
      <c r="AE806" s="548"/>
      <c r="AF806" s="548"/>
      <c r="AG806" s="548"/>
      <c r="AH806" s="548"/>
      <c r="AI806" s="548"/>
      <c r="AJ806" s="548"/>
      <c r="AK806" s="548"/>
      <c r="AL806" s="548"/>
      <c r="AM806" s="548"/>
      <c r="AN806" s="548"/>
      <c r="AO806" s="548"/>
    </row>
    <row r="807">
      <c r="G807" s="548"/>
      <c r="H807" s="548"/>
      <c r="I807" s="548"/>
      <c r="J807" s="548"/>
      <c r="K807" s="548"/>
      <c r="L807" s="548"/>
      <c r="M807" s="548"/>
      <c r="N807" s="548"/>
      <c r="O807" s="548"/>
      <c r="P807" s="548"/>
      <c r="Q807" s="548"/>
      <c r="R807" s="548"/>
      <c r="S807" s="548"/>
      <c r="T807" s="548"/>
      <c r="U807" s="548"/>
      <c r="V807" s="548"/>
      <c r="W807" s="548"/>
      <c r="X807" s="548"/>
      <c r="Y807" s="548"/>
      <c r="Z807" s="548"/>
      <c r="AA807" s="548"/>
      <c r="AB807" s="548"/>
      <c r="AC807" s="548"/>
      <c r="AD807" s="548"/>
      <c r="AE807" s="548"/>
      <c r="AF807" s="548"/>
      <c r="AG807" s="548"/>
      <c r="AH807" s="548"/>
      <c r="AI807" s="548"/>
      <c r="AJ807" s="548"/>
      <c r="AK807" s="548"/>
      <c r="AL807" s="548"/>
      <c r="AM807" s="548"/>
      <c r="AN807" s="548"/>
      <c r="AO807" s="548"/>
    </row>
    <row r="808">
      <c r="G808" s="548"/>
      <c r="H808" s="548"/>
      <c r="I808" s="548"/>
      <c r="J808" s="548"/>
      <c r="K808" s="548"/>
      <c r="L808" s="548"/>
      <c r="M808" s="548"/>
      <c r="N808" s="548"/>
      <c r="O808" s="548"/>
      <c r="P808" s="548"/>
      <c r="Q808" s="548"/>
      <c r="R808" s="548"/>
      <c r="S808" s="548"/>
      <c r="T808" s="548"/>
      <c r="U808" s="548"/>
      <c r="V808" s="548"/>
      <c r="W808" s="548"/>
      <c r="X808" s="548"/>
      <c r="Y808" s="548"/>
      <c r="Z808" s="548"/>
      <c r="AA808" s="548"/>
      <c r="AB808" s="548"/>
      <c r="AC808" s="548"/>
      <c r="AD808" s="548"/>
      <c r="AE808" s="548"/>
      <c r="AF808" s="548"/>
      <c r="AG808" s="548"/>
      <c r="AH808" s="548"/>
      <c r="AI808" s="548"/>
      <c r="AJ808" s="548"/>
      <c r="AK808" s="548"/>
      <c r="AL808" s="548"/>
      <c r="AM808" s="548"/>
      <c r="AN808" s="548"/>
      <c r="AO808" s="548"/>
    </row>
    <row r="809">
      <c r="G809" s="548"/>
      <c r="H809" s="548"/>
      <c r="I809" s="548"/>
      <c r="J809" s="548"/>
      <c r="K809" s="548"/>
      <c r="L809" s="548"/>
      <c r="M809" s="548"/>
      <c r="N809" s="548"/>
      <c r="O809" s="548"/>
      <c r="P809" s="548"/>
      <c r="Q809" s="548"/>
      <c r="R809" s="548"/>
      <c r="S809" s="548"/>
      <c r="T809" s="548"/>
      <c r="U809" s="548"/>
      <c r="V809" s="548"/>
      <c r="W809" s="548"/>
      <c r="X809" s="548"/>
      <c r="Y809" s="548"/>
      <c r="Z809" s="548"/>
      <c r="AA809" s="548"/>
      <c r="AB809" s="548"/>
      <c r="AC809" s="548"/>
      <c r="AD809" s="548"/>
      <c r="AE809" s="548"/>
      <c r="AF809" s="548"/>
      <c r="AG809" s="548"/>
      <c r="AH809" s="548"/>
      <c r="AI809" s="548"/>
      <c r="AJ809" s="548"/>
      <c r="AK809" s="548"/>
      <c r="AL809" s="548"/>
      <c r="AM809" s="548"/>
      <c r="AN809" s="548"/>
      <c r="AO809" s="548"/>
    </row>
    <row r="810">
      <c r="G810" s="548"/>
      <c r="H810" s="548"/>
      <c r="I810" s="548"/>
      <c r="J810" s="548"/>
      <c r="K810" s="548"/>
      <c r="L810" s="548"/>
      <c r="M810" s="548"/>
      <c r="N810" s="548"/>
      <c r="O810" s="548"/>
      <c r="P810" s="548"/>
      <c r="Q810" s="548"/>
      <c r="R810" s="548"/>
      <c r="S810" s="548"/>
      <c r="T810" s="548"/>
      <c r="U810" s="548"/>
      <c r="V810" s="548"/>
      <c r="W810" s="548"/>
      <c r="X810" s="548"/>
      <c r="Y810" s="548"/>
      <c r="Z810" s="548"/>
      <c r="AA810" s="548"/>
      <c r="AB810" s="548"/>
      <c r="AC810" s="548"/>
      <c r="AD810" s="548"/>
      <c r="AE810" s="548"/>
      <c r="AF810" s="548"/>
      <c r="AG810" s="548"/>
      <c r="AH810" s="548"/>
      <c r="AI810" s="548"/>
      <c r="AJ810" s="548"/>
      <c r="AK810" s="548"/>
      <c r="AL810" s="548"/>
      <c r="AM810" s="548"/>
      <c r="AN810" s="548"/>
      <c r="AO810" s="548"/>
    </row>
    <row r="811">
      <c r="G811" s="548"/>
      <c r="H811" s="548"/>
      <c r="I811" s="548"/>
      <c r="J811" s="548"/>
      <c r="K811" s="548"/>
      <c r="L811" s="548"/>
      <c r="M811" s="548"/>
      <c r="N811" s="548"/>
      <c r="O811" s="548"/>
      <c r="P811" s="548"/>
      <c r="Q811" s="548"/>
      <c r="R811" s="548"/>
      <c r="S811" s="548"/>
      <c r="T811" s="548"/>
      <c r="U811" s="548"/>
      <c r="V811" s="548"/>
      <c r="W811" s="548"/>
      <c r="X811" s="548"/>
      <c r="Y811" s="548"/>
      <c r="Z811" s="548"/>
      <c r="AA811" s="548"/>
      <c r="AB811" s="548"/>
      <c r="AC811" s="548"/>
      <c r="AD811" s="548"/>
      <c r="AE811" s="548"/>
      <c r="AF811" s="548"/>
      <c r="AG811" s="548"/>
      <c r="AH811" s="548"/>
      <c r="AI811" s="548"/>
      <c r="AJ811" s="548"/>
      <c r="AK811" s="548"/>
      <c r="AL811" s="548"/>
      <c r="AM811" s="548"/>
      <c r="AN811" s="548"/>
      <c r="AO811" s="548"/>
    </row>
    <row r="812">
      <c r="G812" s="548"/>
      <c r="H812" s="548"/>
      <c r="I812" s="548"/>
      <c r="J812" s="548"/>
      <c r="K812" s="548"/>
      <c r="L812" s="548"/>
      <c r="M812" s="548"/>
      <c r="N812" s="548"/>
      <c r="O812" s="548"/>
      <c r="P812" s="548"/>
      <c r="Q812" s="548"/>
      <c r="R812" s="548"/>
      <c r="S812" s="548"/>
      <c r="T812" s="548"/>
      <c r="U812" s="548"/>
      <c r="V812" s="548"/>
      <c r="W812" s="548"/>
      <c r="X812" s="548"/>
      <c r="Y812" s="548"/>
      <c r="Z812" s="548"/>
      <c r="AA812" s="548"/>
      <c r="AB812" s="548"/>
      <c r="AC812" s="548"/>
      <c r="AD812" s="548"/>
      <c r="AE812" s="548"/>
      <c r="AF812" s="548"/>
      <c r="AG812" s="548"/>
      <c r="AH812" s="548"/>
      <c r="AI812" s="548"/>
      <c r="AJ812" s="548"/>
      <c r="AK812" s="548"/>
      <c r="AL812" s="548"/>
      <c r="AM812" s="548"/>
      <c r="AN812" s="548"/>
      <c r="AO812" s="548"/>
    </row>
    <row r="813">
      <c r="G813" s="548"/>
      <c r="H813" s="548"/>
      <c r="I813" s="548"/>
      <c r="J813" s="548"/>
      <c r="K813" s="548"/>
      <c r="L813" s="548"/>
      <c r="M813" s="548"/>
      <c r="N813" s="548"/>
      <c r="O813" s="548"/>
      <c r="P813" s="548"/>
      <c r="Q813" s="548"/>
      <c r="R813" s="548"/>
      <c r="S813" s="548"/>
      <c r="T813" s="548"/>
      <c r="U813" s="548"/>
      <c r="V813" s="548"/>
      <c r="W813" s="548"/>
      <c r="X813" s="548"/>
      <c r="Y813" s="548"/>
      <c r="Z813" s="548"/>
      <c r="AA813" s="548"/>
      <c r="AB813" s="548"/>
      <c r="AC813" s="548"/>
      <c r="AD813" s="548"/>
      <c r="AE813" s="548"/>
      <c r="AF813" s="548"/>
      <c r="AG813" s="548"/>
      <c r="AH813" s="548"/>
      <c r="AI813" s="548"/>
      <c r="AJ813" s="548"/>
      <c r="AK813" s="548"/>
      <c r="AL813" s="548"/>
      <c r="AM813" s="548"/>
      <c r="AN813" s="548"/>
      <c r="AO813" s="548"/>
    </row>
    <row r="814">
      <c r="G814" s="548"/>
      <c r="H814" s="548"/>
      <c r="I814" s="548"/>
      <c r="J814" s="548"/>
      <c r="K814" s="548"/>
      <c r="L814" s="548"/>
      <c r="M814" s="548"/>
      <c r="N814" s="548"/>
      <c r="O814" s="548"/>
      <c r="P814" s="548"/>
      <c r="Q814" s="548"/>
      <c r="R814" s="548"/>
      <c r="S814" s="548"/>
      <c r="T814" s="548"/>
      <c r="U814" s="548"/>
      <c r="V814" s="548"/>
      <c r="W814" s="548"/>
      <c r="X814" s="548"/>
      <c r="Y814" s="548"/>
      <c r="Z814" s="548"/>
      <c r="AA814" s="548"/>
      <c r="AB814" s="548"/>
      <c r="AC814" s="548"/>
      <c r="AD814" s="548"/>
      <c r="AE814" s="548"/>
      <c r="AF814" s="548"/>
      <c r="AG814" s="548"/>
      <c r="AH814" s="548"/>
      <c r="AI814" s="548"/>
      <c r="AJ814" s="548"/>
      <c r="AK814" s="548"/>
      <c r="AL814" s="548"/>
      <c r="AM814" s="548"/>
      <c r="AN814" s="548"/>
      <c r="AO814" s="548"/>
    </row>
    <row r="815">
      <c r="G815" s="548"/>
      <c r="H815" s="548"/>
      <c r="I815" s="548"/>
      <c r="J815" s="548"/>
      <c r="K815" s="548"/>
      <c r="L815" s="548"/>
      <c r="M815" s="548"/>
      <c r="N815" s="548"/>
      <c r="O815" s="548"/>
      <c r="P815" s="548"/>
      <c r="Q815" s="548"/>
      <c r="R815" s="548"/>
      <c r="S815" s="548"/>
      <c r="T815" s="548"/>
      <c r="U815" s="548"/>
      <c r="V815" s="548"/>
      <c r="W815" s="548"/>
      <c r="X815" s="548"/>
      <c r="Y815" s="548"/>
      <c r="Z815" s="548"/>
      <c r="AA815" s="548"/>
      <c r="AB815" s="548"/>
      <c r="AC815" s="548"/>
      <c r="AD815" s="548"/>
      <c r="AE815" s="548"/>
      <c r="AF815" s="548"/>
      <c r="AG815" s="548"/>
      <c r="AH815" s="548"/>
      <c r="AI815" s="548"/>
      <c r="AJ815" s="548"/>
      <c r="AK815" s="548"/>
      <c r="AL815" s="548"/>
      <c r="AM815" s="548"/>
      <c r="AN815" s="548"/>
      <c r="AO815" s="548"/>
    </row>
    <row r="816">
      <c r="G816" s="548"/>
      <c r="H816" s="548"/>
      <c r="I816" s="548"/>
      <c r="J816" s="548"/>
      <c r="K816" s="548"/>
      <c r="L816" s="548"/>
      <c r="M816" s="548"/>
      <c r="N816" s="548"/>
      <c r="O816" s="548"/>
      <c r="P816" s="548"/>
      <c r="Q816" s="548"/>
      <c r="R816" s="548"/>
      <c r="S816" s="548"/>
      <c r="T816" s="548"/>
      <c r="U816" s="548"/>
      <c r="V816" s="548"/>
      <c r="W816" s="548"/>
      <c r="X816" s="548"/>
      <c r="Y816" s="548"/>
      <c r="Z816" s="548"/>
      <c r="AA816" s="548"/>
      <c r="AB816" s="548"/>
      <c r="AC816" s="548"/>
      <c r="AD816" s="548"/>
      <c r="AE816" s="548"/>
      <c r="AF816" s="548"/>
      <c r="AG816" s="548"/>
      <c r="AH816" s="548"/>
      <c r="AI816" s="548"/>
      <c r="AJ816" s="548"/>
      <c r="AK816" s="548"/>
      <c r="AL816" s="548"/>
      <c r="AM816" s="548"/>
      <c r="AN816" s="548"/>
      <c r="AO816" s="548"/>
    </row>
    <row r="817">
      <c r="G817" s="548"/>
      <c r="H817" s="548"/>
      <c r="I817" s="548"/>
      <c r="J817" s="548"/>
      <c r="K817" s="548"/>
      <c r="L817" s="548"/>
      <c r="M817" s="548"/>
      <c r="N817" s="548"/>
      <c r="O817" s="548"/>
      <c r="P817" s="548"/>
      <c r="Q817" s="548"/>
      <c r="R817" s="548"/>
      <c r="S817" s="548"/>
      <c r="T817" s="548"/>
      <c r="U817" s="548"/>
      <c r="V817" s="548"/>
      <c r="W817" s="548"/>
      <c r="X817" s="548"/>
      <c r="Y817" s="548"/>
      <c r="Z817" s="548"/>
      <c r="AA817" s="548"/>
      <c r="AB817" s="548"/>
      <c r="AC817" s="548"/>
      <c r="AD817" s="548"/>
      <c r="AE817" s="548"/>
      <c r="AF817" s="548"/>
      <c r="AG817" s="548"/>
      <c r="AH817" s="548"/>
      <c r="AI817" s="548"/>
      <c r="AJ817" s="548"/>
      <c r="AK817" s="548"/>
      <c r="AL817" s="548"/>
      <c r="AM817" s="548"/>
      <c r="AN817" s="548"/>
      <c r="AO817" s="548"/>
    </row>
    <row r="818">
      <c r="G818" s="548"/>
      <c r="H818" s="548"/>
      <c r="I818" s="548"/>
      <c r="J818" s="548"/>
      <c r="K818" s="548"/>
      <c r="L818" s="548"/>
      <c r="M818" s="548"/>
      <c r="N818" s="548"/>
      <c r="O818" s="548"/>
      <c r="P818" s="548"/>
      <c r="Q818" s="548"/>
      <c r="R818" s="548"/>
      <c r="S818" s="548"/>
      <c r="T818" s="548"/>
      <c r="U818" s="548"/>
      <c r="V818" s="548"/>
      <c r="W818" s="548"/>
      <c r="X818" s="548"/>
      <c r="Y818" s="548"/>
      <c r="Z818" s="548"/>
      <c r="AA818" s="548"/>
      <c r="AB818" s="548"/>
      <c r="AC818" s="548"/>
      <c r="AD818" s="548"/>
      <c r="AE818" s="548"/>
      <c r="AF818" s="548"/>
      <c r="AG818" s="548"/>
      <c r="AH818" s="548"/>
      <c r="AI818" s="548"/>
      <c r="AJ818" s="548"/>
      <c r="AK818" s="548"/>
      <c r="AL818" s="548"/>
      <c r="AM818" s="548"/>
      <c r="AN818" s="548"/>
      <c r="AO818" s="548"/>
    </row>
    <row r="819">
      <c r="G819" s="548"/>
      <c r="H819" s="548"/>
      <c r="I819" s="548"/>
      <c r="J819" s="548"/>
      <c r="K819" s="548"/>
      <c r="L819" s="548"/>
      <c r="M819" s="548"/>
      <c r="N819" s="548"/>
      <c r="O819" s="548"/>
      <c r="P819" s="548"/>
      <c r="Q819" s="548"/>
      <c r="R819" s="548"/>
      <c r="S819" s="548"/>
      <c r="T819" s="548"/>
      <c r="U819" s="548"/>
      <c r="V819" s="548"/>
      <c r="W819" s="548"/>
      <c r="X819" s="548"/>
      <c r="Y819" s="548"/>
      <c r="Z819" s="548"/>
      <c r="AA819" s="548"/>
      <c r="AB819" s="548"/>
      <c r="AC819" s="548"/>
      <c r="AD819" s="548"/>
      <c r="AE819" s="548"/>
      <c r="AF819" s="548"/>
      <c r="AG819" s="548"/>
      <c r="AH819" s="548"/>
      <c r="AI819" s="548"/>
      <c r="AJ819" s="548"/>
      <c r="AK819" s="548"/>
      <c r="AL819" s="548"/>
      <c r="AM819" s="548"/>
      <c r="AN819" s="548"/>
      <c r="AO819" s="548"/>
    </row>
    <row r="820">
      <c r="G820" s="548"/>
      <c r="H820" s="548"/>
      <c r="I820" s="548"/>
      <c r="J820" s="548"/>
      <c r="K820" s="548"/>
      <c r="L820" s="548"/>
      <c r="M820" s="548"/>
      <c r="N820" s="548"/>
      <c r="O820" s="548"/>
      <c r="P820" s="548"/>
      <c r="Q820" s="548"/>
      <c r="R820" s="548"/>
      <c r="S820" s="548"/>
      <c r="T820" s="548"/>
      <c r="U820" s="548"/>
      <c r="V820" s="548"/>
      <c r="W820" s="548"/>
      <c r="X820" s="548"/>
      <c r="Y820" s="548"/>
      <c r="Z820" s="548"/>
      <c r="AA820" s="548"/>
      <c r="AB820" s="548"/>
      <c r="AC820" s="548"/>
      <c r="AD820" s="548"/>
      <c r="AE820" s="548"/>
      <c r="AF820" s="548"/>
      <c r="AG820" s="548"/>
      <c r="AH820" s="548"/>
      <c r="AI820" s="548"/>
      <c r="AJ820" s="548"/>
      <c r="AK820" s="548"/>
      <c r="AL820" s="548"/>
      <c r="AM820" s="548"/>
      <c r="AN820" s="548"/>
      <c r="AO820" s="548"/>
    </row>
    <row r="821">
      <c r="G821" s="548"/>
      <c r="H821" s="548"/>
      <c r="I821" s="548"/>
      <c r="J821" s="548"/>
      <c r="K821" s="548"/>
      <c r="L821" s="548"/>
      <c r="M821" s="548"/>
      <c r="N821" s="548"/>
      <c r="O821" s="548"/>
      <c r="P821" s="548"/>
      <c r="Q821" s="548"/>
      <c r="R821" s="548"/>
      <c r="S821" s="548"/>
      <c r="T821" s="548"/>
      <c r="U821" s="548"/>
      <c r="V821" s="548"/>
      <c r="W821" s="548"/>
      <c r="X821" s="548"/>
      <c r="Y821" s="548"/>
      <c r="Z821" s="548"/>
      <c r="AA821" s="548"/>
      <c r="AB821" s="548"/>
      <c r="AC821" s="548"/>
      <c r="AD821" s="548"/>
      <c r="AE821" s="548"/>
      <c r="AF821" s="548"/>
      <c r="AG821" s="548"/>
      <c r="AH821" s="548"/>
      <c r="AI821" s="548"/>
      <c r="AJ821" s="548"/>
      <c r="AK821" s="548"/>
      <c r="AL821" s="548"/>
      <c r="AM821" s="548"/>
      <c r="AN821" s="548"/>
      <c r="AO821" s="548"/>
    </row>
    <row r="822">
      <c r="G822" s="548"/>
      <c r="H822" s="548"/>
      <c r="I822" s="548"/>
      <c r="J822" s="548"/>
      <c r="K822" s="548"/>
      <c r="L822" s="548"/>
      <c r="M822" s="548"/>
      <c r="N822" s="548"/>
      <c r="O822" s="548"/>
      <c r="P822" s="548"/>
      <c r="Q822" s="548"/>
      <c r="R822" s="548"/>
      <c r="S822" s="548"/>
      <c r="T822" s="548"/>
      <c r="U822" s="548"/>
      <c r="V822" s="548"/>
      <c r="W822" s="548"/>
      <c r="X822" s="548"/>
      <c r="Y822" s="548"/>
      <c r="Z822" s="548"/>
      <c r="AA822" s="548"/>
      <c r="AB822" s="548"/>
      <c r="AC822" s="548"/>
      <c r="AD822" s="548"/>
      <c r="AE822" s="548"/>
      <c r="AF822" s="548"/>
      <c r="AG822" s="548"/>
      <c r="AH822" s="548"/>
      <c r="AI822" s="548"/>
      <c r="AJ822" s="548"/>
      <c r="AK822" s="548"/>
      <c r="AL822" s="548"/>
      <c r="AM822" s="548"/>
      <c r="AN822" s="548"/>
      <c r="AO822" s="548"/>
    </row>
    <row r="823">
      <c r="G823" s="548"/>
      <c r="H823" s="548"/>
      <c r="I823" s="548"/>
      <c r="J823" s="548"/>
      <c r="K823" s="548"/>
      <c r="L823" s="548"/>
      <c r="M823" s="548"/>
      <c r="N823" s="548"/>
      <c r="O823" s="548"/>
      <c r="P823" s="548"/>
      <c r="Q823" s="548"/>
      <c r="R823" s="548"/>
      <c r="S823" s="548"/>
      <c r="T823" s="548"/>
      <c r="U823" s="548"/>
      <c r="V823" s="548"/>
      <c r="W823" s="548"/>
      <c r="X823" s="548"/>
      <c r="Y823" s="548"/>
      <c r="Z823" s="548"/>
      <c r="AA823" s="548"/>
      <c r="AB823" s="548"/>
      <c r="AC823" s="548"/>
      <c r="AD823" s="548"/>
      <c r="AE823" s="548"/>
      <c r="AF823" s="548"/>
      <c r="AG823" s="548"/>
      <c r="AH823" s="548"/>
      <c r="AI823" s="548"/>
      <c r="AJ823" s="548"/>
      <c r="AK823" s="548"/>
      <c r="AL823" s="548"/>
      <c r="AM823" s="548"/>
      <c r="AN823" s="548"/>
      <c r="AO823" s="548"/>
    </row>
    <row r="824">
      <c r="G824" s="548"/>
      <c r="H824" s="548"/>
      <c r="I824" s="548"/>
      <c r="J824" s="548"/>
      <c r="K824" s="548"/>
      <c r="L824" s="548"/>
      <c r="M824" s="548"/>
      <c r="N824" s="548"/>
      <c r="O824" s="548"/>
      <c r="P824" s="548"/>
      <c r="Q824" s="548"/>
      <c r="R824" s="548"/>
      <c r="S824" s="548"/>
      <c r="T824" s="548"/>
      <c r="U824" s="548"/>
      <c r="V824" s="548"/>
      <c r="W824" s="548"/>
      <c r="X824" s="548"/>
      <c r="Y824" s="548"/>
      <c r="Z824" s="548"/>
      <c r="AA824" s="548"/>
      <c r="AB824" s="548"/>
      <c r="AC824" s="548"/>
      <c r="AD824" s="548"/>
      <c r="AE824" s="548"/>
      <c r="AF824" s="548"/>
      <c r="AG824" s="548"/>
      <c r="AH824" s="548"/>
      <c r="AI824" s="548"/>
      <c r="AJ824" s="548"/>
      <c r="AK824" s="548"/>
      <c r="AL824" s="548"/>
      <c r="AM824" s="548"/>
      <c r="AN824" s="548"/>
      <c r="AO824" s="548"/>
    </row>
    <row r="825">
      <c r="G825" s="548"/>
      <c r="H825" s="548"/>
      <c r="I825" s="548"/>
      <c r="J825" s="548"/>
      <c r="K825" s="548"/>
      <c r="L825" s="548"/>
      <c r="M825" s="548"/>
      <c r="N825" s="548"/>
      <c r="O825" s="548"/>
      <c r="P825" s="548"/>
      <c r="Q825" s="548"/>
      <c r="R825" s="548"/>
      <c r="S825" s="548"/>
      <c r="T825" s="548"/>
      <c r="U825" s="548"/>
      <c r="V825" s="548"/>
      <c r="W825" s="548"/>
      <c r="X825" s="548"/>
      <c r="Y825" s="548"/>
      <c r="Z825" s="548"/>
      <c r="AA825" s="548"/>
      <c r="AB825" s="548"/>
      <c r="AC825" s="548"/>
      <c r="AD825" s="548"/>
      <c r="AE825" s="548"/>
      <c r="AF825" s="548"/>
      <c r="AG825" s="548"/>
      <c r="AH825" s="548"/>
      <c r="AI825" s="548"/>
      <c r="AJ825" s="548"/>
      <c r="AK825" s="548"/>
      <c r="AL825" s="548"/>
      <c r="AM825" s="548"/>
      <c r="AN825" s="548"/>
      <c r="AO825" s="548"/>
    </row>
    <row r="826">
      <c r="G826" s="548"/>
      <c r="H826" s="548"/>
      <c r="I826" s="548"/>
      <c r="J826" s="548"/>
      <c r="K826" s="548"/>
      <c r="L826" s="548"/>
      <c r="M826" s="548"/>
      <c r="N826" s="548"/>
      <c r="O826" s="548"/>
      <c r="P826" s="548"/>
      <c r="Q826" s="548"/>
      <c r="R826" s="548"/>
      <c r="S826" s="548"/>
      <c r="T826" s="548"/>
      <c r="U826" s="548"/>
      <c r="V826" s="548"/>
      <c r="W826" s="548"/>
      <c r="X826" s="548"/>
      <c r="Y826" s="548"/>
      <c r="Z826" s="548"/>
      <c r="AA826" s="548"/>
      <c r="AB826" s="548"/>
      <c r="AC826" s="548"/>
      <c r="AD826" s="548"/>
      <c r="AE826" s="548"/>
      <c r="AF826" s="548"/>
      <c r="AG826" s="548"/>
      <c r="AH826" s="548"/>
      <c r="AI826" s="548"/>
      <c r="AJ826" s="548"/>
      <c r="AK826" s="548"/>
      <c r="AL826" s="548"/>
      <c r="AM826" s="548"/>
      <c r="AN826" s="548"/>
      <c r="AO826" s="548"/>
    </row>
    <row r="827">
      <c r="G827" s="548"/>
      <c r="H827" s="548"/>
      <c r="I827" s="548"/>
      <c r="J827" s="548"/>
      <c r="K827" s="548"/>
      <c r="L827" s="548"/>
      <c r="M827" s="548"/>
      <c r="N827" s="548"/>
      <c r="O827" s="548"/>
      <c r="P827" s="548"/>
      <c r="Q827" s="548"/>
      <c r="R827" s="548"/>
      <c r="S827" s="548"/>
      <c r="T827" s="548"/>
      <c r="U827" s="548"/>
      <c r="V827" s="548"/>
      <c r="W827" s="548"/>
      <c r="X827" s="548"/>
      <c r="Y827" s="548"/>
      <c r="Z827" s="548"/>
      <c r="AA827" s="548"/>
      <c r="AB827" s="548"/>
      <c r="AC827" s="548"/>
      <c r="AD827" s="548"/>
      <c r="AE827" s="548"/>
      <c r="AF827" s="548"/>
      <c r="AG827" s="548"/>
      <c r="AH827" s="548"/>
      <c r="AI827" s="548"/>
      <c r="AJ827" s="548"/>
      <c r="AK827" s="548"/>
      <c r="AL827" s="548"/>
      <c r="AM827" s="548"/>
      <c r="AN827" s="548"/>
      <c r="AO827" s="548"/>
    </row>
    <row r="828">
      <c r="G828" s="548"/>
      <c r="H828" s="548"/>
      <c r="I828" s="548"/>
      <c r="J828" s="548"/>
      <c r="K828" s="548"/>
      <c r="L828" s="548"/>
      <c r="M828" s="548"/>
      <c r="N828" s="548"/>
      <c r="O828" s="548"/>
      <c r="P828" s="548"/>
      <c r="Q828" s="548"/>
      <c r="R828" s="548"/>
      <c r="S828" s="548"/>
      <c r="T828" s="548"/>
      <c r="U828" s="548"/>
      <c r="V828" s="548"/>
      <c r="W828" s="548"/>
      <c r="X828" s="548"/>
      <c r="Y828" s="548"/>
      <c r="Z828" s="548"/>
      <c r="AA828" s="548"/>
      <c r="AB828" s="548"/>
      <c r="AC828" s="548"/>
      <c r="AD828" s="548"/>
      <c r="AE828" s="548"/>
      <c r="AF828" s="548"/>
      <c r="AG828" s="548"/>
      <c r="AH828" s="548"/>
      <c r="AI828" s="548"/>
      <c r="AJ828" s="548"/>
      <c r="AK828" s="548"/>
      <c r="AL828" s="548"/>
      <c r="AM828" s="548"/>
      <c r="AN828" s="548"/>
      <c r="AO828" s="548"/>
    </row>
    <row r="829">
      <c r="G829" s="548"/>
      <c r="H829" s="548"/>
      <c r="I829" s="548"/>
      <c r="J829" s="548"/>
      <c r="K829" s="548"/>
      <c r="L829" s="548"/>
      <c r="M829" s="548"/>
      <c r="N829" s="548"/>
      <c r="O829" s="548"/>
      <c r="P829" s="548"/>
      <c r="Q829" s="548"/>
      <c r="R829" s="548"/>
      <c r="S829" s="548"/>
      <c r="T829" s="548"/>
      <c r="U829" s="548"/>
      <c r="V829" s="548"/>
      <c r="W829" s="548"/>
      <c r="X829" s="548"/>
      <c r="Y829" s="548"/>
      <c r="Z829" s="548"/>
      <c r="AA829" s="548"/>
      <c r="AB829" s="548"/>
      <c r="AC829" s="548"/>
      <c r="AD829" s="548"/>
      <c r="AE829" s="548"/>
      <c r="AF829" s="548"/>
      <c r="AG829" s="548"/>
      <c r="AH829" s="548"/>
      <c r="AI829" s="548"/>
      <c r="AJ829" s="548"/>
      <c r="AK829" s="548"/>
      <c r="AL829" s="548"/>
      <c r="AM829" s="548"/>
      <c r="AN829" s="548"/>
      <c r="AO829" s="548"/>
    </row>
    <row r="830">
      <c r="G830" s="548"/>
      <c r="H830" s="548"/>
      <c r="I830" s="548"/>
      <c r="J830" s="548"/>
      <c r="K830" s="548"/>
      <c r="L830" s="548"/>
      <c r="M830" s="548"/>
      <c r="N830" s="548"/>
      <c r="O830" s="548"/>
      <c r="P830" s="548"/>
      <c r="Q830" s="548"/>
      <c r="R830" s="548"/>
      <c r="S830" s="548"/>
      <c r="T830" s="548"/>
      <c r="U830" s="548"/>
      <c r="V830" s="548"/>
      <c r="W830" s="548"/>
      <c r="X830" s="548"/>
      <c r="Y830" s="548"/>
      <c r="Z830" s="548"/>
      <c r="AA830" s="548"/>
      <c r="AB830" s="548"/>
      <c r="AC830" s="548"/>
      <c r="AD830" s="548"/>
      <c r="AE830" s="548"/>
      <c r="AF830" s="548"/>
      <c r="AG830" s="548"/>
      <c r="AH830" s="548"/>
      <c r="AI830" s="548"/>
      <c r="AJ830" s="548"/>
      <c r="AK830" s="548"/>
      <c r="AL830" s="548"/>
      <c r="AM830" s="548"/>
      <c r="AN830" s="548"/>
      <c r="AO830" s="548"/>
    </row>
    <row r="831">
      <c r="G831" s="548"/>
      <c r="H831" s="548"/>
      <c r="I831" s="548"/>
      <c r="J831" s="548"/>
      <c r="K831" s="548"/>
      <c r="L831" s="548"/>
      <c r="M831" s="548"/>
      <c r="N831" s="548"/>
      <c r="O831" s="548"/>
      <c r="P831" s="548"/>
      <c r="Q831" s="548"/>
      <c r="R831" s="548"/>
      <c r="S831" s="548"/>
      <c r="T831" s="548"/>
      <c r="U831" s="548"/>
      <c r="V831" s="548"/>
      <c r="W831" s="548"/>
      <c r="X831" s="548"/>
      <c r="Y831" s="548"/>
      <c r="Z831" s="548"/>
      <c r="AA831" s="548"/>
      <c r="AB831" s="548"/>
      <c r="AC831" s="548"/>
      <c r="AD831" s="548"/>
      <c r="AE831" s="548"/>
      <c r="AF831" s="548"/>
      <c r="AG831" s="548"/>
      <c r="AH831" s="548"/>
      <c r="AI831" s="548"/>
      <c r="AJ831" s="548"/>
      <c r="AK831" s="548"/>
      <c r="AL831" s="548"/>
      <c r="AM831" s="548"/>
      <c r="AN831" s="548"/>
      <c r="AO831" s="548"/>
    </row>
    <row r="832">
      <c r="G832" s="548"/>
      <c r="H832" s="548"/>
      <c r="I832" s="548"/>
      <c r="J832" s="548"/>
      <c r="K832" s="548"/>
      <c r="L832" s="548"/>
      <c r="M832" s="548"/>
      <c r="N832" s="548"/>
      <c r="O832" s="548"/>
      <c r="P832" s="548"/>
      <c r="Q832" s="548"/>
      <c r="R832" s="548"/>
      <c r="S832" s="548"/>
      <c r="T832" s="548"/>
      <c r="U832" s="548"/>
      <c r="V832" s="548"/>
      <c r="W832" s="548"/>
      <c r="X832" s="548"/>
      <c r="Y832" s="548"/>
      <c r="Z832" s="548"/>
      <c r="AA832" s="548"/>
      <c r="AB832" s="548"/>
      <c r="AC832" s="548"/>
      <c r="AD832" s="548"/>
      <c r="AE832" s="548"/>
      <c r="AF832" s="548"/>
      <c r="AG832" s="548"/>
      <c r="AH832" s="548"/>
      <c r="AI832" s="548"/>
      <c r="AJ832" s="548"/>
      <c r="AK832" s="548"/>
      <c r="AL832" s="548"/>
      <c r="AM832" s="548"/>
      <c r="AN832" s="548"/>
      <c r="AO832" s="548"/>
    </row>
    <row r="833">
      <c r="G833" s="548"/>
      <c r="H833" s="548"/>
      <c r="I833" s="548"/>
      <c r="J833" s="548"/>
      <c r="K833" s="548"/>
      <c r="L833" s="548"/>
      <c r="M833" s="548"/>
      <c r="N833" s="548"/>
      <c r="O833" s="548"/>
      <c r="P833" s="548"/>
      <c r="Q833" s="548"/>
      <c r="R833" s="548"/>
      <c r="S833" s="548"/>
      <c r="T833" s="548"/>
      <c r="U833" s="548"/>
      <c r="V833" s="548"/>
      <c r="W833" s="548"/>
      <c r="X833" s="548"/>
      <c r="Y833" s="548"/>
      <c r="Z833" s="548"/>
      <c r="AA833" s="548"/>
      <c r="AB833" s="548"/>
      <c r="AC833" s="548"/>
      <c r="AD833" s="548"/>
      <c r="AE833" s="548"/>
      <c r="AF833" s="548"/>
      <c r="AG833" s="548"/>
      <c r="AH833" s="548"/>
      <c r="AI833" s="548"/>
      <c r="AJ833" s="548"/>
      <c r="AK833" s="548"/>
      <c r="AL833" s="548"/>
      <c r="AM833" s="548"/>
      <c r="AN833" s="548"/>
      <c r="AO833" s="548"/>
    </row>
    <row r="834">
      <c r="G834" s="548"/>
      <c r="H834" s="548"/>
      <c r="I834" s="548"/>
      <c r="J834" s="548"/>
      <c r="K834" s="548"/>
      <c r="L834" s="548"/>
      <c r="M834" s="548"/>
      <c r="N834" s="548"/>
      <c r="O834" s="548"/>
      <c r="P834" s="548"/>
      <c r="Q834" s="548"/>
      <c r="R834" s="548"/>
      <c r="S834" s="548"/>
      <c r="T834" s="548"/>
      <c r="U834" s="548"/>
      <c r="V834" s="548"/>
      <c r="W834" s="548"/>
      <c r="X834" s="548"/>
      <c r="Y834" s="548"/>
      <c r="Z834" s="548"/>
      <c r="AA834" s="548"/>
      <c r="AB834" s="548"/>
      <c r="AC834" s="548"/>
      <c r="AD834" s="548"/>
      <c r="AE834" s="548"/>
      <c r="AF834" s="548"/>
      <c r="AG834" s="548"/>
      <c r="AH834" s="548"/>
      <c r="AI834" s="548"/>
      <c r="AJ834" s="548"/>
      <c r="AK834" s="548"/>
      <c r="AL834" s="548"/>
      <c r="AM834" s="548"/>
      <c r="AN834" s="548"/>
      <c r="AO834" s="548"/>
    </row>
    <row r="835">
      <c r="G835" s="548"/>
      <c r="H835" s="548"/>
      <c r="I835" s="548"/>
      <c r="J835" s="548"/>
      <c r="K835" s="548"/>
      <c r="L835" s="548"/>
      <c r="M835" s="548"/>
      <c r="N835" s="548"/>
      <c r="O835" s="548"/>
      <c r="P835" s="548"/>
      <c r="Q835" s="548"/>
      <c r="R835" s="548"/>
      <c r="S835" s="548"/>
      <c r="T835" s="548"/>
      <c r="U835" s="548"/>
      <c r="V835" s="548"/>
      <c r="W835" s="548"/>
      <c r="X835" s="548"/>
      <c r="Y835" s="548"/>
      <c r="Z835" s="548"/>
      <c r="AA835" s="548"/>
      <c r="AB835" s="548"/>
      <c r="AC835" s="548"/>
      <c r="AD835" s="548"/>
      <c r="AE835" s="548"/>
      <c r="AF835" s="548"/>
      <c r="AG835" s="548"/>
      <c r="AH835" s="548"/>
      <c r="AI835" s="548"/>
      <c r="AJ835" s="548"/>
      <c r="AK835" s="548"/>
      <c r="AL835" s="548"/>
      <c r="AM835" s="548"/>
      <c r="AN835" s="548"/>
      <c r="AO835" s="548"/>
    </row>
    <row r="836">
      <c r="G836" s="548"/>
      <c r="H836" s="548"/>
      <c r="I836" s="548"/>
      <c r="J836" s="548"/>
      <c r="K836" s="548"/>
      <c r="L836" s="548"/>
      <c r="M836" s="548"/>
      <c r="N836" s="548"/>
      <c r="O836" s="548"/>
      <c r="P836" s="548"/>
      <c r="Q836" s="548"/>
      <c r="R836" s="548"/>
      <c r="S836" s="548"/>
      <c r="T836" s="548"/>
      <c r="U836" s="548"/>
      <c r="V836" s="548"/>
      <c r="W836" s="548"/>
      <c r="X836" s="548"/>
      <c r="Y836" s="548"/>
      <c r="Z836" s="548"/>
      <c r="AA836" s="548"/>
      <c r="AB836" s="548"/>
      <c r="AC836" s="548"/>
      <c r="AD836" s="548"/>
      <c r="AE836" s="548"/>
      <c r="AF836" s="548"/>
      <c r="AG836" s="548"/>
      <c r="AH836" s="548"/>
      <c r="AI836" s="548"/>
      <c r="AJ836" s="548"/>
      <c r="AK836" s="548"/>
      <c r="AL836" s="548"/>
      <c r="AM836" s="548"/>
      <c r="AN836" s="548"/>
      <c r="AO836" s="548"/>
    </row>
    <row r="837">
      <c r="G837" s="548"/>
      <c r="H837" s="548"/>
      <c r="I837" s="548"/>
      <c r="J837" s="548"/>
      <c r="K837" s="548"/>
      <c r="L837" s="548"/>
      <c r="M837" s="548"/>
      <c r="N837" s="548"/>
      <c r="O837" s="548"/>
      <c r="P837" s="548"/>
      <c r="Q837" s="548"/>
      <c r="R837" s="548"/>
      <c r="S837" s="548"/>
      <c r="T837" s="548"/>
      <c r="U837" s="548"/>
      <c r="V837" s="548"/>
      <c r="W837" s="548"/>
      <c r="X837" s="548"/>
      <c r="Y837" s="548"/>
      <c r="Z837" s="548"/>
      <c r="AA837" s="548"/>
      <c r="AB837" s="548"/>
      <c r="AC837" s="548"/>
      <c r="AD837" s="548"/>
      <c r="AE837" s="548"/>
      <c r="AF837" s="548"/>
      <c r="AG837" s="548"/>
      <c r="AH837" s="548"/>
      <c r="AI837" s="548"/>
      <c r="AJ837" s="548"/>
      <c r="AK837" s="548"/>
      <c r="AL837" s="548"/>
      <c r="AM837" s="548"/>
      <c r="AN837" s="548"/>
      <c r="AO837" s="548"/>
    </row>
    <row r="838">
      <c r="G838" s="548"/>
      <c r="H838" s="548"/>
      <c r="I838" s="548"/>
      <c r="J838" s="548"/>
      <c r="K838" s="548"/>
      <c r="L838" s="548"/>
      <c r="M838" s="548"/>
      <c r="N838" s="548"/>
      <c r="O838" s="548"/>
      <c r="P838" s="548"/>
      <c r="Q838" s="548"/>
      <c r="R838" s="548"/>
      <c r="S838" s="548"/>
      <c r="T838" s="548"/>
      <c r="U838" s="548"/>
      <c r="V838" s="548"/>
      <c r="W838" s="548"/>
      <c r="X838" s="548"/>
      <c r="Y838" s="548"/>
      <c r="Z838" s="548"/>
      <c r="AA838" s="548"/>
      <c r="AB838" s="548"/>
      <c r="AC838" s="548"/>
      <c r="AD838" s="548"/>
      <c r="AE838" s="548"/>
      <c r="AF838" s="548"/>
      <c r="AG838" s="548"/>
      <c r="AH838" s="548"/>
      <c r="AI838" s="548"/>
      <c r="AJ838" s="548"/>
      <c r="AK838" s="548"/>
      <c r="AL838" s="548"/>
      <c r="AM838" s="548"/>
      <c r="AN838" s="548"/>
      <c r="AO838" s="548"/>
    </row>
    <row r="839">
      <c r="G839" s="548"/>
      <c r="H839" s="548"/>
      <c r="I839" s="548"/>
      <c r="J839" s="548"/>
      <c r="K839" s="548"/>
      <c r="L839" s="548"/>
      <c r="M839" s="548"/>
      <c r="N839" s="548"/>
      <c r="O839" s="548"/>
      <c r="P839" s="548"/>
      <c r="Q839" s="548"/>
      <c r="R839" s="548"/>
      <c r="S839" s="548"/>
      <c r="T839" s="548"/>
      <c r="U839" s="548"/>
      <c r="V839" s="548"/>
      <c r="W839" s="548"/>
      <c r="X839" s="548"/>
      <c r="Y839" s="548"/>
      <c r="Z839" s="548"/>
      <c r="AA839" s="548"/>
      <c r="AB839" s="548"/>
      <c r="AC839" s="548"/>
      <c r="AD839" s="548"/>
      <c r="AE839" s="548"/>
      <c r="AF839" s="548"/>
      <c r="AG839" s="548"/>
      <c r="AH839" s="548"/>
      <c r="AI839" s="548"/>
      <c r="AJ839" s="548"/>
      <c r="AK839" s="548"/>
      <c r="AL839" s="548"/>
      <c r="AM839" s="548"/>
      <c r="AN839" s="548"/>
      <c r="AO839" s="548"/>
    </row>
    <row r="840">
      <c r="G840" s="548"/>
      <c r="H840" s="548"/>
      <c r="I840" s="548"/>
      <c r="J840" s="548"/>
      <c r="K840" s="548"/>
      <c r="L840" s="548"/>
      <c r="M840" s="548"/>
      <c r="N840" s="548"/>
      <c r="O840" s="548"/>
      <c r="P840" s="548"/>
      <c r="Q840" s="548"/>
      <c r="R840" s="548"/>
      <c r="S840" s="548"/>
      <c r="T840" s="548"/>
      <c r="U840" s="548"/>
      <c r="V840" s="548"/>
      <c r="W840" s="548"/>
      <c r="X840" s="548"/>
      <c r="Y840" s="548"/>
      <c r="Z840" s="548"/>
      <c r="AA840" s="548"/>
      <c r="AB840" s="548"/>
      <c r="AC840" s="548"/>
      <c r="AD840" s="548"/>
      <c r="AE840" s="548"/>
      <c r="AF840" s="548"/>
      <c r="AG840" s="548"/>
      <c r="AH840" s="548"/>
      <c r="AI840" s="548"/>
      <c r="AJ840" s="548"/>
      <c r="AK840" s="548"/>
      <c r="AL840" s="548"/>
      <c r="AM840" s="548"/>
      <c r="AN840" s="548"/>
      <c r="AO840" s="548"/>
    </row>
    <row r="841">
      <c r="G841" s="548"/>
      <c r="H841" s="548"/>
      <c r="I841" s="548"/>
      <c r="J841" s="548"/>
      <c r="K841" s="548"/>
      <c r="L841" s="548"/>
      <c r="M841" s="548"/>
      <c r="N841" s="548"/>
      <c r="O841" s="548"/>
      <c r="P841" s="548"/>
      <c r="Q841" s="548"/>
      <c r="R841" s="548"/>
      <c r="S841" s="548"/>
      <c r="T841" s="548"/>
      <c r="U841" s="548"/>
      <c r="V841" s="548"/>
      <c r="W841" s="548"/>
      <c r="X841" s="548"/>
      <c r="Y841" s="548"/>
      <c r="Z841" s="548"/>
      <c r="AA841" s="548"/>
      <c r="AB841" s="548"/>
      <c r="AC841" s="548"/>
      <c r="AD841" s="548"/>
      <c r="AE841" s="548"/>
      <c r="AF841" s="548"/>
      <c r="AG841" s="548"/>
      <c r="AH841" s="548"/>
      <c r="AI841" s="548"/>
      <c r="AJ841" s="548"/>
      <c r="AK841" s="548"/>
      <c r="AL841" s="548"/>
      <c r="AM841" s="548"/>
      <c r="AN841" s="548"/>
      <c r="AO841" s="548"/>
    </row>
    <row r="842">
      <c r="G842" s="548"/>
      <c r="H842" s="548"/>
      <c r="I842" s="548"/>
      <c r="J842" s="548"/>
      <c r="K842" s="548"/>
      <c r="L842" s="548"/>
      <c r="M842" s="548"/>
      <c r="N842" s="548"/>
      <c r="O842" s="548"/>
      <c r="P842" s="548"/>
      <c r="Q842" s="548"/>
      <c r="R842" s="548"/>
      <c r="S842" s="548"/>
      <c r="T842" s="548"/>
      <c r="U842" s="548"/>
      <c r="V842" s="548"/>
      <c r="W842" s="548"/>
      <c r="X842" s="548"/>
      <c r="Y842" s="548"/>
      <c r="Z842" s="548"/>
      <c r="AA842" s="548"/>
      <c r="AB842" s="548"/>
      <c r="AC842" s="548"/>
      <c r="AD842" s="548"/>
      <c r="AE842" s="548"/>
      <c r="AF842" s="548"/>
      <c r="AG842" s="548"/>
      <c r="AH842" s="548"/>
      <c r="AI842" s="548"/>
      <c r="AJ842" s="548"/>
      <c r="AK842" s="548"/>
      <c r="AL842" s="548"/>
      <c r="AM842" s="548"/>
      <c r="AN842" s="548"/>
      <c r="AO842" s="548"/>
    </row>
    <row r="843">
      <c r="G843" s="548"/>
      <c r="H843" s="548"/>
      <c r="I843" s="548"/>
      <c r="J843" s="548"/>
      <c r="K843" s="548"/>
      <c r="L843" s="548"/>
      <c r="M843" s="548"/>
      <c r="N843" s="548"/>
      <c r="O843" s="548"/>
      <c r="P843" s="548"/>
      <c r="Q843" s="548"/>
      <c r="R843" s="548"/>
      <c r="S843" s="548"/>
      <c r="T843" s="548"/>
      <c r="U843" s="548"/>
      <c r="V843" s="548"/>
      <c r="W843" s="548"/>
      <c r="X843" s="548"/>
      <c r="Y843" s="548"/>
      <c r="Z843" s="548"/>
      <c r="AA843" s="548"/>
      <c r="AB843" s="548"/>
      <c r="AC843" s="548"/>
      <c r="AD843" s="548"/>
      <c r="AE843" s="548"/>
      <c r="AF843" s="548"/>
      <c r="AG843" s="548"/>
      <c r="AH843" s="548"/>
      <c r="AI843" s="548"/>
      <c r="AJ843" s="548"/>
      <c r="AK843" s="548"/>
      <c r="AL843" s="548"/>
      <c r="AM843" s="548"/>
      <c r="AN843" s="548"/>
      <c r="AO843" s="548"/>
    </row>
    <row r="844">
      <c r="G844" s="548"/>
      <c r="H844" s="548"/>
      <c r="I844" s="548"/>
      <c r="J844" s="548"/>
      <c r="K844" s="548"/>
      <c r="L844" s="548"/>
      <c r="M844" s="548"/>
      <c r="N844" s="548"/>
      <c r="O844" s="548"/>
      <c r="P844" s="548"/>
      <c r="Q844" s="548"/>
      <c r="R844" s="548"/>
      <c r="S844" s="548"/>
      <c r="T844" s="548"/>
      <c r="U844" s="548"/>
      <c r="V844" s="548"/>
      <c r="W844" s="548"/>
      <c r="X844" s="548"/>
      <c r="Y844" s="548"/>
      <c r="Z844" s="548"/>
      <c r="AA844" s="548"/>
      <c r="AB844" s="548"/>
      <c r="AC844" s="548"/>
      <c r="AD844" s="548"/>
      <c r="AE844" s="548"/>
      <c r="AF844" s="548"/>
      <c r="AG844" s="548"/>
      <c r="AH844" s="548"/>
      <c r="AI844" s="548"/>
      <c r="AJ844" s="548"/>
      <c r="AK844" s="548"/>
      <c r="AL844" s="548"/>
      <c r="AM844" s="548"/>
      <c r="AN844" s="548"/>
      <c r="AO844" s="548"/>
    </row>
    <row r="845">
      <c r="G845" s="548"/>
      <c r="H845" s="548"/>
      <c r="I845" s="548"/>
      <c r="J845" s="548"/>
      <c r="K845" s="548"/>
      <c r="L845" s="548"/>
      <c r="M845" s="548"/>
      <c r="N845" s="548"/>
      <c r="O845" s="548"/>
      <c r="P845" s="548"/>
      <c r="Q845" s="548"/>
      <c r="R845" s="548"/>
      <c r="S845" s="548"/>
      <c r="T845" s="548"/>
      <c r="U845" s="548"/>
      <c r="V845" s="548"/>
      <c r="W845" s="548"/>
      <c r="X845" s="548"/>
      <c r="Y845" s="548"/>
      <c r="Z845" s="548"/>
      <c r="AA845" s="548"/>
      <c r="AB845" s="548"/>
      <c r="AC845" s="548"/>
      <c r="AD845" s="548"/>
      <c r="AE845" s="548"/>
      <c r="AF845" s="548"/>
      <c r="AG845" s="548"/>
      <c r="AH845" s="548"/>
      <c r="AI845" s="548"/>
      <c r="AJ845" s="548"/>
      <c r="AK845" s="548"/>
      <c r="AL845" s="548"/>
      <c r="AM845" s="548"/>
      <c r="AN845" s="548"/>
      <c r="AO845" s="548"/>
    </row>
    <row r="846">
      <c r="G846" s="548"/>
      <c r="H846" s="548"/>
      <c r="I846" s="548"/>
      <c r="J846" s="548"/>
      <c r="K846" s="548"/>
      <c r="L846" s="548"/>
      <c r="M846" s="548"/>
      <c r="N846" s="548"/>
      <c r="O846" s="548"/>
      <c r="P846" s="548"/>
      <c r="Q846" s="548"/>
      <c r="R846" s="548"/>
      <c r="S846" s="548"/>
      <c r="T846" s="548"/>
      <c r="U846" s="548"/>
      <c r="V846" s="548"/>
      <c r="W846" s="548"/>
      <c r="X846" s="548"/>
      <c r="Y846" s="548"/>
      <c r="Z846" s="548"/>
      <c r="AA846" s="548"/>
      <c r="AB846" s="548"/>
      <c r="AC846" s="548"/>
      <c r="AD846" s="548"/>
      <c r="AE846" s="548"/>
      <c r="AF846" s="548"/>
      <c r="AG846" s="548"/>
      <c r="AH846" s="548"/>
      <c r="AI846" s="548"/>
      <c r="AJ846" s="548"/>
      <c r="AK846" s="548"/>
      <c r="AL846" s="548"/>
      <c r="AM846" s="548"/>
      <c r="AN846" s="548"/>
      <c r="AO846" s="548"/>
    </row>
    <row r="847">
      <c r="G847" s="548"/>
      <c r="H847" s="548"/>
      <c r="I847" s="548"/>
      <c r="J847" s="548"/>
      <c r="K847" s="548"/>
      <c r="L847" s="548"/>
      <c r="M847" s="548"/>
      <c r="N847" s="548"/>
      <c r="O847" s="548"/>
      <c r="P847" s="548"/>
      <c r="Q847" s="548"/>
      <c r="R847" s="548"/>
      <c r="S847" s="548"/>
      <c r="T847" s="548"/>
      <c r="U847" s="548"/>
      <c r="V847" s="548"/>
      <c r="W847" s="548"/>
      <c r="X847" s="548"/>
      <c r="Y847" s="548"/>
      <c r="Z847" s="548"/>
      <c r="AA847" s="548"/>
      <c r="AB847" s="548"/>
      <c r="AC847" s="548"/>
      <c r="AD847" s="548"/>
      <c r="AE847" s="548"/>
      <c r="AF847" s="548"/>
      <c r="AG847" s="548"/>
      <c r="AH847" s="548"/>
      <c r="AI847" s="548"/>
      <c r="AJ847" s="548"/>
      <c r="AK847" s="548"/>
      <c r="AL847" s="548"/>
      <c r="AM847" s="548"/>
      <c r="AN847" s="548"/>
      <c r="AO847" s="548"/>
    </row>
    <row r="848">
      <c r="G848" s="548"/>
      <c r="H848" s="548"/>
      <c r="I848" s="548"/>
      <c r="J848" s="548"/>
      <c r="K848" s="548"/>
      <c r="L848" s="548"/>
      <c r="M848" s="548"/>
      <c r="N848" s="548"/>
      <c r="O848" s="548"/>
      <c r="P848" s="548"/>
      <c r="Q848" s="548"/>
      <c r="R848" s="548"/>
      <c r="S848" s="548"/>
      <c r="T848" s="548"/>
      <c r="U848" s="548"/>
      <c r="V848" s="548"/>
      <c r="W848" s="548"/>
      <c r="X848" s="548"/>
      <c r="Y848" s="548"/>
      <c r="Z848" s="548"/>
      <c r="AA848" s="548"/>
      <c r="AB848" s="548"/>
      <c r="AC848" s="548"/>
      <c r="AD848" s="548"/>
      <c r="AE848" s="548"/>
      <c r="AF848" s="548"/>
      <c r="AG848" s="548"/>
      <c r="AH848" s="548"/>
      <c r="AI848" s="548"/>
      <c r="AJ848" s="548"/>
      <c r="AK848" s="548"/>
      <c r="AL848" s="548"/>
      <c r="AM848" s="548"/>
      <c r="AN848" s="548"/>
      <c r="AO848" s="548"/>
    </row>
    <row r="849">
      <c r="G849" s="548"/>
      <c r="H849" s="548"/>
      <c r="I849" s="548"/>
      <c r="J849" s="548"/>
      <c r="K849" s="548"/>
      <c r="L849" s="548"/>
      <c r="M849" s="548"/>
      <c r="N849" s="548"/>
      <c r="O849" s="548"/>
      <c r="P849" s="548"/>
      <c r="Q849" s="548"/>
      <c r="R849" s="548"/>
      <c r="S849" s="548"/>
      <c r="T849" s="548"/>
      <c r="U849" s="548"/>
      <c r="V849" s="548"/>
      <c r="W849" s="548"/>
      <c r="X849" s="548"/>
      <c r="Y849" s="548"/>
      <c r="Z849" s="548"/>
      <c r="AA849" s="548"/>
      <c r="AB849" s="548"/>
      <c r="AC849" s="548"/>
      <c r="AD849" s="548"/>
      <c r="AE849" s="548"/>
      <c r="AF849" s="548"/>
      <c r="AG849" s="548"/>
      <c r="AH849" s="548"/>
      <c r="AI849" s="548"/>
      <c r="AJ849" s="548"/>
      <c r="AK849" s="548"/>
      <c r="AL849" s="548"/>
      <c r="AM849" s="548"/>
      <c r="AN849" s="548"/>
      <c r="AO849" s="548"/>
    </row>
    <row r="850">
      <c r="G850" s="548"/>
      <c r="H850" s="548"/>
      <c r="I850" s="548"/>
      <c r="J850" s="548"/>
      <c r="K850" s="548"/>
      <c r="L850" s="548"/>
      <c r="M850" s="548"/>
      <c r="N850" s="548"/>
      <c r="O850" s="548"/>
      <c r="P850" s="548"/>
      <c r="Q850" s="548"/>
      <c r="R850" s="548"/>
      <c r="S850" s="548"/>
      <c r="T850" s="548"/>
      <c r="U850" s="548"/>
      <c r="V850" s="548"/>
      <c r="W850" s="548"/>
      <c r="X850" s="548"/>
      <c r="Y850" s="548"/>
      <c r="Z850" s="548"/>
      <c r="AA850" s="548"/>
      <c r="AB850" s="548"/>
      <c r="AC850" s="548"/>
      <c r="AD850" s="548"/>
      <c r="AE850" s="548"/>
      <c r="AF850" s="548"/>
      <c r="AG850" s="548"/>
      <c r="AH850" s="548"/>
      <c r="AI850" s="548"/>
      <c r="AJ850" s="548"/>
      <c r="AK850" s="548"/>
      <c r="AL850" s="548"/>
      <c r="AM850" s="548"/>
      <c r="AN850" s="548"/>
      <c r="AO850" s="548"/>
    </row>
    <row r="851">
      <c r="G851" s="548"/>
      <c r="H851" s="548"/>
      <c r="I851" s="548"/>
      <c r="J851" s="548"/>
      <c r="K851" s="548"/>
      <c r="L851" s="548"/>
      <c r="M851" s="548"/>
      <c r="N851" s="548"/>
      <c r="O851" s="548"/>
      <c r="P851" s="548"/>
      <c r="Q851" s="548"/>
      <c r="R851" s="548"/>
      <c r="S851" s="548"/>
      <c r="T851" s="548"/>
      <c r="U851" s="548"/>
      <c r="V851" s="548"/>
      <c r="W851" s="548"/>
      <c r="X851" s="548"/>
      <c r="Y851" s="548"/>
      <c r="Z851" s="548"/>
      <c r="AA851" s="548"/>
      <c r="AB851" s="548"/>
      <c r="AC851" s="548"/>
      <c r="AD851" s="548"/>
      <c r="AE851" s="548"/>
      <c r="AF851" s="548"/>
      <c r="AG851" s="548"/>
      <c r="AH851" s="548"/>
      <c r="AI851" s="548"/>
      <c r="AJ851" s="548"/>
      <c r="AK851" s="548"/>
      <c r="AL851" s="548"/>
      <c r="AM851" s="548"/>
      <c r="AN851" s="548"/>
      <c r="AO851" s="548"/>
    </row>
    <row r="852">
      <c r="G852" s="548"/>
      <c r="H852" s="548"/>
      <c r="I852" s="548"/>
      <c r="J852" s="548"/>
      <c r="K852" s="548"/>
      <c r="L852" s="548"/>
      <c r="M852" s="548"/>
      <c r="N852" s="548"/>
      <c r="O852" s="548"/>
      <c r="P852" s="548"/>
      <c r="Q852" s="548"/>
      <c r="R852" s="548"/>
      <c r="S852" s="548"/>
      <c r="T852" s="548"/>
      <c r="U852" s="548"/>
      <c r="V852" s="548"/>
      <c r="W852" s="548"/>
      <c r="X852" s="548"/>
      <c r="Y852" s="548"/>
      <c r="Z852" s="548"/>
      <c r="AA852" s="548"/>
      <c r="AB852" s="548"/>
      <c r="AC852" s="548"/>
      <c r="AD852" s="548"/>
      <c r="AE852" s="548"/>
      <c r="AF852" s="548"/>
      <c r="AG852" s="548"/>
      <c r="AH852" s="548"/>
      <c r="AI852" s="548"/>
      <c r="AJ852" s="548"/>
      <c r="AK852" s="548"/>
      <c r="AL852" s="548"/>
      <c r="AM852" s="548"/>
      <c r="AN852" s="548"/>
      <c r="AO852" s="548"/>
    </row>
    <row r="853">
      <c r="G853" s="548"/>
      <c r="H853" s="548"/>
      <c r="I853" s="548"/>
      <c r="J853" s="548"/>
      <c r="K853" s="548"/>
      <c r="L853" s="548"/>
      <c r="M853" s="548"/>
      <c r="N853" s="548"/>
      <c r="O853" s="548"/>
      <c r="P853" s="548"/>
      <c r="Q853" s="548"/>
      <c r="R853" s="548"/>
      <c r="S853" s="548"/>
      <c r="T853" s="548"/>
      <c r="U853" s="548"/>
      <c r="V853" s="548"/>
      <c r="W853" s="548"/>
      <c r="X853" s="548"/>
      <c r="Y853" s="548"/>
      <c r="Z853" s="548"/>
      <c r="AA853" s="548"/>
      <c r="AB853" s="548"/>
      <c r="AC853" s="548"/>
      <c r="AD853" s="548"/>
      <c r="AE853" s="548"/>
      <c r="AF853" s="548"/>
      <c r="AG853" s="548"/>
      <c r="AH853" s="548"/>
      <c r="AI853" s="548"/>
      <c r="AJ853" s="548"/>
      <c r="AK853" s="548"/>
      <c r="AL853" s="548"/>
      <c r="AM853" s="548"/>
      <c r="AN853" s="548"/>
      <c r="AO853" s="548"/>
    </row>
    <row r="854">
      <c r="G854" s="548"/>
      <c r="H854" s="548"/>
      <c r="I854" s="548"/>
      <c r="J854" s="548"/>
      <c r="K854" s="548"/>
      <c r="L854" s="548"/>
      <c r="M854" s="548"/>
      <c r="N854" s="548"/>
      <c r="O854" s="548"/>
      <c r="P854" s="548"/>
      <c r="Q854" s="548"/>
      <c r="R854" s="548"/>
      <c r="S854" s="548"/>
      <c r="T854" s="548"/>
      <c r="U854" s="548"/>
      <c r="V854" s="548"/>
      <c r="W854" s="548"/>
      <c r="X854" s="548"/>
      <c r="Y854" s="548"/>
      <c r="Z854" s="548"/>
      <c r="AA854" s="548"/>
      <c r="AB854" s="548"/>
      <c r="AC854" s="548"/>
      <c r="AD854" s="548"/>
      <c r="AE854" s="548"/>
      <c r="AF854" s="548"/>
      <c r="AG854" s="548"/>
      <c r="AH854" s="548"/>
      <c r="AI854" s="548"/>
      <c r="AJ854" s="548"/>
      <c r="AK854" s="548"/>
      <c r="AL854" s="548"/>
      <c r="AM854" s="548"/>
      <c r="AN854" s="548"/>
      <c r="AO854" s="548"/>
    </row>
    <row r="855">
      <c r="G855" s="548"/>
      <c r="H855" s="548"/>
      <c r="I855" s="548"/>
      <c r="J855" s="548"/>
      <c r="K855" s="548"/>
      <c r="L855" s="548"/>
      <c r="M855" s="548"/>
      <c r="N855" s="548"/>
      <c r="O855" s="548"/>
      <c r="P855" s="548"/>
      <c r="Q855" s="548"/>
      <c r="R855" s="548"/>
      <c r="S855" s="548"/>
      <c r="T855" s="548"/>
      <c r="U855" s="548"/>
      <c r="V855" s="548"/>
      <c r="W855" s="548"/>
      <c r="X855" s="548"/>
      <c r="Y855" s="548"/>
      <c r="Z855" s="548"/>
      <c r="AA855" s="548"/>
      <c r="AB855" s="548"/>
      <c r="AC855" s="548"/>
      <c r="AD855" s="548"/>
      <c r="AE855" s="548"/>
      <c r="AF855" s="548"/>
      <c r="AG855" s="548"/>
      <c r="AH855" s="548"/>
      <c r="AI855" s="548"/>
      <c r="AJ855" s="548"/>
      <c r="AK855" s="548"/>
      <c r="AL855" s="548"/>
      <c r="AM855" s="548"/>
      <c r="AN855" s="548"/>
      <c r="AO855" s="548"/>
    </row>
    <row r="856">
      <c r="G856" s="548"/>
      <c r="H856" s="548"/>
      <c r="I856" s="548"/>
      <c r="J856" s="548"/>
      <c r="K856" s="548"/>
      <c r="L856" s="548"/>
      <c r="M856" s="548"/>
      <c r="N856" s="548"/>
      <c r="O856" s="548"/>
      <c r="P856" s="548"/>
      <c r="Q856" s="548"/>
      <c r="R856" s="548"/>
      <c r="S856" s="548"/>
      <c r="T856" s="548"/>
      <c r="U856" s="548"/>
      <c r="V856" s="548"/>
      <c r="W856" s="548"/>
      <c r="X856" s="548"/>
      <c r="Y856" s="548"/>
      <c r="Z856" s="548"/>
      <c r="AA856" s="548"/>
      <c r="AB856" s="548"/>
      <c r="AC856" s="548"/>
      <c r="AD856" s="548"/>
      <c r="AE856" s="548"/>
      <c r="AF856" s="548"/>
      <c r="AG856" s="548"/>
      <c r="AH856" s="548"/>
      <c r="AI856" s="548"/>
      <c r="AJ856" s="548"/>
      <c r="AK856" s="548"/>
      <c r="AL856" s="548"/>
      <c r="AM856" s="548"/>
      <c r="AN856" s="548"/>
      <c r="AO856" s="548"/>
    </row>
    <row r="857">
      <c r="G857" s="548"/>
      <c r="H857" s="548"/>
      <c r="I857" s="548"/>
      <c r="J857" s="548"/>
      <c r="K857" s="548"/>
      <c r="L857" s="548"/>
      <c r="M857" s="548"/>
      <c r="N857" s="548"/>
      <c r="O857" s="548"/>
      <c r="P857" s="548"/>
      <c r="Q857" s="548"/>
      <c r="R857" s="548"/>
      <c r="S857" s="548"/>
      <c r="T857" s="548"/>
      <c r="U857" s="548"/>
      <c r="V857" s="548"/>
      <c r="W857" s="548"/>
      <c r="X857" s="548"/>
      <c r="Y857" s="548"/>
      <c r="Z857" s="548"/>
      <c r="AA857" s="548"/>
      <c r="AB857" s="548"/>
      <c r="AC857" s="548"/>
      <c r="AD857" s="548"/>
      <c r="AE857" s="548"/>
      <c r="AF857" s="548"/>
      <c r="AG857" s="548"/>
      <c r="AH857" s="548"/>
      <c r="AI857" s="548"/>
      <c r="AJ857" s="548"/>
      <c r="AK857" s="548"/>
      <c r="AL857" s="548"/>
      <c r="AM857" s="548"/>
      <c r="AN857" s="548"/>
      <c r="AO857" s="548"/>
    </row>
    <row r="858">
      <c r="G858" s="548"/>
      <c r="H858" s="548"/>
      <c r="I858" s="548"/>
      <c r="J858" s="548"/>
      <c r="K858" s="548"/>
      <c r="L858" s="548"/>
      <c r="M858" s="548"/>
      <c r="N858" s="548"/>
      <c r="O858" s="548"/>
      <c r="P858" s="548"/>
      <c r="Q858" s="548"/>
      <c r="R858" s="548"/>
      <c r="S858" s="548"/>
      <c r="T858" s="548"/>
      <c r="U858" s="548"/>
      <c r="V858" s="548"/>
      <c r="W858" s="548"/>
      <c r="X858" s="548"/>
      <c r="Y858" s="548"/>
      <c r="Z858" s="548"/>
      <c r="AA858" s="548"/>
      <c r="AB858" s="548"/>
      <c r="AC858" s="548"/>
      <c r="AD858" s="548"/>
      <c r="AE858" s="548"/>
      <c r="AF858" s="548"/>
      <c r="AG858" s="548"/>
      <c r="AH858" s="548"/>
      <c r="AI858" s="548"/>
      <c r="AJ858" s="548"/>
      <c r="AK858" s="548"/>
      <c r="AL858" s="548"/>
      <c r="AM858" s="548"/>
      <c r="AN858" s="548"/>
      <c r="AO858" s="548"/>
    </row>
    <row r="859">
      <c r="G859" s="548"/>
      <c r="H859" s="548"/>
      <c r="I859" s="548"/>
      <c r="J859" s="548"/>
      <c r="K859" s="548"/>
      <c r="L859" s="548"/>
      <c r="M859" s="548"/>
      <c r="N859" s="548"/>
      <c r="O859" s="548"/>
      <c r="P859" s="548"/>
      <c r="Q859" s="548"/>
      <c r="R859" s="548"/>
      <c r="S859" s="548"/>
      <c r="T859" s="548"/>
      <c r="U859" s="548"/>
      <c r="V859" s="548"/>
      <c r="W859" s="548"/>
      <c r="X859" s="548"/>
      <c r="Y859" s="548"/>
      <c r="Z859" s="548"/>
      <c r="AA859" s="548"/>
      <c r="AB859" s="548"/>
      <c r="AC859" s="548"/>
      <c r="AD859" s="548"/>
      <c r="AE859" s="548"/>
      <c r="AF859" s="548"/>
      <c r="AG859" s="548"/>
      <c r="AH859" s="548"/>
      <c r="AI859" s="548"/>
      <c r="AJ859" s="548"/>
      <c r="AK859" s="548"/>
      <c r="AL859" s="548"/>
      <c r="AM859" s="548"/>
      <c r="AN859" s="548"/>
      <c r="AO859" s="548"/>
    </row>
    <row r="860">
      <c r="G860" s="548"/>
      <c r="H860" s="548"/>
      <c r="I860" s="548"/>
      <c r="J860" s="548"/>
      <c r="K860" s="548"/>
      <c r="L860" s="548"/>
      <c r="M860" s="548"/>
      <c r="N860" s="548"/>
      <c r="O860" s="548"/>
      <c r="P860" s="548"/>
      <c r="Q860" s="548"/>
      <c r="R860" s="548"/>
      <c r="S860" s="548"/>
      <c r="T860" s="548"/>
      <c r="U860" s="548"/>
      <c r="V860" s="548"/>
      <c r="W860" s="548"/>
      <c r="X860" s="548"/>
      <c r="Y860" s="548"/>
      <c r="Z860" s="548"/>
      <c r="AA860" s="548"/>
      <c r="AB860" s="548"/>
      <c r="AC860" s="548"/>
      <c r="AD860" s="548"/>
      <c r="AE860" s="548"/>
      <c r="AF860" s="548"/>
      <c r="AG860" s="548"/>
      <c r="AH860" s="548"/>
      <c r="AI860" s="548"/>
      <c r="AJ860" s="548"/>
      <c r="AK860" s="548"/>
      <c r="AL860" s="548"/>
      <c r="AM860" s="548"/>
      <c r="AN860" s="548"/>
      <c r="AO860" s="548"/>
    </row>
    <row r="861">
      <c r="G861" s="548"/>
      <c r="H861" s="548"/>
      <c r="I861" s="548"/>
      <c r="J861" s="548"/>
      <c r="K861" s="548"/>
      <c r="L861" s="548"/>
      <c r="M861" s="548"/>
      <c r="N861" s="548"/>
      <c r="O861" s="548"/>
      <c r="P861" s="548"/>
      <c r="Q861" s="548"/>
      <c r="R861" s="548"/>
      <c r="S861" s="548"/>
      <c r="T861" s="548"/>
      <c r="U861" s="548"/>
      <c r="V861" s="548"/>
      <c r="W861" s="548"/>
      <c r="X861" s="548"/>
      <c r="Y861" s="548"/>
      <c r="Z861" s="548"/>
      <c r="AA861" s="548"/>
      <c r="AB861" s="548"/>
      <c r="AC861" s="548"/>
      <c r="AD861" s="548"/>
      <c r="AE861" s="548"/>
      <c r="AF861" s="548"/>
      <c r="AG861" s="548"/>
      <c r="AH861" s="548"/>
      <c r="AI861" s="548"/>
      <c r="AJ861" s="548"/>
      <c r="AK861" s="548"/>
      <c r="AL861" s="548"/>
      <c r="AM861" s="548"/>
      <c r="AN861" s="548"/>
      <c r="AO861" s="548"/>
    </row>
    <row r="862">
      <c r="G862" s="548"/>
      <c r="H862" s="548"/>
      <c r="I862" s="548"/>
      <c r="J862" s="548"/>
      <c r="K862" s="548"/>
      <c r="L862" s="548"/>
      <c r="M862" s="548"/>
      <c r="N862" s="548"/>
      <c r="O862" s="548"/>
      <c r="P862" s="548"/>
      <c r="Q862" s="548"/>
      <c r="R862" s="548"/>
      <c r="S862" s="548"/>
      <c r="T862" s="548"/>
      <c r="U862" s="548"/>
      <c r="V862" s="548"/>
      <c r="W862" s="548"/>
      <c r="X862" s="548"/>
      <c r="Y862" s="548"/>
      <c r="Z862" s="548"/>
      <c r="AA862" s="548"/>
      <c r="AB862" s="548"/>
      <c r="AC862" s="548"/>
      <c r="AD862" s="548"/>
      <c r="AE862" s="548"/>
      <c r="AF862" s="548"/>
      <c r="AG862" s="548"/>
      <c r="AH862" s="548"/>
      <c r="AI862" s="548"/>
      <c r="AJ862" s="548"/>
      <c r="AK862" s="548"/>
      <c r="AL862" s="548"/>
      <c r="AM862" s="548"/>
      <c r="AN862" s="548"/>
      <c r="AO862" s="548"/>
    </row>
    <row r="863">
      <c r="G863" s="548"/>
      <c r="H863" s="548"/>
      <c r="I863" s="548"/>
      <c r="J863" s="548"/>
      <c r="K863" s="548"/>
      <c r="L863" s="548"/>
      <c r="M863" s="548"/>
      <c r="N863" s="548"/>
      <c r="O863" s="548"/>
      <c r="P863" s="548"/>
      <c r="Q863" s="548"/>
      <c r="R863" s="548"/>
      <c r="S863" s="548"/>
      <c r="T863" s="548"/>
      <c r="U863" s="548"/>
      <c r="V863" s="548"/>
      <c r="W863" s="548"/>
      <c r="X863" s="548"/>
      <c r="Y863" s="548"/>
      <c r="Z863" s="548"/>
      <c r="AA863" s="548"/>
      <c r="AB863" s="548"/>
      <c r="AC863" s="548"/>
      <c r="AD863" s="548"/>
      <c r="AE863" s="548"/>
      <c r="AF863" s="548"/>
      <c r="AG863" s="548"/>
      <c r="AH863" s="548"/>
      <c r="AI863" s="548"/>
      <c r="AJ863" s="548"/>
      <c r="AK863" s="548"/>
      <c r="AL863" s="548"/>
      <c r="AM863" s="548"/>
      <c r="AN863" s="548"/>
      <c r="AO863" s="548"/>
    </row>
    <row r="864">
      <c r="G864" s="548"/>
      <c r="H864" s="548"/>
      <c r="I864" s="548"/>
      <c r="J864" s="548"/>
      <c r="K864" s="548"/>
      <c r="L864" s="548"/>
      <c r="M864" s="548"/>
      <c r="N864" s="548"/>
      <c r="O864" s="548"/>
      <c r="P864" s="548"/>
      <c r="Q864" s="548"/>
      <c r="R864" s="548"/>
      <c r="S864" s="548"/>
      <c r="T864" s="548"/>
      <c r="U864" s="548"/>
      <c r="V864" s="548"/>
      <c r="W864" s="548"/>
      <c r="X864" s="548"/>
      <c r="Y864" s="548"/>
      <c r="Z864" s="548"/>
      <c r="AA864" s="548"/>
      <c r="AB864" s="548"/>
      <c r="AC864" s="548"/>
      <c r="AD864" s="548"/>
      <c r="AE864" s="548"/>
      <c r="AF864" s="548"/>
      <c r="AG864" s="548"/>
      <c r="AH864" s="548"/>
      <c r="AI864" s="548"/>
      <c r="AJ864" s="548"/>
      <c r="AK864" s="548"/>
      <c r="AL864" s="548"/>
      <c r="AM864" s="548"/>
      <c r="AN864" s="548"/>
      <c r="AO864" s="548"/>
    </row>
    <row r="865">
      <c r="G865" s="548"/>
      <c r="H865" s="548"/>
      <c r="I865" s="548"/>
      <c r="J865" s="548"/>
      <c r="K865" s="548"/>
      <c r="L865" s="548"/>
      <c r="M865" s="548"/>
      <c r="N865" s="548"/>
      <c r="O865" s="548"/>
      <c r="P865" s="548"/>
      <c r="Q865" s="548"/>
      <c r="R865" s="548"/>
      <c r="S865" s="548"/>
      <c r="T865" s="548"/>
      <c r="U865" s="548"/>
      <c r="V865" s="548"/>
      <c r="W865" s="548"/>
      <c r="X865" s="548"/>
      <c r="Y865" s="548"/>
      <c r="Z865" s="548"/>
      <c r="AA865" s="548"/>
      <c r="AB865" s="548"/>
      <c r="AC865" s="548"/>
      <c r="AD865" s="548"/>
      <c r="AE865" s="548"/>
      <c r="AF865" s="548"/>
      <c r="AG865" s="548"/>
      <c r="AH865" s="548"/>
      <c r="AI865" s="548"/>
      <c r="AJ865" s="548"/>
      <c r="AK865" s="548"/>
      <c r="AL865" s="548"/>
      <c r="AM865" s="548"/>
      <c r="AN865" s="548"/>
      <c r="AO865" s="548"/>
    </row>
    <row r="866">
      <c r="G866" s="548"/>
      <c r="H866" s="548"/>
      <c r="I866" s="548"/>
      <c r="J866" s="548"/>
      <c r="K866" s="548"/>
      <c r="L866" s="548"/>
      <c r="M866" s="548"/>
      <c r="N866" s="548"/>
      <c r="O866" s="548"/>
      <c r="P866" s="548"/>
      <c r="Q866" s="548"/>
      <c r="R866" s="548"/>
      <c r="S866" s="548"/>
      <c r="T866" s="548"/>
      <c r="U866" s="548"/>
      <c r="V866" s="548"/>
      <c r="W866" s="548"/>
      <c r="X866" s="548"/>
      <c r="Y866" s="548"/>
      <c r="Z866" s="548"/>
      <c r="AA866" s="548"/>
      <c r="AB866" s="548"/>
      <c r="AC866" s="548"/>
      <c r="AD866" s="548"/>
      <c r="AE866" s="548"/>
      <c r="AF866" s="548"/>
      <c r="AG866" s="548"/>
      <c r="AH866" s="548"/>
      <c r="AI866" s="548"/>
      <c r="AJ866" s="548"/>
      <c r="AK866" s="548"/>
      <c r="AL866" s="548"/>
      <c r="AM866" s="548"/>
      <c r="AN866" s="548"/>
      <c r="AO866" s="548"/>
    </row>
    <row r="867">
      <c r="G867" s="548"/>
      <c r="H867" s="548"/>
      <c r="I867" s="548"/>
      <c r="J867" s="548"/>
      <c r="K867" s="548"/>
      <c r="L867" s="548"/>
      <c r="M867" s="548"/>
      <c r="N867" s="548"/>
      <c r="O867" s="548"/>
      <c r="P867" s="548"/>
      <c r="Q867" s="548"/>
      <c r="R867" s="548"/>
      <c r="S867" s="548"/>
      <c r="T867" s="548"/>
      <c r="U867" s="548"/>
      <c r="V867" s="548"/>
      <c r="W867" s="548"/>
      <c r="X867" s="548"/>
      <c r="Y867" s="548"/>
      <c r="Z867" s="548"/>
      <c r="AA867" s="548"/>
      <c r="AB867" s="548"/>
      <c r="AC867" s="548"/>
      <c r="AD867" s="548"/>
      <c r="AE867" s="548"/>
      <c r="AF867" s="548"/>
      <c r="AG867" s="548"/>
      <c r="AH867" s="548"/>
      <c r="AI867" s="548"/>
      <c r="AJ867" s="548"/>
      <c r="AK867" s="548"/>
      <c r="AL867" s="548"/>
      <c r="AM867" s="548"/>
      <c r="AN867" s="548"/>
      <c r="AO867" s="548"/>
    </row>
    <row r="868">
      <c r="G868" s="548"/>
      <c r="H868" s="548"/>
      <c r="I868" s="548"/>
      <c r="J868" s="548"/>
      <c r="K868" s="548"/>
      <c r="L868" s="548"/>
      <c r="M868" s="548"/>
      <c r="N868" s="548"/>
      <c r="O868" s="548"/>
      <c r="P868" s="548"/>
      <c r="Q868" s="548"/>
      <c r="R868" s="548"/>
      <c r="S868" s="548"/>
      <c r="T868" s="548"/>
      <c r="U868" s="548"/>
      <c r="V868" s="548"/>
      <c r="W868" s="548"/>
      <c r="X868" s="548"/>
      <c r="Y868" s="548"/>
      <c r="Z868" s="548"/>
      <c r="AA868" s="548"/>
      <c r="AB868" s="548"/>
      <c r="AC868" s="548"/>
      <c r="AD868" s="548"/>
      <c r="AE868" s="548"/>
      <c r="AF868" s="548"/>
      <c r="AG868" s="548"/>
      <c r="AH868" s="548"/>
      <c r="AI868" s="548"/>
      <c r="AJ868" s="548"/>
      <c r="AK868" s="548"/>
      <c r="AL868" s="548"/>
      <c r="AM868" s="548"/>
      <c r="AN868" s="548"/>
      <c r="AO868" s="548"/>
    </row>
    <row r="869">
      <c r="G869" s="548"/>
      <c r="H869" s="548"/>
      <c r="I869" s="548"/>
      <c r="J869" s="548"/>
      <c r="K869" s="548"/>
      <c r="L869" s="548"/>
      <c r="M869" s="548"/>
      <c r="N869" s="548"/>
      <c r="O869" s="548"/>
      <c r="P869" s="548"/>
      <c r="Q869" s="548"/>
      <c r="R869" s="548"/>
      <c r="S869" s="548"/>
      <c r="T869" s="548"/>
      <c r="U869" s="548"/>
      <c r="V869" s="548"/>
      <c r="W869" s="548"/>
      <c r="X869" s="548"/>
      <c r="Y869" s="548"/>
      <c r="Z869" s="548"/>
      <c r="AA869" s="548"/>
      <c r="AB869" s="548"/>
      <c r="AC869" s="548"/>
      <c r="AD869" s="548"/>
      <c r="AE869" s="548"/>
      <c r="AF869" s="548"/>
      <c r="AG869" s="548"/>
      <c r="AH869" s="548"/>
      <c r="AI869" s="548"/>
      <c r="AJ869" s="548"/>
      <c r="AK869" s="548"/>
      <c r="AL869" s="548"/>
      <c r="AM869" s="548"/>
      <c r="AN869" s="548"/>
      <c r="AO869" s="548"/>
    </row>
    <row r="870">
      <c r="G870" s="548"/>
      <c r="H870" s="548"/>
      <c r="I870" s="548"/>
      <c r="J870" s="548"/>
      <c r="K870" s="548"/>
      <c r="L870" s="548"/>
      <c r="M870" s="548"/>
      <c r="N870" s="548"/>
      <c r="O870" s="548"/>
      <c r="P870" s="548"/>
      <c r="Q870" s="548"/>
      <c r="R870" s="548"/>
      <c r="S870" s="548"/>
      <c r="T870" s="548"/>
      <c r="U870" s="548"/>
      <c r="V870" s="548"/>
      <c r="W870" s="548"/>
      <c r="X870" s="548"/>
      <c r="Y870" s="548"/>
      <c r="Z870" s="548"/>
      <c r="AA870" s="548"/>
      <c r="AB870" s="548"/>
      <c r="AC870" s="548"/>
      <c r="AD870" s="548"/>
      <c r="AE870" s="548"/>
      <c r="AF870" s="548"/>
      <c r="AG870" s="548"/>
      <c r="AH870" s="548"/>
      <c r="AI870" s="548"/>
      <c r="AJ870" s="548"/>
      <c r="AK870" s="548"/>
      <c r="AL870" s="548"/>
      <c r="AM870" s="548"/>
      <c r="AN870" s="548"/>
      <c r="AO870" s="548"/>
    </row>
    <row r="871">
      <c r="G871" s="548"/>
      <c r="H871" s="548"/>
      <c r="I871" s="548"/>
      <c r="J871" s="548"/>
      <c r="K871" s="548"/>
      <c r="L871" s="548"/>
      <c r="M871" s="548"/>
      <c r="N871" s="548"/>
      <c r="O871" s="548"/>
      <c r="P871" s="548"/>
      <c r="Q871" s="548"/>
      <c r="R871" s="548"/>
      <c r="S871" s="548"/>
      <c r="T871" s="548"/>
      <c r="U871" s="548"/>
      <c r="V871" s="548"/>
      <c r="W871" s="548"/>
      <c r="X871" s="548"/>
      <c r="Y871" s="548"/>
      <c r="Z871" s="548"/>
      <c r="AA871" s="548"/>
      <c r="AB871" s="548"/>
      <c r="AC871" s="548"/>
      <c r="AD871" s="548"/>
      <c r="AE871" s="548"/>
      <c r="AF871" s="548"/>
      <c r="AG871" s="548"/>
      <c r="AH871" s="548"/>
      <c r="AI871" s="548"/>
      <c r="AJ871" s="548"/>
      <c r="AK871" s="548"/>
      <c r="AL871" s="548"/>
      <c r="AM871" s="548"/>
      <c r="AN871" s="548"/>
      <c r="AO871" s="548"/>
    </row>
    <row r="872">
      <c r="G872" s="548"/>
      <c r="H872" s="548"/>
      <c r="I872" s="548"/>
      <c r="J872" s="548"/>
      <c r="K872" s="548"/>
      <c r="L872" s="548"/>
      <c r="M872" s="548"/>
      <c r="N872" s="548"/>
      <c r="O872" s="548"/>
      <c r="P872" s="548"/>
      <c r="Q872" s="548"/>
      <c r="R872" s="548"/>
      <c r="S872" s="548"/>
      <c r="T872" s="548"/>
      <c r="U872" s="548"/>
      <c r="V872" s="548"/>
      <c r="W872" s="548"/>
      <c r="X872" s="548"/>
      <c r="Y872" s="548"/>
      <c r="Z872" s="548"/>
      <c r="AA872" s="548"/>
      <c r="AB872" s="548"/>
      <c r="AC872" s="548"/>
      <c r="AD872" s="548"/>
      <c r="AE872" s="548"/>
      <c r="AF872" s="548"/>
      <c r="AG872" s="548"/>
      <c r="AH872" s="548"/>
      <c r="AI872" s="548"/>
      <c r="AJ872" s="548"/>
      <c r="AK872" s="548"/>
      <c r="AL872" s="548"/>
      <c r="AM872" s="548"/>
      <c r="AN872" s="548"/>
      <c r="AO872" s="548"/>
    </row>
    <row r="873">
      <c r="G873" s="548"/>
      <c r="H873" s="548"/>
      <c r="I873" s="548"/>
      <c r="J873" s="548"/>
      <c r="K873" s="548"/>
      <c r="L873" s="548"/>
      <c r="M873" s="548"/>
      <c r="N873" s="548"/>
      <c r="O873" s="548"/>
      <c r="P873" s="548"/>
      <c r="Q873" s="548"/>
      <c r="R873" s="548"/>
      <c r="S873" s="548"/>
      <c r="T873" s="548"/>
      <c r="U873" s="548"/>
      <c r="V873" s="548"/>
      <c r="W873" s="548"/>
      <c r="X873" s="548"/>
      <c r="Y873" s="548"/>
      <c r="Z873" s="548"/>
      <c r="AA873" s="548"/>
      <c r="AB873" s="548"/>
      <c r="AC873" s="548"/>
      <c r="AD873" s="548"/>
      <c r="AE873" s="548"/>
      <c r="AF873" s="548"/>
      <c r="AG873" s="548"/>
      <c r="AH873" s="548"/>
      <c r="AI873" s="548"/>
      <c r="AJ873" s="548"/>
      <c r="AK873" s="548"/>
      <c r="AL873" s="548"/>
      <c r="AM873" s="548"/>
      <c r="AN873" s="548"/>
      <c r="AO873" s="548"/>
    </row>
    <row r="874">
      <c r="G874" s="548"/>
      <c r="H874" s="548"/>
      <c r="I874" s="548"/>
      <c r="J874" s="548"/>
      <c r="K874" s="548"/>
      <c r="L874" s="548"/>
      <c r="M874" s="548"/>
      <c r="N874" s="548"/>
      <c r="O874" s="548"/>
      <c r="P874" s="548"/>
      <c r="Q874" s="548"/>
      <c r="R874" s="548"/>
      <c r="S874" s="548"/>
      <c r="T874" s="548"/>
      <c r="U874" s="548"/>
      <c r="V874" s="548"/>
      <c r="W874" s="548"/>
      <c r="X874" s="548"/>
      <c r="Y874" s="548"/>
      <c r="Z874" s="548"/>
      <c r="AA874" s="548"/>
      <c r="AB874" s="548"/>
      <c r="AC874" s="548"/>
      <c r="AD874" s="548"/>
      <c r="AE874" s="548"/>
      <c r="AF874" s="548"/>
      <c r="AG874" s="548"/>
      <c r="AH874" s="548"/>
      <c r="AI874" s="548"/>
      <c r="AJ874" s="548"/>
      <c r="AK874" s="548"/>
      <c r="AL874" s="548"/>
      <c r="AM874" s="548"/>
      <c r="AN874" s="548"/>
      <c r="AO874" s="548"/>
    </row>
    <row r="875">
      <c r="G875" s="548"/>
      <c r="H875" s="548"/>
      <c r="I875" s="548"/>
      <c r="J875" s="548"/>
      <c r="K875" s="548"/>
      <c r="L875" s="548"/>
      <c r="M875" s="548"/>
      <c r="N875" s="548"/>
      <c r="O875" s="548"/>
      <c r="P875" s="548"/>
      <c r="Q875" s="548"/>
      <c r="R875" s="548"/>
      <c r="S875" s="548"/>
      <c r="T875" s="548"/>
      <c r="U875" s="548"/>
      <c r="V875" s="548"/>
      <c r="W875" s="548"/>
      <c r="X875" s="548"/>
      <c r="Y875" s="548"/>
      <c r="Z875" s="548"/>
      <c r="AA875" s="548"/>
      <c r="AB875" s="548"/>
      <c r="AC875" s="548"/>
      <c r="AD875" s="548"/>
      <c r="AE875" s="548"/>
      <c r="AF875" s="548"/>
      <c r="AG875" s="548"/>
      <c r="AH875" s="548"/>
      <c r="AI875" s="548"/>
      <c r="AJ875" s="548"/>
      <c r="AK875" s="548"/>
      <c r="AL875" s="548"/>
      <c r="AM875" s="548"/>
      <c r="AN875" s="548"/>
      <c r="AO875" s="548"/>
    </row>
    <row r="876">
      <c r="G876" s="548"/>
      <c r="H876" s="548"/>
      <c r="I876" s="548"/>
      <c r="J876" s="548"/>
      <c r="K876" s="548"/>
      <c r="L876" s="548"/>
      <c r="M876" s="548"/>
      <c r="N876" s="548"/>
      <c r="O876" s="548"/>
      <c r="P876" s="548"/>
      <c r="Q876" s="548"/>
      <c r="R876" s="548"/>
      <c r="S876" s="548"/>
      <c r="T876" s="548"/>
      <c r="U876" s="548"/>
      <c r="V876" s="548"/>
      <c r="W876" s="548"/>
      <c r="X876" s="548"/>
      <c r="Y876" s="548"/>
      <c r="Z876" s="548"/>
      <c r="AA876" s="548"/>
      <c r="AB876" s="548"/>
      <c r="AC876" s="548"/>
      <c r="AD876" s="548"/>
      <c r="AE876" s="548"/>
      <c r="AF876" s="548"/>
      <c r="AG876" s="548"/>
      <c r="AH876" s="548"/>
      <c r="AI876" s="548"/>
      <c r="AJ876" s="548"/>
      <c r="AK876" s="548"/>
      <c r="AL876" s="548"/>
      <c r="AM876" s="548"/>
      <c r="AN876" s="548"/>
      <c r="AO876" s="548"/>
    </row>
    <row r="877">
      <c r="G877" s="548"/>
      <c r="H877" s="548"/>
      <c r="I877" s="548"/>
      <c r="J877" s="548"/>
      <c r="K877" s="548"/>
      <c r="L877" s="548"/>
      <c r="M877" s="548"/>
      <c r="N877" s="548"/>
      <c r="O877" s="548"/>
      <c r="P877" s="548"/>
      <c r="Q877" s="548"/>
      <c r="R877" s="548"/>
      <c r="S877" s="548"/>
      <c r="T877" s="548"/>
      <c r="U877" s="548"/>
      <c r="V877" s="548"/>
      <c r="W877" s="548"/>
      <c r="X877" s="548"/>
      <c r="Y877" s="548"/>
      <c r="Z877" s="548"/>
      <c r="AA877" s="548"/>
      <c r="AB877" s="548"/>
      <c r="AC877" s="548"/>
      <c r="AD877" s="548"/>
      <c r="AE877" s="548"/>
      <c r="AF877" s="548"/>
      <c r="AG877" s="548"/>
      <c r="AH877" s="548"/>
      <c r="AI877" s="548"/>
      <c r="AJ877" s="548"/>
      <c r="AK877" s="548"/>
      <c r="AL877" s="548"/>
      <c r="AM877" s="548"/>
      <c r="AN877" s="548"/>
      <c r="AO877" s="548"/>
    </row>
    <row r="878">
      <c r="G878" s="548"/>
      <c r="H878" s="548"/>
      <c r="I878" s="548"/>
      <c r="J878" s="548"/>
      <c r="K878" s="548"/>
      <c r="L878" s="548"/>
      <c r="M878" s="548"/>
      <c r="N878" s="548"/>
      <c r="O878" s="548"/>
      <c r="P878" s="548"/>
      <c r="Q878" s="548"/>
      <c r="R878" s="548"/>
      <c r="S878" s="548"/>
      <c r="T878" s="548"/>
      <c r="U878" s="548"/>
      <c r="V878" s="548"/>
      <c r="W878" s="548"/>
      <c r="X878" s="548"/>
      <c r="Y878" s="548"/>
      <c r="Z878" s="548"/>
      <c r="AA878" s="548"/>
      <c r="AB878" s="548"/>
      <c r="AC878" s="548"/>
      <c r="AD878" s="548"/>
      <c r="AE878" s="548"/>
      <c r="AF878" s="548"/>
      <c r="AG878" s="548"/>
      <c r="AH878" s="548"/>
      <c r="AI878" s="548"/>
      <c r="AJ878" s="548"/>
      <c r="AK878" s="548"/>
      <c r="AL878" s="548"/>
      <c r="AM878" s="548"/>
      <c r="AN878" s="548"/>
      <c r="AO878" s="548"/>
    </row>
    <row r="879">
      <c r="G879" s="548"/>
      <c r="H879" s="548"/>
      <c r="I879" s="548"/>
      <c r="J879" s="548"/>
      <c r="K879" s="548"/>
      <c r="L879" s="548"/>
      <c r="M879" s="548"/>
      <c r="N879" s="548"/>
      <c r="O879" s="548"/>
      <c r="P879" s="548"/>
      <c r="Q879" s="548"/>
      <c r="R879" s="548"/>
      <c r="S879" s="548"/>
      <c r="T879" s="548"/>
      <c r="U879" s="548"/>
      <c r="V879" s="548"/>
      <c r="W879" s="548"/>
      <c r="X879" s="548"/>
      <c r="Y879" s="548"/>
      <c r="Z879" s="548"/>
      <c r="AA879" s="548"/>
      <c r="AB879" s="548"/>
      <c r="AC879" s="548"/>
      <c r="AD879" s="548"/>
      <c r="AE879" s="548"/>
      <c r="AF879" s="548"/>
      <c r="AG879" s="548"/>
      <c r="AH879" s="548"/>
      <c r="AI879" s="548"/>
      <c r="AJ879" s="548"/>
      <c r="AK879" s="548"/>
      <c r="AL879" s="548"/>
      <c r="AM879" s="548"/>
      <c r="AN879" s="548"/>
      <c r="AO879" s="548"/>
    </row>
    <row r="880">
      <c r="G880" s="548"/>
      <c r="H880" s="548"/>
      <c r="I880" s="548"/>
      <c r="J880" s="548"/>
      <c r="K880" s="548"/>
      <c r="L880" s="548"/>
      <c r="M880" s="548"/>
      <c r="N880" s="548"/>
      <c r="O880" s="548"/>
      <c r="P880" s="548"/>
      <c r="Q880" s="548"/>
      <c r="R880" s="548"/>
      <c r="S880" s="548"/>
      <c r="T880" s="548"/>
      <c r="U880" s="548"/>
      <c r="V880" s="548"/>
      <c r="W880" s="548"/>
      <c r="X880" s="548"/>
      <c r="Y880" s="548"/>
      <c r="Z880" s="548"/>
      <c r="AA880" s="548"/>
      <c r="AB880" s="548"/>
      <c r="AC880" s="548"/>
      <c r="AD880" s="548"/>
      <c r="AE880" s="548"/>
      <c r="AF880" s="548"/>
      <c r="AG880" s="548"/>
      <c r="AH880" s="548"/>
      <c r="AI880" s="548"/>
      <c r="AJ880" s="548"/>
      <c r="AK880" s="548"/>
      <c r="AL880" s="548"/>
      <c r="AM880" s="548"/>
      <c r="AN880" s="548"/>
      <c r="AO880" s="548"/>
    </row>
    <row r="881">
      <c r="G881" s="548"/>
      <c r="H881" s="548"/>
      <c r="I881" s="548"/>
      <c r="J881" s="548"/>
      <c r="K881" s="548"/>
      <c r="L881" s="548"/>
      <c r="M881" s="548"/>
      <c r="N881" s="548"/>
      <c r="O881" s="548"/>
      <c r="P881" s="548"/>
      <c r="Q881" s="548"/>
      <c r="R881" s="548"/>
      <c r="S881" s="548"/>
      <c r="T881" s="548"/>
      <c r="U881" s="548"/>
      <c r="V881" s="548"/>
      <c r="W881" s="548"/>
      <c r="X881" s="548"/>
      <c r="Y881" s="548"/>
      <c r="Z881" s="548"/>
      <c r="AA881" s="548"/>
      <c r="AB881" s="548"/>
      <c r="AC881" s="548"/>
      <c r="AD881" s="548"/>
      <c r="AE881" s="548"/>
      <c r="AF881" s="548"/>
      <c r="AG881" s="548"/>
      <c r="AH881" s="548"/>
      <c r="AI881" s="548"/>
      <c r="AJ881" s="548"/>
      <c r="AK881" s="548"/>
      <c r="AL881" s="548"/>
      <c r="AM881" s="548"/>
      <c r="AN881" s="548"/>
      <c r="AO881" s="548"/>
    </row>
    <row r="882">
      <c r="G882" s="548"/>
      <c r="H882" s="548"/>
      <c r="I882" s="548"/>
      <c r="J882" s="548"/>
      <c r="K882" s="548"/>
      <c r="L882" s="548"/>
      <c r="M882" s="548"/>
      <c r="N882" s="548"/>
      <c r="O882" s="548"/>
      <c r="P882" s="548"/>
      <c r="Q882" s="548"/>
      <c r="R882" s="548"/>
      <c r="S882" s="548"/>
      <c r="T882" s="548"/>
      <c r="U882" s="548"/>
      <c r="V882" s="548"/>
      <c r="W882" s="548"/>
      <c r="X882" s="548"/>
      <c r="Y882" s="548"/>
      <c r="Z882" s="548"/>
      <c r="AA882" s="548"/>
      <c r="AB882" s="548"/>
      <c r="AC882" s="548"/>
      <c r="AD882" s="548"/>
      <c r="AE882" s="548"/>
      <c r="AF882" s="548"/>
      <c r="AG882" s="548"/>
      <c r="AH882" s="548"/>
      <c r="AI882" s="548"/>
      <c r="AJ882" s="548"/>
      <c r="AK882" s="548"/>
      <c r="AL882" s="548"/>
      <c r="AM882" s="548"/>
      <c r="AN882" s="548"/>
      <c r="AO882" s="548"/>
    </row>
    <row r="883">
      <c r="G883" s="548"/>
      <c r="H883" s="548"/>
      <c r="I883" s="548"/>
      <c r="J883" s="548"/>
      <c r="K883" s="548"/>
      <c r="L883" s="548"/>
      <c r="M883" s="548"/>
      <c r="N883" s="548"/>
      <c r="O883" s="548"/>
      <c r="P883" s="548"/>
      <c r="Q883" s="548"/>
      <c r="R883" s="548"/>
      <c r="S883" s="548"/>
      <c r="T883" s="548"/>
      <c r="U883" s="548"/>
      <c r="V883" s="548"/>
      <c r="W883" s="548"/>
      <c r="X883" s="548"/>
      <c r="Y883" s="548"/>
      <c r="Z883" s="548"/>
      <c r="AA883" s="548"/>
      <c r="AB883" s="548"/>
      <c r="AC883" s="548"/>
      <c r="AD883" s="548"/>
      <c r="AE883" s="548"/>
      <c r="AF883" s="548"/>
      <c r="AG883" s="548"/>
      <c r="AH883" s="548"/>
      <c r="AI883" s="548"/>
      <c r="AJ883" s="548"/>
      <c r="AK883" s="548"/>
      <c r="AL883" s="548"/>
      <c r="AM883" s="548"/>
      <c r="AN883" s="548"/>
      <c r="AO883" s="548"/>
    </row>
    <row r="884">
      <c r="G884" s="548"/>
      <c r="H884" s="548"/>
      <c r="I884" s="548"/>
      <c r="J884" s="548"/>
      <c r="K884" s="548"/>
      <c r="L884" s="548"/>
      <c r="M884" s="548"/>
      <c r="N884" s="548"/>
      <c r="O884" s="548"/>
      <c r="P884" s="548"/>
      <c r="Q884" s="548"/>
      <c r="R884" s="548"/>
      <c r="S884" s="548"/>
      <c r="T884" s="548"/>
      <c r="U884" s="548"/>
      <c r="V884" s="548"/>
      <c r="W884" s="548"/>
      <c r="X884" s="548"/>
      <c r="Y884" s="548"/>
      <c r="Z884" s="548"/>
      <c r="AA884" s="548"/>
      <c r="AB884" s="548"/>
      <c r="AC884" s="548"/>
      <c r="AD884" s="548"/>
      <c r="AE884" s="548"/>
      <c r="AF884" s="548"/>
      <c r="AG884" s="548"/>
      <c r="AH884" s="548"/>
      <c r="AI884" s="548"/>
      <c r="AJ884" s="548"/>
      <c r="AK884" s="548"/>
      <c r="AL884" s="548"/>
      <c r="AM884" s="548"/>
      <c r="AN884" s="548"/>
      <c r="AO884" s="548"/>
    </row>
    <row r="885">
      <c r="G885" s="548"/>
      <c r="H885" s="548"/>
      <c r="I885" s="548"/>
      <c r="J885" s="548"/>
      <c r="K885" s="548"/>
      <c r="L885" s="548"/>
      <c r="M885" s="548"/>
      <c r="N885" s="548"/>
      <c r="O885" s="548"/>
      <c r="P885" s="548"/>
      <c r="Q885" s="548"/>
      <c r="R885" s="548"/>
      <c r="S885" s="548"/>
      <c r="T885" s="548"/>
      <c r="U885" s="548"/>
      <c r="V885" s="548"/>
      <c r="W885" s="548"/>
      <c r="X885" s="548"/>
      <c r="Y885" s="548"/>
      <c r="Z885" s="548"/>
      <c r="AA885" s="548"/>
      <c r="AB885" s="548"/>
      <c r="AC885" s="548"/>
      <c r="AD885" s="548"/>
      <c r="AE885" s="548"/>
      <c r="AF885" s="548"/>
      <c r="AG885" s="548"/>
      <c r="AH885" s="548"/>
      <c r="AI885" s="548"/>
      <c r="AJ885" s="548"/>
      <c r="AK885" s="548"/>
      <c r="AL885" s="548"/>
      <c r="AM885" s="548"/>
      <c r="AN885" s="548"/>
      <c r="AO885" s="548"/>
    </row>
    <row r="886">
      <c r="G886" s="548"/>
      <c r="H886" s="548"/>
      <c r="I886" s="548"/>
      <c r="J886" s="548"/>
      <c r="K886" s="548"/>
      <c r="L886" s="548"/>
      <c r="M886" s="548"/>
      <c r="N886" s="548"/>
      <c r="O886" s="548"/>
      <c r="P886" s="548"/>
      <c r="Q886" s="548"/>
      <c r="R886" s="548"/>
      <c r="S886" s="548"/>
      <c r="T886" s="548"/>
      <c r="U886" s="548"/>
      <c r="V886" s="548"/>
      <c r="W886" s="548"/>
      <c r="X886" s="548"/>
      <c r="Y886" s="548"/>
      <c r="Z886" s="548"/>
      <c r="AA886" s="548"/>
      <c r="AB886" s="548"/>
      <c r="AC886" s="548"/>
      <c r="AD886" s="548"/>
      <c r="AE886" s="548"/>
      <c r="AF886" s="548"/>
      <c r="AG886" s="548"/>
      <c r="AH886" s="548"/>
      <c r="AI886" s="548"/>
      <c r="AJ886" s="548"/>
      <c r="AK886" s="548"/>
      <c r="AL886" s="548"/>
      <c r="AM886" s="548"/>
      <c r="AN886" s="548"/>
      <c r="AO886" s="548"/>
    </row>
    <row r="887">
      <c r="G887" s="548"/>
      <c r="H887" s="548"/>
      <c r="I887" s="548"/>
      <c r="J887" s="548"/>
      <c r="K887" s="548"/>
      <c r="L887" s="548"/>
      <c r="M887" s="548"/>
      <c r="N887" s="548"/>
      <c r="O887" s="548"/>
      <c r="P887" s="548"/>
      <c r="Q887" s="548"/>
      <c r="R887" s="548"/>
      <c r="S887" s="548"/>
      <c r="T887" s="548"/>
      <c r="U887" s="548"/>
      <c r="V887" s="548"/>
      <c r="W887" s="548"/>
      <c r="X887" s="548"/>
      <c r="Y887" s="548"/>
      <c r="Z887" s="548"/>
      <c r="AA887" s="548"/>
      <c r="AB887" s="548"/>
      <c r="AC887" s="548"/>
      <c r="AD887" s="548"/>
      <c r="AE887" s="548"/>
      <c r="AF887" s="548"/>
      <c r="AG887" s="548"/>
      <c r="AH887" s="548"/>
      <c r="AI887" s="548"/>
      <c r="AJ887" s="548"/>
      <c r="AK887" s="548"/>
      <c r="AL887" s="548"/>
      <c r="AM887" s="548"/>
      <c r="AN887" s="548"/>
      <c r="AO887" s="548"/>
    </row>
    <row r="888">
      <c r="G888" s="548"/>
      <c r="H888" s="548"/>
      <c r="I888" s="548"/>
      <c r="J888" s="548"/>
      <c r="K888" s="548"/>
      <c r="L888" s="548"/>
      <c r="M888" s="548"/>
      <c r="N888" s="548"/>
      <c r="O888" s="548"/>
      <c r="P888" s="548"/>
      <c r="Q888" s="548"/>
      <c r="R888" s="548"/>
      <c r="S888" s="548"/>
      <c r="T888" s="548"/>
      <c r="U888" s="548"/>
      <c r="V888" s="548"/>
      <c r="W888" s="548"/>
      <c r="X888" s="548"/>
      <c r="Y888" s="548"/>
      <c r="Z888" s="548"/>
      <c r="AA888" s="548"/>
      <c r="AB888" s="548"/>
      <c r="AC888" s="548"/>
      <c r="AD888" s="548"/>
      <c r="AE888" s="548"/>
      <c r="AF888" s="548"/>
      <c r="AG888" s="548"/>
      <c r="AH888" s="548"/>
      <c r="AI888" s="548"/>
      <c r="AJ888" s="548"/>
      <c r="AK888" s="548"/>
      <c r="AL888" s="548"/>
      <c r="AM888" s="548"/>
      <c r="AN888" s="548"/>
      <c r="AO888" s="548"/>
    </row>
    <row r="889">
      <c r="G889" s="548"/>
      <c r="H889" s="548"/>
      <c r="I889" s="548"/>
      <c r="J889" s="548"/>
      <c r="K889" s="548"/>
      <c r="L889" s="548"/>
      <c r="M889" s="548"/>
      <c r="N889" s="548"/>
      <c r="O889" s="548"/>
      <c r="P889" s="548"/>
      <c r="Q889" s="548"/>
      <c r="R889" s="548"/>
      <c r="S889" s="548"/>
      <c r="T889" s="548"/>
      <c r="U889" s="548"/>
      <c r="V889" s="548"/>
      <c r="W889" s="548"/>
      <c r="X889" s="548"/>
      <c r="Y889" s="548"/>
      <c r="Z889" s="548"/>
      <c r="AA889" s="548"/>
      <c r="AB889" s="548"/>
      <c r="AC889" s="548"/>
      <c r="AD889" s="548"/>
      <c r="AE889" s="548"/>
      <c r="AF889" s="548"/>
      <c r="AG889" s="548"/>
      <c r="AH889" s="548"/>
      <c r="AI889" s="548"/>
      <c r="AJ889" s="548"/>
      <c r="AK889" s="548"/>
      <c r="AL889" s="548"/>
      <c r="AM889" s="548"/>
      <c r="AN889" s="548"/>
      <c r="AO889" s="548"/>
    </row>
    <row r="890">
      <c r="G890" s="548"/>
      <c r="H890" s="548"/>
      <c r="I890" s="548"/>
      <c r="J890" s="548"/>
      <c r="K890" s="548"/>
      <c r="L890" s="548"/>
      <c r="M890" s="548"/>
      <c r="N890" s="548"/>
      <c r="O890" s="548"/>
      <c r="P890" s="548"/>
      <c r="Q890" s="548"/>
      <c r="R890" s="548"/>
      <c r="S890" s="548"/>
      <c r="T890" s="548"/>
      <c r="U890" s="548"/>
      <c r="V890" s="548"/>
      <c r="W890" s="548"/>
      <c r="X890" s="548"/>
      <c r="Y890" s="548"/>
      <c r="Z890" s="548"/>
      <c r="AA890" s="548"/>
      <c r="AB890" s="548"/>
      <c r="AC890" s="548"/>
      <c r="AD890" s="548"/>
      <c r="AE890" s="548"/>
      <c r="AF890" s="548"/>
      <c r="AG890" s="548"/>
      <c r="AH890" s="548"/>
      <c r="AI890" s="548"/>
      <c r="AJ890" s="548"/>
      <c r="AK890" s="548"/>
      <c r="AL890" s="548"/>
      <c r="AM890" s="548"/>
      <c r="AN890" s="548"/>
      <c r="AO890" s="548"/>
    </row>
    <row r="891">
      <c r="G891" s="548"/>
      <c r="H891" s="548"/>
      <c r="I891" s="548"/>
      <c r="J891" s="548"/>
      <c r="K891" s="548"/>
      <c r="L891" s="548"/>
      <c r="M891" s="548"/>
      <c r="N891" s="548"/>
      <c r="O891" s="548"/>
      <c r="P891" s="548"/>
      <c r="Q891" s="548"/>
      <c r="R891" s="548"/>
      <c r="S891" s="548"/>
      <c r="T891" s="548"/>
      <c r="U891" s="548"/>
      <c r="V891" s="548"/>
      <c r="W891" s="548"/>
      <c r="X891" s="548"/>
      <c r="Y891" s="548"/>
      <c r="Z891" s="548"/>
      <c r="AA891" s="548"/>
      <c r="AB891" s="548"/>
      <c r="AC891" s="548"/>
      <c r="AD891" s="548"/>
      <c r="AE891" s="548"/>
      <c r="AF891" s="548"/>
      <c r="AG891" s="548"/>
      <c r="AH891" s="548"/>
      <c r="AI891" s="548"/>
      <c r="AJ891" s="548"/>
      <c r="AK891" s="548"/>
      <c r="AL891" s="548"/>
      <c r="AM891" s="548"/>
      <c r="AN891" s="548"/>
      <c r="AO891" s="548"/>
    </row>
    <row r="892">
      <c r="G892" s="548"/>
      <c r="H892" s="548"/>
      <c r="I892" s="548"/>
      <c r="J892" s="548"/>
      <c r="K892" s="548"/>
      <c r="L892" s="548"/>
      <c r="M892" s="548"/>
      <c r="N892" s="548"/>
      <c r="O892" s="548"/>
      <c r="P892" s="548"/>
      <c r="Q892" s="548"/>
      <c r="R892" s="548"/>
      <c r="S892" s="548"/>
      <c r="T892" s="548"/>
      <c r="U892" s="548"/>
      <c r="V892" s="548"/>
      <c r="W892" s="548"/>
      <c r="X892" s="548"/>
      <c r="Y892" s="548"/>
      <c r="Z892" s="548"/>
      <c r="AA892" s="548"/>
      <c r="AB892" s="548"/>
      <c r="AC892" s="548"/>
      <c r="AD892" s="548"/>
      <c r="AE892" s="548"/>
      <c r="AF892" s="548"/>
      <c r="AG892" s="548"/>
      <c r="AH892" s="548"/>
      <c r="AI892" s="548"/>
      <c r="AJ892" s="548"/>
      <c r="AK892" s="548"/>
      <c r="AL892" s="548"/>
      <c r="AM892" s="548"/>
      <c r="AN892" s="548"/>
      <c r="AO892" s="548"/>
    </row>
    <row r="893">
      <c r="G893" s="548"/>
      <c r="H893" s="548"/>
      <c r="I893" s="548"/>
      <c r="J893" s="548"/>
      <c r="K893" s="548"/>
      <c r="L893" s="548"/>
      <c r="M893" s="548"/>
      <c r="N893" s="548"/>
      <c r="O893" s="548"/>
      <c r="P893" s="548"/>
      <c r="Q893" s="548"/>
      <c r="R893" s="548"/>
      <c r="S893" s="548"/>
      <c r="T893" s="548"/>
      <c r="U893" s="548"/>
      <c r="V893" s="548"/>
      <c r="W893" s="548"/>
      <c r="X893" s="548"/>
      <c r="Y893" s="548"/>
      <c r="Z893" s="548"/>
      <c r="AA893" s="548"/>
      <c r="AB893" s="548"/>
      <c r="AC893" s="548"/>
      <c r="AD893" s="548"/>
      <c r="AE893" s="548"/>
      <c r="AF893" s="548"/>
      <c r="AG893" s="548"/>
      <c r="AH893" s="548"/>
      <c r="AI893" s="548"/>
      <c r="AJ893" s="548"/>
      <c r="AK893" s="548"/>
      <c r="AL893" s="548"/>
      <c r="AM893" s="548"/>
      <c r="AN893" s="548"/>
      <c r="AO893" s="548"/>
    </row>
    <row r="894">
      <c r="G894" s="548"/>
      <c r="H894" s="548"/>
      <c r="I894" s="548"/>
      <c r="J894" s="548"/>
      <c r="K894" s="548"/>
      <c r="L894" s="548"/>
      <c r="M894" s="548"/>
      <c r="N894" s="548"/>
      <c r="O894" s="548"/>
      <c r="P894" s="548"/>
      <c r="Q894" s="548"/>
      <c r="R894" s="548"/>
      <c r="S894" s="548"/>
      <c r="T894" s="548"/>
      <c r="U894" s="548"/>
      <c r="V894" s="548"/>
      <c r="W894" s="548"/>
      <c r="X894" s="548"/>
      <c r="Y894" s="548"/>
      <c r="Z894" s="548"/>
      <c r="AA894" s="548"/>
      <c r="AB894" s="548"/>
      <c r="AC894" s="548"/>
      <c r="AD894" s="548"/>
      <c r="AE894" s="548"/>
      <c r="AF894" s="548"/>
      <c r="AG894" s="548"/>
      <c r="AH894" s="548"/>
      <c r="AI894" s="548"/>
      <c r="AJ894" s="548"/>
      <c r="AK894" s="548"/>
      <c r="AL894" s="548"/>
      <c r="AM894" s="548"/>
      <c r="AN894" s="548"/>
      <c r="AO894" s="548"/>
    </row>
    <row r="895">
      <c r="G895" s="548"/>
      <c r="H895" s="548"/>
      <c r="I895" s="548"/>
      <c r="J895" s="548"/>
      <c r="K895" s="548"/>
      <c r="L895" s="548"/>
      <c r="M895" s="548"/>
      <c r="N895" s="548"/>
      <c r="O895" s="548"/>
      <c r="P895" s="548"/>
      <c r="Q895" s="548"/>
      <c r="R895" s="548"/>
      <c r="S895" s="548"/>
      <c r="T895" s="548"/>
      <c r="U895" s="548"/>
      <c r="V895" s="548"/>
      <c r="W895" s="548"/>
      <c r="X895" s="548"/>
      <c r="Y895" s="548"/>
      <c r="Z895" s="548"/>
      <c r="AA895" s="548"/>
      <c r="AB895" s="548"/>
      <c r="AC895" s="548"/>
      <c r="AD895" s="548"/>
      <c r="AE895" s="548"/>
      <c r="AF895" s="548"/>
      <c r="AG895" s="548"/>
      <c r="AH895" s="548"/>
      <c r="AI895" s="548"/>
      <c r="AJ895" s="548"/>
      <c r="AK895" s="548"/>
      <c r="AL895" s="548"/>
      <c r="AM895" s="548"/>
      <c r="AN895" s="548"/>
      <c r="AO895" s="548"/>
    </row>
    <row r="896">
      <c r="G896" s="548"/>
      <c r="H896" s="548"/>
      <c r="I896" s="548"/>
      <c r="J896" s="548"/>
      <c r="K896" s="548"/>
      <c r="L896" s="548"/>
      <c r="M896" s="548"/>
      <c r="N896" s="548"/>
      <c r="O896" s="548"/>
      <c r="P896" s="548"/>
      <c r="Q896" s="548"/>
      <c r="R896" s="548"/>
      <c r="S896" s="548"/>
      <c r="T896" s="548"/>
      <c r="U896" s="548"/>
      <c r="V896" s="548"/>
      <c r="W896" s="548"/>
      <c r="X896" s="548"/>
      <c r="Y896" s="548"/>
      <c r="Z896" s="548"/>
      <c r="AA896" s="548"/>
      <c r="AB896" s="548"/>
      <c r="AC896" s="548"/>
      <c r="AD896" s="548"/>
      <c r="AE896" s="548"/>
      <c r="AF896" s="548"/>
      <c r="AG896" s="548"/>
      <c r="AH896" s="548"/>
      <c r="AI896" s="548"/>
      <c r="AJ896" s="548"/>
      <c r="AK896" s="548"/>
      <c r="AL896" s="548"/>
      <c r="AM896" s="548"/>
      <c r="AN896" s="548"/>
      <c r="AO896" s="548"/>
    </row>
    <row r="897">
      <c r="G897" s="548"/>
      <c r="H897" s="548"/>
      <c r="I897" s="548"/>
      <c r="J897" s="548"/>
      <c r="K897" s="548"/>
      <c r="L897" s="548"/>
      <c r="M897" s="548"/>
      <c r="N897" s="548"/>
      <c r="O897" s="548"/>
      <c r="P897" s="548"/>
      <c r="Q897" s="548"/>
      <c r="R897" s="548"/>
      <c r="S897" s="548"/>
      <c r="T897" s="548"/>
      <c r="U897" s="548"/>
      <c r="V897" s="548"/>
      <c r="W897" s="548"/>
      <c r="X897" s="548"/>
      <c r="Y897" s="548"/>
      <c r="Z897" s="548"/>
      <c r="AA897" s="548"/>
      <c r="AB897" s="548"/>
      <c r="AC897" s="548"/>
      <c r="AD897" s="548"/>
      <c r="AE897" s="548"/>
      <c r="AF897" s="548"/>
      <c r="AG897" s="548"/>
      <c r="AH897" s="548"/>
      <c r="AI897" s="548"/>
      <c r="AJ897" s="548"/>
      <c r="AK897" s="548"/>
      <c r="AL897" s="548"/>
      <c r="AM897" s="548"/>
      <c r="AN897" s="548"/>
      <c r="AO897" s="548"/>
    </row>
    <row r="898">
      <c r="G898" s="548"/>
      <c r="H898" s="548"/>
      <c r="I898" s="548"/>
      <c r="J898" s="548"/>
      <c r="K898" s="548"/>
      <c r="L898" s="548"/>
      <c r="M898" s="548"/>
      <c r="N898" s="548"/>
      <c r="O898" s="548"/>
      <c r="P898" s="548"/>
      <c r="Q898" s="548"/>
      <c r="R898" s="548"/>
      <c r="S898" s="548"/>
      <c r="T898" s="548"/>
      <c r="U898" s="548"/>
      <c r="V898" s="548"/>
      <c r="W898" s="548"/>
      <c r="X898" s="548"/>
      <c r="Y898" s="548"/>
      <c r="Z898" s="548"/>
      <c r="AA898" s="548"/>
      <c r="AB898" s="548"/>
      <c r="AC898" s="548"/>
      <c r="AD898" s="548"/>
      <c r="AE898" s="548"/>
      <c r="AF898" s="548"/>
      <c r="AG898" s="548"/>
      <c r="AH898" s="548"/>
      <c r="AI898" s="548"/>
      <c r="AJ898" s="548"/>
      <c r="AK898" s="548"/>
      <c r="AL898" s="548"/>
      <c r="AM898" s="548"/>
      <c r="AN898" s="548"/>
      <c r="AO898" s="548"/>
    </row>
    <row r="899">
      <c r="G899" s="548"/>
      <c r="H899" s="548"/>
      <c r="I899" s="548"/>
      <c r="J899" s="548"/>
      <c r="K899" s="548"/>
      <c r="L899" s="548"/>
      <c r="M899" s="548"/>
      <c r="N899" s="548"/>
      <c r="O899" s="548"/>
      <c r="P899" s="548"/>
      <c r="Q899" s="548"/>
      <c r="R899" s="548"/>
      <c r="S899" s="548"/>
      <c r="T899" s="548"/>
      <c r="U899" s="548"/>
      <c r="V899" s="548"/>
      <c r="W899" s="548"/>
      <c r="X899" s="548"/>
      <c r="Y899" s="548"/>
      <c r="Z899" s="548"/>
      <c r="AA899" s="548"/>
      <c r="AB899" s="548"/>
      <c r="AC899" s="548"/>
      <c r="AD899" s="548"/>
      <c r="AE899" s="548"/>
      <c r="AF899" s="548"/>
      <c r="AG899" s="548"/>
      <c r="AH899" s="548"/>
      <c r="AI899" s="548"/>
      <c r="AJ899" s="548"/>
      <c r="AK899" s="548"/>
      <c r="AL899" s="548"/>
      <c r="AM899" s="548"/>
      <c r="AN899" s="548"/>
      <c r="AO899" s="548"/>
    </row>
    <row r="900">
      <c r="G900" s="548"/>
      <c r="H900" s="548"/>
      <c r="I900" s="548"/>
      <c r="J900" s="548"/>
      <c r="K900" s="548"/>
      <c r="L900" s="548"/>
      <c r="M900" s="548"/>
      <c r="N900" s="548"/>
      <c r="O900" s="548"/>
      <c r="P900" s="548"/>
      <c r="Q900" s="548"/>
      <c r="R900" s="548"/>
      <c r="S900" s="548"/>
      <c r="T900" s="548"/>
      <c r="U900" s="548"/>
      <c r="V900" s="548"/>
      <c r="W900" s="548"/>
      <c r="X900" s="548"/>
      <c r="Y900" s="548"/>
      <c r="Z900" s="548"/>
      <c r="AA900" s="548"/>
      <c r="AB900" s="548"/>
      <c r="AC900" s="548"/>
      <c r="AD900" s="548"/>
      <c r="AE900" s="548"/>
      <c r="AF900" s="548"/>
      <c r="AG900" s="548"/>
      <c r="AH900" s="548"/>
      <c r="AI900" s="548"/>
      <c r="AJ900" s="548"/>
      <c r="AK900" s="548"/>
      <c r="AL900" s="548"/>
      <c r="AM900" s="548"/>
      <c r="AN900" s="548"/>
      <c r="AO900" s="548"/>
    </row>
    <row r="901">
      <c r="G901" s="548"/>
      <c r="H901" s="548"/>
      <c r="I901" s="548"/>
      <c r="J901" s="548"/>
      <c r="K901" s="548"/>
      <c r="L901" s="548"/>
      <c r="M901" s="548"/>
      <c r="N901" s="548"/>
      <c r="O901" s="548"/>
      <c r="P901" s="548"/>
      <c r="Q901" s="548"/>
      <c r="R901" s="548"/>
      <c r="S901" s="548"/>
      <c r="T901" s="548"/>
      <c r="U901" s="548"/>
      <c r="V901" s="548"/>
      <c r="W901" s="548"/>
      <c r="X901" s="548"/>
      <c r="Y901" s="548"/>
      <c r="Z901" s="548"/>
      <c r="AA901" s="548"/>
      <c r="AB901" s="548"/>
      <c r="AC901" s="548"/>
      <c r="AD901" s="548"/>
      <c r="AE901" s="548"/>
      <c r="AF901" s="548"/>
      <c r="AG901" s="548"/>
      <c r="AH901" s="548"/>
      <c r="AI901" s="548"/>
      <c r="AJ901" s="548"/>
      <c r="AK901" s="548"/>
      <c r="AL901" s="548"/>
      <c r="AM901" s="548"/>
      <c r="AN901" s="548"/>
      <c r="AO901" s="548"/>
    </row>
    <row r="902">
      <c r="G902" s="548"/>
      <c r="H902" s="548"/>
      <c r="I902" s="548"/>
      <c r="J902" s="548"/>
      <c r="K902" s="548"/>
      <c r="L902" s="548"/>
      <c r="M902" s="548"/>
      <c r="N902" s="548"/>
      <c r="O902" s="548"/>
      <c r="P902" s="548"/>
      <c r="Q902" s="548"/>
      <c r="R902" s="548"/>
      <c r="S902" s="548"/>
      <c r="T902" s="548"/>
      <c r="U902" s="548"/>
      <c r="V902" s="548"/>
      <c r="W902" s="548"/>
      <c r="X902" s="548"/>
      <c r="Y902" s="548"/>
      <c r="Z902" s="548"/>
      <c r="AA902" s="548"/>
      <c r="AB902" s="548"/>
      <c r="AC902" s="548"/>
      <c r="AD902" s="548"/>
      <c r="AE902" s="548"/>
      <c r="AF902" s="548"/>
      <c r="AG902" s="548"/>
      <c r="AH902" s="548"/>
      <c r="AI902" s="548"/>
      <c r="AJ902" s="548"/>
      <c r="AK902" s="548"/>
      <c r="AL902" s="548"/>
      <c r="AM902" s="548"/>
      <c r="AN902" s="548"/>
      <c r="AO902" s="548"/>
    </row>
    <row r="903">
      <c r="G903" s="548"/>
      <c r="H903" s="548"/>
      <c r="I903" s="548"/>
      <c r="J903" s="548"/>
      <c r="K903" s="548"/>
      <c r="L903" s="548"/>
      <c r="M903" s="548"/>
      <c r="N903" s="548"/>
      <c r="O903" s="548"/>
      <c r="P903" s="548"/>
      <c r="Q903" s="548"/>
      <c r="R903" s="548"/>
      <c r="S903" s="548"/>
      <c r="T903" s="548"/>
      <c r="U903" s="548"/>
      <c r="V903" s="548"/>
      <c r="W903" s="548"/>
      <c r="X903" s="548"/>
      <c r="Y903" s="548"/>
      <c r="Z903" s="548"/>
      <c r="AA903" s="548"/>
      <c r="AB903" s="548"/>
      <c r="AC903" s="548"/>
      <c r="AD903" s="548"/>
      <c r="AE903" s="548"/>
      <c r="AF903" s="548"/>
      <c r="AG903" s="548"/>
      <c r="AH903" s="548"/>
      <c r="AI903" s="548"/>
      <c r="AJ903" s="548"/>
      <c r="AK903" s="548"/>
      <c r="AL903" s="548"/>
      <c r="AM903" s="548"/>
      <c r="AN903" s="548"/>
      <c r="AO903" s="548"/>
    </row>
    <row r="904">
      <c r="G904" s="548"/>
      <c r="H904" s="548"/>
      <c r="I904" s="548"/>
      <c r="J904" s="548"/>
      <c r="K904" s="548"/>
      <c r="L904" s="548"/>
      <c r="M904" s="548"/>
      <c r="N904" s="548"/>
      <c r="O904" s="548"/>
      <c r="P904" s="548"/>
      <c r="Q904" s="548"/>
      <c r="R904" s="548"/>
      <c r="S904" s="548"/>
      <c r="T904" s="548"/>
      <c r="U904" s="548"/>
      <c r="V904" s="548"/>
      <c r="W904" s="548"/>
      <c r="X904" s="548"/>
      <c r="Y904" s="548"/>
      <c r="Z904" s="548"/>
      <c r="AA904" s="548"/>
      <c r="AB904" s="548"/>
      <c r="AC904" s="548"/>
      <c r="AD904" s="548"/>
      <c r="AE904" s="548"/>
      <c r="AF904" s="548"/>
      <c r="AG904" s="548"/>
      <c r="AH904" s="548"/>
      <c r="AI904" s="548"/>
      <c r="AJ904" s="548"/>
      <c r="AK904" s="548"/>
      <c r="AL904" s="548"/>
      <c r="AM904" s="548"/>
      <c r="AN904" s="548"/>
      <c r="AO904" s="548"/>
    </row>
    <row r="905">
      <c r="G905" s="548"/>
      <c r="H905" s="548"/>
      <c r="I905" s="548"/>
      <c r="J905" s="548"/>
      <c r="K905" s="548"/>
      <c r="L905" s="548"/>
      <c r="M905" s="548"/>
      <c r="N905" s="548"/>
      <c r="O905" s="548"/>
      <c r="P905" s="548"/>
      <c r="Q905" s="548"/>
      <c r="R905" s="548"/>
      <c r="S905" s="548"/>
      <c r="T905" s="548"/>
      <c r="U905" s="548"/>
      <c r="V905" s="548"/>
      <c r="W905" s="548"/>
      <c r="X905" s="548"/>
      <c r="Y905" s="548"/>
      <c r="Z905" s="548"/>
      <c r="AA905" s="548"/>
      <c r="AB905" s="548"/>
      <c r="AC905" s="548"/>
      <c r="AD905" s="548"/>
      <c r="AE905" s="548"/>
      <c r="AF905" s="548"/>
      <c r="AG905" s="548"/>
      <c r="AH905" s="548"/>
      <c r="AI905" s="548"/>
      <c r="AJ905" s="548"/>
      <c r="AK905" s="548"/>
      <c r="AL905" s="548"/>
      <c r="AM905" s="548"/>
      <c r="AN905" s="548"/>
      <c r="AO905" s="548"/>
    </row>
    <row r="906">
      <c r="G906" s="548"/>
      <c r="H906" s="548"/>
      <c r="I906" s="548"/>
      <c r="J906" s="548"/>
      <c r="K906" s="548"/>
      <c r="L906" s="548"/>
      <c r="M906" s="548"/>
      <c r="N906" s="548"/>
      <c r="O906" s="548"/>
      <c r="P906" s="548"/>
      <c r="Q906" s="548"/>
      <c r="R906" s="548"/>
      <c r="S906" s="548"/>
      <c r="T906" s="548"/>
      <c r="U906" s="548"/>
      <c r="V906" s="548"/>
      <c r="W906" s="548"/>
      <c r="X906" s="548"/>
      <c r="Y906" s="548"/>
      <c r="Z906" s="548"/>
      <c r="AA906" s="548"/>
      <c r="AB906" s="548"/>
      <c r="AC906" s="548"/>
      <c r="AD906" s="548"/>
      <c r="AE906" s="548"/>
      <c r="AF906" s="548"/>
      <c r="AG906" s="548"/>
      <c r="AH906" s="548"/>
      <c r="AI906" s="548"/>
      <c r="AJ906" s="548"/>
      <c r="AK906" s="548"/>
      <c r="AL906" s="548"/>
      <c r="AM906" s="548"/>
      <c r="AN906" s="548"/>
      <c r="AO906" s="548"/>
    </row>
    <row r="907">
      <c r="G907" s="548"/>
      <c r="H907" s="548"/>
      <c r="I907" s="548"/>
      <c r="J907" s="548"/>
      <c r="K907" s="548"/>
      <c r="L907" s="548"/>
      <c r="M907" s="548"/>
      <c r="N907" s="548"/>
      <c r="O907" s="548"/>
      <c r="P907" s="548"/>
      <c r="Q907" s="548"/>
      <c r="R907" s="548"/>
      <c r="S907" s="548"/>
      <c r="T907" s="548"/>
      <c r="U907" s="548"/>
      <c r="V907" s="548"/>
      <c r="W907" s="548"/>
      <c r="X907" s="548"/>
      <c r="Y907" s="548"/>
      <c r="Z907" s="548"/>
      <c r="AA907" s="548"/>
      <c r="AB907" s="548"/>
      <c r="AC907" s="548"/>
      <c r="AD907" s="548"/>
      <c r="AE907" s="548"/>
      <c r="AF907" s="548"/>
      <c r="AG907" s="548"/>
      <c r="AH907" s="548"/>
      <c r="AI907" s="548"/>
      <c r="AJ907" s="548"/>
      <c r="AK907" s="548"/>
      <c r="AL907" s="548"/>
      <c r="AM907" s="548"/>
      <c r="AN907" s="548"/>
      <c r="AO907" s="548"/>
    </row>
    <row r="908">
      <c r="G908" s="548"/>
      <c r="H908" s="548"/>
      <c r="I908" s="548"/>
      <c r="J908" s="548"/>
      <c r="K908" s="548"/>
      <c r="L908" s="548"/>
      <c r="M908" s="548"/>
      <c r="N908" s="548"/>
      <c r="O908" s="548"/>
      <c r="P908" s="548"/>
      <c r="Q908" s="548"/>
      <c r="R908" s="548"/>
      <c r="S908" s="548"/>
      <c r="T908" s="548"/>
      <c r="U908" s="548"/>
      <c r="V908" s="548"/>
      <c r="W908" s="548"/>
      <c r="X908" s="548"/>
      <c r="Y908" s="548"/>
      <c r="Z908" s="548"/>
      <c r="AA908" s="548"/>
      <c r="AB908" s="548"/>
      <c r="AC908" s="548"/>
      <c r="AD908" s="548"/>
      <c r="AE908" s="548"/>
      <c r="AF908" s="548"/>
      <c r="AG908" s="548"/>
      <c r="AH908" s="548"/>
      <c r="AI908" s="548"/>
      <c r="AJ908" s="548"/>
      <c r="AK908" s="548"/>
      <c r="AL908" s="548"/>
      <c r="AM908" s="548"/>
      <c r="AN908" s="548"/>
      <c r="AO908" s="548"/>
    </row>
    <row r="909">
      <c r="G909" s="548"/>
      <c r="H909" s="548"/>
      <c r="I909" s="548"/>
      <c r="J909" s="548"/>
      <c r="K909" s="548"/>
      <c r="L909" s="548"/>
      <c r="M909" s="548"/>
      <c r="N909" s="548"/>
      <c r="O909" s="548"/>
      <c r="P909" s="548"/>
      <c r="Q909" s="548"/>
      <c r="R909" s="548"/>
      <c r="S909" s="548"/>
      <c r="T909" s="548"/>
      <c r="U909" s="548"/>
      <c r="V909" s="548"/>
      <c r="W909" s="548"/>
      <c r="X909" s="548"/>
      <c r="Y909" s="548"/>
      <c r="Z909" s="548"/>
      <c r="AA909" s="548"/>
      <c r="AB909" s="548"/>
      <c r="AC909" s="548"/>
      <c r="AD909" s="548"/>
      <c r="AE909" s="548"/>
      <c r="AF909" s="548"/>
      <c r="AG909" s="548"/>
      <c r="AH909" s="548"/>
      <c r="AI909" s="548"/>
      <c r="AJ909" s="548"/>
      <c r="AK909" s="548"/>
      <c r="AL909" s="548"/>
      <c r="AM909" s="548"/>
      <c r="AN909" s="548"/>
      <c r="AO909" s="548"/>
    </row>
    <row r="910">
      <c r="G910" s="548"/>
      <c r="H910" s="548"/>
      <c r="I910" s="548"/>
      <c r="J910" s="548"/>
      <c r="K910" s="548"/>
      <c r="L910" s="548"/>
      <c r="M910" s="548"/>
      <c r="N910" s="548"/>
      <c r="O910" s="548"/>
      <c r="P910" s="548"/>
      <c r="Q910" s="548"/>
      <c r="R910" s="548"/>
      <c r="S910" s="548"/>
      <c r="T910" s="548"/>
      <c r="U910" s="548"/>
      <c r="V910" s="548"/>
      <c r="W910" s="548"/>
      <c r="X910" s="548"/>
      <c r="Y910" s="548"/>
      <c r="Z910" s="548"/>
      <c r="AA910" s="548"/>
      <c r="AB910" s="548"/>
      <c r="AC910" s="548"/>
      <c r="AD910" s="548"/>
      <c r="AE910" s="548"/>
      <c r="AF910" s="548"/>
      <c r="AG910" s="548"/>
      <c r="AH910" s="548"/>
      <c r="AI910" s="548"/>
      <c r="AJ910" s="548"/>
      <c r="AK910" s="548"/>
      <c r="AL910" s="548"/>
      <c r="AM910" s="548"/>
      <c r="AN910" s="548"/>
      <c r="AO910" s="548"/>
    </row>
    <row r="911">
      <c r="G911" s="548"/>
      <c r="H911" s="548"/>
      <c r="I911" s="548"/>
      <c r="J911" s="548"/>
      <c r="K911" s="548"/>
      <c r="L911" s="548"/>
      <c r="M911" s="548"/>
      <c r="N911" s="548"/>
      <c r="O911" s="548"/>
      <c r="P911" s="548"/>
      <c r="Q911" s="548"/>
      <c r="R911" s="548"/>
      <c r="S911" s="548"/>
      <c r="T911" s="548"/>
      <c r="U911" s="548"/>
      <c r="V911" s="548"/>
      <c r="W911" s="548"/>
      <c r="X911" s="548"/>
      <c r="Y911" s="548"/>
      <c r="Z911" s="548"/>
      <c r="AA911" s="548"/>
      <c r="AB911" s="548"/>
      <c r="AC911" s="548"/>
      <c r="AD911" s="548"/>
      <c r="AE911" s="548"/>
      <c r="AF911" s="548"/>
      <c r="AG911" s="548"/>
      <c r="AH911" s="548"/>
      <c r="AI911" s="548"/>
      <c r="AJ911" s="548"/>
      <c r="AK911" s="548"/>
      <c r="AL911" s="548"/>
      <c r="AM911" s="548"/>
      <c r="AN911" s="548"/>
      <c r="AO911" s="548"/>
    </row>
    <row r="912">
      <c r="G912" s="548"/>
      <c r="H912" s="548"/>
      <c r="I912" s="548"/>
      <c r="J912" s="548"/>
      <c r="K912" s="548"/>
      <c r="L912" s="548"/>
      <c r="M912" s="548"/>
      <c r="N912" s="548"/>
      <c r="O912" s="548"/>
      <c r="P912" s="548"/>
      <c r="Q912" s="548"/>
      <c r="R912" s="548"/>
      <c r="S912" s="548"/>
      <c r="T912" s="548"/>
      <c r="U912" s="548"/>
      <c r="V912" s="548"/>
      <c r="W912" s="548"/>
      <c r="X912" s="548"/>
      <c r="Y912" s="548"/>
      <c r="Z912" s="548"/>
      <c r="AA912" s="548"/>
      <c r="AB912" s="548"/>
      <c r="AC912" s="548"/>
      <c r="AD912" s="548"/>
      <c r="AE912" s="548"/>
      <c r="AF912" s="548"/>
      <c r="AG912" s="548"/>
      <c r="AH912" s="548"/>
      <c r="AI912" s="548"/>
      <c r="AJ912" s="548"/>
      <c r="AK912" s="548"/>
      <c r="AL912" s="548"/>
      <c r="AM912" s="548"/>
      <c r="AN912" s="548"/>
      <c r="AO912" s="548"/>
    </row>
    <row r="913">
      <c r="G913" s="548"/>
      <c r="H913" s="548"/>
      <c r="I913" s="548"/>
      <c r="J913" s="548"/>
      <c r="K913" s="548"/>
      <c r="L913" s="548"/>
      <c r="M913" s="548"/>
      <c r="N913" s="548"/>
      <c r="O913" s="548"/>
      <c r="P913" s="548"/>
      <c r="Q913" s="548"/>
      <c r="R913" s="548"/>
      <c r="S913" s="548"/>
      <c r="T913" s="548"/>
      <c r="U913" s="548"/>
      <c r="V913" s="548"/>
      <c r="W913" s="548"/>
      <c r="X913" s="548"/>
      <c r="Y913" s="548"/>
      <c r="Z913" s="548"/>
      <c r="AA913" s="548"/>
      <c r="AB913" s="548"/>
      <c r="AC913" s="548"/>
      <c r="AD913" s="548"/>
      <c r="AE913" s="548"/>
      <c r="AF913" s="548"/>
      <c r="AG913" s="548"/>
      <c r="AH913" s="548"/>
      <c r="AI913" s="548"/>
      <c r="AJ913" s="548"/>
      <c r="AK913" s="548"/>
      <c r="AL913" s="548"/>
      <c r="AM913" s="548"/>
      <c r="AN913" s="548"/>
      <c r="AO913" s="548"/>
    </row>
    <row r="914">
      <c r="G914" s="548"/>
      <c r="H914" s="548"/>
      <c r="I914" s="548"/>
      <c r="J914" s="548"/>
      <c r="K914" s="548"/>
      <c r="L914" s="548"/>
      <c r="M914" s="548"/>
      <c r="N914" s="548"/>
      <c r="O914" s="548"/>
      <c r="P914" s="548"/>
      <c r="Q914" s="548"/>
      <c r="R914" s="548"/>
      <c r="S914" s="548"/>
      <c r="T914" s="548"/>
      <c r="U914" s="548"/>
      <c r="V914" s="548"/>
      <c r="W914" s="548"/>
      <c r="X914" s="548"/>
      <c r="Y914" s="548"/>
      <c r="Z914" s="548"/>
      <c r="AA914" s="548"/>
      <c r="AB914" s="548"/>
      <c r="AC914" s="548"/>
      <c r="AD914" s="548"/>
      <c r="AE914" s="548"/>
      <c r="AF914" s="548"/>
      <c r="AG914" s="548"/>
      <c r="AH914" s="548"/>
      <c r="AI914" s="548"/>
      <c r="AJ914" s="548"/>
      <c r="AK914" s="548"/>
      <c r="AL914" s="548"/>
      <c r="AM914" s="548"/>
      <c r="AN914" s="548"/>
      <c r="AO914" s="548"/>
    </row>
    <row r="915">
      <c r="G915" s="548"/>
      <c r="H915" s="548"/>
      <c r="I915" s="548"/>
      <c r="J915" s="548"/>
      <c r="K915" s="548"/>
      <c r="L915" s="548"/>
      <c r="M915" s="548"/>
      <c r="N915" s="548"/>
      <c r="O915" s="548"/>
      <c r="P915" s="548"/>
      <c r="Q915" s="548"/>
      <c r="R915" s="548"/>
      <c r="S915" s="548"/>
      <c r="T915" s="548"/>
      <c r="U915" s="548"/>
      <c r="V915" s="548"/>
      <c r="W915" s="548"/>
      <c r="X915" s="548"/>
      <c r="Y915" s="548"/>
      <c r="Z915" s="548"/>
      <c r="AA915" s="548"/>
      <c r="AB915" s="548"/>
      <c r="AC915" s="548"/>
      <c r="AD915" s="548"/>
      <c r="AE915" s="548"/>
      <c r="AF915" s="548"/>
      <c r="AG915" s="548"/>
      <c r="AH915" s="548"/>
      <c r="AI915" s="548"/>
      <c r="AJ915" s="548"/>
      <c r="AK915" s="548"/>
      <c r="AL915" s="548"/>
      <c r="AM915" s="548"/>
      <c r="AN915" s="548"/>
      <c r="AO915" s="548"/>
    </row>
    <row r="916">
      <c r="G916" s="548"/>
      <c r="H916" s="548"/>
      <c r="I916" s="548"/>
      <c r="J916" s="548"/>
      <c r="K916" s="548"/>
      <c r="L916" s="548"/>
      <c r="M916" s="548"/>
      <c r="N916" s="548"/>
      <c r="O916" s="548"/>
      <c r="P916" s="548"/>
      <c r="Q916" s="548"/>
      <c r="R916" s="548"/>
      <c r="S916" s="548"/>
      <c r="T916" s="548"/>
      <c r="U916" s="548"/>
      <c r="V916" s="548"/>
      <c r="W916" s="548"/>
      <c r="X916" s="548"/>
      <c r="Y916" s="548"/>
      <c r="Z916" s="548"/>
      <c r="AA916" s="548"/>
      <c r="AB916" s="548"/>
      <c r="AC916" s="548"/>
      <c r="AD916" s="548"/>
      <c r="AE916" s="548"/>
      <c r="AF916" s="548"/>
      <c r="AG916" s="548"/>
      <c r="AH916" s="548"/>
      <c r="AI916" s="548"/>
      <c r="AJ916" s="548"/>
      <c r="AK916" s="548"/>
      <c r="AL916" s="548"/>
      <c r="AM916" s="548"/>
      <c r="AN916" s="548"/>
      <c r="AO916" s="548"/>
    </row>
    <row r="917">
      <c r="G917" s="548"/>
      <c r="H917" s="548"/>
      <c r="I917" s="548"/>
      <c r="J917" s="548"/>
      <c r="K917" s="548"/>
      <c r="L917" s="548"/>
      <c r="M917" s="548"/>
      <c r="N917" s="548"/>
      <c r="O917" s="548"/>
      <c r="P917" s="548"/>
      <c r="Q917" s="548"/>
      <c r="R917" s="548"/>
      <c r="S917" s="548"/>
      <c r="T917" s="548"/>
      <c r="U917" s="548"/>
      <c r="V917" s="548"/>
      <c r="W917" s="548"/>
      <c r="X917" s="548"/>
      <c r="Y917" s="548"/>
      <c r="Z917" s="548"/>
      <c r="AA917" s="548"/>
      <c r="AB917" s="548"/>
      <c r="AC917" s="548"/>
      <c r="AD917" s="548"/>
      <c r="AE917" s="548"/>
      <c r="AF917" s="548"/>
      <c r="AG917" s="548"/>
      <c r="AH917" s="548"/>
      <c r="AI917" s="548"/>
      <c r="AJ917" s="548"/>
      <c r="AK917" s="548"/>
      <c r="AL917" s="548"/>
      <c r="AM917" s="548"/>
      <c r="AN917" s="548"/>
      <c r="AO917" s="548"/>
    </row>
    <row r="918">
      <c r="G918" s="548"/>
      <c r="H918" s="548"/>
      <c r="I918" s="548"/>
      <c r="J918" s="548"/>
      <c r="K918" s="548"/>
      <c r="L918" s="548"/>
      <c r="M918" s="548"/>
      <c r="N918" s="548"/>
      <c r="O918" s="548"/>
      <c r="P918" s="548"/>
      <c r="Q918" s="548"/>
      <c r="R918" s="548"/>
      <c r="S918" s="548"/>
      <c r="T918" s="548"/>
      <c r="U918" s="548"/>
      <c r="V918" s="548"/>
      <c r="W918" s="548"/>
      <c r="X918" s="548"/>
      <c r="Y918" s="548"/>
      <c r="Z918" s="548"/>
      <c r="AA918" s="548"/>
      <c r="AB918" s="548"/>
      <c r="AC918" s="548"/>
      <c r="AD918" s="548"/>
      <c r="AE918" s="548"/>
      <c r="AF918" s="548"/>
      <c r="AG918" s="548"/>
      <c r="AH918" s="548"/>
      <c r="AI918" s="548"/>
      <c r="AJ918" s="548"/>
      <c r="AK918" s="548"/>
      <c r="AL918" s="548"/>
      <c r="AM918" s="548"/>
      <c r="AN918" s="548"/>
      <c r="AO918" s="548"/>
    </row>
    <row r="919">
      <c r="G919" s="548"/>
      <c r="H919" s="548"/>
      <c r="I919" s="548"/>
      <c r="J919" s="548"/>
      <c r="K919" s="548"/>
      <c r="L919" s="548"/>
      <c r="M919" s="548"/>
      <c r="N919" s="548"/>
      <c r="O919" s="548"/>
      <c r="P919" s="548"/>
      <c r="Q919" s="548"/>
      <c r="R919" s="548"/>
      <c r="S919" s="548"/>
      <c r="T919" s="548"/>
      <c r="U919" s="548"/>
      <c r="V919" s="548"/>
      <c r="W919" s="548"/>
      <c r="X919" s="548"/>
      <c r="Y919" s="548"/>
      <c r="Z919" s="548"/>
      <c r="AA919" s="548"/>
      <c r="AB919" s="548"/>
      <c r="AC919" s="548"/>
      <c r="AD919" s="548"/>
      <c r="AE919" s="548"/>
      <c r="AF919" s="548"/>
      <c r="AG919" s="548"/>
      <c r="AH919" s="548"/>
      <c r="AI919" s="548"/>
      <c r="AJ919" s="548"/>
      <c r="AK919" s="548"/>
      <c r="AL919" s="548"/>
      <c r="AM919" s="548"/>
      <c r="AN919" s="548"/>
      <c r="AO919" s="548"/>
    </row>
    <row r="920">
      <c r="G920" s="548"/>
      <c r="H920" s="548"/>
      <c r="I920" s="548"/>
      <c r="J920" s="548"/>
      <c r="K920" s="548"/>
      <c r="L920" s="548"/>
      <c r="M920" s="548"/>
      <c r="N920" s="548"/>
      <c r="O920" s="548"/>
      <c r="P920" s="548"/>
      <c r="Q920" s="548"/>
      <c r="R920" s="548"/>
      <c r="S920" s="548"/>
      <c r="T920" s="548"/>
      <c r="U920" s="548"/>
      <c r="V920" s="548"/>
      <c r="W920" s="548"/>
      <c r="X920" s="548"/>
      <c r="Y920" s="548"/>
      <c r="Z920" s="548"/>
      <c r="AA920" s="548"/>
      <c r="AB920" s="548"/>
      <c r="AC920" s="548"/>
      <c r="AD920" s="548"/>
      <c r="AE920" s="548"/>
      <c r="AF920" s="548"/>
      <c r="AG920" s="548"/>
      <c r="AH920" s="548"/>
      <c r="AI920" s="548"/>
      <c r="AJ920" s="548"/>
      <c r="AK920" s="548"/>
      <c r="AL920" s="548"/>
      <c r="AM920" s="548"/>
      <c r="AN920" s="548"/>
      <c r="AO920" s="548"/>
    </row>
    <row r="921">
      <c r="G921" s="548"/>
      <c r="H921" s="548"/>
      <c r="I921" s="548"/>
      <c r="J921" s="548"/>
      <c r="K921" s="548"/>
      <c r="L921" s="548"/>
      <c r="M921" s="548"/>
      <c r="N921" s="548"/>
      <c r="O921" s="548"/>
      <c r="P921" s="548"/>
      <c r="Q921" s="548"/>
      <c r="R921" s="548"/>
      <c r="S921" s="548"/>
      <c r="T921" s="548"/>
      <c r="U921" s="548"/>
      <c r="V921" s="548"/>
      <c r="W921" s="548"/>
      <c r="X921" s="548"/>
      <c r="Y921" s="548"/>
      <c r="Z921" s="548"/>
      <c r="AA921" s="548"/>
      <c r="AB921" s="548"/>
      <c r="AC921" s="548"/>
      <c r="AD921" s="548"/>
      <c r="AE921" s="548"/>
      <c r="AF921" s="548"/>
      <c r="AG921" s="548"/>
      <c r="AH921" s="548"/>
      <c r="AI921" s="548"/>
      <c r="AJ921" s="548"/>
      <c r="AK921" s="548"/>
      <c r="AL921" s="548"/>
      <c r="AM921" s="548"/>
      <c r="AN921" s="548"/>
      <c r="AO921" s="548"/>
    </row>
    <row r="922">
      <c r="G922" s="548"/>
      <c r="H922" s="548"/>
      <c r="I922" s="548"/>
      <c r="J922" s="548"/>
      <c r="K922" s="548"/>
      <c r="L922" s="548"/>
      <c r="M922" s="548"/>
      <c r="N922" s="548"/>
      <c r="O922" s="548"/>
      <c r="P922" s="548"/>
      <c r="Q922" s="548"/>
      <c r="R922" s="548"/>
      <c r="S922" s="548"/>
      <c r="T922" s="548"/>
      <c r="U922" s="548"/>
      <c r="V922" s="548"/>
      <c r="W922" s="548"/>
      <c r="X922" s="548"/>
      <c r="Y922" s="548"/>
      <c r="Z922" s="548"/>
      <c r="AA922" s="548"/>
      <c r="AB922" s="548"/>
      <c r="AC922" s="548"/>
      <c r="AD922" s="548"/>
      <c r="AE922" s="548"/>
      <c r="AF922" s="548"/>
      <c r="AG922" s="548"/>
      <c r="AH922" s="548"/>
      <c r="AI922" s="548"/>
      <c r="AJ922" s="548"/>
      <c r="AK922" s="548"/>
      <c r="AL922" s="548"/>
      <c r="AM922" s="548"/>
      <c r="AN922" s="548"/>
      <c r="AO922" s="548"/>
    </row>
    <row r="923">
      <c r="G923" s="548"/>
      <c r="H923" s="548"/>
      <c r="I923" s="548"/>
      <c r="J923" s="548"/>
      <c r="K923" s="548"/>
      <c r="L923" s="548"/>
      <c r="M923" s="548"/>
      <c r="N923" s="548"/>
      <c r="O923" s="548"/>
      <c r="P923" s="548"/>
      <c r="Q923" s="548"/>
      <c r="R923" s="548"/>
      <c r="S923" s="548"/>
      <c r="T923" s="548"/>
      <c r="U923" s="548"/>
      <c r="V923" s="548"/>
      <c r="W923" s="548"/>
      <c r="X923" s="548"/>
      <c r="Y923" s="548"/>
      <c r="Z923" s="548"/>
      <c r="AA923" s="548"/>
      <c r="AB923" s="548"/>
      <c r="AC923" s="548"/>
      <c r="AD923" s="548"/>
      <c r="AE923" s="548"/>
      <c r="AF923" s="548"/>
      <c r="AG923" s="548"/>
      <c r="AH923" s="548"/>
      <c r="AI923" s="548"/>
      <c r="AJ923" s="548"/>
      <c r="AK923" s="548"/>
      <c r="AL923" s="548"/>
      <c r="AM923" s="548"/>
      <c r="AN923" s="548"/>
      <c r="AO923" s="548"/>
    </row>
    <row r="924">
      <c r="G924" s="548"/>
      <c r="H924" s="548"/>
      <c r="I924" s="548"/>
      <c r="J924" s="548"/>
      <c r="K924" s="548"/>
      <c r="L924" s="548"/>
      <c r="M924" s="548"/>
      <c r="N924" s="548"/>
      <c r="O924" s="548"/>
      <c r="P924" s="548"/>
      <c r="Q924" s="548"/>
      <c r="R924" s="548"/>
      <c r="S924" s="548"/>
      <c r="T924" s="548"/>
      <c r="U924" s="548"/>
      <c r="V924" s="548"/>
      <c r="W924" s="548"/>
      <c r="X924" s="548"/>
      <c r="Y924" s="548"/>
      <c r="Z924" s="548"/>
      <c r="AA924" s="548"/>
      <c r="AB924" s="548"/>
      <c r="AC924" s="548"/>
      <c r="AD924" s="548"/>
      <c r="AE924" s="548"/>
      <c r="AF924" s="548"/>
      <c r="AG924" s="548"/>
      <c r="AH924" s="548"/>
      <c r="AI924" s="548"/>
      <c r="AJ924" s="548"/>
      <c r="AK924" s="548"/>
      <c r="AL924" s="548"/>
      <c r="AM924" s="548"/>
      <c r="AN924" s="548"/>
      <c r="AO924" s="548"/>
    </row>
    <row r="925">
      <c r="G925" s="548"/>
      <c r="H925" s="548"/>
      <c r="I925" s="548"/>
      <c r="J925" s="548"/>
      <c r="K925" s="548"/>
      <c r="L925" s="548"/>
      <c r="M925" s="548"/>
      <c r="N925" s="548"/>
      <c r="O925" s="548"/>
      <c r="P925" s="548"/>
      <c r="Q925" s="548"/>
      <c r="R925" s="548"/>
      <c r="S925" s="548"/>
      <c r="T925" s="548"/>
      <c r="U925" s="548"/>
      <c r="V925" s="548"/>
      <c r="W925" s="548"/>
      <c r="X925" s="548"/>
      <c r="Y925" s="548"/>
      <c r="Z925" s="548"/>
      <c r="AA925" s="548"/>
      <c r="AB925" s="548"/>
      <c r="AC925" s="548"/>
      <c r="AD925" s="548"/>
      <c r="AE925" s="548"/>
      <c r="AF925" s="548"/>
      <c r="AG925" s="548"/>
      <c r="AH925" s="548"/>
      <c r="AI925" s="548"/>
      <c r="AJ925" s="548"/>
      <c r="AK925" s="548"/>
      <c r="AL925" s="548"/>
      <c r="AM925" s="548"/>
      <c r="AN925" s="548"/>
      <c r="AO925" s="548"/>
    </row>
    <row r="926">
      <c r="G926" s="548"/>
      <c r="H926" s="548"/>
      <c r="I926" s="548"/>
      <c r="J926" s="548"/>
      <c r="K926" s="548"/>
      <c r="L926" s="548"/>
      <c r="M926" s="548"/>
      <c r="N926" s="548"/>
      <c r="O926" s="548"/>
      <c r="P926" s="548"/>
      <c r="Q926" s="548"/>
      <c r="R926" s="548"/>
      <c r="S926" s="548"/>
      <c r="T926" s="548"/>
      <c r="U926" s="548"/>
      <c r="V926" s="548"/>
      <c r="W926" s="548"/>
      <c r="X926" s="548"/>
      <c r="Y926" s="548"/>
      <c r="Z926" s="548"/>
      <c r="AA926" s="548"/>
      <c r="AB926" s="548"/>
      <c r="AC926" s="548"/>
      <c r="AD926" s="548"/>
      <c r="AE926" s="548"/>
      <c r="AF926" s="548"/>
      <c r="AG926" s="548"/>
      <c r="AH926" s="548"/>
      <c r="AI926" s="548"/>
      <c r="AJ926" s="548"/>
      <c r="AK926" s="548"/>
      <c r="AL926" s="548"/>
      <c r="AM926" s="548"/>
      <c r="AN926" s="548"/>
      <c r="AO926" s="548"/>
    </row>
    <row r="927">
      <c r="G927" s="548"/>
      <c r="H927" s="548"/>
      <c r="I927" s="548"/>
      <c r="J927" s="548"/>
      <c r="K927" s="548"/>
      <c r="L927" s="548"/>
      <c r="M927" s="548"/>
      <c r="N927" s="548"/>
      <c r="O927" s="548"/>
      <c r="P927" s="548"/>
      <c r="Q927" s="548"/>
      <c r="R927" s="548"/>
      <c r="S927" s="548"/>
      <c r="T927" s="548"/>
      <c r="U927" s="548"/>
      <c r="V927" s="548"/>
      <c r="W927" s="548"/>
      <c r="X927" s="548"/>
      <c r="Y927" s="548"/>
      <c r="Z927" s="548"/>
      <c r="AA927" s="548"/>
      <c r="AB927" s="548"/>
      <c r="AC927" s="548"/>
      <c r="AD927" s="548"/>
      <c r="AE927" s="548"/>
      <c r="AF927" s="548"/>
      <c r="AG927" s="548"/>
      <c r="AH927" s="548"/>
      <c r="AI927" s="548"/>
      <c r="AJ927" s="548"/>
      <c r="AK927" s="548"/>
      <c r="AL927" s="548"/>
      <c r="AM927" s="548"/>
      <c r="AN927" s="548"/>
      <c r="AO927" s="548"/>
    </row>
    <row r="928">
      <c r="G928" s="548"/>
      <c r="H928" s="548"/>
      <c r="I928" s="548"/>
      <c r="J928" s="548"/>
      <c r="K928" s="548"/>
      <c r="L928" s="548"/>
      <c r="M928" s="548"/>
      <c r="N928" s="548"/>
      <c r="O928" s="548"/>
      <c r="P928" s="548"/>
      <c r="Q928" s="548"/>
      <c r="R928" s="548"/>
      <c r="S928" s="548"/>
      <c r="T928" s="548"/>
      <c r="U928" s="548"/>
      <c r="V928" s="548"/>
      <c r="W928" s="548"/>
      <c r="X928" s="548"/>
      <c r="Y928" s="548"/>
      <c r="Z928" s="548"/>
      <c r="AA928" s="548"/>
      <c r="AB928" s="548"/>
      <c r="AC928" s="548"/>
      <c r="AD928" s="548"/>
      <c r="AE928" s="548"/>
      <c r="AF928" s="548"/>
      <c r="AG928" s="548"/>
      <c r="AH928" s="548"/>
      <c r="AI928" s="548"/>
      <c r="AJ928" s="548"/>
      <c r="AK928" s="548"/>
      <c r="AL928" s="548"/>
      <c r="AM928" s="548"/>
      <c r="AN928" s="548"/>
      <c r="AO928" s="548"/>
    </row>
    <row r="929">
      <c r="G929" s="548"/>
      <c r="H929" s="548"/>
      <c r="I929" s="548"/>
      <c r="J929" s="548"/>
      <c r="K929" s="548"/>
      <c r="L929" s="548"/>
      <c r="M929" s="548"/>
      <c r="N929" s="548"/>
      <c r="O929" s="548"/>
      <c r="P929" s="548"/>
      <c r="Q929" s="548"/>
      <c r="R929" s="548"/>
      <c r="S929" s="548"/>
      <c r="T929" s="548"/>
      <c r="U929" s="548"/>
      <c r="V929" s="548"/>
      <c r="W929" s="548"/>
      <c r="X929" s="548"/>
      <c r="Y929" s="548"/>
      <c r="Z929" s="548"/>
      <c r="AA929" s="548"/>
      <c r="AB929" s="548"/>
      <c r="AC929" s="548"/>
      <c r="AD929" s="548"/>
      <c r="AE929" s="548"/>
      <c r="AF929" s="548"/>
      <c r="AG929" s="548"/>
      <c r="AH929" s="548"/>
      <c r="AI929" s="548"/>
      <c r="AJ929" s="548"/>
      <c r="AK929" s="548"/>
      <c r="AL929" s="548"/>
      <c r="AM929" s="548"/>
      <c r="AN929" s="548"/>
      <c r="AO929" s="548"/>
    </row>
    <row r="930">
      <c r="G930" s="548"/>
      <c r="H930" s="548"/>
      <c r="I930" s="548"/>
      <c r="J930" s="548"/>
      <c r="K930" s="548"/>
      <c r="L930" s="548"/>
      <c r="M930" s="548"/>
      <c r="N930" s="548"/>
      <c r="O930" s="548"/>
      <c r="P930" s="548"/>
      <c r="Q930" s="548"/>
      <c r="R930" s="548"/>
      <c r="S930" s="548"/>
      <c r="T930" s="548"/>
      <c r="U930" s="548"/>
      <c r="V930" s="548"/>
      <c r="W930" s="548"/>
      <c r="X930" s="548"/>
      <c r="Y930" s="548"/>
      <c r="Z930" s="548"/>
      <c r="AA930" s="548"/>
      <c r="AB930" s="548"/>
      <c r="AC930" s="548"/>
      <c r="AD930" s="548"/>
      <c r="AE930" s="548"/>
      <c r="AF930" s="548"/>
      <c r="AG930" s="548"/>
      <c r="AH930" s="548"/>
      <c r="AI930" s="548"/>
      <c r="AJ930" s="548"/>
      <c r="AK930" s="548"/>
      <c r="AL930" s="548"/>
      <c r="AM930" s="548"/>
      <c r="AN930" s="548"/>
      <c r="AO930" s="548"/>
    </row>
    <row r="931">
      <c r="G931" s="548"/>
      <c r="H931" s="548"/>
      <c r="I931" s="548"/>
      <c r="J931" s="548"/>
      <c r="K931" s="548"/>
      <c r="L931" s="548"/>
      <c r="M931" s="548"/>
      <c r="N931" s="548"/>
      <c r="O931" s="548"/>
      <c r="P931" s="548"/>
      <c r="Q931" s="548"/>
      <c r="R931" s="548"/>
      <c r="S931" s="548"/>
      <c r="T931" s="548"/>
      <c r="U931" s="548"/>
      <c r="V931" s="548"/>
      <c r="W931" s="548"/>
      <c r="X931" s="548"/>
      <c r="Y931" s="548"/>
      <c r="Z931" s="548"/>
      <c r="AA931" s="548"/>
      <c r="AB931" s="548"/>
      <c r="AC931" s="548"/>
      <c r="AD931" s="548"/>
      <c r="AE931" s="548"/>
      <c r="AF931" s="548"/>
      <c r="AG931" s="548"/>
      <c r="AH931" s="548"/>
      <c r="AI931" s="548"/>
      <c r="AJ931" s="548"/>
      <c r="AK931" s="548"/>
      <c r="AL931" s="548"/>
      <c r="AM931" s="548"/>
      <c r="AN931" s="548"/>
      <c r="AO931" s="548"/>
    </row>
    <row r="932">
      <c r="G932" s="548"/>
      <c r="H932" s="548"/>
      <c r="I932" s="548"/>
      <c r="J932" s="548"/>
      <c r="K932" s="548"/>
      <c r="L932" s="548"/>
      <c r="M932" s="548"/>
      <c r="N932" s="548"/>
      <c r="O932" s="548"/>
      <c r="P932" s="548"/>
      <c r="Q932" s="548"/>
      <c r="R932" s="548"/>
      <c r="S932" s="548"/>
      <c r="T932" s="548"/>
      <c r="U932" s="548"/>
      <c r="V932" s="548"/>
      <c r="W932" s="548"/>
      <c r="X932" s="548"/>
      <c r="Y932" s="548"/>
      <c r="Z932" s="548"/>
      <c r="AA932" s="548"/>
      <c r="AB932" s="548"/>
      <c r="AC932" s="548"/>
      <c r="AD932" s="548"/>
      <c r="AE932" s="548"/>
      <c r="AF932" s="548"/>
      <c r="AG932" s="548"/>
      <c r="AH932" s="548"/>
      <c r="AI932" s="548"/>
      <c r="AJ932" s="548"/>
      <c r="AK932" s="548"/>
      <c r="AL932" s="548"/>
      <c r="AM932" s="548"/>
      <c r="AN932" s="548"/>
      <c r="AO932" s="548"/>
    </row>
    <row r="933">
      <c r="G933" s="548"/>
      <c r="H933" s="548"/>
      <c r="I933" s="548"/>
      <c r="J933" s="548"/>
      <c r="K933" s="548"/>
      <c r="L933" s="548"/>
      <c r="M933" s="548"/>
      <c r="N933" s="548"/>
      <c r="O933" s="548"/>
      <c r="P933" s="548"/>
      <c r="Q933" s="548"/>
      <c r="R933" s="548"/>
      <c r="S933" s="548"/>
      <c r="T933" s="548"/>
      <c r="U933" s="548"/>
      <c r="V933" s="548"/>
      <c r="W933" s="548"/>
      <c r="X933" s="548"/>
      <c r="Y933" s="548"/>
      <c r="Z933" s="548"/>
      <c r="AA933" s="548"/>
      <c r="AB933" s="548"/>
      <c r="AC933" s="548"/>
      <c r="AD933" s="548"/>
      <c r="AE933" s="548"/>
      <c r="AF933" s="548"/>
      <c r="AG933" s="548"/>
      <c r="AH933" s="548"/>
      <c r="AI933" s="548"/>
      <c r="AJ933" s="548"/>
      <c r="AK933" s="548"/>
      <c r="AL933" s="548"/>
      <c r="AM933" s="548"/>
      <c r="AN933" s="548"/>
      <c r="AO933" s="548"/>
    </row>
    <row r="934">
      <c r="G934" s="548"/>
      <c r="H934" s="548"/>
      <c r="I934" s="548"/>
      <c r="J934" s="548"/>
      <c r="K934" s="548"/>
      <c r="L934" s="548"/>
      <c r="M934" s="548"/>
      <c r="N934" s="548"/>
      <c r="O934" s="548"/>
      <c r="P934" s="548"/>
      <c r="Q934" s="548"/>
      <c r="R934" s="548"/>
      <c r="S934" s="548"/>
      <c r="T934" s="548"/>
      <c r="U934" s="548"/>
      <c r="V934" s="548"/>
      <c r="W934" s="548"/>
      <c r="X934" s="548"/>
      <c r="Y934" s="548"/>
      <c r="Z934" s="548"/>
      <c r="AA934" s="548"/>
      <c r="AB934" s="548"/>
      <c r="AC934" s="548"/>
      <c r="AD934" s="548"/>
      <c r="AE934" s="548"/>
      <c r="AF934" s="548"/>
      <c r="AG934" s="548"/>
      <c r="AH934" s="548"/>
      <c r="AI934" s="548"/>
      <c r="AJ934" s="548"/>
      <c r="AK934" s="548"/>
      <c r="AL934" s="548"/>
      <c r="AM934" s="548"/>
      <c r="AN934" s="548"/>
      <c r="AO934" s="548"/>
    </row>
    <row r="935">
      <c r="G935" s="548"/>
      <c r="H935" s="548"/>
      <c r="I935" s="548"/>
      <c r="J935" s="548"/>
      <c r="K935" s="548"/>
      <c r="L935" s="548"/>
      <c r="M935" s="548"/>
      <c r="N935" s="548"/>
      <c r="O935" s="548"/>
      <c r="P935" s="548"/>
      <c r="Q935" s="548"/>
      <c r="R935" s="548"/>
      <c r="S935" s="548"/>
      <c r="T935" s="548"/>
      <c r="U935" s="548"/>
      <c r="V935" s="548"/>
      <c r="W935" s="548"/>
      <c r="X935" s="548"/>
      <c r="Y935" s="548"/>
      <c r="Z935" s="548"/>
      <c r="AA935" s="548"/>
      <c r="AB935" s="548"/>
      <c r="AC935" s="548"/>
      <c r="AD935" s="548"/>
      <c r="AE935" s="548"/>
      <c r="AF935" s="548"/>
      <c r="AG935" s="548"/>
      <c r="AH935" s="548"/>
      <c r="AI935" s="548"/>
      <c r="AJ935" s="548"/>
      <c r="AK935" s="548"/>
      <c r="AL935" s="548"/>
      <c r="AM935" s="548"/>
      <c r="AN935" s="548"/>
      <c r="AO935" s="548"/>
    </row>
    <row r="936">
      <c r="G936" s="548"/>
      <c r="H936" s="548"/>
      <c r="I936" s="548"/>
      <c r="J936" s="548"/>
      <c r="K936" s="548"/>
      <c r="L936" s="548"/>
      <c r="M936" s="548"/>
      <c r="N936" s="548"/>
      <c r="O936" s="548"/>
      <c r="P936" s="548"/>
      <c r="Q936" s="548"/>
      <c r="R936" s="548"/>
      <c r="S936" s="548"/>
      <c r="T936" s="548"/>
      <c r="U936" s="548"/>
      <c r="V936" s="548"/>
      <c r="W936" s="548"/>
      <c r="X936" s="548"/>
      <c r="Y936" s="548"/>
      <c r="Z936" s="548"/>
      <c r="AA936" s="548"/>
      <c r="AB936" s="548"/>
      <c r="AC936" s="548"/>
      <c r="AD936" s="548"/>
      <c r="AE936" s="548"/>
      <c r="AF936" s="548"/>
      <c r="AG936" s="548"/>
      <c r="AH936" s="548"/>
      <c r="AI936" s="548"/>
      <c r="AJ936" s="548"/>
      <c r="AK936" s="548"/>
      <c r="AL936" s="548"/>
      <c r="AM936" s="548"/>
      <c r="AN936" s="548"/>
      <c r="AO936" s="548"/>
    </row>
    <row r="937">
      <c r="G937" s="548"/>
      <c r="H937" s="548"/>
      <c r="I937" s="548"/>
      <c r="J937" s="548"/>
      <c r="K937" s="548"/>
      <c r="L937" s="548"/>
      <c r="M937" s="548"/>
      <c r="N937" s="548"/>
      <c r="O937" s="548"/>
      <c r="P937" s="548"/>
      <c r="Q937" s="548"/>
      <c r="R937" s="548"/>
      <c r="S937" s="548"/>
      <c r="T937" s="548"/>
      <c r="U937" s="548"/>
      <c r="V937" s="548"/>
      <c r="W937" s="548"/>
      <c r="X937" s="548"/>
      <c r="Y937" s="548"/>
      <c r="Z937" s="548"/>
      <c r="AA937" s="548"/>
      <c r="AB937" s="548"/>
      <c r="AC937" s="548"/>
      <c r="AD937" s="548"/>
      <c r="AE937" s="548"/>
      <c r="AF937" s="548"/>
      <c r="AG937" s="548"/>
      <c r="AH937" s="548"/>
      <c r="AI937" s="548"/>
      <c r="AJ937" s="548"/>
      <c r="AK937" s="548"/>
      <c r="AL937" s="548"/>
      <c r="AM937" s="548"/>
      <c r="AN937" s="548"/>
      <c r="AO937" s="548"/>
    </row>
    <row r="938">
      <c r="G938" s="548"/>
      <c r="H938" s="548"/>
      <c r="I938" s="548"/>
      <c r="J938" s="548"/>
      <c r="K938" s="548"/>
      <c r="L938" s="548"/>
      <c r="M938" s="548"/>
      <c r="N938" s="548"/>
      <c r="O938" s="548"/>
      <c r="P938" s="548"/>
      <c r="Q938" s="548"/>
      <c r="R938" s="548"/>
      <c r="S938" s="548"/>
      <c r="T938" s="548"/>
      <c r="U938" s="548"/>
      <c r="V938" s="548"/>
      <c r="W938" s="548"/>
      <c r="X938" s="548"/>
      <c r="Y938" s="548"/>
      <c r="Z938" s="548"/>
      <c r="AA938" s="548"/>
      <c r="AB938" s="548"/>
      <c r="AC938" s="548"/>
      <c r="AD938" s="548"/>
      <c r="AE938" s="548"/>
      <c r="AF938" s="548"/>
      <c r="AG938" s="548"/>
      <c r="AH938" s="548"/>
      <c r="AI938" s="548"/>
      <c r="AJ938" s="548"/>
      <c r="AK938" s="548"/>
      <c r="AL938" s="548"/>
      <c r="AM938" s="548"/>
      <c r="AN938" s="548"/>
      <c r="AO938" s="548"/>
    </row>
    <row r="939">
      <c r="G939" s="548"/>
      <c r="H939" s="548"/>
      <c r="I939" s="548"/>
      <c r="J939" s="548"/>
      <c r="K939" s="548"/>
      <c r="L939" s="548"/>
      <c r="M939" s="548"/>
      <c r="N939" s="548"/>
      <c r="O939" s="548"/>
      <c r="P939" s="548"/>
      <c r="Q939" s="548"/>
      <c r="R939" s="548"/>
      <c r="S939" s="548"/>
      <c r="T939" s="548"/>
      <c r="U939" s="548"/>
      <c r="V939" s="548"/>
      <c r="W939" s="548"/>
      <c r="X939" s="548"/>
      <c r="Y939" s="548"/>
      <c r="Z939" s="548"/>
      <c r="AA939" s="548"/>
      <c r="AB939" s="548"/>
      <c r="AC939" s="548"/>
      <c r="AD939" s="548"/>
      <c r="AE939" s="548"/>
      <c r="AF939" s="548"/>
      <c r="AG939" s="548"/>
      <c r="AH939" s="548"/>
      <c r="AI939" s="548"/>
      <c r="AJ939" s="548"/>
      <c r="AK939" s="548"/>
      <c r="AL939" s="548"/>
      <c r="AM939" s="548"/>
      <c r="AN939" s="548"/>
      <c r="AO939" s="548"/>
    </row>
    <row r="940">
      <c r="G940" s="548"/>
      <c r="H940" s="548"/>
      <c r="I940" s="548"/>
      <c r="J940" s="548"/>
      <c r="K940" s="548"/>
      <c r="L940" s="548"/>
      <c r="M940" s="548"/>
      <c r="N940" s="548"/>
      <c r="O940" s="548"/>
      <c r="P940" s="548"/>
      <c r="Q940" s="548"/>
      <c r="R940" s="548"/>
      <c r="S940" s="548"/>
      <c r="T940" s="548"/>
      <c r="U940" s="548"/>
      <c r="V940" s="548"/>
      <c r="W940" s="548"/>
      <c r="X940" s="548"/>
      <c r="Y940" s="548"/>
      <c r="Z940" s="548"/>
      <c r="AA940" s="548"/>
      <c r="AB940" s="548"/>
      <c r="AC940" s="548"/>
      <c r="AD940" s="548"/>
      <c r="AE940" s="548"/>
      <c r="AF940" s="548"/>
      <c r="AG940" s="548"/>
      <c r="AH940" s="548"/>
      <c r="AI940" s="548"/>
      <c r="AJ940" s="548"/>
      <c r="AK940" s="548"/>
      <c r="AL940" s="548"/>
      <c r="AM940" s="548"/>
      <c r="AN940" s="548"/>
      <c r="AO940" s="548"/>
    </row>
    <row r="941">
      <c r="G941" s="548"/>
      <c r="H941" s="548"/>
      <c r="I941" s="548"/>
      <c r="J941" s="548"/>
      <c r="K941" s="548"/>
      <c r="L941" s="548"/>
      <c r="M941" s="548"/>
      <c r="N941" s="548"/>
      <c r="O941" s="548"/>
      <c r="P941" s="548"/>
      <c r="Q941" s="548"/>
      <c r="R941" s="548"/>
      <c r="S941" s="548"/>
      <c r="T941" s="548"/>
      <c r="U941" s="548"/>
      <c r="V941" s="548"/>
      <c r="W941" s="548"/>
      <c r="X941" s="548"/>
      <c r="Y941" s="548"/>
      <c r="Z941" s="548"/>
      <c r="AA941" s="548"/>
      <c r="AB941" s="548"/>
      <c r="AC941" s="548"/>
      <c r="AD941" s="548"/>
      <c r="AE941" s="548"/>
      <c r="AF941" s="548"/>
      <c r="AG941" s="548"/>
      <c r="AH941" s="548"/>
      <c r="AI941" s="548"/>
      <c r="AJ941" s="548"/>
      <c r="AK941" s="548"/>
      <c r="AL941" s="548"/>
      <c r="AM941" s="548"/>
      <c r="AN941" s="548"/>
      <c r="AO941" s="548"/>
    </row>
    <row r="942">
      <c r="G942" s="548"/>
      <c r="H942" s="548"/>
      <c r="I942" s="548"/>
      <c r="J942" s="548"/>
      <c r="K942" s="548"/>
      <c r="L942" s="548"/>
      <c r="M942" s="548"/>
      <c r="N942" s="548"/>
      <c r="O942" s="548"/>
      <c r="P942" s="548"/>
      <c r="Q942" s="548"/>
      <c r="R942" s="548"/>
      <c r="S942" s="548"/>
      <c r="T942" s="548"/>
      <c r="U942" s="548"/>
      <c r="V942" s="548"/>
      <c r="W942" s="548"/>
      <c r="X942" s="548"/>
      <c r="Y942" s="548"/>
      <c r="Z942" s="548"/>
      <c r="AA942" s="548"/>
      <c r="AB942" s="548"/>
      <c r="AC942" s="548"/>
      <c r="AD942" s="548"/>
      <c r="AE942" s="548"/>
      <c r="AF942" s="548"/>
      <c r="AG942" s="548"/>
      <c r="AH942" s="548"/>
      <c r="AI942" s="548"/>
      <c r="AJ942" s="548"/>
      <c r="AK942" s="548"/>
      <c r="AL942" s="548"/>
      <c r="AM942" s="548"/>
      <c r="AN942" s="548"/>
      <c r="AO942" s="548"/>
    </row>
    <row r="943">
      <c r="G943" s="548"/>
      <c r="H943" s="548"/>
      <c r="I943" s="548"/>
      <c r="J943" s="548"/>
      <c r="K943" s="548"/>
      <c r="L943" s="548"/>
      <c r="M943" s="548"/>
      <c r="N943" s="548"/>
      <c r="O943" s="548"/>
      <c r="P943" s="548"/>
      <c r="Q943" s="548"/>
      <c r="R943" s="548"/>
      <c r="S943" s="548"/>
      <c r="T943" s="548"/>
      <c r="U943" s="548"/>
      <c r="V943" s="548"/>
      <c r="W943" s="548"/>
      <c r="X943" s="548"/>
      <c r="Y943" s="548"/>
      <c r="Z943" s="548"/>
      <c r="AA943" s="548"/>
      <c r="AB943" s="548"/>
      <c r="AC943" s="548"/>
      <c r="AD943" s="548"/>
      <c r="AE943" s="548"/>
      <c r="AF943" s="548"/>
      <c r="AG943" s="548"/>
      <c r="AH943" s="548"/>
      <c r="AI943" s="548"/>
      <c r="AJ943" s="548"/>
      <c r="AK943" s="548"/>
      <c r="AL943" s="548"/>
      <c r="AM943" s="548"/>
      <c r="AN943" s="548"/>
      <c r="AO943" s="548"/>
    </row>
    <row r="944">
      <c r="G944" s="548"/>
      <c r="H944" s="548"/>
      <c r="I944" s="548"/>
      <c r="J944" s="548"/>
      <c r="K944" s="548"/>
      <c r="L944" s="548"/>
      <c r="M944" s="548"/>
      <c r="N944" s="548"/>
      <c r="O944" s="548"/>
      <c r="P944" s="548"/>
      <c r="Q944" s="548"/>
      <c r="R944" s="548"/>
      <c r="S944" s="548"/>
      <c r="T944" s="548"/>
      <c r="U944" s="548"/>
      <c r="V944" s="548"/>
      <c r="W944" s="548"/>
      <c r="X944" s="548"/>
      <c r="Y944" s="548"/>
      <c r="Z944" s="548"/>
      <c r="AA944" s="548"/>
      <c r="AB944" s="548"/>
      <c r="AC944" s="548"/>
      <c r="AD944" s="548"/>
      <c r="AE944" s="548"/>
      <c r="AF944" s="548"/>
      <c r="AG944" s="548"/>
      <c r="AH944" s="548"/>
      <c r="AI944" s="548"/>
      <c r="AJ944" s="548"/>
      <c r="AK944" s="548"/>
      <c r="AL944" s="548"/>
      <c r="AM944" s="548"/>
      <c r="AN944" s="548"/>
      <c r="AO944" s="548"/>
    </row>
    <row r="945">
      <c r="G945" s="548"/>
      <c r="H945" s="548"/>
      <c r="I945" s="548"/>
      <c r="J945" s="548"/>
      <c r="K945" s="548"/>
      <c r="L945" s="548"/>
      <c r="M945" s="548"/>
      <c r="N945" s="548"/>
      <c r="O945" s="548"/>
      <c r="P945" s="548"/>
      <c r="Q945" s="548"/>
      <c r="R945" s="548"/>
      <c r="S945" s="548"/>
      <c r="T945" s="548"/>
      <c r="U945" s="548"/>
      <c r="V945" s="548"/>
      <c r="W945" s="548"/>
      <c r="X945" s="548"/>
      <c r="Y945" s="548"/>
      <c r="Z945" s="548"/>
      <c r="AA945" s="548"/>
      <c r="AB945" s="548"/>
      <c r="AC945" s="548"/>
      <c r="AD945" s="548"/>
      <c r="AE945" s="548"/>
      <c r="AF945" s="548"/>
      <c r="AG945" s="548"/>
      <c r="AH945" s="548"/>
      <c r="AI945" s="548"/>
      <c r="AJ945" s="548"/>
      <c r="AK945" s="548"/>
      <c r="AL945" s="548"/>
      <c r="AM945" s="548"/>
      <c r="AN945" s="548"/>
      <c r="AO945" s="548"/>
    </row>
    <row r="946">
      <c r="G946" s="548"/>
      <c r="H946" s="548"/>
      <c r="I946" s="548"/>
      <c r="J946" s="548"/>
      <c r="K946" s="548"/>
      <c r="L946" s="548"/>
      <c r="M946" s="548"/>
      <c r="N946" s="548"/>
      <c r="O946" s="548"/>
      <c r="P946" s="548"/>
      <c r="Q946" s="548"/>
      <c r="R946" s="548"/>
      <c r="S946" s="548"/>
      <c r="T946" s="548"/>
      <c r="U946" s="548"/>
      <c r="V946" s="548"/>
      <c r="W946" s="548"/>
      <c r="X946" s="548"/>
      <c r="Y946" s="548"/>
      <c r="Z946" s="548"/>
      <c r="AA946" s="548"/>
      <c r="AB946" s="548"/>
      <c r="AC946" s="548"/>
      <c r="AD946" s="548"/>
      <c r="AE946" s="548"/>
      <c r="AF946" s="548"/>
      <c r="AG946" s="548"/>
      <c r="AH946" s="548"/>
      <c r="AI946" s="548"/>
      <c r="AJ946" s="548"/>
      <c r="AK946" s="548"/>
      <c r="AL946" s="548"/>
      <c r="AM946" s="548"/>
      <c r="AN946" s="548"/>
      <c r="AO946" s="548"/>
    </row>
    <row r="947">
      <c r="G947" s="548"/>
      <c r="H947" s="548"/>
      <c r="I947" s="548"/>
      <c r="J947" s="548"/>
      <c r="K947" s="548"/>
      <c r="L947" s="548"/>
      <c r="M947" s="548"/>
      <c r="N947" s="548"/>
      <c r="O947" s="548"/>
      <c r="P947" s="548"/>
      <c r="Q947" s="548"/>
      <c r="R947" s="548"/>
      <c r="S947" s="548"/>
      <c r="T947" s="548"/>
      <c r="U947" s="548"/>
      <c r="V947" s="548"/>
      <c r="W947" s="548"/>
      <c r="X947" s="548"/>
      <c r="Y947" s="548"/>
      <c r="Z947" s="548"/>
      <c r="AA947" s="548"/>
      <c r="AB947" s="548"/>
      <c r="AC947" s="548"/>
      <c r="AD947" s="548"/>
      <c r="AE947" s="548"/>
      <c r="AF947" s="548"/>
      <c r="AG947" s="548"/>
      <c r="AH947" s="548"/>
      <c r="AI947" s="548"/>
      <c r="AJ947" s="548"/>
      <c r="AK947" s="548"/>
      <c r="AL947" s="548"/>
      <c r="AM947" s="548"/>
      <c r="AN947" s="548"/>
      <c r="AO947" s="548"/>
    </row>
    <row r="948">
      <c r="G948" s="548"/>
      <c r="H948" s="548"/>
      <c r="I948" s="548"/>
      <c r="J948" s="548"/>
      <c r="K948" s="548"/>
      <c r="L948" s="548"/>
      <c r="M948" s="548"/>
      <c r="N948" s="548"/>
      <c r="O948" s="548"/>
      <c r="P948" s="548"/>
      <c r="Q948" s="548"/>
      <c r="R948" s="548"/>
      <c r="S948" s="548"/>
      <c r="T948" s="548"/>
      <c r="U948" s="548"/>
      <c r="V948" s="548"/>
      <c r="W948" s="548"/>
      <c r="X948" s="548"/>
      <c r="Y948" s="548"/>
      <c r="Z948" s="548"/>
      <c r="AA948" s="548"/>
      <c r="AB948" s="548"/>
      <c r="AC948" s="548"/>
      <c r="AD948" s="548"/>
      <c r="AE948" s="548"/>
      <c r="AF948" s="548"/>
      <c r="AG948" s="548"/>
      <c r="AH948" s="548"/>
      <c r="AI948" s="548"/>
      <c r="AJ948" s="548"/>
      <c r="AK948" s="548"/>
      <c r="AL948" s="548"/>
      <c r="AM948" s="548"/>
      <c r="AN948" s="548"/>
      <c r="AO948" s="548"/>
    </row>
    <row r="949">
      <c r="G949" s="548"/>
      <c r="H949" s="548"/>
      <c r="I949" s="548"/>
      <c r="J949" s="548"/>
      <c r="K949" s="548"/>
      <c r="L949" s="548"/>
      <c r="M949" s="548"/>
      <c r="N949" s="548"/>
      <c r="O949" s="548"/>
      <c r="P949" s="548"/>
      <c r="Q949" s="548"/>
      <c r="R949" s="548"/>
      <c r="S949" s="548"/>
      <c r="T949" s="548"/>
      <c r="U949" s="548"/>
      <c r="V949" s="548"/>
      <c r="W949" s="548"/>
      <c r="X949" s="548"/>
      <c r="Y949" s="548"/>
      <c r="Z949" s="548"/>
      <c r="AA949" s="548"/>
      <c r="AB949" s="548"/>
      <c r="AC949" s="548"/>
      <c r="AD949" s="548"/>
      <c r="AE949" s="548"/>
      <c r="AF949" s="548"/>
      <c r="AG949" s="548"/>
      <c r="AH949" s="548"/>
      <c r="AI949" s="548"/>
      <c r="AJ949" s="548"/>
      <c r="AK949" s="548"/>
      <c r="AL949" s="548"/>
      <c r="AM949" s="548"/>
      <c r="AN949" s="548"/>
      <c r="AO949" s="548"/>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